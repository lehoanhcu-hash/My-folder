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tg.sharepoint.com/sites/duytan-holding/fad/FIR/00.BI REPORT/DataFS/Khanh Nga/"/>
    </mc:Choice>
  </mc:AlternateContent>
  <xr:revisionPtr revIDLastSave="1453" documentId="8_{457BE59D-4A45-4181-AAE4-AF9B1272471A}" xr6:coauthVersionLast="47" xr6:coauthVersionMax="47" xr10:uidLastSave="{01DCCB0B-30BD-4AC1-B6CC-4F6C83327548}"/>
  <workbookProtection workbookAlgorithmName="SHA-512" workbookHashValue="6rc/t63PG8xSLfcs36XINm3TBctgO+fiOpgrI3VoUl1p7BBt6aUrIDAv9q0BO6LbrRox/ldwV+tuuNZheTouXA==" workbookSaltValue="fng7SZ1nXPDAOHYHMdey0w==" workbookSpinCount="100000" lockStructure="1"/>
  <bookViews>
    <workbookView xWindow="-120" yWindow="-120" windowWidth="24240" windowHeight="13020" tabRatio="880" activeTab="10" xr2:uid="{AF4A2E0F-AE1A-47E5-916A-3F9AD022E0AD}"/>
  </bookViews>
  <sheets>
    <sheet name="Thong tin" sheetId="6" r:id="rId1"/>
    <sheet name="BIA" sheetId="7" r:id="rId2"/>
    <sheet name="Index" sheetId="8" r:id="rId3"/>
    <sheet name="THTC in" sheetId="9" r:id="rId4"/>
    <sheet name="KQKD in" sheetId="10" r:id="rId5"/>
    <sheet name="LCTT_GT in" sheetId="11" r:id="rId6"/>
    <sheet name="Tinh hinh tai chinh" sheetId="1" r:id="rId7"/>
    <sheet name="Ket qua kinh doanh" sheetId="2" r:id="rId8"/>
    <sheet name="Luu chuyen tien te" sheetId="3" r:id="rId9"/>
    <sheet name="KQKD theo yeu to" sheetId="4" r:id="rId10"/>
    <sheet name="No vay" sheetId="5" r:id="rId11"/>
    <sheet name="Giao dich voi BLQ" sheetId="12" r:id="rId12"/>
    <sheet name="Phu luc SX" sheetId="13" r:id="rId13"/>
  </sheets>
  <definedNames>
    <definedName name="_" hidden="1">#N/A</definedName>
    <definedName name="_?" localSheetId="11" hidden="1">{"revable",#N/A,FALSE,"REVABLE"}</definedName>
    <definedName name="_?" hidden="1">{"revable",#N/A,FALSE,"REVABLE"}</definedName>
    <definedName name="_??" localSheetId="11" hidden="1">{"sales",#N/A,FALSE,"SALES"}</definedName>
    <definedName name="_??" hidden="1">{"sales",#N/A,FALSE,"SALES"}</definedName>
    <definedName name="_????" localSheetId="11" hidden="1">{"hilight1",#N/A,FALSE,"HILIGHT1"}</definedName>
    <definedName name="_????" hidden="1">{"hilight1",#N/A,FALSE,"HILIGHT1"}</definedName>
    <definedName name="_?????" localSheetId="11" hidden="1">{"PRINT_EST",#N/A,FALSE,"ESTMON"}</definedName>
    <definedName name="_?????" hidden="1">{"PRINT_EST",#N/A,FALSE,"ESTMON"}</definedName>
    <definedName name="_??????" localSheetId="11" hidden="1">{"lev1bt",#N/A,FALSE,"1_LEVB-T"}</definedName>
    <definedName name="_??????" hidden="1">{"lev1bt",#N/A,FALSE,"1_LEVB-T"}</definedName>
    <definedName name="_??????????" localSheetId="11" hidden="1">{"revsale",#N/A,FALSE,"REV-?????"}</definedName>
    <definedName name="_??????????" hidden="1">{"revsale",#N/A,FALSE,"REV-?????"}</definedName>
    <definedName name="_????????????????????_0904" localSheetId="11" hidden="1">{"balance",#N/A,FALSE,"BALANCE"}</definedName>
    <definedName name="_????????????????????_0904" hidden="1">{"balance",#N/A,FALSE,"BALANCE"}</definedName>
    <definedName name="_?7" localSheetId="11" hidden="1">{"PRINT_EST",#N/A,FALSE,"ESTMON"}</definedName>
    <definedName name="_?7" hidden="1">{"PRINT_EST",#N/A,FALSE,"ESTMON"}</definedName>
    <definedName name="__" hidden="1">#N/A</definedName>
    <definedName name="__?" localSheetId="11" hidden="1">{"revable",#N/A,FALSE,"REVABLE"}</definedName>
    <definedName name="__?" hidden="1">{"revable",#N/A,FALSE,"REVABLE"}</definedName>
    <definedName name="__??" localSheetId="11" hidden="1">{"sales",#N/A,FALSE,"SALES"}</definedName>
    <definedName name="__??" hidden="1">{"sales",#N/A,FALSE,"SALES"}</definedName>
    <definedName name="__????" localSheetId="11" hidden="1">{"hilight1",#N/A,FALSE,"HILIGHT1"}</definedName>
    <definedName name="__????" hidden="1">{"hilight1",#N/A,FALSE,"HILIGHT1"}</definedName>
    <definedName name="__?????" localSheetId="11" hidden="1">{"PRINT_EST",#N/A,FALSE,"ESTMON"}</definedName>
    <definedName name="__?????" hidden="1">{"PRINT_EST",#N/A,FALSE,"ESTMON"}</definedName>
    <definedName name="__??????" localSheetId="11" hidden="1">{"lev1bt",#N/A,FALSE,"1_LEVB-T"}</definedName>
    <definedName name="__??????" hidden="1">{"lev1bt",#N/A,FALSE,"1_LEVB-T"}</definedName>
    <definedName name="__??????????" localSheetId="11" hidden="1">{"revsale",#N/A,FALSE,"REV-?????"}</definedName>
    <definedName name="__??????????" hidden="1">{"revsale",#N/A,FALSE,"REV-?????"}</definedName>
    <definedName name="__????????????????????_0904" localSheetId="11" hidden="1">{"balance",#N/A,FALSE,"BALANCE"}</definedName>
    <definedName name="__????????????????????_0904" hidden="1">{"balance",#N/A,FALSE,"BALANCE"}</definedName>
    <definedName name="__?7" localSheetId="11" hidden="1">{"PRINT_EST",#N/A,FALSE,"ESTMON"}</definedName>
    <definedName name="__?7" hidden="1">{"PRINT_EST",#N/A,FALSE,"ESTMON"}</definedName>
    <definedName name="___???" localSheetId="11" hidden="1">{"revable",#N/A,FALSE,"REVABLE"}</definedName>
    <definedName name="___???" hidden="1">{"revable",#N/A,FALSE,"REVABLE"}</definedName>
    <definedName name="____???" localSheetId="11" hidden="1">{"revable",#N/A,FALSE,"REVABLE"}</definedName>
    <definedName name="____???" hidden="1">{"revable",#N/A,FALSE,"REVABLE"}</definedName>
    <definedName name="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a10" localSheetId="11" hidden="1">{"sales",#N/A,FALSE,"SALES"}</definedName>
    <definedName name="_____a10" hidden="1">{"sales",#N/A,FALSE,"SALES"}</definedName>
    <definedName name="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a1" localSheetId="11" hidden="1">{"cashflow",#N/A,FALSE,"CASHFLOW "}</definedName>
    <definedName name="____a1" hidden="1">{"cashflow",#N/A,FALSE,"CASHFLOW "}</definedName>
    <definedName name="____a10" localSheetId="11" hidden="1">{"sales",#N/A,FALSE,"SALES"}</definedName>
    <definedName name="____a10" hidden="1">{"sales",#N/A,FALSE,"SALES"}</definedName>
    <definedName name="____a2" localSheetId="11" hidden="1">{"hilight1",#N/A,FALSE,"HILIGHT1"}</definedName>
    <definedName name="____a2" hidden="1">{"hilight1",#N/A,FALSE,"HILIGHT1"}</definedName>
    <definedName name="____a3" localSheetId="11" hidden="1">{"hilight2",#N/A,FALSE,"HILIGHT2"}</definedName>
    <definedName name="____a3" hidden="1">{"hilight2",#N/A,FALSE,"HILIGHT2"}</definedName>
    <definedName name="____a4" localSheetId="11" hidden="1">{"hilight3",#N/A,FALSE,"HILIGHT3"}</definedName>
    <definedName name="____a4" hidden="1">{"hilight3",#N/A,FALSE,"HILIGHT3"}</definedName>
    <definedName name="____a5" localSheetId="11" hidden="1">{"income",#N/A,FALSE,"INCOME"}</definedName>
    <definedName name="____a5" hidden="1">{"income",#N/A,FALSE,"INCOME"}</definedName>
    <definedName name="____a6" localSheetId="11" hidden="1">{"index",#N/A,FALSE,"INDEX"}</definedName>
    <definedName name="____a6" hidden="1">{"index",#N/A,FALSE,"INDEX"}</definedName>
    <definedName name="____a7" localSheetId="11" hidden="1">{"PRINT_EST",#N/A,FALSE,"ESTMON"}</definedName>
    <definedName name="____a7" hidden="1">{"PRINT_EST",#N/A,FALSE,"ESTMON"}</definedName>
    <definedName name="____a8" localSheetId="11" hidden="1">{"revsale",#N/A,FALSE,"REV-?????"}</definedName>
    <definedName name="____a8" hidden="1">{"revsale",#N/A,FALSE,"REV-?????"}</definedName>
    <definedName name="____a9" localSheetId="11" hidden="1">{"revable",#N/A,FALSE,"REVABLE"}</definedName>
    <definedName name="____a9" hidden="1">{"revable",#N/A,FALSE,"REVABLE"}</definedName>
    <definedName name="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SO2" localSheetId="11" hidden="1">{"'Sheet1'!$L$16"}</definedName>
    <definedName name="____NSO2" localSheetId="6" hidden="1">{"'Sheet1'!$L$16"}</definedName>
    <definedName name="____NSO2" hidden="1">{"'Sheet1'!$L$16"}</definedName>
    <definedName name="___a1" localSheetId="11" hidden="1">{"cashflow",#N/A,FALSE,"CASHFLOW "}</definedName>
    <definedName name="___a1" hidden="1">{"cashflow",#N/A,FALSE,"CASHFLOW "}</definedName>
    <definedName name="___a10" localSheetId="11" hidden="1">{"sales",#N/A,FALSE,"SALES"}</definedName>
    <definedName name="___a10" hidden="1">{"sales",#N/A,FALSE,"SALES"}</definedName>
    <definedName name="___a2" localSheetId="11" hidden="1">{"hilight1",#N/A,FALSE,"HILIGHT1"}</definedName>
    <definedName name="___a2" hidden="1">{"hilight1",#N/A,FALSE,"HILIGHT1"}</definedName>
    <definedName name="___a3" localSheetId="11" hidden="1">{"hilight2",#N/A,FALSE,"HILIGHT2"}</definedName>
    <definedName name="___a3" hidden="1">{"hilight2",#N/A,FALSE,"HILIGHT2"}</definedName>
    <definedName name="___a4" localSheetId="11" hidden="1">{"hilight3",#N/A,FALSE,"HILIGHT3"}</definedName>
    <definedName name="___a4" hidden="1">{"hilight3",#N/A,FALSE,"HILIGHT3"}</definedName>
    <definedName name="___a5" localSheetId="11" hidden="1">{"income",#N/A,FALSE,"INCOME"}</definedName>
    <definedName name="___a5" hidden="1">{"income",#N/A,FALSE,"INCOME"}</definedName>
    <definedName name="___a6" localSheetId="11" hidden="1">{"index",#N/A,FALSE,"INDEX"}</definedName>
    <definedName name="___a6" hidden="1">{"index",#N/A,FALSE,"INDEX"}</definedName>
    <definedName name="___a7" localSheetId="11" hidden="1">{"PRINT_EST",#N/A,FALSE,"ESTMON"}</definedName>
    <definedName name="___a7" hidden="1">{"PRINT_EST",#N/A,FALSE,"ESTMON"}</definedName>
    <definedName name="___a8" localSheetId="11" hidden="1">{"revsale",#N/A,FALSE,"REV-?????"}</definedName>
    <definedName name="___a8" hidden="1">{"revsale",#N/A,FALSE,"REV-?????"}</definedName>
    <definedName name="___a9" localSheetId="11" hidden="1">{"revable",#N/A,FALSE,"REVABLE"}</definedName>
    <definedName name="___a9" hidden="1">{"revable",#N/A,FALSE,"REVABLE"}</definedName>
    <definedName name="___h2" localSheetId="11" hidden="1">{"'Sheet1'!$L$16"}</definedName>
    <definedName name="___h2" localSheetId="6" hidden="1">{"'Sheet1'!$L$16"}</definedName>
    <definedName name="___h2" hidden="1">{"'Sheet1'!$L$16"}</definedName>
    <definedName name="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SO2" localSheetId="11" hidden="1">{"'Sheet1'!$L$16"}</definedName>
    <definedName name="___NSO2" localSheetId="6" hidden="1">{"'Sheet1'!$L$16"}</definedName>
    <definedName name="___NSO2" hidden="1">{"'Sheet1'!$L$16"}</definedName>
    <definedName name="___tm2" localSheetId="11" hidden="1">{#N/A,#N/A,FALSE,"Chi tiÆt"}</definedName>
    <definedName name="___tm2" localSheetId="5" hidden="1">{#N/A,#N/A,FALSE,"Chi tiÆt"}</definedName>
    <definedName name="___tm2" localSheetId="6" hidden="1">{#N/A,#N/A,FALSE,"Chi tiÆt"}</definedName>
    <definedName name="___tm2" hidden="1">{#N/A,#N/A,FALSE,"Chi tiÆt"}</definedName>
    <definedName name="__16_???" localSheetId="11" hidden="1">{"revable",#N/A,FALSE,"REVABLE"}</definedName>
    <definedName name="__16_???" hidden="1">{"revable",#N/A,FALSE,"REVABLE"}</definedName>
    <definedName name="__17_????" localSheetId="11" hidden="1">{"hilight1",#N/A,FALSE,"HILIGHT1"}</definedName>
    <definedName name="__17_????" hidden="1">{"hilight1",#N/A,FALSE,"HILIGHT1"}</definedName>
    <definedName name="__18_?????" localSheetId="11" hidden="1">{"PRINT_EST",#N/A,FALSE,"ESTMON"}</definedName>
    <definedName name="__18_?????" hidden="1">{"PRINT_EST",#N/A,FALSE,"ESTMON"}</definedName>
    <definedName name="__19_??????" localSheetId="11" hidden="1">{"lev1bt",#N/A,FALSE,"1_LEVB-T"}</definedName>
    <definedName name="__19_??????" hidden="1">{"lev1bt",#N/A,FALSE,"1_LEVB-T"}</definedName>
    <definedName name="__20_??????????" localSheetId="11" hidden="1">{"revsale",#N/A,FALSE,"REV-?????"}</definedName>
    <definedName name="__20_??????????" hidden="1">{"revsale",#N/A,FALSE,"REV-?????"}</definedName>
    <definedName name="__23_????????????????????_0904" localSheetId="11" hidden="1">{"balance",#N/A,FALSE,"BALANCE"}</definedName>
    <definedName name="__23_????????????????????_0904" hidden="1">{"balance",#N/A,FALSE,"BALANCE"}</definedName>
    <definedName name="__32_?7" localSheetId="11" hidden="1">{"PRINT_EST",#N/A,FALSE,"ESTMON"}</definedName>
    <definedName name="__32_?7" hidden="1">{"PRINT_EST",#N/A,FALSE,"ESTMON"}</definedName>
    <definedName name="__a1" localSheetId="11" hidden="1">{"cashflow",#N/A,FALSE,"CASHFLOW "}</definedName>
    <definedName name="__a1" hidden="1">{"cashflow",#N/A,FALSE,"CASHFLOW "}</definedName>
    <definedName name="__a10" localSheetId="11" hidden="1">{"sales",#N/A,FALSE,"SALES"}</definedName>
    <definedName name="__a10" hidden="1">{"sales",#N/A,FALSE,"SALES"}</definedName>
    <definedName name="__A123" hidden="1">#REF!</definedName>
    <definedName name="__a2" localSheetId="11" hidden="1">{"hilight1",#N/A,FALSE,"HILIGHT1"}</definedName>
    <definedName name="__a2" hidden="1">{"hilight1",#N/A,FALSE,"HILIGHT1"}</definedName>
    <definedName name="__a3" localSheetId="11" hidden="1">{"hilight2",#N/A,FALSE,"HILIGHT2"}</definedName>
    <definedName name="__a3" hidden="1">{"hilight2",#N/A,FALSE,"HILIGHT2"}</definedName>
    <definedName name="__a4" localSheetId="11" hidden="1">{"hilight3",#N/A,FALSE,"HILIGHT3"}</definedName>
    <definedName name="__a4" hidden="1">{"hilight3",#N/A,FALSE,"HILIGHT3"}</definedName>
    <definedName name="__a5" localSheetId="11" hidden="1">{"income",#N/A,FALSE,"INCOME"}</definedName>
    <definedName name="__a5" hidden="1">{"income",#N/A,FALSE,"INCOME"}</definedName>
    <definedName name="__a6" localSheetId="11" hidden="1">{"index",#N/A,FALSE,"INDEX"}</definedName>
    <definedName name="__a6" hidden="1">{"index",#N/A,FALSE,"INDEX"}</definedName>
    <definedName name="__a7" localSheetId="11" hidden="1">{"PRINT_EST",#N/A,FALSE,"ESTMON"}</definedName>
    <definedName name="__a7" hidden="1">{"PRINT_EST",#N/A,FALSE,"ESTMON"}</definedName>
    <definedName name="__a8" localSheetId="11" hidden="1">{"revsale",#N/A,FALSE,"REV-ยุพดี"}</definedName>
    <definedName name="__a8" hidden="1">{"revsale",#N/A,FALSE,"REV-ยุพดี"}</definedName>
    <definedName name="__a9" localSheetId="11" hidden="1">{"revable",#N/A,FALSE,"REVABLE"}</definedName>
    <definedName name="__a9" hidden="1">{"revable",#N/A,FALSE,"REVABLE"}</definedName>
    <definedName name="__cad2" localSheetId="11" hidden="1">{#N/A,#N/A,TRUE,"BT M200 da 10x20"}</definedName>
    <definedName name="__cad2" localSheetId="6" hidden="1">{#N/A,#N/A,TRUE,"BT M200 da 10x20"}</definedName>
    <definedName name="__cad2" hidden="1">{#N/A,#N/A,TRUE,"BT M200 da 10x20"}</definedName>
    <definedName name="__f5" localSheetId="11" hidden="1">{"'Sheet1'!$L$16"}</definedName>
    <definedName name="__f5" localSheetId="6" hidden="1">{"'Sheet1'!$L$16"}</definedName>
    <definedName name="__f5" hidden="1">{"'Sheet1'!$L$16"}</definedName>
    <definedName name="__FDS_HYPERLINK_TOGGLE_STATE__" hidden="1">"ON"</definedName>
    <definedName name="__h2" localSheetId="11" hidden="1">{"'Sheet1'!$L$16"}</definedName>
    <definedName name="__h2" localSheetId="6" hidden="1">{"'Sheet1'!$L$16"}</definedName>
    <definedName name="__h2" hidden="1">{"'Sheet1'!$L$16"}</definedName>
    <definedName name="__huy1" localSheetId="11" hidden="1">{"'Sheet1'!$L$16"}</definedName>
    <definedName name="__huy1" localSheetId="6" hidden="1">{"'Sheet1'!$L$16"}</definedName>
    <definedName name="__huy1" hidden="1">{"'Sheet1'!$L$16"}</definedName>
    <definedName name="__IntlFixup" hidden="1">TRUE</definedName>
    <definedName name="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S03" localSheetId="11" hidden="1">{"'Sheet1'!$L$16"}</definedName>
    <definedName name="__NS03" localSheetId="6" hidden="1">{"'Sheet1'!$L$16"}</definedName>
    <definedName name="__NS03" hidden="1">{"'Sheet1'!$L$16"}</definedName>
    <definedName name="__NSO2" localSheetId="11" hidden="1">{"'Sheet1'!$L$16"}</definedName>
    <definedName name="__NSO2" localSheetId="6" hidden="1">{"'Sheet1'!$L$16"}</definedName>
    <definedName name="__NSO2" hidden="1">{"'Sheet1'!$L$16"}</definedName>
    <definedName name="__T01" hidden="1">#REF!</definedName>
    <definedName name="__tm2" localSheetId="11" hidden="1">{#N/A,#N/A,FALSE,"Chi tiÆt"}</definedName>
    <definedName name="__tm2" localSheetId="5" hidden="1">{#N/A,#N/A,FALSE,"Chi tiÆt"}</definedName>
    <definedName name="__tm2" localSheetId="6" hidden="1">{#N/A,#N/A,FALSE,"Chi tiÆt"}</definedName>
    <definedName name="__tm2" hidden="1">{#N/A,#N/A,FALSE,"Chi tiÆt"}</definedName>
    <definedName name="__xlfn.BAHTTEXT" hidden="1">#NAME?</definedName>
    <definedName name="_1_" hidden="1">#REF!</definedName>
    <definedName name="_10_0_0_F" hidden="1">#REF!</definedName>
    <definedName name="_100_????????????????????_0904" localSheetId="11" hidden="1">{"balance",#N/A,FALSE,"BALANCE"}</definedName>
    <definedName name="_100_????????????????????_0904" hidden="1">{"balance",#N/A,FALSE,"BALANCE"}</definedName>
    <definedName name="_10F" hidden="1">#REF!</definedName>
    <definedName name="_11_?" localSheetId="11" hidden="1">{"revable",#N/A,FALSE,"REVABLE"}</definedName>
    <definedName name="_11_?" hidden="1">{"revable",#N/A,FALSE,"REVABLE"}</definedName>
    <definedName name="_11_0_0_F" hidden="1">#REF!</definedName>
    <definedName name="_115_?7" localSheetId="11" hidden="1">{"PRINT_EST",#N/A,FALSE,"ESTMON"}</definedName>
    <definedName name="_115_?7" hidden="1">{"PRINT_EST",#N/A,FALSE,"ESTMON"}</definedName>
    <definedName name="_119_?7" localSheetId="11" hidden="1">{"PRINT_EST",#N/A,FALSE,"ESTMON"}</definedName>
    <definedName name="_119_?7" hidden="1">{"PRINT_EST",#N/A,FALSE,"ESTMON"}</definedName>
    <definedName name="_119F" hidden="1">#REF!</definedName>
    <definedName name="_12_??" localSheetId="11" hidden="1">{"sales",#N/A,FALSE,"SALES"}</definedName>
    <definedName name="_12_??" hidden="1">{"sales",#N/A,FALSE,"SALES"}</definedName>
    <definedName name="_12_0_0_F" hidden="1">#REF!</definedName>
    <definedName name="_132_0_0_F" hidden="1">#REF!</definedName>
    <definedName name="_133_0_0_F" hidden="1">#REF!</definedName>
    <definedName name="_139____0_0_F" hidden="1">#REF!</definedName>
    <definedName name="_14_?" localSheetId="11" hidden="1">{"revable",#N/A,FALSE,"REVABLE"}</definedName>
    <definedName name="_14_?" hidden="1">{"revable",#N/A,FALSE,"REVABLE"}</definedName>
    <definedName name="_143___0_0_F" hidden="1">#REF!</definedName>
    <definedName name="_14F" hidden="1">#REF!</definedName>
    <definedName name="_15_??" localSheetId="11" hidden="1">{"sales",#N/A,FALSE,"SALES"}</definedName>
    <definedName name="_15_??" hidden="1">{"sales",#N/A,FALSE,"SALES"}</definedName>
    <definedName name="_15_0_0_F" hidden="1">#REF!</definedName>
    <definedName name="_16_???" localSheetId="11" hidden="1">{"revable",#N/A,FALSE,"REVABLE"}</definedName>
    <definedName name="_16_???" hidden="1">{"revable",#N/A,FALSE,"REVABLE"}</definedName>
    <definedName name="_17_????" localSheetId="11" hidden="1">{"hilight1",#N/A,FALSE,"HILIGHT1"}</definedName>
    <definedName name="_17_????" hidden="1">{"hilight1",#N/A,FALSE,"HILIGHT1"}</definedName>
    <definedName name="_18_?????" localSheetId="11" hidden="1">{"PRINT_EST",#N/A,FALSE,"ESTMON"}</definedName>
    <definedName name="_18_?????" hidden="1">{"PRINT_EST",#N/A,FALSE,"ESTMON"}</definedName>
    <definedName name="_19_??????" localSheetId="11" hidden="1">{"lev1bt",#N/A,FALSE,"1_LEVB-T"}</definedName>
    <definedName name="_19_??????" hidden="1">{"lev1bt",#N/A,FALSE,"1_LEVB-T"}</definedName>
    <definedName name="_2_0_0_F" hidden="1">#REF!</definedName>
    <definedName name="_20_???" localSheetId="11" hidden="1">{"revable",#N/A,FALSE,"REVABLE"}</definedName>
    <definedName name="_20_???" hidden="1">{"revable",#N/A,FALSE,"REVABLE"}</definedName>
    <definedName name="_20_??????????" localSheetId="11" hidden="1">{"revsale",#N/A,FALSE,"REV-?????"}</definedName>
    <definedName name="_20_??????????" hidden="1">{"revsale",#N/A,FALSE,"REV-?????"}</definedName>
    <definedName name="_23_????????????????????_0904" localSheetId="11" hidden="1">{"balance",#N/A,FALSE,"BALANCE"}</definedName>
    <definedName name="_23_????????????????????_0904" hidden="1">{"balance",#N/A,FALSE,"BALANCE"}</definedName>
    <definedName name="_26_????" localSheetId="11" hidden="1">{"hilight1",#N/A,FALSE,"HILIGHT1"}</definedName>
    <definedName name="_26_????" hidden="1">{"hilight1",#N/A,FALSE,"HILIGHT1"}</definedName>
    <definedName name="_32_?????" localSheetId="11" hidden="1">{"PRINT_EST",#N/A,FALSE,"ESTMON"}</definedName>
    <definedName name="_32_?????" hidden="1">{"PRINT_EST",#N/A,FALSE,"ESTMON"}</definedName>
    <definedName name="_32_?7" localSheetId="11" hidden="1">{"PRINT_EST",#N/A,FALSE,"ESTMON"}</definedName>
    <definedName name="_32_?7" hidden="1">{"PRINT_EST",#N/A,FALSE,"ESTMON"}</definedName>
    <definedName name="_35F" hidden="1">#REF!</definedName>
    <definedName name="_38_??????" localSheetId="11" hidden="1">{"lev1bt",#N/A,FALSE,"1_LEVB-T"}</definedName>
    <definedName name="_38_??????" hidden="1">{"lev1bt",#N/A,FALSE,"1_LEVB-T"}</definedName>
    <definedName name="_38_0_0_F" hidden="1">#REF!</definedName>
    <definedName name="_40_0_0_F" hidden="1">#REF!</definedName>
    <definedName name="_41_0_0_F" hidden="1">#REF!</definedName>
    <definedName name="_43_?" localSheetId="11" hidden="1">{"revable",#N/A,FALSE,"REVABLE"}</definedName>
    <definedName name="_43_?" hidden="1">{"revable",#N/A,FALSE,"REVABLE"}</definedName>
    <definedName name="_44_??????????" localSheetId="11" hidden="1">{"revsale",#N/A,FALSE,"REV-?????"}</definedName>
    <definedName name="_44_??????????" hidden="1">{"revsale",#N/A,FALSE,"REV-?????"}</definedName>
    <definedName name="_44_______F" hidden="1">#REF!</definedName>
    <definedName name="_47___0_0_F" hidden="1">#REF!</definedName>
    <definedName name="_5__0_0_F" hidden="1">#REF!</definedName>
    <definedName name="_50_??" localSheetId="11" hidden="1">{"sales",#N/A,FALSE,"SALES"}</definedName>
    <definedName name="_50_??" hidden="1">{"sales",#N/A,FALSE,"SALES"}</definedName>
    <definedName name="_50F" hidden="1">#REF!</definedName>
    <definedName name="_53_0_0_F" hidden="1">#REF!</definedName>
    <definedName name="_57_???" localSheetId="11" hidden="1">{"revable",#N/A,FALSE,"REVABLE"}</definedName>
    <definedName name="_57_???" hidden="1">{"revable",#N/A,FALSE,"REVABLE"}</definedName>
    <definedName name="_6_?" localSheetId="11" hidden="1">{"revable",#N/A,FALSE,"REVABLE"}</definedName>
    <definedName name="_6_?" hidden="1">{"revable",#N/A,FALSE,"REVABLE"}</definedName>
    <definedName name="_6_____F" hidden="1">#REF!</definedName>
    <definedName name="_64_????" localSheetId="11" hidden="1">{"hilight1",#N/A,FALSE,"HILIGHT1"}</definedName>
    <definedName name="_64_????" hidden="1">{"hilight1",#N/A,FALSE,"HILIGHT1"}</definedName>
    <definedName name="_65_????????????????????_0904" localSheetId="11" hidden="1">{"balance",#N/A,FALSE,"BALANCE"}</definedName>
    <definedName name="_65_????????????????????_0904" hidden="1">{"balance",#N/A,FALSE,"BALANCE"}</definedName>
    <definedName name="_7_0_0_F" hidden="1">#REF!</definedName>
    <definedName name="_71_?????" localSheetId="11" hidden="1">{"PRINT_EST",#N/A,FALSE,"ESTMON"}</definedName>
    <definedName name="_71_?????" hidden="1">{"PRINT_EST",#N/A,FALSE,"ESTMON"}</definedName>
    <definedName name="_78_??????" localSheetId="11" hidden="1">{"lev1bt",#N/A,FALSE,"1_LEVB-T"}</definedName>
    <definedName name="_78_??????" hidden="1">{"lev1bt",#N/A,FALSE,"1_LEVB-T"}</definedName>
    <definedName name="_85_??????????" localSheetId="11" hidden="1">{"revsale",#N/A,FALSE,"REV-?????"}</definedName>
    <definedName name="_85_??????????" hidden="1">{"revsale",#N/A,FALSE,"REV-?????"}</definedName>
    <definedName name="_8F" hidden="1">#REF!</definedName>
    <definedName name="_a1" localSheetId="11" hidden="1">{"'Sheet1'!$L$16"}</definedName>
    <definedName name="_a1" localSheetId="5" hidden="1">{"'Sheet1'!$L$16"}</definedName>
    <definedName name="_a1" localSheetId="6" hidden="1">{"'Sheet1'!$L$16"}</definedName>
    <definedName name="_a1" hidden="1">{"'Sheet1'!$L$16"}</definedName>
    <definedName name="_a10" localSheetId="11" hidden="1">{"sales",#N/A,FALSE,"SALES"}</definedName>
    <definedName name="_a10" hidden="1">{"sales",#N/A,FALSE,"SALES"}</definedName>
    <definedName name="_A123" hidden="1">#REF!</definedName>
    <definedName name="_a2" localSheetId="11" hidden="1">{"'Sheet1'!$L$16"}</definedName>
    <definedName name="_a2" localSheetId="6" hidden="1">{"'Sheet1'!$L$16"}</definedName>
    <definedName name="_a2" hidden="1">{"'Sheet1'!$L$16"}</definedName>
    <definedName name="_a3" localSheetId="11" hidden="1">{"hilight2",#N/A,FALSE,"HILIGHT2"}</definedName>
    <definedName name="_a3" hidden="1">{"hilight2",#N/A,FALSE,"HILIGHT2"}</definedName>
    <definedName name="_a4" localSheetId="11" hidden="1">{"hilight3",#N/A,FALSE,"HILIGHT3"}</definedName>
    <definedName name="_a4" hidden="1">{"hilight3",#N/A,FALSE,"HILIGHT3"}</definedName>
    <definedName name="_a5" localSheetId="11" hidden="1">{"income",#N/A,FALSE,"INCOME"}</definedName>
    <definedName name="_a5" hidden="1">{"income",#N/A,FALSE,"INCOME"}</definedName>
    <definedName name="_a6" localSheetId="11" hidden="1">{"index",#N/A,FALSE,"INDEX"}</definedName>
    <definedName name="_a6" hidden="1">{"index",#N/A,FALSE,"INDEX"}</definedName>
    <definedName name="_a7" localSheetId="11" hidden="1">{"PRINT_EST",#N/A,FALSE,"ESTMON"}</definedName>
    <definedName name="_a7" hidden="1">{"PRINT_EST",#N/A,FALSE,"ESTMON"}</definedName>
    <definedName name="_a8" localSheetId="11" hidden="1">{"revsale",#N/A,FALSE,"REV-ยุพดี"}</definedName>
    <definedName name="_a8" hidden="1">{"revsale",#N/A,FALSE,"REV-ยุพดี"}</definedName>
    <definedName name="_a9" localSheetId="11" hidden="1">{"revable",#N/A,FALSE,"REVABLE"}</definedName>
    <definedName name="_a9" hidden="1">{"revable",#N/A,FALSE,"REVABLE"}</definedName>
    <definedName name="_Builtin155" hidden="1">#N/A</definedName>
    <definedName name="_cad2" localSheetId="11" hidden="1">{#N/A,#N/A,TRUE,"BT M200 da 10x20"}</definedName>
    <definedName name="_cad2" localSheetId="6" hidden="1">{#N/A,#N/A,TRUE,"BT M200 da 10x20"}</definedName>
    <definedName name="_cad2" hidden="1">{#N/A,#N/A,TRUE,"BT M200 da 10x20"}</definedName>
    <definedName name="_CD2" localSheetId="11" hidden="1">{"'Sheet1'!$L$16"}</definedName>
    <definedName name="_CD2" localSheetId="5" hidden="1">{"'Sheet1'!$L$16"}</definedName>
    <definedName name="_CD2" localSheetId="6" hidden="1">{"'Sheet1'!$L$16"}</definedName>
    <definedName name="_CD2" hidden="1">{"'Sheet1'!$L$16"}</definedName>
    <definedName name="_f5" localSheetId="11" hidden="1">{"'Sheet1'!$L$16"}</definedName>
    <definedName name="_f5" localSheetId="6" hidden="1">{"'Sheet1'!$L$16"}</definedName>
    <definedName name="_f5" hidden="1">{"'Sheet1'!$L$16"}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11" hidden="1">'Giao dich voi BLQ'!$A$8:$AE$8</definedName>
    <definedName name="_xlnm._FilterDatabase" localSheetId="6" hidden="1">'Tinh hinh tai chinh'!$B$3:$AY$194</definedName>
    <definedName name="_xlnm._FilterDatabase" hidden="1">#REF!</definedName>
    <definedName name="_Goi8" localSheetId="11" hidden="1">{"'Sheet1'!$L$16"}</definedName>
    <definedName name="_Goi8" localSheetId="5" hidden="1">{"'Sheet1'!$L$16"}</definedName>
    <definedName name="_Goi8" localSheetId="6" hidden="1">{"'Sheet1'!$L$16"}</definedName>
    <definedName name="_Goi8" hidden="1">{"'Sheet1'!$L$16"}</definedName>
    <definedName name="_h2" localSheetId="11" hidden="1">{"'Sheet1'!$L$16"}</definedName>
    <definedName name="_h2" localSheetId="6" hidden="1">{"'Sheet1'!$L$16"}</definedName>
    <definedName name="_h2" hidden="1">{"'Sheet1'!$L$16"}</definedName>
    <definedName name="_huy1" localSheetId="11" hidden="1">{"'Sheet1'!$L$16"}</definedName>
    <definedName name="_huy1" localSheetId="6" hidden="1">{"'Sheet1'!$L$16"}</definedName>
    <definedName name="_huy1" hidden="1">{"'Sheet1'!$L$16"}</definedName>
    <definedName name="_Key1" localSheetId="5" hidden="1">#REF!</definedName>
    <definedName name="_Key1" localSheetId="6" hidden="1">#REF!</definedName>
    <definedName name="_Key1" hidden="1">#REF!</definedName>
    <definedName name="_Key2" localSheetId="5" hidden="1">#REF!</definedName>
    <definedName name="_Key2" localSheetId="6" hidden="1">#REF!</definedName>
    <definedName name="_Key2" hidden="1">#REF!</definedName>
    <definedName name="_key3" hidden="1">#REF!</definedName>
    <definedName name="_key4" hidden="1">#REF!</definedName>
    <definedName name="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S03" localSheetId="11" hidden="1">{"'Sheet1'!$L$16"}</definedName>
    <definedName name="_NS03" localSheetId="6" hidden="1">{"'Sheet1'!$L$16"}</definedName>
    <definedName name="_NS03" hidden="1">{"'Sheet1'!$L$16"}</definedName>
    <definedName name="_NSO2" localSheetId="11" hidden="1">{"'Sheet1'!$L$16"}</definedName>
    <definedName name="_NSO2" localSheetId="5" hidden="1">{"'Sheet1'!$L$16"}</definedName>
    <definedName name="_NSO2" localSheetId="6" hidden="1">{"'Sheet1'!$L$16"}</definedName>
    <definedName name="_NSO2" hidden="1">{"'Sheet1'!$L$16"}</definedName>
    <definedName name="_Order1" hidden="1">255</definedName>
    <definedName name="_Order2" hidden="1">255</definedName>
    <definedName name="_Parse_In" localSheetId="5" hidden="1">#REF!</definedName>
    <definedName name="_Parse_In" hidden="1">#REF!</definedName>
    <definedName name="_Parse_Out" localSheetId="5" hidden="1">#REF!</definedName>
    <definedName name="_Parse_Out" hidden="1">#REF!</definedName>
    <definedName name="_PL3" localSheetId="11" hidden="1">{"'Sheet1'!$L$16"}</definedName>
    <definedName name="_PL3" localSheetId="5" hidden="1">{"'Sheet1'!$L$16"}</definedName>
    <definedName name="_PL3" localSheetId="6" hidden="1">{"'Sheet1'!$L$16"}</definedName>
    <definedName name="_PL3" hidden="1">{"'Sheet1'!$L$16"}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Sort" localSheetId="5" hidden="1">#REF!</definedName>
    <definedName name="_Sort" localSheetId="6" hidden="1">#REF!</definedName>
    <definedName name="_Sort" hidden="1">#REF!</definedName>
    <definedName name="_T01" hidden="1">#REF!</definedName>
    <definedName name="_Table1_In1" localSheetId="6" hidden="1">#REF!</definedName>
    <definedName name="_Table1_In1" hidden="1">#REF!</definedName>
    <definedName name="_Table1_Out" localSheetId="6" hidden="1">#REF!</definedName>
    <definedName name="_Table1_Out" hidden="1">#REF!</definedName>
    <definedName name="_Table2_In1" localSheetId="6" hidden="1">#REF!</definedName>
    <definedName name="_Table2_In1" hidden="1">#REF!</definedName>
    <definedName name="_Table2_In2" localSheetId="6" hidden="1">#REF!</definedName>
    <definedName name="_Table2_In2" hidden="1">#REF!</definedName>
    <definedName name="_Table2_Out" localSheetId="6" hidden="1">#REF!</definedName>
    <definedName name="_Table2_Out" hidden="1">#REF!</definedName>
    <definedName name="_tm2" localSheetId="11" hidden="1">{#N/A,#N/A,FALSE,"Chi tiÆt"}</definedName>
    <definedName name="_tm2" localSheetId="5" hidden="1">{#N/A,#N/A,FALSE,"Chi tiÆt"}</definedName>
    <definedName name="_tm2" localSheetId="6" hidden="1">{#N/A,#N/A,FALSE,"Chi tiÆt"}</definedName>
    <definedName name="_tm2" hidden="1">{#N/A,#N/A,FALSE,"Chi tiÆt"}</definedName>
    <definedName name="_tr" hidden="1">#REF!</definedName>
    <definedName name="_ww2" localSheetId="11" hidden="1">{#N/A,#N/A,FALSE,"Admin";#N/A,#N/A,FALSE,"Other"}</definedName>
    <definedName name="_ww2" localSheetId="5" hidden="1">{#N/A,#N/A,FALSE,"Admin";#N/A,#N/A,FALSE,"Other"}</definedName>
    <definedName name="_ww2" localSheetId="6" hidden="1">{#N/A,#N/A,FALSE,"Admin";#N/A,#N/A,FALSE,"Other"}</definedName>
    <definedName name="_ww2" hidden="1">{#N/A,#N/A,FALSE,"Admin";#N/A,#N/A,FALSE,"Other"}</definedName>
    <definedName name="â" localSheetId="11" hidden="1">{"'Sheet1'!$L$16"}</definedName>
    <definedName name="â" localSheetId="5" hidden="1">{"'Sheet1'!$L$16"}</definedName>
    <definedName name="â" localSheetId="6" hidden="1">{"'Sheet1'!$L$16"}</definedName>
    <definedName name="â" hidden="1">{"'Sheet1'!$L$16"}</definedName>
    <definedName name="AA" localSheetId="11" hidden="1">{"F3 detail",#N/A,FALSE,"F1";"F3 Presentation",#N/A,FALSE,"F3 "}</definedName>
    <definedName name="AA" localSheetId="6" hidden="1">{"F3 detail",#N/A,FALSE,"F1";"F3 Presentation",#N/A,FALSE,"F3 "}</definedName>
    <definedName name="AA" hidden="1">{"F3 detail",#N/A,FALSE,"F1";"F3 Presentation",#N/A,FALSE,"F3 "}</definedName>
    <definedName name="aaa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11" hidden="1">{"Profit",#N/A,FALSE,"448k";"Capital",#N/A,FALSE,"448k"}</definedName>
    <definedName name="aaaaa" localSheetId="6" hidden="1">{"Profit",#N/A,FALSE,"448k";"Capital",#N/A,FALSE,"448k"}</definedName>
    <definedName name="aaaaa" hidden="1">{"Profit",#N/A,FALSE,"448k";"Capital",#N/A,FALSE,"448k"}</definedName>
    <definedName name="AAAAAAAAAAAAA" hidden="1">#REF!</definedName>
    <definedName name="AccessOpt" hidden="1">"Yes"</definedName>
    <definedName name="anscount" hidden="1">2</definedName>
    <definedName name="AS2DocOpenMode" hidden="1">"AS2DocumentEdit"</definedName>
    <definedName name="asdf" hidden="1">#REF!</definedName>
    <definedName name="ass" localSheetId="11" hidden="1">{"revable",#N/A,FALSE,"REVABLE"}</definedName>
    <definedName name="ass" hidden="1">{"revable",#N/A,FALSE,"REVABLE"}</definedName>
    <definedName name="banking1" localSheetId="11" hidden="1">{"'Sheet1'!$L$16"}</definedName>
    <definedName name="banking1" localSheetId="5" hidden="1">{"'Sheet1'!$L$16"}</definedName>
    <definedName name="banking1" localSheetId="6" hidden="1">{"'Sheet1'!$L$16"}</definedName>
    <definedName name="banking1" hidden="1">{"'Sheet1'!$L$16"}</definedName>
    <definedName name="BBB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i" localSheetId="11" hidden="1">{"HK PR",#N/A,FALSE,"HK";"SUMMARY",#N/A,FALSE,"PAYROLL";"SUMMARY",#N/A,FALSE,"PAYROLL";"HK PR",#N/A,FALSE,"HK"}</definedName>
    <definedName name="bi" localSheetId="5" hidden="1">{"HK PR",#N/A,FALSE,"HK";"SUMMARY",#N/A,FALSE,"PAYROLL";"SUMMARY",#N/A,FALSE,"PAYROLL";"HK PR",#N/A,FALSE,"HK"}</definedName>
    <definedName name="bi" localSheetId="6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11" hidden="1">{"'Sheet1'!$L$16"}</definedName>
    <definedName name="bieudo" localSheetId="6" hidden="1">{"'Sheet1'!$L$16"}</definedName>
    <definedName name="bieudo" hidden="1">{"'Sheet1'!$L$16"}</definedName>
    <definedName name="bieudo1" localSheetId="11" hidden="1">{"'Sheet1'!$L$16"}</definedName>
    <definedName name="bieudo1" localSheetId="6" hidden="1">{"'Sheet1'!$L$16"}</definedName>
    <definedName name="bieudo1" hidden="1">{"'Sheet1'!$L$16"}</definedName>
    <definedName name="binh1" localSheetId="11" hidden="1">{"'Sheet1'!$L$16"}</definedName>
    <definedName name="binh1" localSheetId="6" hidden="1">{"'Sheet1'!$L$16"}</definedName>
    <definedName name="binh1" hidden="1">{"'Sheet1'!$L$16"}</definedName>
    <definedName name="BO005BDC81E98343A093AADEF94EB59FAF" hidden="1">#REF!</definedName>
    <definedName name="BO00D8F3CF7CD2475BB9B1385DA290D0F5" hidden="1">#REF!</definedName>
    <definedName name="BO01D0E16CBD0C473996504B44510A2B25" localSheetId="6" hidden="1">#REF!</definedName>
    <definedName name="BO01D0E16CBD0C473996504B44510A2B25" hidden="1">#REF!</definedName>
    <definedName name="BO02DC581C85D44A4389CC4C44151E1DB0" hidden="1">#REF!</definedName>
    <definedName name="BO048C4D3FE93F49AA8198D2880A899608" localSheetId="6" hidden="1">#REF!</definedName>
    <definedName name="BO048C4D3FE93F49AA8198D2880A899608" hidden="1">#REF!</definedName>
    <definedName name="BO05995E7AB6704082ADAB4A0B58C5CEEF" hidden="1">#REF!</definedName>
    <definedName name="BO069278A1412F47DE85C43EB68CAF717F" hidden="1">#REF!</definedName>
    <definedName name="BO0789E5305658448CB66B462D6CE4F4BA" hidden="1">#REF!</definedName>
    <definedName name="BO08108BE3901A43B4BB727284F0DE1350" hidden="1">#REF!</definedName>
    <definedName name="BO096CE2A90C4A41B5B366879C41DFCDAA" hidden="1">#REF!</definedName>
    <definedName name="BO099F887F9C5F4068BA6B8F1084394257" localSheetId="6" hidden="1">#REF!</definedName>
    <definedName name="BO099F887F9C5F4068BA6B8F1084394257" hidden="1">#REF!</definedName>
    <definedName name="BO09B01FBE487D42169A0B01DC62FE7DDC" localSheetId="6" hidden="1">#REF!</definedName>
    <definedName name="BO09B01FBE487D42169A0B01DC62FE7DDC" hidden="1">#REF!</definedName>
    <definedName name="BO09C3E790E8D9462BAE7754E47C08E4E9" localSheetId="6" hidden="1">#REF!</definedName>
    <definedName name="BO09C3E790E8D9462BAE7754E47C08E4E9" hidden="1">#REF!</definedName>
    <definedName name="BO0C6EB03FCF5943CFBD625011881D07ED" hidden="1">#REF!</definedName>
    <definedName name="BO0DBD8E3011484F65BB422F97E0DD5E0F" hidden="1">#REF!</definedName>
    <definedName name="BO0E1E2F80FC8D4C0DB3564683D16EEFC1" localSheetId="6" hidden="1">#REF!</definedName>
    <definedName name="BO0E1E2F80FC8D4C0DB3564683D16EEFC1" hidden="1">#REF!</definedName>
    <definedName name="BO0F40139F378C4754978E7B648F5EF76C" hidden="1">#REF!</definedName>
    <definedName name="BO100DAFF26E56419D9A8CFC5AE2565CB4" localSheetId="6" hidden="1">#REF!</definedName>
    <definedName name="BO100DAFF26E56419D9A8CFC5AE2565CB4" hidden="1">#REF!</definedName>
    <definedName name="BO1011EFDB7313475AB25630C77E2CD7FB" hidden="1">#REF!</definedName>
    <definedName name="BO10494918D7FB4CDC81288D2F49DA6940" hidden="1">#REF!</definedName>
    <definedName name="BO107CF8CCC73047BAA48A0F3417125FB3" hidden="1">#REF!</definedName>
    <definedName name="BO113AADB3EE164AB287BD823572C08C85" hidden="1">#REF!</definedName>
    <definedName name="BO113DBA7EFF8042ED8AB3ECF88DF64EDF" hidden="1">#REF!</definedName>
    <definedName name="BO113E1DCC2AFC49139CF1B61A6B72D8D0" hidden="1">#REF!</definedName>
    <definedName name="BO115150121C404B92B8292215FD47A676" hidden="1">#REF!</definedName>
    <definedName name="BO142B466C524B45059DA17FB555951F6C" hidden="1">#REF!</definedName>
    <definedName name="BO195858CCF4FE4B8BB30D59A947338D91" hidden="1">#REF!</definedName>
    <definedName name="BO1B5944B18CAE4F4EA64888896EA98CE3" hidden="1">#REF!</definedName>
    <definedName name="BO1B88135960FA42718BA4F85F97379171" hidden="1">#REF!</definedName>
    <definedName name="BO1BB6877A87E34858B9490BC9C17E86A9" hidden="1">#REF!</definedName>
    <definedName name="BO1BD3FB86C9A0455BB37599C94BB564CE" localSheetId="6" hidden="1">#REF!</definedName>
    <definedName name="BO1BD3FB86C9A0455BB37599C94BB564CE" hidden="1">#REF!</definedName>
    <definedName name="BO1FCF13EA22DA4A34A96BB43C0482914C" hidden="1">#REF!</definedName>
    <definedName name="BO225AD737FABD40FEB1BD400F18DAFD79" hidden="1">#REF!</definedName>
    <definedName name="BO23C787C3A9AF4D63ADA1DC818379D5A3" hidden="1">#REF!</definedName>
    <definedName name="BO24A8918ECB1C4B1EAAC4F1A0663C1145" hidden="1">#REF!</definedName>
    <definedName name="BO24BA25EDB1A44A8E8DBB72F1D4D29577" hidden="1">#REF!</definedName>
    <definedName name="BO260C75EB0FE34E039A2639B39BA79B3D" hidden="1">#REF!</definedName>
    <definedName name="BO2672883EFAC5493481EFB4B31BDD63E6" localSheetId="6" hidden="1">#REF!</definedName>
    <definedName name="BO2672883EFAC5493481EFB4B31BDD63E6" hidden="1">#REF!</definedName>
    <definedName name="BO276A19D8C2B04DC29C9152E8680B3A3A" localSheetId="6" hidden="1">#REF!</definedName>
    <definedName name="BO276A19D8C2B04DC29C9152E8680B3A3A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EA5B2BE6EF4D02A0D124032B2C74A3" hidden="1">#REF!</definedName>
    <definedName name="BO2BA86B254A414DDB8F10CD94B5839C2C" hidden="1">#REF!</definedName>
    <definedName name="BO2C8C60696A424B1EACBBFDDE272D0A50" hidden="1">#REF!</definedName>
    <definedName name="BO2C9B63E184774916BE8749B98B8AE796" localSheetId="6" hidden="1">#REF!</definedName>
    <definedName name="BO2C9B63E184774916BE8749B98B8AE796" hidden="1">#REF!</definedName>
    <definedName name="BO2DDB0BD841F340A8880296264AC1AD09" hidden="1">#REF!</definedName>
    <definedName name="BO2EC6D26CDEB347D78EAE0F11E5C52867" hidden="1">#REF!</definedName>
    <definedName name="BO2FB9B240E0EA492F83769264D9892D15" hidden="1">#REF!</definedName>
    <definedName name="BO3289F49EFC034457B8AB42EB6E44BB67" hidden="1">#REF!</definedName>
    <definedName name="BO33D5D2E635444CE09A98AAF2ADA7433D" hidden="1">#REF!</definedName>
    <definedName name="BO35264F09D5384B21A7EBC93B5F190AEB" hidden="1">#REF!</definedName>
    <definedName name="BO3728122716B1408E8B7F370B9BBFDADD" localSheetId="6" hidden="1">#REF!</definedName>
    <definedName name="BO3728122716B1408E8B7F370B9BBFDADD" hidden="1">#REF!</definedName>
    <definedName name="BO375D335D9054414FAE3AF4C765CD8FED" hidden="1">#REF!</definedName>
    <definedName name="BO37987DC4E7E64BA0A01C92162B351132" hidden="1">#REF!</definedName>
    <definedName name="BO37A8522087C146439B47E95567DA2B00" localSheetId="6" hidden="1">#REF!</definedName>
    <definedName name="BO37A8522087C146439B47E95567DA2B00" hidden="1">#REF!</definedName>
    <definedName name="BO38ACFF41E1054C7884A26494448FE045" hidden="1">#REF!</definedName>
    <definedName name="BO3909BFA3143A4B58B6B8CEB581E9528C" localSheetId="6" hidden="1">#REF!</definedName>
    <definedName name="BO3909BFA3143A4B58B6B8CEB581E9528C" hidden="1">#REF!</definedName>
    <definedName name="BO3B6144B377CE45D39F7399D88759882F" hidden="1">#REF!</definedName>
    <definedName name="BO3C82848169FA4D11A8672F7A9FE72C51" hidden="1">#REF!</definedName>
    <definedName name="BO3CCC9B2BC38C4D488D8B1493A73B781B" hidden="1">#REF!</definedName>
    <definedName name="BO3D4564B23F3B4C9895009145888A42D0" hidden="1">#REF!</definedName>
    <definedName name="BO3E0B648F64D242B6B9E0CABA98A66A26" hidden="1">#REF!</definedName>
    <definedName name="BO4057EC314CEC47798B0627DC202DE337" localSheetId="6" hidden="1">#REF!</definedName>
    <definedName name="BO4057EC314CEC47798B0627DC202DE337" hidden="1">#REF!</definedName>
    <definedName name="BO4325C4CE5A6A40EDB239CE3FEA93D616" localSheetId="6" hidden="1">#REF!</definedName>
    <definedName name="BO4325C4CE5A6A40EDB239CE3FEA93D616" hidden="1">#REF!</definedName>
    <definedName name="BO434317F8DA9741658242E88E107EFF2F" hidden="1">#REF!</definedName>
    <definedName name="BO448A7EE0DCBB4BDF9A056D395A4E5D46" hidden="1">#REF!</definedName>
    <definedName name="BO4654F35AE4A94B88914D5564F493E506" hidden="1">#REF!</definedName>
    <definedName name="BO48158C876A054053A8BF1B1066B5769F" hidden="1">#REF!</definedName>
    <definedName name="BO481EEF2746434CA3955011739E810936" hidden="1">#REF!</definedName>
    <definedName name="BO492FF71352564A0B906D969350494321" hidden="1">#REF!</definedName>
    <definedName name="BO4989BD6C49D9472F9577212E5508BA42" hidden="1">#REF!</definedName>
    <definedName name="BO4AAF3ED43D1F4BA0A617F05B5FA98022" localSheetId="6" hidden="1">#REF!</definedName>
    <definedName name="BO4AAF3ED43D1F4BA0A617F05B5FA98022" hidden="1">#REF!</definedName>
    <definedName name="BO4B85FA2CA3EB4164B387DE75A013145C" hidden="1">#REF!</definedName>
    <definedName name="BO4CBA748CA1904ABEAC4916C51F3632CD" hidden="1">#REF!</definedName>
    <definedName name="BO4D312C5249F84A419336714CC3247A5D" hidden="1">#REF!</definedName>
    <definedName name="BO4DD3E06B30D0453591537146FB44B655" hidden="1">#REF!</definedName>
    <definedName name="BO5060B8055B22479FB2B032CFBC156B9A" hidden="1">#REF!</definedName>
    <definedName name="BO5124F12717414DAC96ABA4A8269ECB84" hidden="1">#REF!</definedName>
    <definedName name="BO51F608F52D8F4C42869432170B976399" hidden="1">#REF!</definedName>
    <definedName name="BO535460E4AB39414AB1F623062720C048" hidden="1">#REF!</definedName>
    <definedName name="BO53C1AD7020A246D19C492B988C284605" hidden="1">#REF!</definedName>
    <definedName name="BO54DB55663F334C03B8ADD851DEA5C745" hidden="1">#REF!</definedName>
    <definedName name="BO5625EF84032E4129A4F1C26C707CB6A3" hidden="1">#REF!</definedName>
    <definedName name="BO563FCE97DF97426EB7D91F44C76515D6" hidden="1">#REF!</definedName>
    <definedName name="BO58B0760CD8F245CEA3CCE06D7CF1481E" hidden="1">#REF!</definedName>
    <definedName name="BO58C4AC72229D4A05A6B102FC5BA2C9B0" hidden="1">#REF!</definedName>
    <definedName name="BO590F0D7F6F8D46C29B2EED8932DD87BD" hidden="1">#REF!</definedName>
    <definedName name="BO59D768DCFA394415A9FA22D804593B67" hidden="1">#REF!</definedName>
    <definedName name="BO5C902D60CF47456FA169B1087280482B" localSheetId="6" hidden="1">#REF!</definedName>
    <definedName name="BO5C902D60CF47456FA169B1087280482B" hidden="1">#REF!</definedName>
    <definedName name="BO5C93DD374DC2423B967014357CA2D571" hidden="1">#REF!</definedName>
    <definedName name="BO5D05E09EECF5457DA33727FC8D15191F" hidden="1">#REF!</definedName>
    <definedName name="BO5D45774D31BA47B8AE1E174DE6B88DC5" localSheetId="6" hidden="1">#REF!</definedName>
    <definedName name="BO5D45774D31BA47B8AE1E174DE6B88DC5" hidden="1">#REF!</definedName>
    <definedName name="BO5D9DFDE61A224480A6661F17796BBA5F" hidden="1">#REF!</definedName>
    <definedName name="BO5E15162F9C004ABAA5599FEAD7B0B618" localSheetId="6" hidden="1">#REF!</definedName>
    <definedName name="BO5E15162F9C004ABAA5599FEAD7B0B618" hidden="1">#REF!</definedName>
    <definedName name="BO5EB0027199674D819EBA32CE0557D9DA" hidden="1">#REF!</definedName>
    <definedName name="BO627607EF9B44464A878AD3A742DE38FE" hidden="1">#REF!</definedName>
    <definedName name="BO63ED429219D8463DABEF3E421AFA5D2E" hidden="1">#REF!</definedName>
    <definedName name="BO6469F20DC373405B993702B81D5913A5" hidden="1">#REF!</definedName>
    <definedName name="BO650C13AE83C343EBACC8BB1D5111021D" hidden="1">#REF!</definedName>
    <definedName name="BO65A8281E60C44053BCA2C62905C7294C" localSheetId="6" hidden="1">#REF!</definedName>
    <definedName name="BO65A8281E60C44053BCA2C62905C7294C" hidden="1">#REF!</definedName>
    <definedName name="BO67533EA6D04240D48B3A9395CDECDB8D" localSheetId="6" hidden="1">#REF!</definedName>
    <definedName name="BO67533EA6D04240D48B3A9395CDECDB8D" hidden="1">#REF!</definedName>
    <definedName name="BO68983402BEF841C6A14B8790F2BB14F3" hidden="1">#REF!</definedName>
    <definedName name="BO6918ADAA8D3B4DDAB0A5DA0166130D2D" hidden="1">#REF!</definedName>
    <definedName name="BO693FC971D6ED4A55A86888919A9DB0CF" hidden="1">#REF!</definedName>
    <definedName name="BO69BDD9E0EAF141A0AE757EC95ED2148A" hidden="1">#REF!</definedName>
    <definedName name="BO69FC4A14559D4FC7A82396779DCCF87F" hidden="1">#REF!</definedName>
    <definedName name="BO6AD23BDF244147F8AF7DA4DDD31EE46C" hidden="1">#REF!</definedName>
    <definedName name="BO6B2CF716FD1A4BC3928BCB0EC72E3B0D" hidden="1">#REF!</definedName>
    <definedName name="BO6B9770CD5DD64888A71AF866E1317654" hidden="1">#REF!</definedName>
    <definedName name="BO6CAC87F339424FCBA71C90521188D9F3" hidden="1">#REF!</definedName>
    <definedName name="BO6D170E9FBADE4FC38A06EEAB1545E1EA" hidden="1">#REF!</definedName>
    <definedName name="BO6F3A5D1BC4944DBFBC8CE1F552DF33DA" hidden="1">#REF!</definedName>
    <definedName name="BO6F5267EB45D64C5F926243284B69BCA6" hidden="1">#REF!</definedName>
    <definedName name="BO6FC857D8CD534A2BBA93AA618401DDF0" hidden="1">#REF!</definedName>
    <definedName name="BO7061C029DB7E4C3CB5AA4DDE2460392C" hidden="1">#REF!</definedName>
    <definedName name="BO71A1222E47594EE5868DB4CC220999C8" hidden="1">#REF!</definedName>
    <definedName name="BO720382D08E8E4C7CA64CA1B2D5DF0FB5" hidden="1">#REF!</definedName>
    <definedName name="BO7307D59A4B214EAE86562607C85423E4" hidden="1">#REF!</definedName>
    <definedName name="BO733E15FC2902430994339FF32CD32B87" localSheetId="6" hidden="1">#REF!</definedName>
    <definedName name="BO733E15FC2902430994339FF32CD32B87" hidden="1">#REF!</definedName>
    <definedName name="BO760478BC3AC541D48B8B653180858CA8" hidden="1">#REF!</definedName>
    <definedName name="BO7700E20E746149E291ACCD677C9D0766" hidden="1">#REF!</definedName>
    <definedName name="BO7764E7B14F1F4E928E4376007F22ABAF" hidden="1">#REF!</definedName>
    <definedName name="BO78B26688225A431E92C72662FBF21F94" hidden="1">#REF!</definedName>
    <definedName name="BO7A14BDFD5B2841A8BDFFCCE11C18BE90" hidden="1">#REF!</definedName>
    <definedName name="BO7A77E7DD81CB4CC68FEEABE2F3743C94" hidden="1">#REF!</definedName>
    <definedName name="BO7C7DABCD75A7494CA0243D508880E90D" hidden="1">#REF!</definedName>
    <definedName name="BO7CB713453E414A90B10F3550A0F253EC" hidden="1">#REF!</definedName>
    <definedName name="BO7D74CA4352B94CADA69060B858A229A7" hidden="1">#REF!</definedName>
    <definedName name="BO8140CB8CB4934D52A45138EFCF43482F" hidden="1">#REF!</definedName>
    <definedName name="BO81EB4DF8F6194B6D99943B71E32D1F8E" hidden="1">#REF!</definedName>
    <definedName name="BO849DAABD57DE400C976DE83FBD70852D" hidden="1">#REF!</definedName>
    <definedName name="BO86D1438E23664D2B9FCD09512F3A93F8" hidden="1">#REF!</definedName>
    <definedName name="BO8703EEC12706416FB6ED04E179922738" hidden="1">#REF!</definedName>
    <definedName name="BO879CBD59307A43159AF2A4CED84C7472" hidden="1">#REF!</definedName>
    <definedName name="BO8B0E799EB2E747E08CC00A5CB7983720" hidden="1">#REF!</definedName>
    <definedName name="BO8C2C15F699E14EDC94E42D4D15367A0D" hidden="1">#REF!</definedName>
    <definedName name="BO8CC5B39B3E324C918A32819C9A07A727" hidden="1">#REF!</definedName>
    <definedName name="BO8D4A19F885E642D98251152558F518D0" hidden="1">#REF!</definedName>
    <definedName name="BO8E9F198DEB16434A9D0753A88CDF5215" hidden="1">#REF!</definedName>
    <definedName name="BO8F69E36AA533438FB255DE448D2F78C1" localSheetId="6" hidden="1">#REF!</definedName>
    <definedName name="BO8F69E36AA533438FB255DE448D2F78C1" hidden="1">#REF!</definedName>
    <definedName name="BO8FB6EDE92460437DB46269B760A9FF87" hidden="1">#REF!</definedName>
    <definedName name="BO904BCFDAB4C44A96A1BAD24E7B5C4CFB" localSheetId="6" hidden="1">#REF!</definedName>
    <definedName name="BO904BCFDAB4C44A96A1BAD24E7B5C4CFB" hidden="1">#REF!</definedName>
    <definedName name="BO91B1C71622B84DC09FCF82790CCC6703" localSheetId="6" hidden="1">#REF!</definedName>
    <definedName name="BO91B1C71622B84DC09FCF82790CCC6703" hidden="1">#REF!</definedName>
    <definedName name="BO9268349F1CCF49DEB0561574CF57C558" localSheetId="6" hidden="1">#REF!</definedName>
    <definedName name="BO9268349F1CCF49DEB0561574CF57C558" hidden="1">#REF!</definedName>
    <definedName name="BO930FD1E9B9EB478BBAD94346BAE68338" hidden="1">#REF!</definedName>
    <definedName name="BO93E74F3970FD46C489BC2A92AE9C7404" hidden="1">#REF!</definedName>
    <definedName name="BO94ACFBA87DCA4A049A7A7B2CF5A0099B" hidden="1">#REF!</definedName>
    <definedName name="BO985BAF614F20419688C24910DA7EDD6A" hidden="1">#REF!</definedName>
    <definedName name="BO99F730DA3CE3438682559D78DBEB1137" hidden="1">#REF!</definedName>
    <definedName name="BO9A2A567F0CC545CC9043BF9A4C5F101F" hidden="1">#REF!</definedName>
    <definedName name="BO9B3B4252A5054C8AA9BB04D57CE43C60" hidden="1">#REF!</definedName>
    <definedName name="BO9B3B6F3CBDDD4CB0B98E9DAC2E6DFBB4" hidden="1">#REF!</definedName>
    <definedName name="BO9B9AF7C9673C48CD8E8EAE4AC4E281CA" hidden="1">#REF!</definedName>
    <definedName name="BO9BCF658BBEEB42C89189AA47132AC73A" hidden="1">#REF!</definedName>
    <definedName name="BO9DBFA7A314A14358A1BDB1236CC63047" hidden="1">#REF!</definedName>
    <definedName name="BO9F8DFCDB096345B68BCF462FC11B9706" hidden="1">#REF!</definedName>
    <definedName name="BO9FDB53228D304274A31FEEB51F85A06C" hidden="1">#REF!</definedName>
    <definedName name="BOA12F3EEDA20B4FD9B8C4F5748C7E15C6" localSheetId="6" hidden="1">#REF!</definedName>
    <definedName name="BOA12F3EEDA20B4FD9B8C4F5748C7E15C6" hidden="1">#REF!</definedName>
    <definedName name="BOA1352C67E57F45F18A3132F095B04042" hidden="1">#REF!</definedName>
    <definedName name="BOA3C4CE09FB0449E9B7E9CA671975ACCF" hidden="1">#REF!</definedName>
    <definedName name="BOA57BAACC082A40159BEF18E4E3DB2ACD" hidden="1">#REF!</definedName>
    <definedName name="BOA71E9E0A6B654860B10DCBA2CFBBCEE1" hidden="1">#REF!</definedName>
    <definedName name="BOA879FFE6ECBE4F8ABCD12D7BCBA427F4" hidden="1">#REF!</definedName>
    <definedName name="BOA8B6E7E580EC46D5A167ECCE259105F9" hidden="1">#REF!</definedName>
    <definedName name="BOA8D1E2E64BB645C680E24AB89AEDFCE3" hidden="1">#REF!</definedName>
    <definedName name="BOAAB11C84339D4299BFC1AA6D04698F2A" localSheetId="6" hidden="1">#REF!</definedName>
    <definedName name="BOAAB11C84339D4299BFC1AA6D04698F2A" hidden="1">#REF!</definedName>
    <definedName name="BOAC589E242BED4D2782DB5354106024F8" hidden="1">#REF!</definedName>
    <definedName name="BOAC99D26F3C3749C0B07E837B64380195" hidden="1">#REF!</definedName>
    <definedName name="BOAD616A0644E843968166BAAF341567A8" hidden="1">#REF!</definedName>
    <definedName name="BOAE62644DF78A4A79879DE7E6C0CC7E80" hidden="1">#REF!</definedName>
    <definedName name="BOAECC4E2710DA49978423665B98EFB884" hidden="1">#REF!</definedName>
    <definedName name="BOAF8E97A633AE4FB7BA6538C295FFDAB0" hidden="1">#REF!</definedName>
    <definedName name="BOB2121768159748418F929263EFA12598" hidden="1">#REF!</definedName>
    <definedName name="BOB49D75FC4F944B8BA43274A1AC9F7C6C" hidden="1">#REF!</definedName>
    <definedName name="BOB596E9268DED478AB9C99865ADF4A688" hidden="1">#REF!</definedName>
    <definedName name="BOB61F1D7767114687812A69756748869E" localSheetId="6" hidden="1">#REF!</definedName>
    <definedName name="BOB61F1D7767114687812A69756748869E" hidden="1">#REF!</definedName>
    <definedName name="BOB6870DB4AF074130A54E1277C2C63A76" hidden="1">#REF!</definedName>
    <definedName name="BOBAE47B872A5345298D6CFC1292FF0229" hidden="1">#REF!</definedName>
    <definedName name="BOBB2CD22C468846029AA7E79B86A82CEF" hidden="1">#REF!</definedName>
    <definedName name="BOBC7C71DE64364CBC9244EA234BE295B4" hidden="1">#REF!</definedName>
    <definedName name="BOBD17ACF591A04BA2A7F3EA73A1F5EFD0" localSheetId="6" hidden="1">#REF!</definedName>
    <definedName name="BOBD17ACF591A04BA2A7F3EA73A1F5EFD0" hidden="1">#REF!</definedName>
    <definedName name="BOBE9E067C7210472B81073CBDC8230580" localSheetId="6" hidden="1">#REF!</definedName>
    <definedName name="BOBE9E067C7210472B81073CBDC8230580" hidden="1">#REF!</definedName>
    <definedName name="BOBEA7B5BBB87048D49DF67B697A931813" hidden="1">#REF!</definedName>
    <definedName name="BOC156AACB264943ED8DE9584787C81FE3" hidden="1">#REF!</definedName>
    <definedName name="BOC2A368458B8C466A8EAB350D814B6553" hidden="1">#REF!</definedName>
    <definedName name="BOC4A6BB89CD2B435293F191D82C0F58C9" hidden="1">#REF!</definedName>
    <definedName name="BOC54204551F1D42B9BD6174DBDD9D741F" hidden="1">#REF!</definedName>
    <definedName name="BOC5B50A3B093A4281A75D4209F6A75893" hidden="1">#REF!</definedName>
    <definedName name="BOC5FB79A4E3E540F8AE42FE861B1410EC" hidden="1">#REF!</definedName>
    <definedName name="BOC96D8191DBAE4D6183DEA37F46B8436D" hidden="1">#REF!</definedName>
    <definedName name="BOCCF334A9BDB64C2697AE9352A937B6E5" localSheetId="6" hidden="1">#REF!</definedName>
    <definedName name="BOCCF334A9BDB64C2697AE9352A937B6E5" hidden="1">#REF!</definedName>
    <definedName name="BOCDED67C8566647ED9C954DE6FCEBFBFF" hidden="1">#REF!</definedName>
    <definedName name="BOD0382903153C4298A06C72FB4C2F82BC" localSheetId="6" hidden="1">#REF!</definedName>
    <definedName name="BOD0382903153C4298A06C72FB4C2F82BC" hidden="1">#REF!</definedName>
    <definedName name="BOD14638B491F746CA808EE455711E2DFA" hidden="1">#REF!</definedName>
    <definedName name="BOD3AC1AE62968479AA5A373821C711DA4" hidden="1">#REF!</definedName>
    <definedName name="BOD4D26CA1C52F43BDBE4F64A3B560F6ED" localSheetId="6" hidden="1">#REF!</definedName>
    <definedName name="BOD4D26CA1C52F43BDBE4F64A3B560F6ED" hidden="1">#REF!</definedName>
    <definedName name="BOD5FBDB6792ED490294B58B91280CB793" hidden="1">#REF!</definedName>
    <definedName name="BOD7619C4CBE234EA9ACB18176025ACAF4" hidden="1">#REF!</definedName>
    <definedName name="BOD789790B96514DC59042719B5805E3D6" localSheetId="6" hidden="1">#REF!</definedName>
    <definedName name="BOD789790B96514DC59042719B5805E3D6" hidden="1">#REF!</definedName>
    <definedName name="BODCACB442AFF147DA8534A6D75C35399F" hidden="1">#REF!</definedName>
    <definedName name="BODEC00C0FE625435EAB16BBF3CF5423FA" hidden="1">#REF!</definedName>
    <definedName name="BODFAFE6B7B5DD494DA46E02F336EB4451" hidden="1">#REF!</definedName>
    <definedName name="BOE026125E78E5458981F88E04737F5FDD" hidden="1">#REF!</definedName>
    <definedName name="BOE51DFD1C9562469194F32690B232F3D3" hidden="1">#REF!</definedName>
    <definedName name="BOE798598350E04FBFAF7A6A194F1568BE" hidden="1">#REF!</definedName>
    <definedName name="BOE84FCC406C184191AFE42CCF04997FEE" localSheetId="6" hidden="1">#REF!</definedName>
    <definedName name="BOE84FCC406C184191AFE42CCF04997FEE" hidden="1">#REF!</definedName>
    <definedName name="BOE8C9C3ED265B48589109A08A9505A1D1" localSheetId="6" hidden="1">#REF!</definedName>
    <definedName name="BOE8C9C3ED265B48589109A08A9505A1D1" hidden="1">#REF!</definedName>
    <definedName name="BOEAFDF322262145CB86BF48DC1DB6B5A2" localSheetId="6" hidden="1">#REF!</definedName>
    <definedName name="BOEAFDF322262145CB86BF48DC1DB6B5A2" hidden="1">#REF!</definedName>
    <definedName name="BOEB217BD039004C72ABA77A436DA8A424" hidden="1">#REF!</definedName>
    <definedName name="BOEF3940E6E677491BAE23FF17364EF17E" hidden="1">#REF!</definedName>
    <definedName name="BOEFFA9E855A8D4352994E68849AF48905" hidden="1">#REF!</definedName>
    <definedName name="BOF02333F78A05422AA5A1F733A8834CD6" hidden="1">#REF!</definedName>
    <definedName name="BOF0CBC11E611C46CAA732EB2558A413AB" hidden="1">#REF!</definedName>
    <definedName name="BOF0DBB60FBA7B487483C6404113C66C6E" hidden="1">#REF!</definedName>
    <definedName name="BOF15E20C21B1C4680B293AE7291F7DD0F" hidden="1">#REF!</definedName>
    <definedName name="BOF28675E81D624568B83E5006EE4DAB41" hidden="1">#REF!</definedName>
    <definedName name="BOF2EBB03F32CB43D982795A06A0CE7F14" localSheetId="6" hidden="1">#REF!</definedName>
    <definedName name="BOF2EBB03F32CB43D982795A06A0CE7F14" hidden="1">#REF!</definedName>
    <definedName name="BOF37F793DBD86486CB8F124C4A5B4790A" hidden="1">#REF!</definedName>
    <definedName name="BOF3F8EC36F0584B21B040E4FAE9B8810F" localSheetId="6" hidden="1">#REF!</definedName>
    <definedName name="BOF3F8EC36F0584B21B040E4FAE9B8810F" hidden="1">#REF!</definedName>
    <definedName name="BOF4F541C0A6C94B61A4CE373A6C565169" hidden="1">#REF!</definedName>
    <definedName name="BOF5497173AE06489E9550275FB325A5AD" hidden="1">#REF!</definedName>
    <definedName name="BOF6AE8BD0902148AA869657E40D971E11" hidden="1">#REF!</definedName>
    <definedName name="BOF6C9B9EED16443ED8CB7FF99A5DBCC26" localSheetId="6" hidden="1">#REF!</definedName>
    <definedName name="BOF6C9B9EED16443ED8CB7FF99A5DBCC26" hidden="1">#REF!</definedName>
    <definedName name="BOF770BE81EB0647A29E9CE4D634384356" hidden="1">#REF!</definedName>
    <definedName name="BOF7C0B15686234EACBE0FB09FC35AFFF4" hidden="1">#REF!</definedName>
    <definedName name="BOF9A745490A1F4A0695067659AAAB07E4" hidden="1">#REF!</definedName>
    <definedName name="BOFA2F87762DFD484D94075FC95CB64240" hidden="1">#REF!</definedName>
    <definedName name="BOFB8FF5299BAC4A3980A0C9D97B2C2A8F" hidden="1">#REF!</definedName>
    <definedName name="BOFC3CE9B777E942BF8427BC366D3B0A70" localSheetId="6" hidden="1">#REF!</definedName>
    <definedName name="BOFC3CE9B777E942BF8427BC366D3B0A70" hidden="1">#REF!</definedName>
    <definedName name="BOFC9287FB937E45768ACB07545CEEA2D9" hidden="1">#REF!</definedName>
    <definedName name="BOFCBD10D75B584C3B8A3E8226942B145A" hidden="1">#REF!</definedName>
    <definedName name="BOFEBB355536364ED8B2C1BF3DA875F9C0" hidden="1">#REF!</definedName>
    <definedName name="caccccc" localSheetId="11" hidden="1">{"'Sheet1'!$L$16"}</definedName>
    <definedName name="caccccc" localSheetId="6" hidden="1">{"'Sheet1'!$L$16"}</definedName>
    <definedName name="caccccc" hidden="1">{"'Sheet1'!$L$16"}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cc" localSheetId="11" hidden="1">{"PRINT_EST",#N/A,FALSE,"ESTMON"}</definedName>
    <definedName name="ccc" hidden="1">{"PRINT_EST",#N/A,FALSE,"ESTMON"}</definedName>
    <definedName name="CCÑCangdung10.2" localSheetId="11" hidden="1">{"'Sheet1'!$L$16"}</definedName>
    <definedName name="CCÑCangdung10.2" localSheetId="5" hidden="1">{"'Sheet1'!$L$16"}</definedName>
    <definedName name="CCÑCangdung10.2" localSheetId="6" hidden="1">{"'Sheet1'!$L$16"}</definedName>
    <definedName name="CCÑCangdung10.2" hidden="1">{"'Sheet1'!$L$16"}</definedName>
    <definedName name="Chart3" localSheetId="11" hidden="1">{"'Sheet1'!$L$16"}</definedName>
    <definedName name="Chart3" localSheetId="5" hidden="1">{"'Sheet1'!$L$16"}</definedName>
    <definedName name="Chart3" localSheetId="6" hidden="1">{"'Sheet1'!$L$16"}</definedName>
    <definedName name="Chart3" hidden="1">{"'Sheet1'!$L$16"}</definedName>
    <definedName name="Chiphi" localSheetId="11" hidden="1">{"'Sheet1'!$L$16"}</definedName>
    <definedName name="Chiphi" localSheetId="5" hidden="1">{"'Sheet1'!$L$16"}</definedName>
    <definedName name="Chiphi" localSheetId="6" hidden="1">{"'Sheet1'!$L$16"}</definedName>
    <definedName name="Chiphi" hidden="1">{"'Sheet1'!$L$16"}</definedName>
    <definedName name="CIQWBGuid" hidden="1">"31f98984-787e-48fc-adc8-ee1c3151ce60"</definedName>
    <definedName name="Code" localSheetId="5" hidden="1">#REF!</definedName>
    <definedName name="Code" hidden="1">#REF!</definedName>
    <definedName name="CP" localSheetId="11" hidden="1">{"'Sheet1'!$L$16"}</definedName>
    <definedName name="CP" localSheetId="5" hidden="1">{"'Sheet1'!$L$16"}</definedName>
    <definedName name="CP" localSheetId="6" hidden="1">{"'Sheet1'!$L$16"}</definedName>
    <definedName name="CP" hidden="1">{"'Sheet1'!$L$16"}</definedName>
    <definedName name="CT" localSheetId="11" hidden="1">{#N/A,#N/A,TRUE,"BT M200 da 10x20"}</definedName>
    <definedName name="CT" localSheetId="6" hidden="1">{#N/A,#N/A,TRUE,"BT M200 da 10x20"}</definedName>
    <definedName name="CT" hidden="1">{#N/A,#N/A,TRUE,"BT M200 da 10x20"}</definedName>
    <definedName name="d" localSheetId="5" hidden="1">#REF!</definedName>
    <definedName name="d" hidden="1">#REF!</definedName>
    <definedName name="da" localSheetId="11" hidden="1">{"'Sheet1'!$L$16"}</definedName>
    <definedName name="da" localSheetId="6" hidden="1">{"'Sheet1'!$L$16"}</definedName>
    <definedName name="da" hidden="1">{"'Sheet1'!$L$16"}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d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d" localSheetId="11" hidden="1">{"'Sheet1'!$L$16"}</definedName>
    <definedName name="ddd" localSheetId="6" hidden="1">{"'Sheet1'!$L$16"}</definedName>
    <definedName name="ddd" hidden="1">{"'Sheet1'!$L$16"}</definedName>
    <definedName name="DenDK" localSheetId="11" hidden="1">{"'Sheet1'!$L$16"}</definedName>
    <definedName name="DenDK" localSheetId="5" hidden="1">{"'Sheet1'!$L$16"}</definedName>
    <definedName name="DenDK" localSheetId="6" hidden="1">{"'Sheet1'!$L$16"}</definedName>
    <definedName name="DenDK" hidden="1">{"'Sheet1'!$L$16"}</definedName>
    <definedName name="deryhrfm" localSheetId="11" hidden="1">{"'Sheet1'!$L$16"}</definedName>
    <definedName name="deryhrfm" localSheetId="6" hidden="1">{"'Sheet1'!$L$16"}</definedName>
    <definedName name="deryhrfm" hidden="1">{"'Sheet1'!$L$16"}</definedName>
    <definedName name="df" localSheetId="5" hidden="1">#REF!</definedName>
    <definedName name="df" hidden="1">#REF!</definedName>
    <definedName name="dfdsfsdfds" localSheetId="11" hidden="1">{"HK PR",#N/A,FALSE,"HK";"SUMMARY",#N/A,FALSE,"PAYROLL";"SUMMARY",#N/A,FALSE,"PAYROLL";"HK PR",#N/A,FALSE,"HK"}</definedName>
    <definedName name="dfdsfsdfds" localSheetId="5" hidden="1">{"HK PR",#N/A,FALSE,"HK";"SUMMARY",#N/A,FALSE,"PAYROLL";"SUMMARY",#N/A,FALSE,"PAYROLL";"HK PR",#N/A,FALSE,"HK"}</definedName>
    <definedName name="dfdsfsdfds" localSheetId="6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sd" localSheetId="11" hidden="1">{"HK PR",#N/A,FALSE,"HK";"SUMMARY",#N/A,FALSE,"PAYROLL";"SUMMARY",#N/A,FALSE,"PAYROLL";"HK PR",#N/A,FALSE,"HK"}</definedName>
    <definedName name="dfsd" localSheetId="5" hidden="1">{"HK PR",#N/A,FALSE,"HK";"SUMMARY",#N/A,FALSE,"PAYROLL";"SUMMARY",#N/A,FALSE,"PAYROLL";"HK PR",#N/A,FALSE,"HK"}</definedName>
    <definedName name="dfsd" localSheetId="6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localSheetId="11" hidden="1">{"HK PR",#N/A,FALSE,"HK";"SUMMARY",#N/A,FALSE,"PAYROLL";"SUMMARY",#N/A,FALSE,"PAYROLL";"HK PR",#N/A,FALSE,"HK"}</definedName>
    <definedName name="dfsdfsdf" localSheetId="5" hidden="1">{"HK PR",#N/A,FALSE,"HK";"SUMMARY",#N/A,FALSE,"PAYROLL";"SUMMARY",#N/A,FALSE,"PAYROLL";"HK PR",#N/A,FALSE,"HK"}</definedName>
    <definedName name="dfsdfsdf" localSheetId="6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11" hidden="1">{"HK PR",#N/A,FALSE,"HK";"SUMMARY",#N/A,FALSE,"PAYROLL";"SUMMARY",#N/A,FALSE,"PAYROLL";"HK PR",#N/A,FALSE,"HK"}</definedName>
    <definedName name="dfsdsd" localSheetId="5" hidden="1">{"HK PR",#N/A,FALSE,"HK";"SUMMARY",#N/A,FALSE,"PAYROLL";"SUMMARY",#N/A,FALSE,"PAYROLL";"HK PR",#N/A,FALSE,"HK"}</definedName>
    <definedName name="dfsdsd" localSheetId="6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FDGJEROYTMHTRH" localSheetId="11" hidden="1">{#N/A,#N/A,TRUE,"BT M200 da 10x20"}</definedName>
    <definedName name="DGFDGJEROYTMHTRH" localSheetId="6" hidden="1">{#N/A,#N/A,TRUE,"BT M200 da 10x20"}</definedName>
    <definedName name="DGFDGJEROYTMHTRH" hidden="1">{#N/A,#N/A,TRUE,"BT M200 da 10x20"}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jt" localSheetId="11" hidden="1">{"'Sheet1'!$L$16"}</definedName>
    <definedName name="djt" localSheetId="6" hidden="1">{"'Sheet1'!$L$16"}</definedName>
    <definedName name="djt" hidden="1">{"'Sheet1'!$L$16"}</definedName>
    <definedName name="DN" hidden="1">#REF!</definedName>
    <definedName name="ds\" hidden="1">#REF!</definedName>
    <definedName name="dsad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ovd" localSheetId="11" hidden="1">{"'Sheet1'!$L$16"}</definedName>
    <definedName name="dsovd" localSheetId="5" hidden="1">{"'Sheet1'!$L$16"}</definedName>
    <definedName name="dsovd" localSheetId="6" hidden="1">{"'Sheet1'!$L$16"}</definedName>
    <definedName name="dsovd" hidden="1">{"'Sheet1'!$L$16"}</definedName>
    <definedName name="DWPRICE" localSheetId="6" hidden="1">#REF!</definedName>
    <definedName name="DWPRICE" hidden="1">#REF!</definedName>
    <definedName name="eee" localSheetId="11" hidden="1">{"revsale",#N/A,FALSE,"REV-ยุพดี"}</definedName>
    <definedName name="eee" hidden="1">{"revsale",#N/A,FALSE,"REV-ยุพดี"}</definedName>
    <definedName name="EVOLUTION_DES_ROI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f" localSheetId="11" hidden="1">{"index",#N/A,FALSE,"INDEX"}</definedName>
    <definedName name="f" hidden="1">{"index",#N/A,FALSE,"INDEX"}</definedName>
    <definedName name="FCode" localSheetId="5" hidden="1">#REF!</definedName>
    <definedName name="FCode" hidden="1">#REF!</definedName>
    <definedName name="fdfdf" localSheetId="11" hidden="1">{"HK PR",#N/A,FALSE,"HK";"SUMMARY",#N/A,FALSE,"PAYROLL";"SUMMARY",#N/A,FALSE,"PAYROLL";"HK PR",#N/A,FALSE,"HK"}</definedName>
    <definedName name="fdfdf" localSheetId="5" hidden="1">{"HK PR",#N/A,FALSE,"HK";"SUMMARY",#N/A,FALSE,"PAYROLL";"SUMMARY",#N/A,FALSE,"PAYROLL";"HK PR",#N/A,FALSE,"HK"}</definedName>
    <definedName name="fdfdf" localSheetId="6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f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ff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afg" hidden="1">#REF!</definedName>
    <definedName name="fgfgfgfg" localSheetId="5" hidden="1">#REF!</definedName>
    <definedName name="fgfgfgfg" hidden="1">#REF!</definedName>
    <definedName name="fggdfg" localSheetId="11" hidden="1">{"HK PR",#N/A,FALSE,"HK";"SUMMARY",#N/A,FALSE,"PAYROLL";"SUMMARY",#N/A,FALSE,"PAYROLL";"HK PR",#N/A,FALSE,"HK"}</definedName>
    <definedName name="fggdfg" localSheetId="5" hidden="1">{"HK PR",#N/A,FALSE,"HK";"SUMMARY",#N/A,FALSE,"PAYROLL";"SUMMARY",#N/A,FALSE,"PAYROLL";"HK PR",#N/A,FALSE,"HK"}</definedName>
    <definedName name="fggdfg" localSheetId="6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iCo" hidden="1">#REF!</definedName>
    <definedName name="FOREVER" localSheetId="11" hidden="1">{#N/A,#N/A,FALSE,"Chi tiÆt"}</definedName>
    <definedName name="FOREVER" localSheetId="5" hidden="1">{#N/A,#N/A,FALSE,"Chi tiÆt"}</definedName>
    <definedName name="FOREVER" localSheetId="6" hidden="1">{#N/A,#N/A,FALSE,"Chi tiÆt"}</definedName>
    <definedName name="FOREVER" hidden="1">{#N/A,#N/A,FALSE,"Chi tiÆt"}</definedName>
    <definedName name="fre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localSheetId="11" hidden="1">{"HK PR",#N/A,FALSE,"HK";"SUMMARY",#N/A,FALSE,"PAYROLL";"SUMMARY",#N/A,FALSE,"PAYROLL";"HK PR",#N/A,FALSE,"HK"}</definedName>
    <definedName name="fsdfdsf" localSheetId="5" hidden="1">{"HK PR",#N/A,FALSE,"HK";"SUMMARY",#N/A,FALSE,"PAYROLL";"SUMMARY",#N/A,FALSE,"PAYROLL";"HK PR",#N/A,FALSE,"HK"}</definedName>
    <definedName name="fsdfdsf" localSheetId="6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g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gg" localSheetId="11" hidden="1">{"index",#N/A,FALSE,"INDEX"}</definedName>
    <definedName name="ggg" hidden="1">{"index",#N/A,FALSE,"INDEX"}</definedName>
    <definedName name="ghdfgdf" localSheetId="11" hidden="1">{"HK PR",#N/A,FALSE,"HK";"SUMMARY",#N/A,FALSE,"PAYROLL";"SUMMARY",#N/A,FALSE,"PAYROLL";"HK PR",#N/A,FALSE,"HK"}</definedName>
    <definedName name="ghdfgdf" localSheetId="5" hidden="1">{"HK PR",#N/A,FALSE,"HK";"SUMMARY",#N/A,FALSE,"PAYROLL";"SUMMARY",#N/A,FALSE,"PAYROLL";"HK PR",#N/A,FALSE,"HK"}</definedName>
    <definedName name="ghdfgdf" localSheetId="6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F" localSheetId="11" hidden="1">{#N/A,#N/A,FALSE,"sum";#N/A,#N/A,FALSE,"MARTV";#N/A,#N/A,FALSE,"APRTV"}</definedName>
    <definedName name="GHF" localSheetId="6" hidden="1">{#N/A,#N/A,FALSE,"sum";#N/A,#N/A,FALSE,"MARTV";#N/A,#N/A,FALSE,"APRTV"}</definedName>
    <definedName name="GHF" hidden="1">{#N/A,#N/A,FALSE,"sum";#N/A,#N/A,FALSE,"MARTV";#N/A,#N/A,FALSE,"APRTV"}</definedName>
    <definedName name="GJVIF" localSheetId="11" hidden="1">{"Profit",#N/A,FALSE,"4500(12)";"Capital",#N/A,FALSE,"4500(12)";"Profit",#N/A,FALSE,"Cisco4000";"Capital",#N/A,FALSE,"Cisco4000"}</definedName>
    <definedName name="GJVIF" localSheetId="6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nfg" localSheetId="11" hidden="1">{"HK PR",#N/A,FALSE,"HK";"SUMMARY",#N/A,FALSE,"PAYROLL";"SUMMARY",#N/A,FALSE,"PAYROLL";"HK PR",#N/A,FALSE,"HK"}</definedName>
    <definedName name="gnfg" localSheetId="5" hidden="1">{"HK PR",#N/A,FALSE,"HK";"SUMMARY",#N/A,FALSE,"PAYROLL";"SUMMARY",#N/A,FALSE,"PAYROLL";"HK PR",#N/A,FALSE,"HK"}</definedName>
    <definedName name="gnfg" localSheetId="6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TM" localSheetId="11" hidden="1">{"'Sheet1'!$L$16"}</definedName>
    <definedName name="GTM" localSheetId="5" hidden="1">{"'Sheet1'!$L$16"}</definedName>
    <definedName name="GTM" localSheetId="6" hidden="1">{"'Sheet1'!$L$16"}</definedName>
    <definedName name="GTM" hidden="1">{"'Sheet1'!$L$16"}</definedName>
    <definedName name="h" localSheetId="11" hidden="1">{"'Sheet1'!$L$16"}</definedName>
    <definedName name="h" localSheetId="6" hidden="1">{"'Sheet1'!$L$16"}</definedName>
    <definedName name="h" hidden="1">{"'Sheet1'!$L$16"}</definedName>
    <definedName name="ha" localSheetId="11" hidden="1">{"Reader",#N/A,FALSE,"Summary";"Reader",#N/A,FALSE,"Buildup";"Reader",#N/A,FALSE,"Financials";"Reader",#N/A,FALSE,"Debt &amp; Other"}</definedName>
    <definedName name="ha" localSheetId="5" hidden="1">{"Reader",#N/A,FALSE,"Summary";"Reader",#N/A,FALSE,"Buildup";"Reader",#N/A,FALSE,"Financials";"Reader",#N/A,FALSE,"Debt &amp; Other"}</definedName>
    <definedName name="ha" localSheetId="6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nh" localSheetId="11" hidden="1">{"'Sheet1'!$L$16"}</definedName>
    <definedName name="hanh" localSheetId="6" hidden="1">{"'Sheet1'!$L$16"}</definedName>
    <definedName name="hanh" hidden="1">{"'Sheet1'!$L$16"}</definedName>
    <definedName name="hbbbbbb" localSheetId="11" hidden="1">{"'Sheet1'!$L$16"}</definedName>
    <definedName name="hbbbbbb" localSheetId="5" hidden="1">{"'Sheet1'!$L$16"}</definedName>
    <definedName name="hbbbbbb" localSheetId="6" hidden="1">{"'Sheet1'!$L$16"}</definedName>
    <definedName name="hbbbbbb" hidden="1">{"'Sheet1'!$L$16"}</definedName>
    <definedName name="hfgdas" hidden="1">#REF!</definedName>
    <definedName name="hghghg" localSheetId="11" hidden="1">{"HK PR",#N/A,FALSE,"HK";"SUMMARY",#N/A,FALSE,"PAYROLL";"SUMMARY",#N/A,FALSE,"PAYROLL";"HK PR",#N/A,FALSE,"HK"}</definedName>
    <definedName name="hghghg" localSheetId="5" hidden="1">{"HK PR",#N/A,FALSE,"HK";"SUMMARY",#N/A,FALSE,"PAYROLL";"SUMMARY",#N/A,FALSE,"PAYROLL";"HK PR",#N/A,FALSE,"HK"}</definedName>
    <definedName name="hghghg" localSheetId="6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11" hidden="1">{"'Sheet1'!$L$16"}</definedName>
    <definedName name="hghghghg" localSheetId="5" hidden="1">{"'Sheet1'!$L$16"}</definedName>
    <definedName name="hghghghg" localSheetId="6" hidden="1">{"'Sheet1'!$L$16"}</definedName>
    <definedName name="hghghghg" hidden="1">{"'Sheet1'!$L$16"}</definedName>
    <definedName name="hh" localSheetId="11" hidden="1">{"'Sheet1'!$L$16"}</definedName>
    <definedName name="hh" localSheetId="6" hidden="1">{"'Sheet1'!$L$16"}</definedName>
    <definedName name="hh" hidden="1">{"'Sheet1'!$L$16"}</definedName>
    <definedName name="hhh" localSheetId="11" hidden="1">{"'Sheet1'!$L$16"}</definedName>
    <definedName name="hhh" localSheetId="5" hidden="1">{"'Sheet1'!$L$16"}</definedName>
    <definedName name="hhh" localSheetId="6" hidden="1">{"'Sheet1'!$L$16"}</definedName>
    <definedName name="hhh" hidden="1">{"'Sheet1'!$L$16"}</definedName>
    <definedName name="hhhh" localSheetId="11" hidden="1">{"'Sheet1'!$L$16"}</definedName>
    <definedName name="hhhh" localSheetId="5" hidden="1">{"'Sheet1'!$L$16"}</definedName>
    <definedName name="hhhh" localSheetId="6" hidden="1">{"'Sheet1'!$L$16"}</definedName>
    <definedName name="hhhh" hidden="1">{"'Sheet1'!$L$16"}</definedName>
    <definedName name="hhhhh" localSheetId="11" hidden="1">{"'Sheet1'!$L$16"}</definedName>
    <definedName name="hhhhh" localSheetId="5" hidden="1">{"'Sheet1'!$L$16"}</definedName>
    <definedName name="hhhhh" localSheetId="6" hidden="1">{"'Sheet1'!$L$16"}</definedName>
    <definedName name="hhhhh" hidden="1">{"'Sheet1'!$L$16"}</definedName>
    <definedName name="hhhhhh" localSheetId="11" hidden="1">{"'Sheet1'!$L$16"}</definedName>
    <definedName name="hhhhhh" localSheetId="5" hidden="1">{"'Sheet1'!$L$16"}</definedName>
    <definedName name="hhhhhh" localSheetId="6" hidden="1">{"'Sheet1'!$L$16"}</definedName>
    <definedName name="hhhhhh" hidden="1">{"'Sheet1'!$L$16"}</definedName>
    <definedName name="HiddenRows" localSheetId="5" hidden="1">#REF!</definedName>
    <definedName name="HiddenRows" hidden="1">#REF!</definedName>
    <definedName name="HIEU" localSheetId="11" hidden="1">{"'Sheet1'!$L$16"}</definedName>
    <definedName name="HIEU" localSheetId="5" hidden="1">{"'Sheet1'!$L$16"}</definedName>
    <definedName name="HIEU" localSheetId="6" hidden="1">{"'Sheet1'!$L$16"}</definedName>
    <definedName name="HIEU" hidden="1">{"'Sheet1'!$L$16"}</definedName>
    <definedName name="hjjkl" localSheetId="11" hidden="1">{"'Sheet1'!$L$16"}</definedName>
    <definedName name="hjjkl" localSheetId="6" hidden="1">{"'Sheet1'!$L$16"}</definedName>
    <definedName name="hjjkl" hidden="1">{"'Sheet1'!$L$16"}</definedName>
    <definedName name="HK" localSheetId="11" hidden="1">{"Reader",#N/A,FALSE,"Summary";"Reader",#N/A,FALSE,"Buildup";"Reader",#N/A,FALSE,"Financials";"Reader",#N/A,FALSE,"Debt &amp; Other"}</definedName>
    <definedName name="HK" localSheetId="5" hidden="1">{"Reader",#N/A,FALSE,"Summary";"Reader",#N/A,FALSE,"Buildup";"Reader",#N/A,FALSE,"Financials";"Reader",#N/A,FALSE,"Debt &amp; Other"}</definedName>
    <definedName name="HK" localSheetId="6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11" hidden="1">{"Reader",#N/A,FALSE,"Summary";"Reader",#N/A,FALSE,"Buildup";"Reader",#N/A,FALSE,"Financials";"Reader",#N/A,FALSE,"Debt &amp; Other"}</definedName>
    <definedName name="hka" localSheetId="5" hidden="1">{"Reader",#N/A,FALSE,"Summary";"Reader",#N/A,FALSE,"Buildup";"Reader",#N/A,FALSE,"Financials";"Reader",#N/A,FALSE,"Debt &amp; Other"}</definedName>
    <definedName name="hka" localSheetId="6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localSheetId="11" hidden="1">{"Reader",#N/A,FALSE,"Summary";"Reader",#N/A,FALSE,"Buildup";"Reader",#N/A,FALSE,"Financials";"Reader",#N/A,FALSE,"Debt &amp; Other"}</definedName>
    <definedName name="hp" localSheetId="5" hidden="1">{"Reader",#N/A,FALSE,"Summary";"Reader",#N/A,FALSE,"Buildup";"Reader",#N/A,FALSE,"Financials";"Reader",#N/A,FALSE,"Debt &amp; Other"}</definedName>
    <definedName name="hp" localSheetId="6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localSheetId="11" hidden="1">{#N/A,#N/A,TRUE,"BT M200 da 10x20"}</definedName>
    <definedName name="htg" localSheetId="6" hidden="1">{#N/A,#N/A,TRUE,"BT M200 da 10x20"}</definedName>
    <definedName name="htg" hidden="1">{#N/A,#N/A,TRUE,"BT M200 da 10x20"}</definedName>
    <definedName name="html" localSheetId="11" hidden="1">{"'Sheet1'!$L$16"}</definedName>
    <definedName name="html" localSheetId="5" hidden="1">{"'Sheet1'!$L$16"}</definedName>
    <definedName name="html" localSheetId="6" hidden="1">{"'Sheet1'!$L$16"}</definedName>
    <definedName name="html" hidden="1">{"'Sheet1'!$L$16"}</definedName>
    <definedName name="HTML_CodePage" hidden="1">950</definedName>
    <definedName name="HTML_Control" localSheetId="11" hidden="1">{"'Sheet1'!$L$16"}</definedName>
    <definedName name="HTML_Control" localSheetId="5" hidden="1">{"'Sheet1'!$L$16"}</definedName>
    <definedName name="HTML_Control" localSheetId="6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localSheetId="6" hidden="1">"C:\2689\Q\國內\00q3961台化龍德PTA3建造\MyHTML.htm"</definedName>
    <definedName name="HTML_PathFile" hidden="1">"C:\2689\Q\??\00q3961????PTA3??\MyHTML.htm"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localSheetId="11" hidden="1">{"'Sheet1'!$L$16"}</definedName>
    <definedName name="htmll" localSheetId="5" hidden="1">{"'Sheet1'!$L$16"}</definedName>
    <definedName name="htmll" localSheetId="6" hidden="1">{"'Sheet1'!$L$16"}</definedName>
    <definedName name="htmll" hidden="1">{"'Sheet1'!$L$16"}</definedName>
    <definedName name="huong" localSheetId="11" hidden="1">{"HK PR",#N/A,FALSE,"HK";"SUMMARY",#N/A,FALSE,"PAYROLL";"SUMMARY",#N/A,FALSE,"PAYROLL";"HK PR",#N/A,FALSE,"HK"}</definedName>
    <definedName name="huong" localSheetId="5" hidden="1">{"HK PR",#N/A,FALSE,"HK";"SUMMARY",#N/A,FALSE,"PAYROLL";"SUMMARY",#N/A,FALSE,"PAYROLL";"HK PR",#N/A,FALSE,"HK"}</definedName>
    <definedName name="huong" localSheetId="6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11" hidden="1">{"HK PR",#N/A,FALSE,"HK";"SUMMARY",#N/A,FALSE,"PAYROLL";"SUMMARY",#N/A,FALSE,"PAYROLL";"HK PR",#N/A,FALSE,"HK"}</definedName>
    <definedName name="huongu" localSheetId="5" hidden="1">{"HK PR",#N/A,FALSE,"HK";"SUMMARY",#N/A,FALSE,"PAYROLL";"SUMMARY",#N/A,FALSE,"PAYROLL";"HK PR",#N/A,FALSE,"HK"}</definedName>
    <definedName name="huongu" localSheetId="6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localSheetId="11" hidden="1">{"'Sheet1'!$L$16"}</definedName>
    <definedName name="huy" localSheetId="5" hidden="1">{"'Sheet1'!$L$16"}</definedName>
    <definedName name="huy" localSheetId="6" hidden="1">{"'Sheet1'!$L$16"}</definedName>
    <definedName name="huy" hidden="1">{"'Sheet1'!$L$16"}</definedName>
    <definedName name="huyy" localSheetId="11" hidden="1">{"'Sheet1'!$L$16"}</definedName>
    <definedName name="huyy" localSheetId="5" hidden="1">{"'Sheet1'!$L$16"}</definedName>
    <definedName name="huyy" localSheetId="6" hidden="1">{"'Sheet1'!$L$16"}</definedName>
    <definedName name="huyy" hidden="1">{"'Sheet1'!$L$16"}</definedName>
    <definedName name="huyyy" localSheetId="11" hidden="1">{"'Sheet1'!$L$16"}</definedName>
    <definedName name="huyyy" localSheetId="5" hidden="1">{"'Sheet1'!$L$16"}</definedName>
    <definedName name="huyyy" localSheetId="6" hidden="1">{"'Sheet1'!$L$16"}</definedName>
    <definedName name="huyyy" hidden="1">{"'Sheet1'!$L$16"}</definedName>
    <definedName name="i" localSheetId="11" hidden="1">{"hilight3",#N/A,FALSE,"HILIGHT3"}</definedName>
    <definedName name="i" hidden="1">{"hilight3",#N/A,FALSE,"HILIGHT3"}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n" localSheetId="5" hidden="1">#REF!</definedName>
    <definedName name="in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11" hidden="1">{"HK PR",#N/A,FALSE,"HK";"SUMMARY",#N/A,FALSE,"PAYROLL";"SUMMARY",#N/A,FALSE,"PAYROLL";"HK PR",#N/A,FALSE,"HK"}</definedName>
    <definedName name="IS" localSheetId="5" hidden="1">{"HK PR",#N/A,FALSE,"HK";"SUMMARY",#N/A,FALSE,"PAYROLL";"SUMMARY",#N/A,FALSE,"PAYROLL";"HK PR",#N/A,FALSE,"HK"}</definedName>
    <definedName name="IS" localSheetId="6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localSheetId="11" hidden="1">{"'Sheet1'!$L$16"}</definedName>
    <definedName name="jjj" localSheetId="6" hidden="1">{"'Sheet1'!$L$16"}</definedName>
    <definedName name="jjj" hidden="1">{"'Sheet1'!$L$16"}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u" localSheetId="11" hidden="1">{"'Sheet1'!$L$16"}</definedName>
    <definedName name="ju" localSheetId="5" hidden="1">{"'Sheet1'!$L$16"}</definedName>
    <definedName name="ju" localSheetId="6" hidden="1">{"'Sheet1'!$L$16"}</definedName>
    <definedName name="ju" hidden="1">{"'Sheet1'!$L$16"}</definedName>
    <definedName name="K" localSheetId="11" hidden="1">{"'Sheet1'!$L$16"}</definedName>
    <definedName name="k" localSheetId="6" hidden="1">{"'Sheet1'!$L$16"}</definedName>
    <definedName name="K" hidden="1">{"'Sheet1'!$L$16"}</definedName>
    <definedName name="kk" hidden="1">#REF!</definedName>
    <definedName name="kkk" localSheetId="11" hidden="1">{"lev2monbt",#N/A,FALSE,"2_levmonB-T"}</definedName>
    <definedName name="kkk" hidden="1">{"lev2monbt",#N/A,FALSE,"2_levmonB-T"}</definedName>
    <definedName name="KU" localSheetId="11" hidden="1">{"'Sheet1'!$L$16"}</definedName>
    <definedName name="KU" localSheetId="5" hidden="1">{"'Sheet1'!$L$16"}</definedName>
    <definedName name="KU" localSheetId="6" hidden="1">{"'Sheet1'!$L$16"}</definedName>
    <definedName name="KU" hidden="1">{"'Sheet1'!$L$16"}</definedName>
    <definedName name="kyd.ChngCell.01." localSheetId="6" hidden="1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localSheetId="6" hidden="1">#REF!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" localSheetId="11" hidden="1">{"revable",#N/A,FALSE,"REVABLE"}</definedName>
    <definedName name="l" hidden="1">{"revable",#N/A,FALSE,"REVABLE"}</definedName>
    <definedName name="Lai" localSheetId="11" hidden="1">{"'Sheet1'!$L$16"}</definedName>
    <definedName name="Lai" localSheetId="5" hidden="1">{"'Sheet1'!$L$16"}</definedName>
    <definedName name="Lai" localSheetId="6" hidden="1">{"'Sheet1'!$L$16"}</definedName>
    <definedName name="Lai" hidden="1">{"'Sheet1'!$L$16"}</definedName>
    <definedName name="LAM" localSheetId="11" hidden="1">{#N/A,#N/A,TRUE,"BT M200 da 10x20"}</definedName>
    <definedName name="LAM" localSheetId="6" hidden="1">{#N/A,#N/A,TRUE,"BT M200 da 10x20"}</definedName>
    <definedName name="LAM" hidden="1">{#N/A,#N/A,TRUE,"BT M200 da 10x20"}</definedName>
    <definedName name="lan" localSheetId="11" hidden="1">{#N/A,#N/A,TRUE,"BT M200 da 10x20"}</definedName>
    <definedName name="lan" localSheetId="5" hidden="1">{#N/A,#N/A,TRUE,"BT M200 da 10x20"}</definedName>
    <definedName name="lan" localSheetId="6" hidden="1">{#N/A,#N/A,TRUE,"BT M200 da 10x20"}</definedName>
    <definedName name="lan" hidden="1">{#N/A,#N/A,TRUE,"BT M200 da 10x20"}</definedName>
    <definedName name="limcount" hidden="1">1</definedName>
    <definedName name="lll" localSheetId="11" hidden="1">{"sales",#N/A,FALSE,"SALES"}</definedName>
    <definedName name="lll" hidden="1">{"sales",#N/A,FALSE,"SALES"}</definedName>
    <definedName name="LLLL" localSheetId="11" hidden="1">{#N/A,#N/A,FALSE,"Chi tiÆt"}</definedName>
    <definedName name="LLLL" localSheetId="5" hidden="1">{#N/A,#N/A,FALSE,"Chi tiÆt"}</definedName>
    <definedName name="LLLL" localSheetId="6" hidden="1">{#N/A,#N/A,FALSE,"Chi tiÆt"}</definedName>
    <definedName name="LLLL" hidden="1">{#N/A,#N/A,FALSE,"Chi tiÆt"}</definedName>
    <definedName name="LLLLL" localSheetId="11" hidden="1">{#N/A,#N/A,FALSE,"Chi tiÆt"}</definedName>
    <definedName name="LLLLL" localSheetId="5" hidden="1">{#N/A,#N/A,FALSE,"Chi tiÆt"}</definedName>
    <definedName name="LLLLL" localSheetId="6" hidden="1">{#N/A,#N/A,FALSE,"Chi tiÆt"}</definedName>
    <definedName name="LLLLL" hidden="1">{#N/A,#N/A,FALSE,"Chi tiÆt"}</definedName>
    <definedName name="Loan" localSheetId="5" hidden="1">#REF!</definedName>
    <definedName name="Loan" hidden="1">#REF!</definedName>
    <definedName name="m" localSheetId="11" hidden="1">{"income",#N/A,FALSE,"INCOME"}</definedName>
    <definedName name="m" hidden="1">{"income",#N/A,FALSE,"INCOME"}</definedName>
    <definedName name="mco" localSheetId="11" hidden="1">{"'Sheet1'!$L$16"}</definedName>
    <definedName name="mco" localSheetId="5" hidden="1">{"'Sheet1'!$L$16"}</definedName>
    <definedName name="mco" localSheetId="6" hidden="1">{"'Sheet1'!$L$16"}</definedName>
    <definedName name="mco" hidden="1">{"'Sheet1'!$L$16"}</definedName>
    <definedName name="mg" localSheetId="11" hidden="1">{#N/A,#N/A,FALSE,"Chi tiÆt"}</definedName>
    <definedName name="mg" localSheetId="6" hidden="1">{#N/A,#N/A,FALSE,"Chi tiÆt"}</definedName>
    <definedName name="mg" hidden="1">{#N/A,#N/A,FALSE,"Chi tiÆt"}</definedName>
    <definedName name="mmm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m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oi" localSheetId="11" hidden="1">{"'Sheet1'!$L$16"}</definedName>
    <definedName name="moi" localSheetId="5" hidden="1">{"'Sheet1'!$L$16"}</definedName>
    <definedName name="moi" localSheetId="6" hidden="1">{"'Sheet1'!$L$16"}</definedName>
    <definedName name="moi" hidden="1">{"'Sheet1'!$L$16"}</definedName>
    <definedName name="monthly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ua" localSheetId="11" hidden="1">{"'Sheet1'!$L$16"}</definedName>
    <definedName name="mua" localSheetId="5" hidden="1">{"'Sheet1'!$L$16"}</definedName>
    <definedName name="mua" localSheetId="6" hidden="1">{"'Sheet1'!$L$16"}</definedName>
    <definedName name="mua" hidden="1">{"'Sheet1'!$L$16"}</definedName>
    <definedName name="n" localSheetId="11" hidden="1">{"F3 detail",#N/A,FALSE,"F1";"F3 Presentation",#N/A,FALSE,"F3 "}</definedName>
    <definedName name="N" localSheetId="6" hidden="1">{"'Sheet1'!$L$16"}</definedName>
    <definedName name="n" hidden="1">{"F3 detail",#N/A,FALSE,"F1";"F3 Presentation",#N/A,FALSE,"F3 "}</definedName>
    <definedName name="nn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PP" hidden="1">#REF!</definedName>
    <definedName name="nwe" localSheetId="11" hidden="1">{"'Sheet1'!$L$16"}</definedName>
    <definedName name="nwe" localSheetId="6" hidden="1">{"'Sheet1'!$L$16"}</definedName>
    <definedName name="nwe" hidden="1">{"'Sheet1'!$L$16"}</definedName>
    <definedName name="o" localSheetId="11" hidden="1">{"index",#N/A,FALSE,"INDEX"}</definedName>
    <definedName name="o" hidden="1">{"index",#N/A,FALSE,"INDEX"}</definedName>
    <definedName name="ooo" localSheetId="11" hidden="1">{"PRINT_EST",#N/A,FALSE,"ESTMON"}</definedName>
    <definedName name="ooo" hidden="1">{"PRINT_EST",#N/A,FALSE,"ESTMON"}</definedName>
    <definedName name="OrderTable" localSheetId="5" hidden="1">#REF!</definedName>
    <definedName name="OrderTable" hidden="1">#REF!</definedName>
    <definedName name="p" localSheetId="11" hidden="1">{"revsale",#N/A,FALSE,"REV-ยุพดี"}</definedName>
    <definedName name="p" hidden="1">{"revsale",#N/A,FALSE,"REV-ยุพดี"}</definedName>
    <definedName name="PC_msg" hidden="1">"Yes"</definedName>
    <definedName name="PHUONG" localSheetId="11" hidden="1">{#N/A,#N/A,TRUE,"BT M200 da 10x20"}</definedName>
    <definedName name="PHUONG" localSheetId="6" hidden="1">{#N/A,#N/A,TRUE,"BT M200 da 10x20"}</definedName>
    <definedName name="PHUONG" hidden="1">{#N/A,#N/A,TRUE,"BT M200 da 10x20"}</definedName>
    <definedName name="PKTN." localSheetId="11" hidden="1">{"'Sheet1'!$L$16"}</definedName>
    <definedName name="PKTN." localSheetId="5" hidden="1">{"'Sheet1'!$L$16"}</definedName>
    <definedName name="PKTN." localSheetId="6" hidden="1">{"'Sheet1'!$L$16"}</definedName>
    <definedName name="PKTN." hidden="1">{"'Sheet1'!$L$16"}</definedName>
    <definedName name="PKTNN" localSheetId="11" hidden="1">{"'Sheet1'!$L$16"}</definedName>
    <definedName name="PKTNN" localSheetId="6" hidden="1">{"'Sheet1'!$L$16"}</definedName>
    <definedName name="PKTNN" hidden="1">{"'Sheet1'!$L$16"}</definedName>
    <definedName name="PP" localSheetId="11" hidden="1">{"'Model'!$A$1:$N$53"}</definedName>
    <definedName name="PP" hidden="1">{"'Model'!$A$1:$N$53"}</definedName>
    <definedName name="ppp" localSheetId="11" hidden="1">{"revsale",#N/A,FALSE,"REV-ยุพดี"}</definedName>
    <definedName name="ppp" hidden="1">{"revsale",#N/A,FALSE,"REV-ยุพดี"}</definedName>
    <definedName name="_xlnm.Print_Titles" localSheetId="5">'LCTT_GT in'!$1:$7</definedName>
    <definedName name="_xlnm.Print_Titles" localSheetId="3">'THTC in'!$1:$6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q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eqe" localSheetId="11" hidden="1">{"'Sheet1'!$L$16"}</definedName>
    <definedName name="qeqe" localSheetId="6" hidden="1">{"'Sheet1'!$L$16"}</definedName>
    <definedName name="qeqe" hidden="1">{"'Sheet1'!$L$16"}</definedName>
    <definedName name="qqq" localSheetId="11" hidden="1">{"sales",#N/A,FALSE,"SALES"}</definedName>
    <definedName name="qqq" hidden="1">{"sales",#N/A,FALSE,"SALES"}</definedName>
    <definedName name="RCArea" localSheetId="5" hidden="1">#REF!</definedName>
    <definedName name="RCArea" hidden="1">#REF!</definedName>
    <definedName name="rfju" localSheetId="11" hidden="1">{"'Sheet1'!$L$16"}</definedName>
    <definedName name="rfju" localSheetId="6" hidden="1">{"'Sheet1'!$L$16"}</definedName>
    <definedName name="rfju" hidden="1">{"'Sheet1'!$L$16"}</definedName>
    <definedName name="rrr" localSheetId="11" hidden="1">{"lev2tytbt",#N/A,FALSE,"2_LEVYTDB-T"}</definedName>
    <definedName name="rrr" hidden="1">{"lev2tytbt",#N/A,FALSE,"2_LEVYTDB-T"}</definedName>
    <definedName name="rter" localSheetId="11" hidden="1">{#N/A,#N/A,FALSE,"sum";#N/A,#N/A,FALSE,"MARTV";#N/A,#N/A,FALSE,"APRTV"}</definedName>
    <definedName name="rter" localSheetId="6" hidden="1">{#N/A,#N/A,FALSE,"sum";#N/A,#N/A,FALSE,"MARTV";#N/A,#N/A,FALSE,"APRTV"}</definedName>
    <definedName name="rter" hidden="1">{#N/A,#N/A,FALSE,"sum";#N/A,#N/A,FALSE,"MARTV";#N/A,#N/A,FALSE,"APRTV"}</definedName>
    <definedName name="ru" localSheetId="11" hidden="1">{"'Sheet1'!$L$16"}</definedName>
    <definedName name="ru" localSheetId="6" hidden="1">{"'Sheet1'!$L$16"}</definedName>
    <definedName name="ru" hidden="1">{"'Sheet1'!$L$16"}</definedName>
    <definedName name="S" localSheetId="11" hidden="1">{"'Sheet1'!$L$16"}</definedName>
    <definedName name="S" localSheetId="6" hidden="1">{"'Sheet1'!$L$16"}</definedName>
    <definedName name="S" hidden="1">{"'Sheet1'!$L$16"}</definedName>
    <definedName name="sad" localSheetId="11" hidden="1">{0}</definedName>
    <definedName name="sad" localSheetId="5" hidden="1">{0}</definedName>
    <definedName name="sad" localSheetId="6" hidden="1">{0}</definedName>
    <definedName name="sad" hidden="1">{0}</definedName>
    <definedName name="SANG" localSheetId="11" hidden="1">{#N/A,#N/A,FALSE,"sum";#N/A,#N/A,FALSE,"MARTV";#N/A,#N/A,FALSE,"APRTV"}</definedName>
    <definedName name="SANG" localSheetId="6" hidden="1">{#N/A,#N/A,FALSE,"sum";#N/A,#N/A,FALSE,"MARTV";#N/A,#N/A,FALSE,"APRTV"}</definedName>
    <definedName name="SANG" hidden="1">{#N/A,#N/A,FALSE,"sum";#N/A,#N/A,FALSE,"MARTV";#N/A,#N/A,FALSE,"APRTV"}</definedName>
    <definedName name="SAPBEXrevision" hidden="1">3</definedName>
    <definedName name="SAPBEXsysID" hidden="1">"EPB"</definedName>
    <definedName name="SAPBEXwbID" hidden="1">"3UK6UXLZHQ3KXE93XFRP3AZAH"</definedName>
    <definedName name="SC" localSheetId="11" hidden="1">{"'Sheet1'!$L$16"}</definedName>
    <definedName name="SC" localSheetId="5" hidden="1">{"'Sheet1'!$L$16"}</definedName>
    <definedName name="SC" localSheetId="6" hidden="1">{"'Sheet1'!$L$16"}</definedName>
    <definedName name="SC" hidden="1">{"'Sheet1'!$L$16"}</definedName>
    <definedName name="sdadss" localSheetId="11" hidden="1">{"HK PR",#N/A,FALSE,"HK";"SUMMARY",#N/A,FALSE,"PAYROLL";"SUMMARY",#N/A,FALSE,"PAYROLL";"HK PR",#N/A,FALSE,"HK"}</definedName>
    <definedName name="sdadss" localSheetId="5" hidden="1">{"HK PR",#N/A,FALSE,"HK";"SUMMARY",#N/A,FALSE,"PAYROLL";"SUMMARY",#N/A,FALSE,"PAYROLL";"HK PR",#N/A,FALSE,"HK"}</definedName>
    <definedName name="sdadss" localSheetId="6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sdasd" localSheetId="11" hidden="1">{"HK PR",#N/A,FALSE,"HK";"SUMMARY",#N/A,FALSE,"PAYROLL";"SUMMARY",#N/A,FALSE,"PAYROLL";"HK PR",#N/A,FALSE,"HK"}</definedName>
    <definedName name="sdsdasd" localSheetId="5" hidden="1">{"HK PR",#N/A,FALSE,"HK";"SUMMARY",#N/A,FALSE,"PAYROLL";"SUMMARY",#N/A,FALSE,"PAYROLL";"HK PR",#N/A,FALSE,"HK"}</definedName>
    <definedName name="sdsdasd" localSheetId="6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11" hidden="1">{"HK PR",#N/A,FALSE,"HK";"SUMMARY",#N/A,FALSE,"PAYROLL";"SUMMARY",#N/A,FALSE,"PAYROLL";"HK PR",#N/A,FALSE,"HK"}</definedName>
    <definedName name="sdsds" localSheetId="5" hidden="1">{"HK PR",#N/A,FALSE,"HK";"SUMMARY",#N/A,FALSE,"PAYROLL";"SUMMARY",#N/A,FALSE,"PAYROLL";"HK PR",#N/A,FALSE,"HK"}</definedName>
    <definedName name="sdsds" localSheetId="6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ncount" hidden="1">1</definedName>
    <definedName name="sheet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L" localSheetId="11" hidden="1">{"Profit",#N/A,FALSE,"Cisco4500";"Capital",#N/A,FALSE,"Cisco4500"}</definedName>
    <definedName name="SL" localSheetId="6" hidden="1">{"Profit",#N/A,FALSE,"Cisco4500";"Capital",#N/A,FALSE,"Cisco4500"}</definedName>
    <definedName name="SL" hidden="1">{"Profit",#N/A,FALSE,"Cisco4500";"Capital",#N/A,FALSE,"Cisco4500"}</definedName>
    <definedName name="solver_adj" localSheetId="6" hidden="1">#REF!</definedName>
    <definedName name="solver_adj" hidden="1">#REF!</definedName>
    <definedName name="solver_lhs1" localSheetId="6" hidden="1">#REF!</definedName>
    <definedName name="solver_lhs1" hidden="1">#REF!</definedName>
    <definedName name="solver_lin" hidden="1">0</definedName>
    <definedName name="solver_num" hidden="1">1</definedName>
    <definedName name="solver_opt" localSheetId="6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localSheetId="5" hidden="1">#REF!</definedName>
    <definedName name="SpecialPrice" hidden="1">#REF!</definedName>
    <definedName name="srgsaergfsergaerg" localSheetId="11" hidden="1">{"month_a",#N/A,FALSE,"ACTUALS";"ytd_a",#N/A,FALSE,"ACTUALS"}</definedName>
    <definedName name="srgsaergfsergaerg" localSheetId="6" hidden="1">{"month_a",#N/A,FALSE,"ACTUALS";"ytd_a",#N/A,FALSE,"ACTUALS"}</definedName>
    <definedName name="srgsaergfsergaerg" hidden="1">{"month_a",#N/A,FALSE,"ACTUALS";"ytd_a",#N/A,FALSE,"ACTUALS"}</definedName>
    <definedName name="SS" localSheetId="11" hidden="1">{"'Sheet1'!$L$16"}</definedName>
    <definedName name="SS" localSheetId="5" hidden="1">{"'Sheet1'!$L$16"}</definedName>
    <definedName name="SS" localSheetId="6" hidden="1">{"'Sheet1'!$L$16"}</definedName>
    <definedName name="SS" hidden="1">{"'Sheet1'!$L$16"}</definedName>
    <definedName name="ssxsdcdsfcdsf" localSheetId="11" hidden="1">{"HK PR",#N/A,FALSE,"HK";"SUMMARY",#N/A,FALSE,"PAYROLL";"SUMMARY",#N/A,FALSE,"PAYROLL";"HK PR",#N/A,FALSE,"HK"}</definedName>
    <definedName name="ssxsdcdsfcdsf" localSheetId="5" hidden="1">{"HK PR",#N/A,FALSE,"HK";"SUMMARY",#N/A,FALSE,"PAYROLL";"SUMMARY",#N/A,FALSE,"PAYROLL";"HK PR",#N/A,FALSE,"HK"}</definedName>
    <definedName name="ssxsdcdsfcdsf" localSheetId="6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uperUser" hidden="1">FALSE</definedName>
    <definedName name="t" localSheetId="11" hidden="1">{"F3 Presentation",#N/A,FALSE,"F3 ";"F3 detail",#N/A,FALSE,"F3 "}</definedName>
    <definedName name="t" localSheetId="6" hidden="1">{"F3 Presentation",#N/A,FALSE,"F3 ";"F3 detail",#N/A,FALSE,"F3 "}</definedName>
    <definedName name="t" hidden="1">{"F3 Presentation",#N/A,FALSE,"F3 ";"F3 detail",#N/A,FALSE,"F3 "}</definedName>
    <definedName name="taisan" localSheetId="11" hidden="1">{"'Sheet1'!$L$16"}</definedName>
    <definedName name="taisan" localSheetId="6" hidden="1">{"'Sheet1'!$L$16"}</definedName>
    <definedName name="taisan" hidden="1">{"'Sheet1'!$L$16"}</definedName>
    <definedName name="Tan" localSheetId="11" hidden="1">{"'Sheet1'!$L$16"}</definedName>
    <definedName name="Tan" localSheetId="5" hidden="1">{"'Sheet1'!$L$16"}</definedName>
    <definedName name="Tan" localSheetId="6" hidden="1">{"'Sheet1'!$L$16"}</definedName>
    <definedName name="Tan" hidden="1">{"'Sheet1'!$L$16"}</definedName>
    <definedName name="tbl_ProdInfo" localSheetId="5" hidden="1">#REF!</definedName>
    <definedName name="tbl_ProdInfo" hidden="1">#REF!</definedName>
    <definedName name="TH" localSheetId="11" hidden="1">{"'Sheet1'!$L$16"}</definedName>
    <definedName name="TH" localSheetId="6" hidden="1">{"'Sheet1'!$L$16"}</definedName>
    <definedName name="TH" hidden="1">{"'Sheet1'!$L$16"}</definedName>
    <definedName name="tha" localSheetId="11" hidden="1">{"'Sheet1'!$L$16"}</definedName>
    <definedName name="tha" localSheetId="6" hidden="1">{"'Sheet1'!$L$16"}</definedName>
    <definedName name="tha" hidden="1">{"'Sheet1'!$L$16"}</definedName>
    <definedName name="thanh" localSheetId="11" hidden="1">{"'Sheet1'!$L$16"}</definedName>
    <definedName name="thanh" localSheetId="6" hidden="1">{"'Sheet1'!$L$16"}</definedName>
    <definedName name="thanh" hidden="1">{"'Sheet1'!$L$16"}</definedName>
    <definedName name="thanhthao" localSheetId="11" hidden="1">{#N/A,#N/A,FALSE,"Chi tiÆt"}</definedName>
    <definedName name="thanhthao" localSheetId="6" hidden="1">{#N/A,#N/A,FALSE,"Chi tiÆt"}</definedName>
    <definedName name="thanhthao" hidden="1">{#N/A,#N/A,FALSE,"Chi tiÆt"}</definedName>
    <definedName name="THCP2" localSheetId="11" hidden="1">{"'Sheet1'!$L$16"}</definedName>
    <definedName name="THCP2" localSheetId="5" hidden="1">{"'Sheet1'!$L$16"}</definedName>
    <definedName name="THCP2" localSheetId="6" hidden="1">{"'Sheet1'!$L$16"}</definedName>
    <definedName name="THCP2" hidden="1">{"'Sheet1'!$L$16"}</definedName>
    <definedName name="THCPCTD" localSheetId="11" hidden="1">{"'Sheet1'!$L$16"}</definedName>
    <definedName name="THCPCTD" localSheetId="5" hidden="1">{"'Sheet1'!$L$16"}</definedName>
    <definedName name="THCPCTD" localSheetId="6" hidden="1">{"'Sheet1'!$L$16"}</definedName>
    <definedName name="THCPCTD" hidden="1">{"'Sheet1'!$L$16"}</definedName>
    <definedName name="Thepsan" localSheetId="11" hidden="1">{"'Sheet1'!$L$16"}</definedName>
    <definedName name="Thepsan" localSheetId="6" hidden="1">{"'Sheet1'!$L$16"}</definedName>
    <definedName name="Thepsan" hidden="1">{"'Sheet1'!$L$16"}</definedName>
    <definedName name="thepsan2" localSheetId="11" hidden="1">{"'Sheet1'!$L$16"}</definedName>
    <definedName name="thepsan2" localSheetId="6" hidden="1">{"'Sheet1'!$L$16"}</definedName>
    <definedName name="thepsan2" hidden="1">{"'Sheet1'!$L$16"}</definedName>
    <definedName name="thu" localSheetId="11" hidden="1">{"'Sheet1'!$L$16"}</definedName>
    <definedName name="thu" localSheetId="5" hidden="1">{"'Sheet1'!$L$16"}</definedName>
    <definedName name="thu" localSheetId="6" hidden="1">{"'Sheet1'!$L$16"}</definedName>
    <definedName name="thu" hidden="1">{"'Sheet1'!$L$16"}</definedName>
    <definedName name="TM" localSheetId="11" hidden="1">{"'Sheet1'!$L$16"}</definedName>
    <definedName name="TM" localSheetId="6" hidden="1">{"'Sheet1'!$L$16"}</definedName>
    <definedName name="TM" hidden="1">{"'Sheet1'!$L$16"}</definedName>
    <definedName name="Tonghop" localSheetId="11" hidden="1">{"'Sheet1'!$L$16"}</definedName>
    <definedName name="Tonghop" localSheetId="5" hidden="1">{"'Sheet1'!$L$16"}</definedName>
    <definedName name="Tonghop" localSheetId="6" hidden="1">{"'Sheet1'!$L$16"}</definedName>
    <definedName name="Tonghop" hidden="1">{"'Sheet1'!$L$16"}</definedName>
    <definedName name="trygmdgdh" localSheetId="11" hidden="1">{"'Sheet1'!$L$16"}</definedName>
    <definedName name="trygmdgdh" localSheetId="6" hidden="1">{"'Sheet1'!$L$16"}</definedName>
    <definedName name="trygmdgdh" hidden="1">{"'Sheet1'!$L$16"}</definedName>
    <definedName name="TTSC" localSheetId="11" hidden="1">{"'Sheet1'!$L$16"}</definedName>
    <definedName name="TTSC" localSheetId="5" hidden="1">{"'Sheet1'!$L$16"}</definedName>
    <definedName name="TTSC" localSheetId="6" hidden="1">{"'Sheet1'!$L$16"}</definedName>
    <definedName name="TTSC" hidden="1">{"'Sheet1'!$L$16"}</definedName>
    <definedName name="ttt" localSheetId="11" hidden="1">{"Teacher",#N/A,FALSE,"Summary";"Teacher",#N/A,FALSE,"Assumptions";"Teacher",#N/A,FALSE,"Buildup";"Teacher",#N/A,FALSE,"Financials";"Teacher",#N/A,FALSE,"Debt &amp; Other"}</definedName>
    <definedName name="ttt" localSheetId="5" hidden="1">{"Teacher",#N/A,FALSE,"Summary";"Teacher",#N/A,FALSE,"Assumptions";"Teacher",#N/A,FALSE,"Buildup";"Teacher",#N/A,FALSE,"Financials";"Teacher",#N/A,FALSE,"Debt &amp; Other"}</definedName>
    <definedName name="ttt" localSheetId="6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t" localSheetId="5" hidden="1">#REF!</definedName>
    <definedName name="tttt" hidden="1">#REF!</definedName>
    <definedName name="ttttt" localSheetId="11" hidden="1">{"Reader",#N/A,FALSE,"Summary";"Reader",#N/A,FALSE,"Buildup";"Reader",#N/A,FALSE,"Financials";"Reader",#N/A,FALSE,"Debt &amp; Other"}</definedName>
    <definedName name="ttttt" localSheetId="5" hidden="1">{"Reader",#N/A,FALSE,"Summary";"Reader",#N/A,FALSE,"Buildup";"Reader",#N/A,FALSE,"Financials";"Reader",#N/A,FALSE,"Debt &amp; Other"}</definedName>
    <definedName name="ttttt" localSheetId="6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y" localSheetId="11" hidden="1">{"'Sheet1'!$L$16"}</definedName>
    <definedName name="tuy" localSheetId="5" hidden="1">{"'Sheet1'!$L$16"}</definedName>
    <definedName name="tuy" localSheetId="6" hidden="1">{"'Sheet1'!$L$16"}</definedName>
    <definedName name="tuy" hidden="1">{"'Sheet1'!$L$16"}</definedName>
    <definedName name="ty" hidden="1">#REF!</definedName>
    <definedName name="Types" localSheetId="5" hidden="1">#REF!</definedName>
    <definedName name="Types" hidden="1">#REF!</definedName>
    <definedName name="u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GVG" localSheetId="11" hidden="1">{#N/A,#N/A,TRUE,"BT M200 da 10x20"}</definedName>
    <definedName name="UGVG" localSheetId="6" hidden="1">{#N/A,#N/A,TRUE,"BT M200 da 10x20"}</definedName>
    <definedName name="UGVG" hidden="1">{#N/A,#N/A,TRUE,"BT M200 da 10x20"}</definedName>
    <definedName name="vvv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vvv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" localSheetId="11" hidden="1">{"PRINT_EST",#N/A,FALSE,"ESTMON"}</definedName>
    <definedName name="w" hidden="1">{"PRINT_EST",#N/A,FALSE,"ESTMON"}</definedName>
    <definedName name="wf" localSheetId="6" hidden="1">#REF!</definedName>
    <definedName name="wf" hidden="1">#REF!</definedName>
    <definedName name="wrn" localSheetId="11" hidden="1">{"lev2ytd",#N/A,FALSE,"2_LEVYTD"}</definedName>
    <definedName name="wrn" hidden="1">{"lev2ytd",#N/A,FALSE,"2_LEVYTD"}</definedName>
    <definedName name="wrn.1_lev." localSheetId="11" hidden="1">{"level1",#N/A,FALSE,"1_LEV";"LEVEL1",#N/A,FALSE,"1_LEV"}</definedName>
    <definedName name="wrn.1_lev." hidden="1">{"level1",#N/A,FALSE,"1_LEV";"LEVEL1",#N/A,FALSE,"1_LEV"}</definedName>
    <definedName name="wrn.1_levbt." localSheetId="11" hidden="1">{"lev1bt",#N/A,FALSE,"1_LEVB-T"}</definedName>
    <definedName name="wrn.1_levbt." hidden="1">{"lev1bt",#N/A,FALSE,"1_LEVB-T"}</definedName>
    <definedName name="wrn.2_levmon." localSheetId="11" hidden="1">{"lev2mon",#N/A,FALSE,"2_levmon"}</definedName>
    <definedName name="wrn.2_levmon." hidden="1">{"lev2mon",#N/A,FALSE,"2_levmon"}</definedName>
    <definedName name="wrn.2_levmonbt." localSheetId="11" hidden="1">{"lev2monbt",#N/A,FALSE,"2_levmonB-T"}</definedName>
    <definedName name="wrn.2_levmonbt." hidden="1">{"lev2monbt",#N/A,FALSE,"2_levmonB-T"}</definedName>
    <definedName name="wrn.2_levytd." localSheetId="11" hidden="1">{"lev2ytd",#N/A,FALSE,"2_LEVYTD"}</definedName>
    <definedName name="wrn.2_levytd." hidden="1">{"lev2ytd",#N/A,FALSE,"2_LEVYTD"}</definedName>
    <definedName name="wrn.2_levytdbt." localSheetId="11" hidden="1">{"lev2tytbt",#N/A,FALSE,"2_LEVYTDB-T"}</definedName>
    <definedName name="wrn.2_levytdbt." hidden="1">{"lev2tytbt",#N/A,FALSE,"2_LEVYTDB-T"}</definedName>
    <definedName name="wrn.448k." localSheetId="11" hidden="1">{"Profit",#N/A,FALSE,"448k";"Capital",#N/A,FALSE,"448k"}</definedName>
    <definedName name="wrn.448k." localSheetId="6" hidden="1">{"Profit",#N/A,FALSE,"448k";"Capital",#N/A,FALSE,"448k"}</definedName>
    <definedName name="wrn.448k." hidden="1">{"Profit",#N/A,FALSE,"448k";"Capital",#N/A,FALSE,"448k"}</definedName>
    <definedName name="wrn.4500_4P." localSheetId="11" hidden="1">{"Profit",#N/A,FALSE,"4500(4P)";"Capital",#N/A,FALSE,"4500(4P)"}</definedName>
    <definedName name="wrn.4500_4P." localSheetId="6" hidden="1">{"Profit",#N/A,FALSE,"4500(4P)";"Capital",#N/A,FALSE,"4500(4P)"}</definedName>
    <definedName name="wrn.4500_4P." hidden="1">{"Profit",#N/A,FALSE,"4500(4P)";"Capital",#N/A,FALSE,"4500(4P)"}</definedName>
    <definedName name="wrn.4500_6P." localSheetId="11" hidden="1">{"Profit",#N/A,FALSE,"4500(6P)";"Capital",#N/A,FALSE,"4500(6P)"}</definedName>
    <definedName name="wrn.4500_6P." localSheetId="6" hidden="1">{"Profit",#N/A,FALSE,"4500(6P)";"Capital",#N/A,FALSE,"4500(6P)"}</definedName>
    <definedName name="wrn.4500_6P." hidden="1">{"Profit",#N/A,FALSE,"4500(6P)";"Capital",#N/A,FALSE,"4500(6P)"}</definedName>
    <definedName name="wrn.4500_8P." localSheetId="11" hidden="1">{"Profit",#N/A,FALSE,"4500(8P)";"Capital",#N/A,FALSE,"4500(8P)"}</definedName>
    <definedName name="wrn.4500_8P." localSheetId="6" hidden="1">{"Profit",#N/A,FALSE,"4500(8P)";"Capital",#N/A,FALSE,"4500(8P)"}</definedName>
    <definedName name="wrn.4500_8P." hidden="1">{"Profit",#N/A,FALSE,"4500(8P)";"Capital",#N/A,FALSE,"4500(8P)"}</definedName>
    <definedName name="wrn.ACCRUE._.PAYROLL." localSheetId="11" hidden="1">{"HK PR",#N/A,FALSE,"HK";"SUMMARY",#N/A,FALSE,"PAYROLL";"SUMMARY",#N/A,FALSE,"PAYROLL";"HK PR",#N/A,FALSE,"HK"}</definedName>
    <definedName name="wrn.ACCRUE._.PAYROLL." localSheetId="5" hidden="1">{"HK PR",#N/A,FALSE,"HK";"SUMMARY",#N/A,FALSE,"PAYROLL";"SUMMARY",#N/A,FALSE,"PAYROLL";"HK PR",#N/A,FALSE,"HK"}</definedName>
    <definedName name="wrn.ACCRUE._.PAYROLL." localSheetId="6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11" hidden="1">{"Acq_matrix",#N/A,FALSE,"Acquisition Matrix"}</definedName>
    <definedName name="wrn.Acquisition_matrix." localSheetId="5" hidden="1">{"Acq_matrix",#N/A,FALSE,"Acquisition Matrix"}</definedName>
    <definedName name="wrn.Acquisition_matrix." localSheetId="6" hidden="1">{"Acq_matrix",#N/A,FALSE,"Acquisition Matrix"}</definedName>
    <definedName name="wrn.Acquisition_matrix." hidden="1">{"Acq_matrix",#N/A,FALSE,"Acquisition Matrix"}</definedName>
    <definedName name="wrn.adj95." localSheetId="11" hidden="1">{"adj95mult",#N/A,FALSE,"COMPCO";"adj95est",#N/A,FALSE,"COMPCO"}</definedName>
    <definedName name="wrn.adj95." localSheetId="5" hidden="1">{"adj95mult",#N/A,FALSE,"COMPCO";"adj95est",#N/A,FALSE,"COMPCO"}</definedName>
    <definedName name="wrn.adj95." localSheetId="6" hidden="1">{"adj95mult",#N/A,FALSE,"COMPCO";"adj95est",#N/A,FALSE,"COMPCO"}</definedName>
    <definedName name="wrn.adj95." hidden="1">{"adj95mult",#N/A,FALSE,"COMPCO";"adj95est",#N/A,FALSE,"COMPCO"}</definedName>
    <definedName name="wrn.ALL." localSheetId="11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5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6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print." localSheetId="1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5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6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localSheetId="11" hidden="1">{"AQUIRORDCF",#N/A,FALSE,"Merger consequences";"Acquirorassns",#N/A,FALSE,"Merger consequences"}</definedName>
    <definedName name="wrn.AQUIROR._.DCF." localSheetId="5" hidden="1">{"AQUIRORDCF",#N/A,FALSE,"Merger consequences";"Acquirorassns",#N/A,FALSE,"Merger consequences"}</definedName>
    <definedName name="wrn.AQUIROR._.DCF." localSheetId="6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11" hidden="1">{"balance",#N/A,FALSE,"BALANCE"}</definedName>
    <definedName name="wrn.BALANCE." hidden="1">{"balance",#N/A,FALSE,"BALANCE"}</definedName>
    <definedName name="wrn.BAOCAO." localSheetId="11" hidden="1">{#N/A,#N/A,FALSE,"sum";#N/A,#N/A,FALSE,"MARTV";#N/A,#N/A,FALSE,"APRTV"}</definedName>
    <definedName name="wrn.BAOCAO." localSheetId="6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1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6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localSheetId="11" hidden="1">{"CapitalInput",#N/A,FALSE,"Equipt Input";"Capital Profile",#N/A,FALSE,"Equipt Input"}</definedName>
    <definedName name="wrn.Capital." localSheetId="6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11" hidden="1">{"cashflow",#N/A,FALSE,"CASHFLOW "}</definedName>
    <definedName name="wrn.cashflow." hidden="1">{"cashflow",#N/A,FALSE,"CASHFLOW "}</definedName>
    <definedName name="wrn.chi._.tiÆt." localSheetId="11" hidden="1">{#N/A,#N/A,FALSE,"Chi tiÆt"}</definedName>
    <definedName name="wrn.chi._.tiÆt." localSheetId="5" hidden="1">{#N/A,#N/A,FALSE,"Chi tiÆt"}</definedName>
    <definedName name="wrn.chi._.tiÆt." localSheetId="6" hidden="1">{#N/A,#N/A,FALSE,"Chi tiÆt"}</definedName>
    <definedName name="wrn.chi._.tiÆt." hidden="1">{#N/A,#N/A,FALSE,"Chi tiÆt"}</definedName>
    <definedName name="wrn.cisco2501." localSheetId="11" hidden="1">{"Profit",#N/A,FALSE,"cisco2501";"Capital",#N/A,FALSE,"cisco2501"}</definedName>
    <definedName name="wrn.cisco2501." localSheetId="6" hidden="1">{"Profit",#N/A,FALSE,"cisco2501";"Capital",#N/A,FALSE,"cisco2501"}</definedName>
    <definedName name="wrn.cisco2501." hidden="1">{"Profit",#N/A,FALSE,"cisco2501";"Capital",#N/A,FALSE,"cisco2501"}</definedName>
    <definedName name="wrn.cisco2501a." localSheetId="11" hidden="1">{"Profit",#N/A,FALSE,"Cisco2501a";"Capital",#N/A,FALSE,"Cisco2501a"}</definedName>
    <definedName name="wrn.cisco2501a." localSheetId="6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11" hidden="1">{"Profit",#N/A,FALSE,"Cisco2514";"Capital",#N/A,FALSE,"Cisco2514"}</definedName>
    <definedName name="wrn.cisco2514." localSheetId="6" hidden="1">{"Profit",#N/A,FALSE,"Cisco2514";"Capital",#N/A,FALSE,"Cisco2514"}</definedName>
    <definedName name="wrn.cisco2514." hidden="1">{"Profit",#N/A,FALSE,"Cisco2514";"Capital",#N/A,FALSE,"Cisco2514"}</definedName>
    <definedName name="wrn.cisco4000." localSheetId="11" hidden="1">{"Profit",#N/A,FALSE,"4500(12)";"Capital",#N/A,FALSE,"4500(12)";"Profit",#N/A,FALSE,"Cisco4000";"Capital",#N/A,FALSE,"Cisco4000"}</definedName>
    <definedName name="wrn.cisco4000." localSheetId="6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11" hidden="1">{"Profit",#N/A,FALSE,"Cisco4500";"Capital",#N/A,FALSE,"Cisco4500"}</definedName>
    <definedName name="wrn.cisco4500." localSheetId="6" hidden="1">{"Profit",#N/A,FALSE,"Cisco4500";"Capital",#N/A,FALSE,"Cisco4500"}</definedName>
    <definedName name="wrn.cisco4500." hidden="1">{"Profit",#N/A,FALSE,"Cisco4500";"Capital",#N/A,FALSE,"Cisco4500"}</definedName>
    <definedName name="wrn.Cisco4500p." localSheetId="11" hidden="1">{"Profit",#N/A,FALSE,"Cisco 4500p";"Capital",#N/A,FALSE,"Cisco 4500p"}</definedName>
    <definedName name="wrn.Cisco4500p." localSheetId="6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11" hidden="1">{"Profit",#N/A,FALSE,"Cisco7000a";"Capital",#N/A,FALSE,"Cisco7000a"}</definedName>
    <definedName name="wrn.cisco7000a." localSheetId="6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11" hidden="1">{"Profit",#N/A,FALSE,"ciscoags+";"Capital",#N/A,FALSE,"ciscoags+"}</definedName>
    <definedName name="wrn.CiscoAGS." localSheetId="6" hidden="1">{"Profit",#N/A,FALSE,"ciscoags+";"Capital",#N/A,FALSE,"ciscoags+"}</definedName>
    <definedName name="wrn.CiscoAGS." hidden="1">{"Profit",#N/A,FALSE,"ciscoags+";"Capital",#N/A,FALSE,"ciscoags+"}</definedName>
    <definedName name="wrn.compco." localSheetId="11" hidden="1">{"mult96",#N/A,FALSE,"PETCOMP";"est96",#N/A,FALSE,"PETCOMP";"mult95",#N/A,FALSE,"PETCOMP";"est95",#N/A,FALSE,"PETCOMP";"multltm",#N/A,FALSE,"PETCOMP";"resultltm",#N/A,FALSE,"PETCOMP"}</definedName>
    <definedName name="wrn.compco." localSheetId="5" hidden="1">{"mult96",#N/A,FALSE,"PETCOMP";"est96",#N/A,FALSE,"PETCOMP";"mult95",#N/A,FALSE,"PETCOMP";"est95",#N/A,FALSE,"PETCOMP";"multltm",#N/A,FALSE,"PETCOMP";"resultltm",#N/A,FALSE,"PETCOMP"}</definedName>
    <definedName name="wrn.compco." localSheetId="6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localSheetId="11" hidden="1">{"PLCustom",#N/A,FALSE,"P&amp;L summary"}</definedName>
    <definedName name="wrn.CustomPrice." localSheetId="6" hidden="1">{"PLCustom",#N/A,FALSE,"P&amp;L summary"}</definedName>
    <definedName name="wrn.CustomPrice." hidden="1">{"PLCustom",#N/A,FALSE,"P&amp;L summary"}</definedName>
    <definedName name="wrn.DCF." localSheetId="11" hidden="1">{"DCF1",#N/A,FALSE,"SIERRA DCF";"MATRIX1",#N/A,FALSE,"SIERRA DCF"}</definedName>
    <definedName name="wrn.DCF." localSheetId="5" hidden="1">{"DCF1",#N/A,FALSE,"SIERRA DCF";"MATRIX1",#N/A,FALSE,"SIERRA DCF"}</definedName>
    <definedName name="wrn.DCF." localSheetId="6" hidden="1">{"DCF1",#N/A,FALSE,"SIERRA DCF";"MATRIX1",#N/A,FALSE,"SIERRA DCF"}</definedName>
    <definedName name="wrn.DCF." hidden="1">{"DCF1",#N/A,FALSE,"SIERRA DCF";"MATRIX1",#N/A,FALSE,"SIERRA DCF"}</definedName>
    <definedName name="wrn.DCF_Terminal_Value_qchm." localSheetId="11" hidden="1">{"qchm_dcf",#N/A,FALSE,"QCHMDCF2";"qchm_terminal",#N/A,FALSE,"QCHMDCF2"}</definedName>
    <definedName name="wrn.DCF_Terminal_Value_qchm." localSheetId="5" hidden="1">{"qchm_dcf",#N/A,FALSE,"QCHMDCF2";"qchm_terminal",#N/A,FALSE,"QCHMDCF2"}</definedName>
    <definedName name="wrn.DCF_Terminal_Value_qchm." localSheetId="6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11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11" hidden="1">{"Depn",#N/A,TRUE,"Equipt Input"}</definedName>
    <definedName name="wrn.Depn." localSheetId="6" hidden="1">{"Depn",#N/A,TRUE,"Equipt Input"}</definedName>
    <definedName name="wrn.Depn." hidden="1">{"Depn",#N/A,TRUE,"Equipt Input"}</definedName>
    <definedName name="wrn.Economic._.Value._.Added._.Analysis." localSheetId="11" hidden="1">{"EVA",#N/A,FALSE,"EVA";"WACC",#N/A,FALSE,"WACC"}</definedName>
    <definedName name="wrn.Economic._.Value._.Added._.Analysis." localSheetId="5" hidden="1">{"EVA",#N/A,FALSE,"EVA";"WACC",#N/A,FALSE,"WACC"}</definedName>
    <definedName name="wrn.Economic._.Value._.Added._.Analysis." localSheetId="6" hidden="1">{"EVA",#N/A,FALSE,"EVA";"WACC",#N/A,FALSE,"WACC"}</definedName>
    <definedName name="wrn.Economic._.Value._.Added._.Analysis." hidden="1">{"EVA",#N/A,FALSE,"EVA";"WACC",#N/A,FALSE,"WACC"}</definedName>
    <definedName name="wrn.extn_2501." localSheetId="11" hidden="1">{"Profit",#N/A,FALSE,"extn_2501";"Capital",#N/A,FALSE,"extn_2501"}</definedName>
    <definedName name="wrn.extn_2501." localSheetId="6" hidden="1">{"Profit",#N/A,FALSE,"extn_2501";"Capital",#N/A,FALSE,"extn_2501"}</definedName>
    <definedName name="wrn.extn_2501." hidden="1">{"Profit",#N/A,FALSE,"extn_2501";"Capital",#N/A,FALSE,"extn_2501"}</definedName>
    <definedName name="wrn.Financials." localSheetId="1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6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11" hidden="1">{"finsumm",#N/A,FALSE,"Finsumm";"graph",#N/A,FALSE,"Finsumm";"costgraph",#N/A,FALSE,"Finsumm";"costbreakdown",#N/A,FALSE,"Finsumm"}</definedName>
    <definedName name="wrn.finsummary." localSheetId="6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ull._.without._.data.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11" hidden="1">{"hilight1",#N/A,FALSE,"HILIGHT1"}</definedName>
    <definedName name="wrn.hilight1." hidden="1">{"hilight1",#N/A,FALSE,"HILIGHT1"}</definedName>
    <definedName name="wrn.hilight2." localSheetId="11" hidden="1">{"hilight2",#N/A,FALSE,"HILIGHT2"}</definedName>
    <definedName name="wrn.hilight2." hidden="1">{"hilight2",#N/A,FALSE,"HILIGHT2"}</definedName>
    <definedName name="wrn.hilight3." localSheetId="11" hidden="1">{"hilight3",#N/A,FALSE,"HILIGHT3"}</definedName>
    <definedName name="wrn.hilight3." hidden="1">{"hilight3",#N/A,FALSE,"HILIGHT3"}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11" hidden="1">{"income",#N/A,FALSE,"INCOME"}</definedName>
    <definedName name="wrn.income." hidden="1">{"income",#N/A,FALSE,"INCOME"}</definedName>
    <definedName name="wrn.index." localSheetId="11" hidden="1">{"index",#N/A,FALSE,"INDEX"}</definedName>
    <definedName name="wrn.index." hidden="1">{"index",#N/A,FALSE,"INDEX"}</definedName>
    <definedName name="wrn.Inputs." localSheetId="1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6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localSheetId="11" hidden="1">{"month_a",#N/A,FALSE,"ACTUALS";"ytd_a",#N/A,FALSE,"ACTUALS"}</definedName>
    <definedName name="wrn.MONTH._.YTD." localSheetId="6" hidden="1">{"month_a",#N/A,FALSE,"ACTUALS";"ytd_a",#N/A,FALSE,"ACTUALS"}</definedName>
    <definedName name="wrn.MONTH._.YTD." hidden="1">{"month_a",#N/A,FALSE,"ACTUALS";"ytd_a",#N/A,FALSE,"ACTUALS"}</definedName>
    <definedName name="wrn.MONTHLY.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11" hidden="1">{#N/A,#N/A,FALSE,"Tabelle2";#N/A,#N/A,FALSE,"Tabelle1"}</definedName>
    <definedName name="wrn.Monthly._.Statement." localSheetId="5" hidden="1">{#N/A,#N/A,FALSE,"Tabelle2";#N/A,#N/A,FALSE,"Tabelle1"}</definedName>
    <definedName name="wrn.Monthly._.Statement." localSheetId="6" hidden="1">{#N/A,#N/A,FALSE,"Tabelle2";#N/A,#N/A,FALSE,"Tabelle1"}</definedName>
    <definedName name="wrn.Monthly._.Statement." hidden="1">{#N/A,#N/A,FALSE,"Tabelle2";#N/A,#N/A,FALSE,"Tabelle1"}</definedName>
    <definedName name="wrn.NonPay.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6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11" hidden="1">{#N/A,#N/A,FALSE,"Assumptions";"Basedata",#N/A,FALSE,"BASEINPUT";"Checklist",#N/A,FALSE,"BASEINPUT"}</definedName>
    <definedName name="wrn.Notes." localSheetId="6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11" hidden="1">{"DCF","UPSIDE CASE",FALSE,"Sheet1";"DCF","BASE CASE",FALSE,"Sheet1";"DCF","DOWNSIDE CASE",FALSE,"Sheet1"}</definedName>
    <definedName name="wrn.OUTPUT." localSheetId="5" hidden="1">{"DCF","UPSIDE CASE",FALSE,"Sheet1";"DCF","BASE CASE",FALSE,"Sheet1";"DCF","DOWNSIDE CASE",FALSE,"Sheet1"}</definedName>
    <definedName name="wrn.OUTPUT." localSheetId="6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hak." localSheetId="11" hidden="1">{#N/A,#N/A,TRUE,"Tæng hîp"}</definedName>
    <definedName name="wrn.phak." localSheetId="5" hidden="1">{#N/A,#N/A,TRUE,"Tæng hîp"}</definedName>
    <definedName name="wrn.phak." localSheetId="6" hidden="1">{#N/A,#N/A,TRUE,"Tæng hîp"}</definedName>
    <definedName name="wrn.phak." hidden="1">{#N/A,#N/A,TRUE,"Tæng hîp"}</definedName>
    <definedName name="wrn.PMDEPAER2.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1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6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11" hidden="1">{#N/A,#N/A,FALSE,"Admin";#N/A,#N/A,FALSE,"Other"}</definedName>
    <definedName name="wrn.print." localSheetId="5" hidden="1">{#N/A,#N/A,FALSE,"Admin";#N/A,#N/A,FALSE,"Other"}</definedName>
    <definedName name="wrn.print." localSheetId="6" hidden="1">{#N/A,#N/A,FALSE,"Admin";#N/A,#N/A,FALSE,"Other"}</definedName>
    <definedName name="wrn.print." hidden="1">{#N/A,#N/A,FALSE,"Admin";#N/A,#N/A,FALSE,"Other"}</definedName>
    <definedName name="wrn.Reader." localSheetId="11" hidden="1">{"Reader",#N/A,FALSE,"Summary";"Reader",#N/A,FALSE,"Buildup";"Reader",#N/A,FALSE,"Financials";"Reader",#N/A,FALSE,"Debt &amp; Other"}</definedName>
    <definedName name="wrn.Reader." localSheetId="5" hidden="1">{"Reader",#N/A,FALSE,"Summary";"Reader",#N/A,FALSE,"Buildup";"Reader",#N/A,FALSE,"Financials";"Reader",#N/A,FALSE,"Debt &amp; Other"}</definedName>
    <definedName name="wrn.Reader." localSheetId="6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port.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11" hidden="1">{"PRINT_EST",#N/A,FALSE,"ESTMON"}</definedName>
    <definedName name="wrn.REPORT_EST." hidden="1">{"PRINT_EST",#N/A,FALSE,"ESTMON"}</definedName>
    <definedName name="wrn.rev_sale._.report." localSheetId="11" hidden="1">{"revsale",#N/A,FALSE,"REV-ยุพดี"}</definedName>
    <definedName name="wrn.rev_sale._.report." hidden="1">{"revsale",#N/A,FALSE,"REV-ยุพดี"}</definedName>
    <definedName name="wrn.revable." localSheetId="11" hidden="1">{"revable",#N/A,FALSE,"REVABLE"}</definedName>
    <definedName name="wrn.revable." hidden="1">{"revable",#N/A,FALSE,"REVABLE"}</definedName>
    <definedName name="wrn.RLDEPART2.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11" hidden="1">{"sales",#N/A,FALSE,"SALES"}</definedName>
    <definedName name="wrn.sales._.report." hidden="1">{"sales",#N/A,FALSE,"SALES"}</definedName>
    <definedName name="wrn.SOCIEDAD.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localSheetId="11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rn.TARGET._.DCF." localSheetId="11" hidden="1">{"targetdcf",#N/A,FALSE,"Merger consequences";"TARGETASSU",#N/A,FALSE,"Merger consequences";"TERMINAL VALUE",#N/A,FALSE,"Merger consequences"}</definedName>
    <definedName name="wrn.TARGET._.DCF." localSheetId="5" hidden="1">{"targetdcf",#N/A,FALSE,"Merger consequences";"TARGETASSU",#N/A,FALSE,"Merger consequences";"TERMINAL VALUE",#N/A,FALSE,"Merger consequences"}</definedName>
    <definedName name="wrn.TARGET._.DCF." localSheetId="6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11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5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6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localSheetId="11" hidden="1">{"Teacher",#N/A,FALSE,"Summary";"Teacher",#N/A,FALSE,"Assumptions";"Teacher",#N/A,FALSE,"Buildup";"Teacher",#N/A,FALSE,"Financials";"Teacher",#N/A,FALSE,"Debt &amp; Other"}</definedName>
    <definedName name="wrn.Teacher." localSheetId="5" hidden="1">{"Teacher",#N/A,FALSE,"Summary";"Teacher",#N/A,FALSE,"Assumptions";"Teacher",#N/A,FALSE,"Buildup";"Teacher",#N/A,FALSE,"Financials";"Teacher",#N/A,FALSE,"Debt &amp; Other"}</definedName>
    <definedName name="wrn.Teacher." localSheetId="6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11" hidden="1">{"F3 Presentation",#N/A,FALSE,"F3 ";"F3 detail",#N/A,FALSE,"F3 "}</definedName>
    <definedName name="wrn.test." localSheetId="6" hidden="1">{"F3 Presentation",#N/A,FALSE,"F3 ";"F3 detail",#N/A,FALSE,"F3 "}</definedName>
    <definedName name="wrn.test." hidden="1">{"F3 Presentation",#N/A,FALSE,"F3 ";"F3 detail",#N/A,FALSE,"F3 "}</definedName>
    <definedName name="wrn.test2." localSheetId="11" hidden="1">{"F3 detail",#N/A,FALSE,"F3 ";"F3 Presentation",#N/A,FALSE,"F3 "}</definedName>
    <definedName name="wrn.test2." localSheetId="6" hidden="1">{"F3 detail",#N/A,FALSE,"F3 ";"F3 Presentation",#N/A,FALSE,"F3 "}</definedName>
    <definedName name="wrn.test2." hidden="1">{"F3 detail",#N/A,FALSE,"F3 ";"F3 Presentation",#N/A,FALSE,"F3 "}</definedName>
    <definedName name="wrn.test3." localSheetId="11" hidden="1">{"F3 detail",#N/A,FALSE,"F1";"F3 Presentation",#N/A,FALSE,"F3 "}</definedName>
    <definedName name="wrn.test3." localSheetId="6" hidden="1">{"F3 detail",#N/A,FALSE,"F1";"F3 Presentation",#N/A,FALSE,"F3 "}</definedName>
    <definedName name="wrn.test3." hidden="1">{"F3 detail",#N/A,FALSE,"F1";"F3 Presentation",#N/A,FALSE,"F3 "}</definedName>
    <definedName name="wrn.vd." localSheetId="11" hidden="1">{#N/A,#N/A,TRUE,"BT M200 da 10x20"}</definedName>
    <definedName name="wrn.vd." localSheetId="5" hidden="1">{#N/A,#N/A,TRUE,"BT M200 da 10x20"}</definedName>
    <definedName name="wrn.vd." localSheetId="6" hidden="1">{#N/A,#N/A,TRUE,"BT M200 da 10x20"}</definedName>
    <definedName name="wrn.vd." hidden="1">{#N/A,#N/A,TRUE,"BT M200 da 10x20"}</definedName>
    <definedName name="WRN2.NONPAY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6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ww" localSheetId="11" hidden="1">{"revable",#N/A,FALSE,"REVABLE"}</definedName>
    <definedName name="www" hidden="1">{"revable",#N/A,FALSE,"REVABLE"}</definedName>
    <definedName name="x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adas" localSheetId="5" hidden="1">#REF!</definedName>
    <definedName name="Xadas" hidden="1">#REF!</definedName>
    <definedName name="xdfgsg" localSheetId="11" hidden="1">{"Profit",#N/A,FALSE,"Cisco7000a";"Capital",#N/A,FALSE,"Cisco7000a"}</definedName>
    <definedName name="xdfgsg" localSheetId="6" hidden="1">{"Profit",#N/A,FALSE,"Cisco7000a";"Capital",#N/A,FALSE,"Cisco7000a"}</definedName>
    <definedName name="xdfgsg" hidden="1">{"Profit",#N/A,FALSE,"Cisco7000a";"Capital",#N/A,FALSE,"Cisco7000a"}</definedName>
    <definedName name="xkeogjana" localSheetId="11" hidden="1">{"Reader",#N/A,FALSE,"Summary";"Reader",#N/A,FALSE,"Buildup";"Reader",#N/A,FALSE,"Financials";"Reader",#N/A,FALSE,"Debt &amp; Other"}</definedName>
    <definedName name="xkeogjana" localSheetId="5" hidden="1">{"Reader",#N/A,FALSE,"Summary";"Reader",#N/A,FALSE,"Buildup";"Reader",#N/A,FALSE,"Financials";"Reader",#N/A,FALSE,"Debt &amp; Other"}</definedName>
    <definedName name="xkeogjana" localSheetId="6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11" hidden="1">{"F3 detail",#N/A,FALSE,"F1";"F3 Presentation",#N/A,FALSE,"F3 "}</definedName>
    <definedName name="xls" localSheetId="6" hidden="1">{"F3 detail",#N/A,FALSE,"F1";"F3 Presentation",#N/A,FALSE,"F3 "}</definedName>
    <definedName name="xls" hidden="1">{"F3 detail",#N/A,FALSE,"F1";"F3 Presentation",#N/A,FALSE,"F3 "}</definedName>
    <definedName name="xx" hidden="1">#REF!</definedName>
    <definedName name="xxxx" localSheetId="11" hidden="1">{"HK PR",#N/A,FALSE,"HK";"SUMMARY",#N/A,FALSE,"PAYROLL";"SUMMARY",#N/A,FALSE,"PAYROLL";"HK PR",#N/A,FALSE,"HK"}</definedName>
    <definedName name="xxxx" localSheetId="5" hidden="1">{"HK PR",#N/A,FALSE,"HK";"SUMMARY",#N/A,FALSE,"PAYROLL";"SUMMARY",#N/A,FALSE,"PAYROLL";"HK PR",#N/A,FALSE,"HK"}</definedName>
    <definedName name="xxxx" localSheetId="6" hidden="1">{"HK PR",#N/A,FALSE,"HK";"SUMMARY",#N/A,FALSE,"PAYROLL";"SUMMARY",#N/A,FALSE,"PAYROLL";"HK PR",#N/A,FALSE,"HK"}</definedName>
    <definedName name="xxxx" hidden="1">{"HK PR",#N/A,FALSE,"HK";"SUMMARY",#N/A,FALSE,"PAYROLL";"SUMMARY",#N/A,FALSE,"PAYROLL";"HK PR",#N/A,FALSE,"HK"}</definedName>
    <definedName name="xxxxx" localSheetId="11" hidden="1">{"HK PR",#N/A,FALSE,"HK";"SUMMARY",#N/A,FALSE,"PAYROLL";"SUMMARY",#N/A,FALSE,"PAYROLL";"HK PR",#N/A,FALSE,"HK"}</definedName>
    <definedName name="xxxxx" localSheetId="5" hidden="1">{"HK PR",#N/A,FALSE,"HK";"SUMMARY",#N/A,FALSE,"PAYROLL";"SUMMARY",#N/A,FALSE,"PAYROLL";"HK PR",#N/A,FALSE,"HK"}</definedName>
    <definedName name="xxxxx" localSheetId="6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y" localSheetId="11" hidden="1">{"revsale",#N/A,FALSE,"REV-ยุพดี"}</definedName>
    <definedName name="y" hidden="1">{"revsale",#N/A,FALSE,"REV-ยุพดี"}</definedName>
    <definedName name="yjui\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jui\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u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" localSheetId="11" hidden="1">{"hilight3",#N/A,FALSE,"HILIGHT3"}</definedName>
    <definedName name="z" hidden="1">{"hilight3",#N/A,FALSE,"HILIGHT3"}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เกินวงเงิน" localSheetId="11" hidden="1">{"revsale",#N/A,FALSE,"REV-ยุพดี"}</definedName>
    <definedName name="เกินวงเงิน" hidden="1">{"revsale",#N/A,FALSE,"REV-ยุพดี"}</definedName>
    <definedName name="เงินสด" localSheetId="11" hidden="1">{"lev1bt",#N/A,FALSE,"1_LEVB-T"}</definedName>
    <definedName name="เงินสด" hidden="1">{"lev1bt",#N/A,FALSE,"1_LEVB-T"}</definedName>
    <definedName name="แ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นว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แนว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ไ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ไ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กก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กก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ข" localSheetId="11" hidden="1">{"lev2ytd",#N/A,FALSE,"2_LEVYTD"}</definedName>
    <definedName name="ข" hidden="1">{"lev2ytd",#N/A,FALSE,"2_LEVYTD"}</definedName>
    <definedName name="ฃ" localSheetId="11" hidden="1">{"cashflow",#N/A,FALSE,"CASHFLOW "}</definedName>
    <definedName name="ฃ" hidden="1">{"cashflow",#N/A,FALSE,"CASHFLOW "}</definedName>
    <definedName name="ค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รจจจ" localSheetId="11" hidden="1">{"revsale",#N/A,FALSE,"REV-ยุพดี"}</definedName>
    <definedName name="ครจจจ" hidden="1">{"revsale",#N/A,FALSE,"REV-ยุพดี"}</definedName>
    <definedName name="ง" localSheetId="11" hidden="1">{"level1",#N/A,FALSE,"1_LEV";"LEVEL1",#N/A,FALSE,"1_LEV"}</definedName>
    <definedName name="ง" hidden="1">{"level1",#N/A,FALSE,"1_LEV";"LEVEL1",#N/A,FALSE,"1_LEV"}</definedName>
    <definedName name="จ" localSheetId="11" hidden="1">{"lev2mon",#N/A,FALSE,"2_levmon"}</definedName>
    <definedName name="จ" hidden="1">{"lev2mon",#N/A,FALSE,"2_levmon"}</definedName>
    <definedName name="จจจ" localSheetId="11" hidden="1">{"revsale",#N/A,FALSE,"REV-ยุพดี"}</definedName>
    <definedName name="จจจ" hidden="1">{"revsale",#N/A,FALSE,"REV-ยุพดี"}</definedName>
    <definedName name="ชชช" localSheetId="11" hidden="1">{"income",#N/A,FALSE,"INCOME"}</definedName>
    <definedName name="ชชช" hidden="1">{"income",#N/A,FALSE,"INCOME"}</definedName>
    <definedName name="ด" localSheetId="11" hidden="1">{"lev2tytbt",#N/A,FALSE,"2_LEVYTDB-T"}</definedName>
    <definedName name="ด" hidden="1">{"lev2tytbt",#N/A,FALSE,"2_LEVYTDB-T"}</definedName>
    <definedName name="ดดดด" localSheetId="11" hidden="1">{"lev1bt",#N/A,FALSE,"1_LEVB-T"}</definedName>
    <definedName name="ดดดด" hidden="1">{"lev1bt",#N/A,FALSE,"1_LEVB-T"}</definedName>
    <definedName name="ต" localSheetId="11" hidden="1">{"cashflow",#N/A,FALSE,"CASHFLOW "}</definedName>
    <definedName name="ต" hidden="1">{"cashflow",#N/A,FALSE,"CASHFLOW "}</definedName>
    <definedName name="ถ" localSheetId="11" hidden="1">{"balance",#N/A,FALSE,"BALANCE"}</definedName>
    <definedName name="ถ" hidden="1">{"balance",#N/A,FALSE,"BALANCE"}</definedName>
    <definedName name="ท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ท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นยบ" localSheetId="11" hidden="1">{"revable",#N/A,FALSE,"REVABLE"}</definedName>
    <definedName name="นยบ" hidden="1">{"revable",#N/A,FALSE,"REVABLE"}</definedName>
    <definedName name="นารรร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นารรร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บ" localSheetId="11" hidden="1">{"hilight1",#N/A,FALSE,"HILIGHT1"}</definedName>
    <definedName name="บ" hidden="1">{"hilight1",#N/A,FALSE,"HILIGHT1"}</definedName>
    <definedName name="บบบ" localSheetId="11" hidden="1">{"lev2mon",#N/A,FALSE,"2_levmon"}</definedName>
    <definedName name="บบบ" hidden="1">{"lev2mon",#N/A,FALSE,"2_levmon"}</definedName>
    <definedName name="พ" localSheetId="11" hidden="1">{"sales",#N/A,FALSE,"SALES"}</definedName>
    <definedName name="พ" hidden="1">{"sales",#N/A,FALSE,"SALES"}</definedName>
    <definedName name="พพพ" localSheetId="11" hidden="1">{"revsale",#N/A,FALSE,"REV-ยุพดี"}</definedName>
    <definedName name="พพพ" hidden="1">{"revsale",#N/A,FALSE,"REV-ยุพดี"}</definedName>
    <definedName name="ฟ7" localSheetId="11" hidden="1">{"PRINT_EST",#N/A,FALSE,"ESTMON"}</definedName>
    <definedName name="ฟ7" hidden="1">{"PRINT_EST",#N/A,FALSE,"ESTMON"}</definedName>
    <definedName name="ภ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ภ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ม" localSheetId="11" hidden="1">{"hilight2",#N/A,FALSE,"HILIGHT2"}</definedName>
    <definedName name="ม" hidden="1">{"hilight2",#N/A,FALSE,"HILIGHT2"}</definedName>
    <definedName name="ย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บบ" localSheetId="11" hidden="1">{"sales",#N/A,FALSE,"SALES"}</definedName>
    <definedName name="ยบบ" hidden="1">{"sales",#N/A,FALSE,"SALES"}</definedName>
    <definedName name="ยยย" localSheetId="11" hidden="1">{"sales",#N/A,FALSE,"SALES"}</definedName>
    <definedName name="ยยย" hidden="1">{"sales",#N/A,FALSE,"SALES"}</definedName>
    <definedName name="รรร" localSheetId="11" hidden="1">{"revable",#N/A,FALSE,"REVABLE"}</definedName>
    <definedName name="รรร" hidden="1">{"revable",#N/A,FALSE,"REVABLE"}</definedName>
    <definedName name="รา" localSheetId="11" hidden="1">{"hilight1",#N/A,FALSE,"HILIGHT1"}</definedName>
    <definedName name="รา" hidden="1">{"hilight1",#N/A,FALSE,"HILIGHT1"}</definedName>
    <definedName name="รายงานประชุมสินเชื่อ_0904" localSheetId="11" hidden="1">{"balance",#N/A,FALSE,"BALANCE"}</definedName>
    <definedName name="รายงานประชุมสินเชื่อ_0904" hidden="1">{"balance",#N/A,FALSE,"BALANCE"}</definedName>
    <definedName name="ล" localSheetId="11" hidden="1">{"lev2monbt",#N/A,FALSE,"2_levmonB-T"}</definedName>
    <definedName name="ล" hidden="1">{"lev2monbt",#N/A,FALSE,"2_levmonB-T"}</definedName>
    <definedName name="ว" localSheetId="11" hidden="1">{"lev1bt",#N/A,FALSE,"1_LEVB-T"}</definedName>
    <definedName name="ว" hidden="1">{"lev1bt",#N/A,FALSE,"1_LEVB-T"}</definedName>
    <definedName name="วยนบ" localSheetId="11" hidden="1">{"sales",#N/A,FALSE,"SALES"}</definedName>
    <definedName name="วยนบ" hidden="1">{"sales",#N/A,FALSE,"SALES"}</definedName>
    <definedName name="วววว" localSheetId="11" hidden="1">{"hilight1",#N/A,FALSE,"HILIGHT1"}</definedName>
    <definedName name="วววว" hidden="1">{"hilight1",#N/A,FALSE,"HILIGHT1"}</definedName>
    <definedName name="ววววว" localSheetId="11" hidden="1">{"PRINT_EST",#N/A,FALSE,"ESTMON"}</definedName>
    <definedName name="ววววว" hidden="1">{"PRINT_EST",#N/A,FALSE,"ESTMON"}</definedName>
    <definedName name="วาระประชุม1004" localSheetId="11" hidden="1">{"lev1bt",#N/A,FALSE,"1_LEVB-T"}</definedName>
    <definedName name="วาระประชุม1004" hidden="1">{"lev1bt",#N/A,FALSE,"1_LEVB-T"}</definedName>
    <definedName name="ศูนย์พัฒนา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ส" localSheetId="11" hidden="1">{"revsale",#N/A,FALSE,"REV-ยุพดี"}</definedName>
    <definedName name="ส" hidden="1">{"revsale",#N/A,FALSE,"REV-ยุพดี"}</definedName>
    <definedName name="สสส" localSheetId="11" hidden="1">{"sales",#N/A,FALSE,"SALES"}</definedName>
    <definedName name="สสส" hidden="1">{"sales",#N/A,FALSE,"SALES"}</definedName>
    <definedName name="ห" localSheetId="11" hidden="1">{"revable",#N/A,FALSE,"REVABLE"}</definedName>
    <definedName name="ห" hidden="1">{"revable",#N/A,FALSE,"REVABLE"}</definedName>
    <definedName name="หห" localSheetId="11" hidden="1">{"sales",#N/A,FALSE,"SALES"}</definedName>
    <definedName name="หห" hidden="1">{"sales",#N/A,FALSE,"SALES"}</definedName>
    <definedName name="หหห" localSheetId="11" hidden="1">{"revable",#N/A,FALSE,"REVABLE"}</definedName>
    <definedName name="หหห" hidden="1">{"revable",#N/A,FALSE,"REVABLE"}</definedName>
    <definedName name="อ" localSheetId="11" hidden="1">{"balance",#N/A,FALSE,"BALANCE"}</definedName>
    <definedName name="อ" hidden="1">{"balance",#N/A,FALSE,"BALANCE"}</definedName>
    <definedName name="อออ" localSheetId="11" hidden="1">{"PRINT_EST",#N/A,FALSE,"ESTMON"}</definedName>
    <definedName name="อออ" hidden="1">{"PRINT_EST",#N/A,FALSE,"ESTMON"}</definedName>
    <definedName name="ๆ" localSheetId="11" hidden="1">{"lev2monbt",#N/A,FALSE,"2_levmonB-T"}</definedName>
    <definedName name="ๆ" hidden="1">{"lev2monbt",#N/A,FALSE,"2_levmonB-T"}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1" i="3" l="1"/>
  <c r="BL41" i="3"/>
  <c r="BM41" i="3"/>
  <c r="BN41" i="3"/>
  <c r="BO41" i="3"/>
  <c r="BP41" i="3"/>
  <c r="BQ41" i="3"/>
  <c r="BK42" i="3"/>
  <c r="BK44" i="3"/>
  <c r="BL42" i="3" s="1"/>
  <c r="BL44" i="3" s="1"/>
  <c r="BM42" i="3" s="1"/>
  <c r="BM44" i="3" s="1"/>
  <c r="BN42" i="3" s="1"/>
  <c r="BN44" i="3" s="1"/>
  <c r="BO42" i="3" s="1"/>
  <c r="BO44" i="3" s="1"/>
  <c r="BP42" i="3" s="1"/>
  <c r="BP44" i="3" s="1"/>
  <c r="BQ42" i="3" s="1"/>
  <c r="BQ44" i="3" s="1"/>
  <c r="BK23" i="3"/>
  <c r="AY23" i="3"/>
  <c r="AX23" i="3"/>
  <c r="AY17" i="3"/>
  <c r="AX13" i="3"/>
  <c r="AY13" i="3"/>
  <c r="AY41" i="3"/>
  <c r="AZ41" i="3"/>
  <c r="BQ38" i="4"/>
  <c r="F28" i="10" a="1"/>
  <c r="F27" i="10" a="1"/>
  <c r="F26" i="10" a="1"/>
  <c r="F25" i="10" a="1"/>
  <c r="F24" i="10" a="1"/>
  <c r="F23" i="10" a="1"/>
  <c r="F22" i="10" a="1"/>
  <c r="F21" i="10" a="1"/>
  <c r="F20" i="10" a="1"/>
  <c r="F19" i="10" a="1"/>
  <c r="F18" i="10" a="1"/>
  <c r="F17" i="10" a="1"/>
  <c r="F16" i="10" a="1"/>
  <c r="F15" i="10" a="1"/>
  <c r="F14" i="10" a="1"/>
  <c r="F13" i="10" a="1"/>
  <c r="F12" i="10" a="1"/>
  <c r="F11" i="10" a="1"/>
  <c r="F10" i="10" a="1"/>
  <c r="BP4" i="2"/>
  <c r="BO4" i="2"/>
  <c r="BN4" i="2"/>
  <c r="BM4" i="2"/>
  <c r="BL4" i="2"/>
  <c r="BP38" i="4"/>
  <c r="D127" i="1"/>
  <c r="BG128" i="1"/>
  <c r="BH128" i="1"/>
  <c r="BI128" i="1"/>
  <c r="BJ128" i="1"/>
  <c r="BK128" i="1"/>
  <c r="BL128" i="1"/>
  <c r="BM128" i="1"/>
  <c r="BN128" i="1"/>
  <c r="BO128" i="1"/>
  <c r="BP128" i="1"/>
  <c r="BJ129" i="1"/>
  <c r="BJ36" i="1"/>
  <c r="BK129" i="1"/>
  <c r="BG41" i="3"/>
  <c r="BH41" i="3"/>
  <c r="BI41" i="3"/>
  <c r="BJ23" i="3"/>
  <c r="BJ32" i="3"/>
  <c r="BJ41" i="3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D128" i="1"/>
  <c r="D126" i="1"/>
  <c r="E127" i="1"/>
  <c r="BW67" i="5"/>
  <c r="BV67" i="5"/>
  <c r="BU67" i="5"/>
  <c r="BT67" i="5"/>
  <c r="BS67" i="5"/>
  <c r="BR67" i="5"/>
  <c r="BP67" i="5"/>
  <c r="BO67" i="5"/>
  <c r="BN67" i="5"/>
  <c r="BM67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1" i="12"/>
  <c r="BN16" i="4"/>
  <c r="BN40" i="4"/>
  <c r="E126" i="1" l="1"/>
  <c r="BN6" i="4"/>
  <c r="F127" i="1" l="1"/>
  <c r="BN58" i="5"/>
  <c r="F126" i="1" l="1"/>
  <c r="BM34" i="4"/>
  <c r="G127" i="1" l="1"/>
  <c r="AA16" i="3"/>
  <c r="X16" i="3"/>
  <c r="W16" i="3"/>
  <c r="V16" i="3"/>
  <c r="U16" i="3"/>
  <c r="T16" i="3"/>
  <c r="S16" i="3"/>
  <c r="R16" i="3"/>
  <c r="Q16" i="3"/>
  <c r="E44" i="3"/>
  <c r="D44" i="3"/>
  <c r="E42" i="3" s="1"/>
  <c r="F42" i="3"/>
  <c r="F44" i="3" s="1"/>
  <c r="G42" i="3" s="1"/>
  <c r="G44" i="3" s="1"/>
  <c r="H42" i="3" s="1"/>
  <c r="H44" i="3" s="1"/>
  <c r="I42" i="3" s="1"/>
  <c r="I44" i="3" s="1"/>
  <c r="J42" i="3" s="1"/>
  <c r="J44" i="3" s="1"/>
  <c r="K42" i="3" s="1"/>
  <c r="K44" i="3" s="1"/>
  <c r="L42" i="3" s="1"/>
  <c r="L44" i="3" s="1"/>
  <c r="M42" i="3" s="1"/>
  <c r="M44" i="3" s="1"/>
  <c r="N42" i="3" s="1"/>
  <c r="N44" i="3" s="1"/>
  <c r="O42" i="3" s="1"/>
  <c r="O44" i="3" s="1"/>
  <c r="P42" i="3" s="1"/>
  <c r="P44" i="3" s="1"/>
  <c r="Q42" i="3" s="1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D41" i="3"/>
  <c r="AC41" i="3"/>
  <c r="AB41" i="3"/>
  <c r="Z41" i="3"/>
  <c r="Y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BH40" i="3"/>
  <c r="BG40" i="3"/>
  <c r="BF40" i="3"/>
  <c r="BE40" i="3"/>
  <c r="BD40" i="3"/>
  <c r="BC40" i="3"/>
  <c r="BB40" i="3"/>
  <c r="BA40" i="3"/>
  <c r="AZ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G126" i="1" l="1"/>
  <c r="BI32" i="3"/>
  <c r="BH32" i="3"/>
  <c r="BG32" i="3"/>
  <c r="BF32" i="3"/>
  <c r="BF41" i="3" s="1"/>
  <c r="BE32" i="3"/>
  <c r="BE41" i="3" s="1"/>
  <c r="BD32" i="3"/>
  <c r="BD41" i="3" s="1"/>
  <c r="BC32" i="3"/>
  <c r="BC41" i="3" s="1"/>
  <c r="BB32" i="3"/>
  <c r="BB41" i="3" s="1"/>
  <c r="BA32" i="3"/>
  <c r="BA41" i="3" s="1"/>
  <c r="AZ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E41" i="3" s="1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BI23" i="3"/>
  <c r="BH23" i="3"/>
  <c r="BG23" i="3"/>
  <c r="BF23" i="3"/>
  <c r="BE23" i="3"/>
  <c r="BD23" i="3"/>
  <c r="BC23" i="3"/>
  <c r="BB23" i="3"/>
  <c r="BA23" i="3"/>
  <c r="AZ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AA41" i="3" s="1"/>
  <c r="Z23" i="3"/>
  <c r="Y23" i="3"/>
  <c r="X23" i="3"/>
  <c r="X41" i="3" s="1"/>
  <c r="W23" i="3"/>
  <c r="W41" i="3" s="1"/>
  <c r="V23" i="3"/>
  <c r="V41" i="3" s="1"/>
  <c r="U23" i="3"/>
  <c r="U41" i="3" s="1"/>
  <c r="T23" i="3"/>
  <c r="T41" i="3" s="1"/>
  <c r="S23" i="3"/>
  <c r="S41" i="3" s="1"/>
  <c r="R23" i="3"/>
  <c r="R41" i="3" s="1"/>
  <c r="Q23" i="3"/>
  <c r="Q41" i="3" s="1"/>
  <c r="Q44" i="3" s="1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G13" i="3"/>
  <c r="BM40" i="4"/>
  <c r="AX41" i="3" l="1"/>
  <c r="H127" i="1"/>
  <c r="R42" i="3"/>
  <c r="R44" i="3" s="1"/>
  <c r="BM49" i="4"/>
  <c r="BM16" i="4"/>
  <c r="H126" i="1" l="1"/>
  <c r="S42" i="3"/>
  <c r="S44" i="3" s="1"/>
  <c r="BM58" i="5"/>
  <c r="I127" i="1" l="1"/>
  <c r="T42" i="3"/>
  <c r="T44" i="3" s="1"/>
  <c r="C152" i="9"/>
  <c r="C140" i="9"/>
  <c r="C114" i="9"/>
  <c r="C110" i="9"/>
  <c r="C109" i="9"/>
  <c r="C108" i="9"/>
  <c r="C105" i="9"/>
  <c r="C96" i="9"/>
  <c r="C85" i="9"/>
  <c r="B85" i="9"/>
  <c r="C67" i="9"/>
  <c r="C64" i="9"/>
  <c r="C63" i="9"/>
  <c r="C61" i="9"/>
  <c r="C60" i="9"/>
  <c r="C43" i="9"/>
  <c r="C41" i="9"/>
  <c r="C32" i="9"/>
  <c r="C27" i="9"/>
  <c r="C24" i="9"/>
  <c r="C23" i="9"/>
  <c r="C12" i="9"/>
  <c r="C11" i="9"/>
  <c r="I126" i="1" l="1"/>
  <c r="U42" i="3"/>
  <c r="U44" i="3" s="1"/>
  <c r="BL58" i="5"/>
  <c r="BW4" i="2"/>
  <c r="BV4" i="2"/>
  <c r="BU4" i="2"/>
  <c r="BT4" i="2"/>
  <c r="BS4" i="2"/>
  <c r="BR4" i="2"/>
  <c r="D37" i="11"/>
  <c r="D16" i="11"/>
  <c r="BR30" i="1"/>
  <c r="E49" i="11"/>
  <c r="D49" i="11"/>
  <c r="C49" i="11"/>
  <c r="B49" i="11"/>
  <c r="E45" i="11"/>
  <c r="D45" i="11"/>
  <c r="C45" i="11"/>
  <c r="B45" i="11"/>
  <c r="E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8" i="11"/>
  <c r="D18" i="11"/>
  <c r="C18" i="11"/>
  <c r="B18" i="11"/>
  <c r="E17" i="11"/>
  <c r="D17" i="11"/>
  <c r="C17" i="11"/>
  <c r="B17" i="11"/>
  <c r="E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1" i="11"/>
  <c r="C11" i="11"/>
  <c r="B11" i="11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B152" i="9"/>
  <c r="C149" i="9"/>
  <c r="B149" i="9"/>
  <c r="C148" i="9"/>
  <c r="B148" i="9"/>
  <c r="C147" i="9"/>
  <c r="B147" i="9"/>
  <c r="C146" i="9"/>
  <c r="B146" i="9"/>
  <c r="C145" i="9"/>
  <c r="B145" i="9"/>
  <c r="C144" i="9"/>
  <c r="B144" i="9"/>
  <c r="C143" i="9"/>
  <c r="B143" i="9"/>
  <c r="C142" i="9"/>
  <c r="B142" i="9"/>
  <c r="C141" i="9"/>
  <c r="C139" i="9" s="1"/>
  <c r="B141" i="9"/>
  <c r="B140" i="9"/>
  <c r="C135" i="9"/>
  <c r="B135" i="9"/>
  <c r="C134" i="9"/>
  <c r="B134" i="9"/>
  <c r="C133" i="9"/>
  <c r="B133" i="9"/>
  <c r="C132" i="9"/>
  <c r="B132" i="9"/>
  <c r="C131" i="9"/>
  <c r="B131" i="9"/>
  <c r="C130" i="9"/>
  <c r="B130" i="9"/>
  <c r="C129" i="9"/>
  <c r="B129" i="9"/>
  <c r="C128" i="9"/>
  <c r="B128" i="9"/>
  <c r="C127" i="9"/>
  <c r="B127" i="9"/>
  <c r="C126" i="9"/>
  <c r="B126" i="9"/>
  <c r="C125" i="9"/>
  <c r="B125" i="9"/>
  <c r="C124" i="9"/>
  <c r="B124" i="9"/>
  <c r="C123" i="9"/>
  <c r="B123" i="9"/>
  <c r="C122" i="9"/>
  <c r="B122" i="9"/>
  <c r="C119" i="9"/>
  <c r="B119" i="9"/>
  <c r="C118" i="9"/>
  <c r="B118" i="9"/>
  <c r="C117" i="9"/>
  <c r="B117" i="9"/>
  <c r="C116" i="9"/>
  <c r="B116" i="9"/>
  <c r="C115" i="9"/>
  <c r="B115" i="9"/>
  <c r="B114" i="9"/>
  <c r="C113" i="9"/>
  <c r="B113" i="9"/>
  <c r="C112" i="9"/>
  <c r="B112" i="9"/>
  <c r="C111" i="9"/>
  <c r="B111" i="9"/>
  <c r="B110" i="9"/>
  <c r="B109" i="9"/>
  <c r="B108" i="9"/>
  <c r="C107" i="9"/>
  <c r="B107" i="9"/>
  <c r="C106" i="9"/>
  <c r="B106" i="9"/>
  <c r="B105" i="9"/>
  <c r="C99" i="9"/>
  <c r="B99" i="9"/>
  <c r="C98" i="9"/>
  <c r="B98" i="9"/>
  <c r="C97" i="9"/>
  <c r="B97" i="9"/>
  <c r="B96" i="9"/>
  <c r="C93" i="9"/>
  <c r="B93" i="9"/>
  <c r="C92" i="9"/>
  <c r="B92" i="9"/>
  <c r="C91" i="9"/>
  <c r="B91" i="9"/>
  <c r="C90" i="9"/>
  <c r="B90" i="9"/>
  <c r="C89" i="9"/>
  <c r="B89" i="9"/>
  <c r="C88" i="9"/>
  <c r="C87" i="9" s="1"/>
  <c r="B88" i="9"/>
  <c r="C84" i="9"/>
  <c r="B84" i="9"/>
  <c r="C81" i="9"/>
  <c r="B81" i="9"/>
  <c r="C80" i="9"/>
  <c r="C79" i="9" s="1"/>
  <c r="B80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B67" i="9"/>
  <c r="C66" i="9"/>
  <c r="B66" i="9"/>
  <c r="B64" i="9"/>
  <c r="C62" i="9"/>
  <c r="B63" i="9"/>
  <c r="B61" i="9"/>
  <c r="B60" i="9"/>
  <c r="C54" i="9"/>
  <c r="B54" i="9"/>
  <c r="C53" i="9"/>
  <c r="B53" i="9"/>
  <c r="C52" i="9"/>
  <c r="B52" i="9"/>
  <c r="C51" i="9"/>
  <c r="B51" i="9"/>
  <c r="C50" i="9"/>
  <c r="B50" i="9"/>
  <c r="C49" i="9"/>
  <c r="C48" i="9" s="1"/>
  <c r="B49" i="9"/>
  <c r="C45" i="9"/>
  <c r="B45" i="9"/>
  <c r="C44" i="9"/>
  <c r="B44" i="9"/>
  <c r="B43" i="9"/>
  <c r="C42" i="9"/>
  <c r="B42" i="9"/>
  <c r="B41" i="9"/>
  <c r="C38" i="9"/>
  <c r="B38" i="9"/>
  <c r="C37" i="9"/>
  <c r="B37" i="9"/>
  <c r="C36" i="9"/>
  <c r="B36" i="9"/>
  <c r="C33" i="9"/>
  <c r="B33" i="9"/>
  <c r="B32" i="9"/>
  <c r="C29" i="9"/>
  <c r="B29" i="9"/>
  <c r="C28" i="9"/>
  <c r="B28" i="9"/>
  <c r="B27" i="9"/>
  <c r="C26" i="9"/>
  <c r="B26" i="9"/>
  <c r="C25" i="9"/>
  <c r="B25" i="9"/>
  <c r="B24" i="9"/>
  <c r="B23" i="9"/>
  <c r="C20" i="9"/>
  <c r="B20" i="9"/>
  <c r="C19" i="9"/>
  <c r="B19" i="9"/>
  <c r="C18" i="9"/>
  <c r="B18" i="9"/>
  <c r="C17" i="9"/>
  <c r="B17" i="9"/>
  <c r="C16" i="9"/>
  <c r="B16" i="9"/>
  <c r="C15" i="9"/>
  <c r="B15" i="9"/>
  <c r="B12" i="9"/>
  <c r="B11" i="9"/>
  <c r="AE281" i="12"/>
  <c r="AE280" i="12"/>
  <c r="AE279" i="12"/>
  <c r="AE278" i="12"/>
  <c r="AE277" i="12"/>
  <c r="AE276" i="12"/>
  <c r="AE275" i="12"/>
  <c r="AE274" i="12"/>
  <c r="AE272" i="12"/>
  <c r="AE271" i="12"/>
  <c r="AE270" i="12"/>
  <c r="AE269" i="12"/>
  <c r="AE268" i="12"/>
  <c r="AE266" i="12"/>
  <c r="AE265" i="12"/>
  <c r="AE264" i="12"/>
  <c r="AE263" i="12"/>
  <c r="AE262" i="12"/>
  <c r="AE261" i="12"/>
  <c r="AE260" i="12"/>
  <c r="AE259" i="12"/>
  <c r="AE258" i="12"/>
  <c r="AE256" i="12"/>
  <c r="AE255" i="12"/>
  <c r="AE254" i="12"/>
  <c r="AE252" i="12"/>
  <c r="AE251" i="12"/>
  <c r="AE250" i="12"/>
  <c r="AE248" i="12"/>
  <c r="AE247" i="12"/>
  <c r="AE246" i="12"/>
  <c r="AE245" i="12"/>
  <c r="AE244" i="12"/>
  <c r="AE243" i="12"/>
  <c r="AE240" i="12"/>
  <c r="AE239" i="12"/>
  <c r="AE238" i="12"/>
  <c r="AE237" i="12"/>
  <c r="AE236" i="12"/>
  <c r="AE235" i="12"/>
  <c r="AE234" i="12"/>
  <c r="AE233" i="12"/>
  <c r="AE231" i="12"/>
  <c r="AE230" i="12"/>
  <c r="AE229" i="12"/>
  <c r="AE228" i="12"/>
  <c r="AE227" i="12"/>
  <c r="AE226" i="12"/>
  <c r="AE225" i="12"/>
  <c r="AE224" i="12"/>
  <c r="AE223" i="12"/>
  <c r="AE222" i="12"/>
  <c r="AE221" i="12"/>
  <c r="AE220" i="12"/>
  <c r="AE219" i="12"/>
  <c r="AE218" i="12"/>
  <c r="AE217" i="12"/>
  <c r="AE216" i="12"/>
  <c r="AE215" i="12"/>
  <c r="AE214" i="12"/>
  <c r="AE213" i="12"/>
  <c r="AE212" i="12"/>
  <c r="AE211" i="12"/>
  <c r="AE210" i="12"/>
  <c r="AE209" i="12"/>
  <c r="AE208" i="12"/>
  <c r="AE207" i="12"/>
  <c r="AE206" i="12"/>
  <c r="AE205" i="12"/>
  <c r="AE204" i="12"/>
  <c r="AE203" i="12"/>
  <c r="AE202" i="12"/>
  <c r="AE201" i="12"/>
  <c r="AE200" i="12"/>
  <c r="AE199" i="12"/>
  <c r="AE198" i="12"/>
  <c r="AE197" i="12"/>
  <c r="AE196" i="12"/>
  <c r="AE195" i="12"/>
  <c r="AE194" i="12"/>
  <c r="AE193" i="12"/>
  <c r="AE192" i="12"/>
  <c r="AE191" i="12"/>
  <c r="AE190" i="12"/>
  <c r="AE189" i="12"/>
  <c r="AE188" i="12"/>
  <c r="AE187" i="12"/>
  <c r="AE186" i="12"/>
  <c r="AE185" i="12"/>
  <c r="AE184" i="12"/>
  <c r="AE183" i="12"/>
  <c r="AE182" i="12"/>
  <c r="AE181" i="12"/>
  <c r="AE180" i="12"/>
  <c r="AE179" i="12"/>
  <c r="AE178" i="12"/>
  <c r="AE177" i="12"/>
  <c r="AE176" i="12"/>
  <c r="AE175" i="12"/>
  <c r="AE174" i="12"/>
  <c r="AE173" i="12"/>
  <c r="AE172" i="12"/>
  <c r="AE171" i="12"/>
  <c r="AE170" i="12"/>
  <c r="AE169" i="12"/>
  <c r="AE168" i="12"/>
  <c r="AE167" i="12"/>
  <c r="AE166" i="12"/>
  <c r="AE165" i="12"/>
  <c r="AE164" i="12"/>
  <c r="AE163" i="12"/>
  <c r="AE162" i="12"/>
  <c r="AE161" i="12"/>
  <c r="AE160" i="12"/>
  <c r="AE159" i="12"/>
  <c r="AE158" i="12"/>
  <c r="AE157" i="12"/>
  <c r="AE156" i="12"/>
  <c r="AE155" i="12"/>
  <c r="AE154" i="12"/>
  <c r="AE153" i="12"/>
  <c r="AE152" i="12"/>
  <c r="AE151" i="12"/>
  <c r="AE150" i="12"/>
  <c r="AE149" i="12"/>
  <c r="AE148" i="12"/>
  <c r="AE147" i="12"/>
  <c r="AE146" i="12"/>
  <c r="AE145" i="12"/>
  <c r="AE144" i="12"/>
  <c r="AE143" i="12"/>
  <c r="AE142" i="12"/>
  <c r="AE141" i="12"/>
  <c r="AE140" i="12"/>
  <c r="AE139" i="12"/>
  <c r="AE138" i="12"/>
  <c r="AE137" i="12"/>
  <c r="AE136" i="12"/>
  <c r="AE135" i="12"/>
  <c r="AE134" i="12"/>
  <c r="AE133" i="12"/>
  <c r="AE132" i="12"/>
  <c r="AE131" i="12"/>
  <c r="AE130" i="12"/>
  <c r="AE129" i="12"/>
  <c r="AE127" i="12"/>
  <c r="AE126" i="12"/>
  <c r="AE125" i="12"/>
  <c r="AE124" i="12"/>
  <c r="AE123" i="12"/>
  <c r="AE122" i="12"/>
  <c r="AE121" i="12"/>
  <c r="AE120" i="12"/>
  <c r="AE119" i="12"/>
  <c r="AE118" i="12"/>
  <c r="AE117" i="12"/>
  <c r="AE116" i="12"/>
  <c r="AE115" i="12"/>
  <c r="AE114" i="12"/>
  <c r="AE113" i="12"/>
  <c r="AE112" i="12"/>
  <c r="AE111" i="12"/>
  <c r="AE110" i="12"/>
  <c r="AE109" i="12"/>
  <c r="AE108" i="12"/>
  <c r="AE107" i="12"/>
  <c r="AE106" i="12"/>
  <c r="AE105" i="12"/>
  <c r="AE104" i="12"/>
  <c r="AE103" i="12"/>
  <c r="AE102" i="12"/>
  <c r="AE101" i="12"/>
  <c r="AE100" i="12"/>
  <c r="AE99" i="12"/>
  <c r="AE98" i="12"/>
  <c r="AE97" i="12"/>
  <c r="AE96" i="12"/>
  <c r="AE95" i="12"/>
  <c r="AE94" i="12"/>
  <c r="AE93" i="12"/>
  <c r="AE92" i="12"/>
  <c r="AE91" i="12"/>
  <c r="AE90" i="12"/>
  <c r="AE89" i="12"/>
  <c r="AE88" i="12"/>
  <c r="AE87" i="12"/>
  <c r="AE86" i="12"/>
  <c r="AE85" i="12"/>
  <c r="AE84" i="12"/>
  <c r="AE83" i="12"/>
  <c r="AE82" i="12"/>
  <c r="AE81" i="12"/>
  <c r="AE80" i="12"/>
  <c r="AE79" i="12"/>
  <c r="AE78" i="12"/>
  <c r="AE77" i="12"/>
  <c r="AE76" i="12"/>
  <c r="AE75" i="12"/>
  <c r="AE74" i="12"/>
  <c r="AE73" i="12"/>
  <c r="AE72" i="12"/>
  <c r="AE71" i="12"/>
  <c r="AE70" i="12"/>
  <c r="AE69" i="12"/>
  <c r="AE68" i="12"/>
  <c r="AE67" i="12"/>
  <c r="AE66" i="12"/>
  <c r="AE65" i="12"/>
  <c r="AE64" i="12"/>
  <c r="AE63" i="12"/>
  <c r="AE62" i="12"/>
  <c r="AE61" i="12"/>
  <c r="AE60" i="12"/>
  <c r="AE59" i="12"/>
  <c r="AE58" i="12"/>
  <c r="AE57" i="12"/>
  <c r="AE56" i="12"/>
  <c r="AE55" i="12"/>
  <c r="AE54" i="12"/>
  <c r="AE53" i="12"/>
  <c r="AE52" i="12"/>
  <c r="AE51" i="12"/>
  <c r="AE50" i="12"/>
  <c r="AE49" i="12"/>
  <c r="AE48" i="12"/>
  <c r="AE47" i="12"/>
  <c r="AE46" i="12"/>
  <c r="AE45" i="12"/>
  <c r="AE44" i="12"/>
  <c r="AE43" i="12"/>
  <c r="AE42" i="12"/>
  <c r="AE41" i="12"/>
  <c r="AE40" i="12"/>
  <c r="AE39" i="12"/>
  <c r="AE38" i="12"/>
  <c r="AE37" i="12"/>
  <c r="AE36" i="12"/>
  <c r="AE35" i="12"/>
  <c r="AE34" i="12"/>
  <c r="AE33" i="12"/>
  <c r="AE32" i="12"/>
  <c r="AE31" i="12"/>
  <c r="AE30" i="12"/>
  <c r="AE29" i="12"/>
  <c r="AE28" i="12"/>
  <c r="AE27" i="12"/>
  <c r="AE26" i="12"/>
  <c r="AE25" i="12"/>
  <c r="AE24" i="12"/>
  <c r="AE22" i="12"/>
  <c r="AE21" i="12"/>
  <c r="AE20" i="12"/>
  <c r="AE19" i="12"/>
  <c r="AE18" i="12"/>
  <c r="AE17" i="12"/>
  <c r="AE16" i="12"/>
  <c r="AE15" i="12"/>
  <c r="AE14" i="12"/>
  <c r="AE13" i="12"/>
  <c r="AE12" i="12"/>
  <c r="AE11" i="12"/>
  <c r="AE10" i="12"/>
  <c r="AE9" i="12"/>
  <c r="AE8" i="12"/>
  <c r="A59" i="11"/>
  <c r="D52" i="11"/>
  <c r="D9" i="11"/>
  <c r="B9" i="11"/>
  <c r="D8" i="11"/>
  <c r="B8" i="11"/>
  <c r="E7" i="11"/>
  <c r="A6" i="11"/>
  <c r="A2" i="11"/>
  <c r="A1" i="11"/>
  <c r="B41" i="10"/>
  <c r="F34" i="10"/>
  <c r="G29" i="10"/>
  <c r="F29" i="10"/>
  <c r="F9" i="10"/>
  <c r="D9" i="10"/>
  <c r="F8" i="10"/>
  <c r="D8" i="10"/>
  <c r="A5" i="10"/>
  <c r="A2" i="10"/>
  <c r="A1" i="10"/>
  <c r="A166" i="9"/>
  <c r="B159" i="9"/>
  <c r="B157" i="9"/>
  <c r="C59" i="9"/>
  <c r="C7" i="9"/>
  <c r="C102" i="9" s="1"/>
  <c r="B7" i="9"/>
  <c r="B137" i="9" s="1"/>
  <c r="C6" i="9"/>
  <c r="A5" i="9"/>
  <c r="A2" i="9"/>
  <c r="A1" i="9"/>
  <c r="A10" i="8"/>
  <c r="A2" i="8"/>
  <c r="A1" i="8"/>
  <c r="C7" i="6"/>
  <c r="B64" i="5"/>
  <c r="B55" i="5"/>
  <c r="B73" i="5" s="1"/>
  <c r="B53" i="5"/>
  <c r="B71" i="5" s="1"/>
  <c r="B51" i="5"/>
  <c r="B60" i="5" s="1"/>
  <c r="B50" i="5"/>
  <c r="B68" i="5" s="1"/>
  <c r="B47" i="5"/>
  <c r="B46" i="5"/>
  <c r="B44" i="5"/>
  <c r="B43" i="5"/>
  <c r="B41" i="5"/>
  <c r="B36" i="5"/>
  <c r="B45" i="5" s="1"/>
  <c r="B34" i="5"/>
  <c r="B52" i="5" s="1"/>
  <c r="B33" i="5"/>
  <c r="B42" i="5" s="1"/>
  <c r="B32" i="5"/>
  <c r="B29" i="5"/>
  <c r="B28" i="5"/>
  <c r="B27" i="5"/>
  <c r="B26" i="5"/>
  <c r="B25" i="5"/>
  <c r="B24" i="5"/>
  <c r="B23" i="5"/>
  <c r="BL9" i="4"/>
  <c r="BM9" i="4"/>
  <c r="BN9" i="4"/>
  <c r="BR9" i="4"/>
  <c r="BS9" i="4"/>
  <c r="BT9" i="4"/>
  <c r="BU9" i="4"/>
  <c r="BV9" i="4"/>
  <c r="BW9" i="4"/>
  <c r="BL10" i="4"/>
  <c r="BM10" i="4"/>
  <c r="BM11" i="4" s="1"/>
  <c r="BN10" i="4"/>
  <c r="BR10" i="4"/>
  <c r="BR11" i="4" s="1"/>
  <c r="BS10" i="4"/>
  <c r="BS11" i="4" s="1"/>
  <c r="BT10" i="4"/>
  <c r="BU10" i="4"/>
  <c r="BU11" i="4" s="1"/>
  <c r="BV10" i="4"/>
  <c r="BW10" i="4"/>
  <c r="BT11" i="4"/>
  <c r="BV11" i="4"/>
  <c r="BW11" i="4"/>
  <c r="BL12" i="4"/>
  <c r="BL14" i="4" s="1"/>
  <c r="BM12" i="4"/>
  <c r="BN12" i="4"/>
  <c r="BR12" i="4"/>
  <c r="BS12" i="4"/>
  <c r="BT12" i="4"/>
  <c r="BU12" i="4"/>
  <c r="BV12" i="4"/>
  <c r="BW12" i="4"/>
  <c r="BL16" i="4"/>
  <c r="BR16" i="4"/>
  <c r="BS16" i="4"/>
  <c r="BT16" i="4"/>
  <c r="BT29" i="4" s="1"/>
  <c r="BU16" i="4"/>
  <c r="BV16" i="4"/>
  <c r="BV29" i="4" s="1"/>
  <c r="BW16" i="4"/>
  <c r="BW29" i="4" s="1"/>
  <c r="BM29" i="4"/>
  <c r="BR29" i="4"/>
  <c r="BS29" i="4"/>
  <c r="BU29" i="4"/>
  <c r="BL30" i="4"/>
  <c r="BM30" i="4"/>
  <c r="BM31" i="4" s="1"/>
  <c r="BN30" i="4"/>
  <c r="BR30" i="4"/>
  <c r="BS30" i="4"/>
  <c r="BT30" i="4"/>
  <c r="BT31" i="4" s="1"/>
  <c r="BU30" i="4"/>
  <c r="BV30" i="4"/>
  <c r="BV31" i="4" s="1"/>
  <c r="BW30" i="4"/>
  <c r="BW31" i="4" s="1"/>
  <c r="BR31" i="4"/>
  <c r="BS31" i="4"/>
  <c r="BU31" i="4"/>
  <c r="BM32" i="4"/>
  <c r="BM33" i="4" s="1"/>
  <c r="BN32" i="4"/>
  <c r="BR32" i="4"/>
  <c r="BS32" i="4"/>
  <c r="BT32" i="4"/>
  <c r="BT33" i="4" s="1"/>
  <c r="BU32" i="4"/>
  <c r="BV32" i="4"/>
  <c r="BV33" i="4" s="1"/>
  <c r="BW32" i="4"/>
  <c r="BW33" i="4" s="1"/>
  <c r="BR33" i="4"/>
  <c r="BS33" i="4"/>
  <c r="BU33" i="4"/>
  <c r="BM35" i="4"/>
  <c r="BN34" i="4"/>
  <c r="BR34" i="4"/>
  <c r="BS34" i="4"/>
  <c r="BT34" i="4"/>
  <c r="BT35" i="4" s="1"/>
  <c r="BU34" i="4"/>
  <c r="BV34" i="4"/>
  <c r="BV35" i="4" s="1"/>
  <c r="BW34" i="4"/>
  <c r="BW35" i="4" s="1"/>
  <c r="BR35" i="4"/>
  <c r="BS35" i="4"/>
  <c r="BU35" i="4"/>
  <c r="BL36" i="4"/>
  <c r="BM36" i="4"/>
  <c r="BN36" i="4"/>
  <c r="BN37" i="4" s="1"/>
  <c r="BR36" i="4"/>
  <c r="BS36" i="4"/>
  <c r="BT36" i="4"/>
  <c r="BT37" i="4" s="1"/>
  <c r="BU36" i="4"/>
  <c r="BV36" i="4"/>
  <c r="BV37" i="4" s="1"/>
  <c r="BW36" i="4"/>
  <c r="BW37" i="4" s="1"/>
  <c r="BM37" i="4"/>
  <c r="BR37" i="4"/>
  <c r="BS37" i="4"/>
  <c r="BU37" i="4"/>
  <c r="BM38" i="4"/>
  <c r="BM39" i="4" s="1"/>
  <c r="BN38" i="4"/>
  <c r="BR38" i="4"/>
  <c r="BS38" i="4"/>
  <c r="BT38" i="4"/>
  <c r="BT39" i="4" s="1"/>
  <c r="BU38" i="4"/>
  <c r="BV38" i="4"/>
  <c r="BV39" i="4" s="1"/>
  <c r="BW38" i="4"/>
  <c r="BW39" i="4" s="1"/>
  <c r="BR39" i="4"/>
  <c r="BS39" i="4"/>
  <c r="BU39" i="4"/>
  <c r="BL40" i="4"/>
  <c r="BM48" i="4"/>
  <c r="BR40" i="4"/>
  <c r="BS40" i="4"/>
  <c r="BT40" i="4"/>
  <c r="BT48" i="4" s="1"/>
  <c r="BU40" i="4"/>
  <c r="BV40" i="4"/>
  <c r="BV48" i="4" s="1"/>
  <c r="BW40" i="4"/>
  <c r="BW48" i="4" s="1"/>
  <c r="BR48" i="4"/>
  <c r="BS48" i="4"/>
  <c r="BU48" i="4"/>
  <c r="BL49" i="4"/>
  <c r="BN49" i="4"/>
  <c r="BN54" i="4" s="1"/>
  <c r="BR49" i="4"/>
  <c r="BS49" i="4"/>
  <c r="BT49" i="4"/>
  <c r="BT54" i="4" s="1"/>
  <c r="BU49" i="4"/>
  <c r="BV49" i="4"/>
  <c r="BV54" i="4" s="1"/>
  <c r="BW49" i="4"/>
  <c r="BW54" i="4" s="1"/>
  <c r="BR54" i="4"/>
  <c r="BS54" i="4"/>
  <c r="BU54" i="4"/>
  <c r="BL55" i="4"/>
  <c r="BM55" i="4"/>
  <c r="BN55" i="4"/>
  <c r="BR55" i="4"/>
  <c r="BS55" i="4"/>
  <c r="BT55" i="4"/>
  <c r="BU55" i="4"/>
  <c r="BV55" i="4"/>
  <c r="BW55" i="4"/>
  <c r="BL56" i="4"/>
  <c r="BM56" i="4"/>
  <c r="BM57" i="4" s="1"/>
  <c r="BN56" i="4"/>
  <c r="BR56" i="4"/>
  <c r="BR57" i="4" s="1"/>
  <c r="BS56" i="4"/>
  <c r="BS57" i="4" s="1"/>
  <c r="BT56" i="4"/>
  <c r="BU56" i="4"/>
  <c r="BU57" i="4" s="1"/>
  <c r="BV56" i="4"/>
  <c r="BW56" i="4"/>
  <c r="BT57" i="4"/>
  <c r="BV57" i="4"/>
  <c r="BW57" i="4"/>
  <c r="BJ56" i="4"/>
  <c r="BI56" i="4"/>
  <c r="BH56" i="4"/>
  <c r="BG56" i="4"/>
  <c r="BF56" i="4"/>
  <c r="BE56" i="4"/>
  <c r="BD56" i="4"/>
  <c r="BD57" i="4" s="1"/>
  <c r="BC56" i="4"/>
  <c r="BB56" i="4"/>
  <c r="BA56" i="4"/>
  <c r="AZ56" i="4"/>
  <c r="AY56" i="4"/>
  <c r="AX56" i="4"/>
  <c r="AW56" i="4"/>
  <c r="AV56" i="4"/>
  <c r="AV57" i="4" s="1"/>
  <c r="AU56" i="4"/>
  <c r="AT56" i="4"/>
  <c r="AS56" i="4"/>
  <c r="AR56" i="4"/>
  <c r="AQ56" i="4"/>
  <c r="AP56" i="4"/>
  <c r="AO56" i="4"/>
  <c r="AN56" i="4"/>
  <c r="AN57" i="4" s="1"/>
  <c r="AM56" i="4"/>
  <c r="AL56" i="4"/>
  <c r="AK56" i="4"/>
  <c r="AJ56" i="4"/>
  <c r="AI56" i="4"/>
  <c r="AH56" i="4"/>
  <c r="AG56" i="4"/>
  <c r="AF56" i="4"/>
  <c r="AF57" i="4" s="1"/>
  <c r="AE56" i="4"/>
  <c r="AD56" i="4"/>
  <c r="AC56" i="4"/>
  <c r="AB56" i="4"/>
  <c r="AA56" i="4"/>
  <c r="Z56" i="4"/>
  <c r="Y56" i="4"/>
  <c r="X56" i="4"/>
  <c r="X57" i="4" s="1"/>
  <c r="W56" i="4"/>
  <c r="V56" i="4"/>
  <c r="U56" i="4"/>
  <c r="T56" i="4"/>
  <c r="S56" i="4"/>
  <c r="R56" i="4"/>
  <c r="Q56" i="4"/>
  <c r="P56" i="4"/>
  <c r="P57" i="4" s="1"/>
  <c r="O56" i="4"/>
  <c r="N56" i="4"/>
  <c r="M56" i="4"/>
  <c r="L56" i="4"/>
  <c r="K56" i="4"/>
  <c r="J56" i="4"/>
  <c r="I56" i="4"/>
  <c r="H56" i="4"/>
  <c r="H57" i="4" s="1"/>
  <c r="G56" i="4"/>
  <c r="F56" i="4"/>
  <c r="E56" i="4"/>
  <c r="D56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BJ49" i="4"/>
  <c r="BI49" i="4"/>
  <c r="BH49" i="4"/>
  <c r="BG49" i="4"/>
  <c r="BF49" i="4"/>
  <c r="BE49" i="4"/>
  <c r="BD49" i="4"/>
  <c r="BD54" i="4" s="1"/>
  <c r="BC49" i="4"/>
  <c r="BB49" i="4"/>
  <c r="BA49" i="4"/>
  <c r="AZ49" i="4"/>
  <c r="AY49" i="4"/>
  <c r="AX49" i="4"/>
  <c r="AW49" i="4"/>
  <c r="AV49" i="4"/>
  <c r="AV54" i="4" s="1"/>
  <c r="AU49" i="4"/>
  <c r="AT49" i="4"/>
  <c r="AS49" i="4"/>
  <c r="AR49" i="4"/>
  <c r="AQ49" i="4"/>
  <c r="AP49" i="4"/>
  <c r="AO49" i="4"/>
  <c r="AN49" i="4"/>
  <c r="AN54" i="4" s="1"/>
  <c r="AM49" i="4"/>
  <c r="AL49" i="4"/>
  <c r="AK49" i="4"/>
  <c r="AJ49" i="4"/>
  <c r="AI49" i="4"/>
  <c r="AH49" i="4"/>
  <c r="AG49" i="4"/>
  <c r="AF49" i="4"/>
  <c r="AF54" i="4" s="1"/>
  <c r="AE49" i="4"/>
  <c r="AD49" i="4"/>
  <c r="AC49" i="4"/>
  <c r="AB49" i="4"/>
  <c r="AA49" i="4"/>
  <c r="Z49" i="4"/>
  <c r="Y49" i="4"/>
  <c r="X49" i="4"/>
  <c r="X54" i="4" s="1"/>
  <c r="W49" i="4"/>
  <c r="V49" i="4"/>
  <c r="U49" i="4"/>
  <c r="T49" i="4"/>
  <c r="S49" i="4"/>
  <c r="R49" i="4"/>
  <c r="Q49" i="4"/>
  <c r="P49" i="4"/>
  <c r="P54" i="4" s="1"/>
  <c r="O49" i="4"/>
  <c r="N49" i="4"/>
  <c r="M49" i="4"/>
  <c r="L49" i="4"/>
  <c r="K49" i="4"/>
  <c r="J49" i="4"/>
  <c r="I49" i="4"/>
  <c r="H49" i="4"/>
  <c r="H54" i="4" s="1"/>
  <c r="G49" i="4"/>
  <c r="F49" i="4"/>
  <c r="E49" i="4"/>
  <c r="D49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BJ38" i="4"/>
  <c r="BI38" i="4"/>
  <c r="BH38" i="4"/>
  <c r="BG38" i="4"/>
  <c r="BF38" i="4"/>
  <c r="BE38" i="4"/>
  <c r="BD38" i="4"/>
  <c r="BD39" i="4" s="1"/>
  <c r="BC38" i="4"/>
  <c r="BB38" i="4"/>
  <c r="BA38" i="4"/>
  <c r="AZ38" i="4"/>
  <c r="AY38" i="4"/>
  <c r="AX38" i="4"/>
  <c r="AW38" i="4"/>
  <c r="AV38" i="4"/>
  <c r="AV39" i="4" s="1"/>
  <c r="AU38" i="4"/>
  <c r="AT38" i="4"/>
  <c r="AS38" i="4"/>
  <c r="AR38" i="4"/>
  <c r="AQ38" i="4"/>
  <c r="AP38" i="4"/>
  <c r="AO38" i="4"/>
  <c r="AN38" i="4"/>
  <c r="AN39" i="4" s="1"/>
  <c r="AM38" i="4"/>
  <c r="AL38" i="4"/>
  <c r="AK38" i="4"/>
  <c r="AJ38" i="4"/>
  <c r="AI38" i="4"/>
  <c r="AH38" i="4"/>
  <c r="AG38" i="4"/>
  <c r="AF38" i="4"/>
  <c r="AF39" i="4" s="1"/>
  <c r="AE38" i="4"/>
  <c r="AD38" i="4"/>
  <c r="AC38" i="4"/>
  <c r="AB38" i="4"/>
  <c r="AA38" i="4"/>
  <c r="Z38" i="4"/>
  <c r="Y38" i="4"/>
  <c r="X38" i="4"/>
  <c r="X39" i="4" s="1"/>
  <c r="W38" i="4"/>
  <c r="V38" i="4"/>
  <c r="U38" i="4"/>
  <c r="T38" i="4"/>
  <c r="S38" i="4"/>
  <c r="R38" i="4"/>
  <c r="Q38" i="4"/>
  <c r="P38" i="4"/>
  <c r="P39" i="4" s="1"/>
  <c r="O38" i="4"/>
  <c r="N38" i="4"/>
  <c r="M38" i="4"/>
  <c r="L38" i="4"/>
  <c r="K38" i="4"/>
  <c r="J38" i="4"/>
  <c r="I38" i="4"/>
  <c r="H38" i="4"/>
  <c r="H39" i="4" s="1"/>
  <c r="G38" i="4"/>
  <c r="F38" i="4"/>
  <c r="E38" i="4"/>
  <c r="D38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BJ34" i="4"/>
  <c r="BI34" i="4"/>
  <c r="BH34" i="4"/>
  <c r="BG34" i="4"/>
  <c r="BF34" i="4"/>
  <c r="BE34" i="4"/>
  <c r="BD34" i="4"/>
  <c r="BD35" i="4" s="1"/>
  <c r="BC34" i="4"/>
  <c r="BB34" i="4"/>
  <c r="BA34" i="4"/>
  <c r="AZ34" i="4"/>
  <c r="AY34" i="4"/>
  <c r="AX34" i="4"/>
  <c r="AW34" i="4"/>
  <c r="AV34" i="4"/>
  <c r="AV35" i="4" s="1"/>
  <c r="AU34" i="4"/>
  <c r="AT34" i="4"/>
  <c r="AS34" i="4"/>
  <c r="AR34" i="4"/>
  <c r="AQ34" i="4"/>
  <c r="AP34" i="4"/>
  <c r="AO34" i="4"/>
  <c r="AN34" i="4"/>
  <c r="AN35" i="4" s="1"/>
  <c r="AM34" i="4"/>
  <c r="AL34" i="4"/>
  <c r="AK34" i="4"/>
  <c r="AJ34" i="4"/>
  <c r="AI34" i="4"/>
  <c r="AH34" i="4"/>
  <c r="AG34" i="4"/>
  <c r="AF34" i="4"/>
  <c r="AF35" i="4" s="1"/>
  <c r="AE34" i="4"/>
  <c r="AD34" i="4"/>
  <c r="AC34" i="4"/>
  <c r="AB34" i="4"/>
  <c r="AA34" i="4"/>
  <c r="Z34" i="4"/>
  <c r="Y34" i="4"/>
  <c r="X34" i="4"/>
  <c r="X35" i="4" s="1"/>
  <c r="W34" i="4"/>
  <c r="V34" i="4"/>
  <c r="U34" i="4"/>
  <c r="T34" i="4"/>
  <c r="S34" i="4"/>
  <c r="R34" i="4"/>
  <c r="Q34" i="4"/>
  <c r="P34" i="4"/>
  <c r="P35" i="4" s="1"/>
  <c r="O34" i="4"/>
  <c r="N34" i="4"/>
  <c r="M34" i="4"/>
  <c r="L34" i="4"/>
  <c r="K34" i="4"/>
  <c r="J34" i="4"/>
  <c r="I34" i="4"/>
  <c r="H34" i="4"/>
  <c r="H35" i="4" s="1"/>
  <c r="G34" i="4"/>
  <c r="F34" i="4"/>
  <c r="E34" i="4"/>
  <c r="D34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BJ30" i="4"/>
  <c r="BI30" i="4"/>
  <c r="BH30" i="4"/>
  <c r="BG30" i="4"/>
  <c r="BF30" i="4"/>
  <c r="BE30" i="4"/>
  <c r="BD30" i="4"/>
  <c r="BD31" i="4" s="1"/>
  <c r="BC30" i="4"/>
  <c r="BB30" i="4"/>
  <c r="BA30" i="4"/>
  <c r="AZ30" i="4"/>
  <c r="AY30" i="4"/>
  <c r="AX30" i="4"/>
  <c r="AW30" i="4"/>
  <c r="AV30" i="4"/>
  <c r="AV31" i="4" s="1"/>
  <c r="AU30" i="4"/>
  <c r="AT30" i="4"/>
  <c r="AS30" i="4"/>
  <c r="AR30" i="4"/>
  <c r="AQ30" i="4"/>
  <c r="AP30" i="4"/>
  <c r="AO30" i="4"/>
  <c r="AN30" i="4"/>
  <c r="AN31" i="4" s="1"/>
  <c r="AM30" i="4"/>
  <c r="AL30" i="4"/>
  <c r="AK30" i="4"/>
  <c r="AJ30" i="4"/>
  <c r="AI30" i="4"/>
  <c r="AH30" i="4"/>
  <c r="AG30" i="4"/>
  <c r="AF30" i="4"/>
  <c r="AF31" i="4" s="1"/>
  <c r="AE30" i="4"/>
  <c r="AD30" i="4"/>
  <c r="AC30" i="4"/>
  <c r="AB30" i="4"/>
  <c r="AA30" i="4"/>
  <c r="Z30" i="4"/>
  <c r="Y30" i="4"/>
  <c r="X30" i="4"/>
  <c r="X31" i="4" s="1"/>
  <c r="W30" i="4"/>
  <c r="V30" i="4"/>
  <c r="U30" i="4"/>
  <c r="T30" i="4"/>
  <c r="S30" i="4"/>
  <c r="R30" i="4"/>
  <c r="Q30" i="4"/>
  <c r="P30" i="4"/>
  <c r="P31" i="4" s="1"/>
  <c r="O30" i="4"/>
  <c r="N30" i="4"/>
  <c r="M30" i="4"/>
  <c r="L30" i="4"/>
  <c r="K30" i="4"/>
  <c r="J30" i="4"/>
  <c r="I30" i="4"/>
  <c r="H30" i="4"/>
  <c r="H31" i="4" s="1"/>
  <c r="G30" i="4"/>
  <c r="F30" i="4"/>
  <c r="E30" i="4"/>
  <c r="D30" i="4"/>
  <c r="BJ16" i="4"/>
  <c r="BJ29" i="4" s="1"/>
  <c r="BI16" i="4"/>
  <c r="BH16" i="4"/>
  <c r="BG16" i="4"/>
  <c r="BF16" i="4"/>
  <c r="BE16" i="4"/>
  <c r="BD16" i="4"/>
  <c r="BC16" i="4"/>
  <c r="BB16" i="4"/>
  <c r="BB29" i="4" s="1"/>
  <c r="BA16" i="4"/>
  <c r="AZ16" i="4"/>
  <c r="AY16" i="4"/>
  <c r="AX16" i="4"/>
  <c r="AW16" i="4"/>
  <c r="AV16" i="4"/>
  <c r="AU16" i="4"/>
  <c r="AT16" i="4"/>
  <c r="AT29" i="4" s="1"/>
  <c r="AS16" i="4"/>
  <c r="AR16" i="4"/>
  <c r="AQ16" i="4"/>
  <c r="AP16" i="4"/>
  <c r="AO16" i="4"/>
  <c r="AN16" i="4"/>
  <c r="AM16" i="4"/>
  <c r="AL16" i="4"/>
  <c r="AL29" i="4" s="1"/>
  <c r="AK16" i="4"/>
  <c r="AJ16" i="4"/>
  <c r="AI16" i="4"/>
  <c r="AH16" i="4"/>
  <c r="AG16" i="4"/>
  <c r="AF16" i="4"/>
  <c r="AE16" i="4"/>
  <c r="AD16" i="4"/>
  <c r="AD29" i="4" s="1"/>
  <c r="AC16" i="4"/>
  <c r="AB16" i="4"/>
  <c r="AA16" i="4"/>
  <c r="Z16" i="4"/>
  <c r="Y16" i="4"/>
  <c r="X16" i="4"/>
  <c r="W16" i="4"/>
  <c r="V16" i="4"/>
  <c r="V29" i="4" s="1"/>
  <c r="U16" i="4"/>
  <c r="T16" i="4"/>
  <c r="S16" i="4"/>
  <c r="R16" i="4"/>
  <c r="Q16" i="4"/>
  <c r="P16" i="4"/>
  <c r="O16" i="4"/>
  <c r="N16" i="4"/>
  <c r="N29" i="4" s="1"/>
  <c r="M16" i="4"/>
  <c r="L16" i="4"/>
  <c r="K16" i="4"/>
  <c r="J16" i="4"/>
  <c r="I16" i="4"/>
  <c r="H16" i="4"/>
  <c r="H29" i="4" s="1"/>
  <c r="G16" i="4"/>
  <c r="F16" i="4"/>
  <c r="F29" i="4" s="1"/>
  <c r="E16" i="4"/>
  <c r="D16" i="4"/>
  <c r="BJ12" i="4"/>
  <c r="BI12" i="4"/>
  <c r="BH12" i="4"/>
  <c r="BH31" i="4" s="1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R54" i="4" s="1"/>
  <c r="AQ12" i="4"/>
  <c r="AP12" i="4"/>
  <c r="AO12" i="4"/>
  <c r="AN12" i="4"/>
  <c r="AM12" i="4"/>
  <c r="AL12" i="4"/>
  <c r="AK12" i="4"/>
  <c r="AJ12" i="4"/>
  <c r="AJ54" i="4" s="1"/>
  <c r="AI12" i="4"/>
  <c r="AH12" i="4"/>
  <c r="AG12" i="4"/>
  <c r="AG57" i="4" s="1"/>
  <c r="AF12" i="4"/>
  <c r="AE12" i="4"/>
  <c r="AD12" i="4"/>
  <c r="AC12" i="4"/>
  <c r="AB12" i="4"/>
  <c r="AB54" i="4" s="1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V11" i="4" s="1"/>
  <c r="AU10" i="4"/>
  <c r="AT10" i="4"/>
  <c r="AS10" i="4"/>
  <c r="AR10" i="4"/>
  <c r="AQ10" i="4"/>
  <c r="AP10" i="4"/>
  <c r="AO10" i="4"/>
  <c r="AN10" i="4"/>
  <c r="AN11" i="4" s="1"/>
  <c r="AM10" i="4"/>
  <c r="AL10" i="4"/>
  <c r="AK10" i="4"/>
  <c r="AJ10" i="4"/>
  <c r="AI10" i="4"/>
  <c r="AH10" i="4"/>
  <c r="AG10" i="4"/>
  <c r="AF10" i="4"/>
  <c r="AF11" i="4" s="1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P11" i="4" s="1"/>
  <c r="O10" i="4"/>
  <c r="N10" i="4"/>
  <c r="M10" i="4"/>
  <c r="L10" i="4"/>
  <c r="K10" i="4"/>
  <c r="J10" i="4"/>
  <c r="I10" i="4"/>
  <c r="H10" i="4"/>
  <c r="H11" i="4" s="1"/>
  <c r="G10" i="4"/>
  <c r="F10" i="4"/>
  <c r="E10" i="4"/>
  <c r="D10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BH29" i="3"/>
  <c r="BH10" i="3"/>
  <c r="BH31" i="3" s="1"/>
  <c r="BH5" i="3"/>
  <c r="BH13" i="3" s="1"/>
  <c r="BH115" i="1"/>
  <c r="BH83" i="1"/>
  <c r="BH82" i="1" s="1"/>
  <c r="BH51" i="1"/>
  <c r="BH45" i="1"/>
  <c r="BH15" i="1"/>
  <c r="BH8" i="1"/>
  <c r="BH5" i="1"/>
  <c r="C9" i="11" l="1"/>
  <c r="G27" i="10" a="1"/>
  <c r="G21" i="10" a="1"/>
  <c r="G18" i="10" a="1"/>
  <c r="G13" i="10" a="1"/>
  <c r="G11" i="10" a="1"/>
  <c r="G28" i="10" a="1"/>
  <c r="G22" i="10" a="1"/>
  <c r="G17" i="10" a="1"/>
  <c r="G14" i="10" a="1"/>
  <c r="G10" i="10" a="1"/>
  <c r="G26" i="10" a="1"/>
  <c r="G23" i="10" a="1"/>
  <c r="G20" i="10" a="1"/>
  <c r="G16" i="10" a="1"/>
  <c r="G12" i="10" a="1"/>
  <c r="G25" i="10" a="1"/>
  <c r="G24" i="10" a="1"/>
  <c r="G19" i="10" a="1"/>
  <c r="G15" i="10" a="1"/>
  <c r="C137" i="9"/>
  <c r="E9" i="11"/>
  <c r="C56" i="9"/>
  <c r="BN11" i="4"/>
  <c r="BN57" i="4"/>
  <c r="C121" i="9"/>
  <c r="C95" i="9"/>
  <c r="C83" i="9"/>
  <c r="C69" i="9"/>
  <c r="C65" i="9"/>
  <c r="C35" i="9"/>
  <c r="C31" i="9"/>
  <c r="J127" i="1"/>
  <c r="B56" i="9"/>
  <c r="BN35" i="4"/>
  <c r="BN31" i="4"/>
  <c r="BN29" i="4"/>
  <c r="BN48" i="4"/>
  <c r="BN33" i="4"/>
  <c r="BN39" i="4"/>
  <c r="V42" i="3"/>
  <c r="V44" i="3" s="1"/>
  <c r="BL57" i="4"/>
  <c r="BL37" i="4"/>
  <c r="BM54" i="4"/>
  <c r="C14" i="9"/>
  <c r="C104" i="9"/>
  <c r="C103" i="9" s="1"/>
  <c r="C40" i="9"/>
  <c r="C22" i="9"/>
  <c r="C10" i="9"/>
  <c r="B10" i="9"/>
  <c r="B31" i="9"/>
  <c r="E38" i="11"/>
  <c r="B79" i="9"/>
  <c r="C58" i="9"/>
  <c r="C47" i="9" s="1"/>
  <c r="B19" i="11"/>
  <c r="B29" i="11" s="1"/>
  <c r="E19" i="11"/>
  <c r="E29" i="11" s="1"/>
  <c r="C46" i="11"/>
  <c r="D38" i="11"/>
  <c r="B38" i="11"/>
  <c r="B22" i="9"/>
  <c r="C19" i="11"/>
  <c r="C29" i="11" s="1"/>
  <c r="C38" i="11"/>
  <c r="E46" i="11"/>
  <c r="B14" i="9"/>
  <c r="B35" i="9"/>
  <c r="B46" i="11"/>
  <c r="B65" i="9"/>
  <c r="E9" i="10"/>
  <c r="B102" i="9"/>
  <c r="B139" i="9"/>
  <c r="B59" i="9"/>
  <c r="G9" i="10"/>
  <c r="B83" i="9"/>
  <c r="BL11" i="4"/>
  <c r="BL31" i="4"/>
  <c r="BL29" i="4"/>
  <c r="BL54" i="4"/>
  <c r="BL48" i="4"/>
  <c r="B70" i="5"/>
  <c r="B61" i="5"/>
  <c r="B62" i="5"/>
  <c r="B54" i="5"/>
  <c r="B69" i="5"/>
  <c r="B59" i="5"/>
  <c r="T35" i="4"/>
  <c r="AZ35" i="4"/>
  <c r="AZ29" i="4"/>
  <c r="AA31" i="4"/>
  <c r="AQ31" i="4"/>
  <c r="BG31" i="4"/>
  <c r="J11" i="4"/>
  <c r="R11" i="4"/>
  <c r="Z11" i="4"/>
  <c r="AH11" i="4"/>
  <c r="AP11" i="4"/>
  <c r="AX11" i="4"/>
  <c r="BF11" i="4"/>
  <c r="E35" i="4"/>
  <c r="M35" i="4"/>
  <c r="U37" i="4"/>
  <c r="AC37" i="4"/>
  <c r="AK35" i="4"/>
  <c r="AS35" i="4"/>
  <c r="BA37" i="4"/>
  <c r="BI37" i="4"/>
  <c r="S31" i="4"/>
  <c r="AI31" i="4"/>
  <c r="AY31" i="4"/>
  <c r="S11" i="4"/>
  <c r="AI11" i="4"/>
  <c r="AY11" i="4"/>
  <c r="K29" i="4"/>
  <c r="S29" i="4"/>
  <c r="AA29" i="4"/>
  <c r="AI29" i="4"/>
  <c r="AQ29" i="4"/>
  <c r="AY29" i="4"/>
  <c r="BG29" i="4"/>
  <c r="K31" i="4"/>
  <c r="K11" i="4"/>
  <c r="AA11" i="4"/>
  <c r="AQ11" i="4"/>
  <c r="BG11" i="4"/>
  <c r="I11" i="4"/>
  <c r="Q11" i="4"/>
  <c r="Y11" i="4"/>
  <c r="AG11" i="4"/>
  <c r="AO11" i="4"/>
  <c r="AW11" i="4"/>
  <c r="BE11" i="4"/>
  <c r="E11" i="4"/>
  <c r="M11" i="4"/>
  <c r="U11" i="4"/>
  <c r="AC11" i="4"/>
  <c r="AK11" i="4"/>
  <c r="AS11" i="4"/>
  <c r="BA11" i="4"/>
  <c r="BI11" i="4"/>
  <c r="T29" i="4"/>
  <c r="K33" i="4"/>
  <c r="S33" i="4"/>
  <c r="AA33" i="4"/>
  <c r="AI33" i="4"/>
  <c r="AQ33" i="4"/>
  <c r="AY33" i="4"/>
  <c r="BG33" i="4"/>
  <c r="K37" i="4"/>
  <c r="S37" i="4"/>
  <c r="AA37" i="4"/>
  <c r="AI37" i="4"/>
  <c r="AQ37" i="4"/>
  <c r="AY37" i="4"/>
  <c r="BG37" i="4"/>
  <c r="K48" i="4"/>
  <c r="S48" i="4"/>
  <c r="AA48" i="4"/>
  <c r="AI48" i="4"/>
  <c r="AQ48" i="4"/>
  <c r="AY48" i="4"/>
  <c r="BG48" i="4"/>
  <c r="G31" i="4"/>
  <c r="AU31" i="4"/>
  <c r="O35" i="4"/>
  <c r="BC35" i="4"/>
  <c r="O39" i="4"/>
  <c r="AU39" i="4"/>
  <c r="BC39" i="4"/>
  <c r="O54" i="4"/>
  <c r="W54" i="4"/>
  <c r="AE54" i="4"/>
  <c r="AM54" i="4"/>
  <c r="AU54" i="4"/>
  <c r="BC54" i="4"/>
  <c r="G57" i="4"/>
  <c r="O57" i="4"/>
  <c r="W57" i="4"/>
  <c r="AE57" i="4"/>
  <c r="AM57" i="4"/>
  <c r="AU57" i="4"/>
  <c r="BC57" i="4"/>
  <c r="AM31" i="4"/>
  <c r="W35" i="4"/>
  <c r="AU35" i="4"/>
  <c r="W39" i="4"/>
  <c r="AE39" i="4"/>
  <c r="G54" i="4"/>
  <c r="I31" i="4"/>
  <c r="Q31" i="4"/>
  <c r="Y31" i="4"/>
  <c r="AG31" i="4"/>
  <c r="AO31" i="4"/>
  <c r="AW31" i="4"/>
  <c r="BE31" i="4"/>
  <c r="I35" i="4"/>
  <c r="Q35" i="4"/>
  <c r="Y35" i="4"/>
  <c r="AG35" i="4"/>
  <c r="AO35" i="4"/>
  <c r="AW35" i="4"/>
  <c r="BE35" i="4"/>
  <c r="I39" i="4"/>
  <c r="Q39" i="4"/>
  <c r="Y39" i="4"/>
  <c r="AG39" i="4"/>
  <c r="AO39" i="4"/>
  <c r="AW39" i="4"/>
  <c r="BE39" i="4"/>
  <c r="I57" i="4"/>
  <c r="Q57" i="4"/>
  <c r="Y57" i="4"/>
  <c r="AO57" i="4"/>
  <c r="AW57" i="4"/>
  <c r="BE57" i="4"/>
  <c r="AM35" i="4"/>
  <c r="AM39" i="4"/>
  <c r="G29" i="4"/>
  <c r="O29" i="4"/>
  <c r="W29" i="4"/>
  <c r="AE29" i="4"/>
  <c r="AM29" i="4"/>
  <c r="AU29" i="4"/>
  <c r="BC29" i="4"/>
  <c r="W31" i="4"/>
  <c r="BD11" i="4"/>
  <c r="AJ11" i="4"/>
  <c r="G33" i="4"/>
  <c r="O33" i="4"/>
  <c r="W33" i="4"/>
  <c r="AE33" i="4"/>
  <c r="AM33" i="4"/>
  <c r="AU33" i="4"/>
  <c r="BC33" i="4"/>
  <c r="K35" i="4"/>
  <c r="S35" i="4"/>
  <c r="AA35" i="4"/>
  <c r="AI35" i="4"/>
  <c r="AQ35" i="4"/>
  <c r="AY35" i="4"/>
  <c r="BG35" i="4"/>
  <c r="G37" i="4"/>
  <c r="O37" i="4"/>
  <c r="W37" i="4"/>
  <c r="AE37" i="4"/>
  <c r="AM37" i="4"/>
  <c r="AU37" i="4"/>
  <c r="BC37" i="4"/>
  <c r="K39" i="4"/>
  <c r="S39" i="4"/>
  <c r="AA39" i="4"/>
  <c r="AI39" i="4"/>
  <c r="AQ39" i="4"/>
  <c r="AY39" i="4"/>
  <c r="O31" i="4"/>
  <c r="BC31" i="4"/>
  <c r="AE35" i="4"/>
  <c r="X11" i="4"/>
  <c r="L11" i="4"/>
  <c r="AB11" i="4"/>
  <c r="AZ11" i="4"/>
  <c r="I29" i="4"/>
  <c r="Q29" i="4"/>
  <c r="Y29" i="4"/>
  <c r="AG29" i="4"/>
  <c r="AO29" i="4"/>
  <c r="AW29" i="4"/>
  <c r="BE29" i="4"/>
  <c r="AE31" i="4"/>
  <c r="G35" i="4"/>
  <c r="G39" i="4"/>
  <c r="D11" i="4"/>
  <c r="T11" i="4"/>
  <c r="AR11" i="4"/>
  <c r="BH11" i="4"/>
  <c r="F11" i="4"/>
  <c r="N11" i="4"/>
  <c r="V11" i="4"/>
  <c r="AD11" i="4"/>
  <c r="AL11" i="4"/>
  <c r="AT11" i="4"/>
  <c r="BB11" i="4"/>
  <c r="BJ11" i="4"/>
  <c r="I33" i="4"/>
  <c r="Q33" i="4"/>
  <c r="I54" i="4"/>
  <c r="Q54" i="4"/>
  <c r="Y54" i="4"/>
  <c r="AG54" i="4"/>
  <c r="AO54" i="4"/>
  <c r="AW54" i="4"/>
  <c r="BE54" i="4"/>
  <c r="D48" i="4"/>
  <c r="L48" i="4"/>
  <c r="P29" i="4"/>
  <c r="X29" i="4"/>
  <c r="AF29" i="4"/>
  <c r="AN29" i="4"/>
  <c r="AV29" i="4"/>
  <c r="BD29" i="4"/>
  <c r="J31" i="4"/>
  <c r="R31" i="4"/>
  <c r="Z31" i="4"/>
  <c r="AH31" i="4"/>
  <c r="AP31" i="4"/>
  <c r="AX31" i="4"/>
  <c r="BF31" i="4"/>
  <c r="F33" i="4"/>
  <c r="N33" i="4"/>
  <c r="V33" i="4"/>
  <c r="AD33" i="4"/>
  <c r="AL33" i="4"/>
  <c r="AT33" i="4"/>
  <c r="BB33" i="4"/>
  <c r="BJ33" i="4"/>
  <c r="J35" i="4"/>
  <c r="R35" i="4"/>
  <c r="Z35" i="4"/>
  <c r="AH35" i="4"/>
  <c r="AP35" i="4"/>
  <c r="AX35" i="4"/>
  <c r="BF35" i="4"/>
  <c r="F37" i="4"/>
  <c r="N37" i="4"/>
  <c r="V37" i="4"/>
  <c r="AD37" i="4"/>
  <c r="AL37" i="4"/>
  <c r="AT37" i="4"/>
  <c r="BB37" i="4"/>
  <c r="BJ37" i="4"/>
  <c r="J39" i="4"/>
  <c r="R39" i="4"/>
  <c r="Z39" i="4"/>
  <c r="AH39" i="4"/>
  <c r="AP39" i="4"/>
  <c r="AX39" i="4"/>
  <c r="BF39" i="4"/>
  <c r="F48" i="4"/>
  <c r="N48" i="4"/>
  <c r="V48" i="4"/>
  <c r="AD48" i="4"/>
  <c r="AL48" i="4"/>
  <c r="AT48" i="4"/>
  <c r="BB48" i="4"/>
  <c r="BJ48" i="4"/>
  <c r="J54" i="4"/>
  <c r="R54" i="4"/>
  <c r="Z54" i="4"/>
  <c r="AH54" i="4"/>
  <c r="AP54" i="4"/>
  <c r="AX54" i="4"/>
  <c r="BF54" i="4"/>
  <c r="J57" i="4"/>
  <c r="R57" i="4"/>
  <c r="Z57" i="4"/>
  <c r="AH57" i="4"/>
  <c r="AP57" i="4"/>
  <c r="AX57" i="4"/>
  <c r="BF57" i="4"/>
  <c r="BG39" i="4"/>
  <c r="G48" i="4"/>
  <c r="O48" i="4"/>
  <c r="W48" i="4"/>
  <c r="AE48" i="4"/>
  <c r="AM48" i="4"/>
  <c r="AU48" i="4"/>
  <c r="BC48" i="4"/>
  <c r="K54" i="4"/>
  <c r="S54" i="4"/>
  <c r="AA54" i="4"/>
  <c r="AI54" i="4"/>
  <c r="AQ54" i="4"/>
  <c r="AY54" i="4"/>
  <c r="BG54" i="4"/>
  <c r="K57" i="4"/>
  <c r="S57" i="4"/>
  <c r="AA57" i="4"/>
  <c r="AI57" i="4"/>
  <c r="AQ57" i="4"/>
  <c r="AY57" i="4"/>
  <c r="BG57" i="4"/>
  <c r="G11" i="4"/>
  <c r="O11" i="4"/>
  <c r="W11" i="4"/>
  <c r="AE11" i="4"/>
  <c r="AM11" i="4"/>
  <c r="AU11" i="4"/>
  <c r="BC11" i="4"/>
  <c r="J29" i="4"/>
  <c r="R29" i="4"/>
  <c r="Z29" i="4"/>
  <c r="AH29" i="4"/>
  <c r="AP29" i="4"/>
  <c r="AX29" i="4"/>
  <c r="BF29" i="4"/>
  <c r="H33" i="4"/>
  <c r="P33" i="4"/>
  <c r="X33" i="4"/>
  <c r="AF33" i="4"/>
  <c r="AN33" i="4"/>
  <c r="AV33" i="4"/>
  <c r="BD33" i="4"/>
  <c r="H37" i="4"/>
  <c r="P37" i="4"/>
  <c r="X37" i="4"/>
  <c r="AF37" i="4"/>
  <c r="AN37" i="4"/>
  <c r="AV37" i="4"/>
  <c r="BD37" i="4"/>
  <c r="H48" i="4"/>
  <c r="P48" i="4"/>
  <c r="X48" i="4"/>
  <c r="AF48" i="4"/>
  <c r="AN48" i="4"/>
  <c r="AV48" i="4"/>
  <c r="BD48" i="4"/>
  <c r="Y33" i="4"/>
  <c r="AG33" i="4"/>
  <c r="AO33" i="4"/>
  <c r="AW33" i="4"/>
  <c r="BE33" i="4"/>
  <c r="I37" i="4"/>
  <c r="Q37" i="4"/>
  <c r="Y37" i="4"/>
  <c r="AG37" i="4"/>
  <c r="AO37" i="4"/>
  <c r="AW37" i="4"/>
  <c r="BE37" i="4"/>
  <c r="I48" i="4"/>
  <c r="Q48" i="4"/>
  <c r="Y48" i="4"/>
  <c r="AG48" i="4"/>
  <c r="AO48" i="4"/>
  <c r="AW48" i="4"/>
  <c r="BE48" i="4"/>
  <c r="F31" i="4"/>
  <c r="N31" i="4"/>
  <c r="V31" i="4"/>
  <c r="AD31" i="4"/>
  <c r="AL31" i="4"/>
  <c r="AT31" i="4"/>
  <c r="BB31" i="4"/>
  <c r="BJ31" i="4"/>
  <c r="J33" i="4"/>
  <c r="R33" i="4"/>
  <c r="Z33" i="4"/>
  <c r="AH33" i="4"/>
  <c r="AP33" i="4"/>
  <c r="AX33" i="4"/>
  <c r="BF33" i="4"/>
  <c r="F35" i="4"/>
  <c r="N35" i="4"/>
  <c r="V35" i="4"/>
  <c r="AD35" i="4"/>
  <c r="AL35" i="4"/>
  <c r="AT35" i="4"/>
  <c r="BB35" i="4"/>
  <c r="BJ35" i="4"/>
  <c r="J37" i="4"/>
  <c r="R37" i="4"/>
  <c r="Z37" i="4"/>
  <c r="AH37" i="4"/>
  <c r="AP37" i="4"/>
  <c r="AX37" i="4"/>
  <c r="BF37" i="4"/>
  <c r="F39" i="4"/>
  <c r="N39" i="4"/>
  <c r="V39" i="4"/>
  <c r="AD39" i="4"/>
  <c r="AL39" i="4"/>
  <c r="AT39" i="4"/>
  <c r="BB39" i="4"/>
  <c r="BJ39" i="4"/>
  <c r="J48" i="4"/>
  <c r="R48" i="4"/>
  <c r="Z48" i="4"/>
  <c r="AH48" i="4"/>
  <c r="AP48" i="4"/>
  <c r="AX48" i="4"/>
  <c r="BF48" i="4"/>
  <c r="F54" i="4"/>
  <c r="N54" i="4"/>
  <c r="V54" i="4"/>
  <c r="AD54" i="4"/>
  <c r="AL54" i="4"/>
  <c r="AT54" i="4"/>
  <c r="BB54" i="4"/>
  <c r="BJ54" i="4"/>
  <c r="F57" i="4"/>
  <c r="N57" i="4"/>
  <c r="V57" i="4"/>
  <c r="AD57" i="4"/>
  <c r="AL57" i="4"/>
  <c r="AT57" i="4"/>
  <c r="BB57" i="4"/>
  <c r="BJ57" i="4"/>
  <c r="BH44" i="1"/>
  <c r="BH36" i="1" s="1"/>
  <c r="BH129" i="1"/>
  <c r="L29" i="4"/>
  <c r="AB31" i="4"/>
  <c r="L33" i="4"/>
  <c r="AR33" i="4"/>
  <c r="AB35" i="4"/>
  <c r="BH35" i="4"/>
  <c r="M29" i="4"/>
  <c r="AS29" i="4"/>
  <c r="AC31" i="4"/>
  <c r="BI31" i="4"/>
  <c r="M33" i="4"/>
  <c r="AS33" i="4"/>
  <c r="AC35" i="4"/>
  <c r="BI35" i="4"/>
  <c r="M37" i="4"/>
  <c r="AS37" i="4"/>
  <c r="AZ39" i="4"/>
  <c r="T48" i="4"/>
  <c r="AZ54" i="4"/>
  <c r="AJ35" i="4"/>
  <c r="AZ37" i="4"/>
  <c r="D39" i="4"/>
  <c r="AB48" i="4"/>
  <c r="BH54" i="4"/>
  <c r="U29" i="4"/>
  <c r="BA29" i="4"/>
  <c r="E31" i="4"/>
  <c r="AK31" i="4"/>
  <c r="U33" i="4"/>
  <c r="BA33" i="4"/>
  <c r="L39" i="4"/>
  <c r="AJ48" i="4"/>
  <c r="D54" i="4"/>
  <c r="AJ31" i="4"/>
  <c r="AZ33" i="4"/>
  <c r="T37" i="4"/>
  <c r="AB29" i="4"/>
  <c r="BH29" i="4"/>
  <c r="L31" i="4"/>
  <c r="AR31" i="4"/>
  <c r="AB33" i="4"/>
  <c r="BH33" i="4"/>
  <c r="L35" i="4"/>
  <c r="AR35" i="4"/>
  <c r="AB37" i="4"/>
  <c r="BH37" i="4"/>
  <c r="M39" i="4"/>
  <c r="AR48" i="4"/>
  <c r="L54" i="4"/>
  <c r="D31" i="4"/>
  <c r="T33" i="4"/>
  <c r="D35" i="4"/>
  <c r="BH39" i="4"/>
  <c r="AC29" i="4"/>
  <c r="BI29" i="4"/>
  <c r="M31" i="4"/>
  <c r="AS31" i="4"/>
  <c r="AC33" i="4"/>
  <c r="BI33" i="4"/>
  <c r="T39" i="4"/>
  <c r="AZ48" i="4"/>
  <c r="T54" i="4"/>
  <c r="D29" i="4"/>
  <c r="AZ31" i="4"/>
  <c r="AJ33" i="4"/>
  <c r="D37" i="4"/>
  <c r="AJ37" i="4"/>
  <c r="AB39" i="4"/>
  <c r="BH48" i="4"/>
  <c r="AJ29" i="4"/>
  <c r="T31" i="4"/>
  <c r="D33" i="4"/>
  <c r="E48" i="4"/>
  <c r="E39" i="4"/>
  <c r="E54" i="4"/>
  <c r="M54" i="4"/>
  <c r="M48" i="4"/>
  <c r="U54" i="4"/>
  <c r="U48" i="4"/>
  <c r="U39" i="4"/>
  <c r="AC54" i="4"/>
  <c r="AC39" i="4"/>
  <c r="AC48" i="4"/>
  <c r="AK48" i="4"/>
  <c r="AK39" i="4"/>
  <c r="AK54" i="4"/>
  <c r="AS54" i="4"/>
  <c r="AS48" i="4"/>
  <c r="AS39" i="4"/>
  <c r="BA48" i="4"/>
  <c r="BA39" i="4"/>
  <c r="BA54" i="4"/>
  <c r="BI39" i="4"/>
  <c r="BI54" i="4"/>
  <c r="BI48" i="4"/>
  <c r="E29" i="4"/>
  <c r="AK29" i="4"/>
  <c r="U31" i="4"/>
  <c r="BA31" i="4"/>
  <c r="E33" i="4"/>
  <c r="AK33" i="4"/>
  <c r="U35" i="4"/>
  <c r="BA35" i="4"/>
  <c r="E37" i="4"/>
  <c r="AK37" i="4"/>
  <c r="AJ39" i="4"/>
  <c r="D57" i="4"/>
  <c r="L57" i="4"/>
  <c r="T57" i="4"/>
  <c r="AB57" i="4"/>
  <c r="AJ57" i="4"/>
  <c r="AR57" i="4"/>
  <c r="AZ57" i="4"/>
  <c r="BH57" i="4"/>
  <c r="AR29" i="4"/>
  <c r="L37" i="4"/>
  <c r="AR37" i="4"/>
  <c r="AR39" i="4"/>
  <c r="E57" i="4"/>
  <c r="M57" i="4"/>
  <c r="U57" i="4"/>
  <c r="AC57" i="4"/>
  <c r="AK57" i="4"/>
  <c r="AS57" i="4"/>
  <c r="BA57" i="4"/>
  <c r="BI57" i="4"/>
  <c r="BH4" i="1"/>
  <c r="C8" i="9" l="1"/>
  <c r="J126" i="1"/>
  <c r="W42" i="3"/>
  <c r="W44" i="3" s="1"/>
  <c r="C100" i="9"/>
  <c r="E47" i="11"/>
  <c r="B47" i="11"/>
  <c r="B95" i="9"/>
  <c r="B40" i="9"/>
  <c r="B8" i="9" s="1"/>
  <c r="C47" i="11"/>
  <c r="B48" i="9"/>
  <c r="B121" i="9"/>
  <c r="B87" i="9"/>
  <c r="B104" i="9"/>
  <c r="B62" i="9"/>
  <c r="B58" i="9" s="1"/>
  <c r="B63" i="5"/>
  <c r="B72" i="5"/>
  <c r="BH81" i="1"/>
  <c r="K127" i="1" l="1"/>
  <c r="X42" i="3"/>
  <c r="X44" i="3" s="1"/>
  <c r="BL32" i="4"/>
  <c r="BL33" i="4" s="1"/>
  <c r="BL34" i="4"/>
  <c r="BL35" i="4" s="1"/>
  <c r="B103" i="9"/>
  <c r="B47" i="9"/>
  <c r="B100" i="9" s="1"/>
  <c r="K126" i="1" l="1"/>
  <c r="Y42" i="3"/>
  <c r="Y44" i="3" s="1"/>
  <c r="BL38" i="4"/>
  <c r="BL39" i="4" s="1"/>
  <c r="D11" i="11"/>
  <c r="D19" i="11" s="1"/>
  <c r="D29" i="11" s="1"/>
  <c r="L127" i="1" l="1"/>
  <c r="Z42" i="3"/>
  <c r="Z44" i="3" s="1"/>
  <c r="L126" i="1" l="1"/>
  <c r="AA42" i="3"/>
  <c r="AA44" i="3" s="1"/>
  <c r="M127" i="1" l="1"/>
  <c r="AB42" i="3"/>
  <c r="AB44" i="3" s="1"/>
  <c r="M126" i="1" l="1"/>
  <c r="AC42" i="3"/>
  <c r="AC44" i="3" s="1"/>
  <c r="N127" i="1" l="1"/>
  <c r="AD42" i="3"/>
  <c r="AD44" i="3" s="1"/>
  <c r="N126" i="1" l="1"/>
  <c r="AE42" i="3"/>
  <c r="AE44" i="3" s="1"/>
  <c r="O127" i="1" l="1"/>
  <c r="AF42" i="3"/>
  <c r="AF44" i="3" s="1"/>
  <c r="O126" i="1" l="1"/>
  <c r="AG42" i="3"/>
  <c r="AG44" i="3" s="1"/>
  <c r="P127" i="1" l="1"/>
  <c r="AH42" i="3"/>
  <c r="AH44" i="3" s="1"/>
  <c r="P126" i="1" l="1"/>
  <c r="AI42" i="3"/>
  <c r="AI44" i="3" s="1"/>
  <c r="Q127" i="1" l="1"/>
  <c r="AJ42" i="3"/>
  <c r="AJ44" i="3" s="1"/>
  <c r="Q126" i="1" l="1"/>
  <c r="AK42" i="3"/>
  <c r="AK44" i="3" s="1"/>
  <c r="R127" i="1" l="1"/>
  <c r="AL42" i="3"/>
  <c r="AL44" i="3" s="1"/>
  <c r="R126" i="1" l="1"/>
  <c r="AM42" i="3"/>
  <c r="AM44" i="3" s="1"/>
  <c r="S127" i="1" l="1"/>
  <c r="AN42" i="3"/>
  <c r="AN44" i="3" s="1"/>
  <c r="S126" i="1" l="1"/>
  <c r="AO42" i="3"/>
  <c r="AO44" i="3" s="1"/>
  <c r="T127" i="1" l="1"/>
  <c r="AP42" i="3"/>
  <c r="AP44" i="3" s="1"/>
  <c r="T126" i="1" l="1"/>
  <c r="AQ42" i="3"/>
  <c r="AQ44" i="3" s="1"/>
  <c r="U127" i="1" l="1"/>
  <c r="AR42" i="3"/>
  <c r="AR44" i="3" s="1"/>
  <c r="U126" i="1" l="1"/>
  <c r="AS42" i="3"/>
  <c r="AS44" i="3" s="1"/>
  <c r="V127" i="1" l="1"/>
  <c r="AT42" i="3"/>
  <c r="AT44" i="3" s="1"/>
  <c r="V126" i="1" l="1"/>
  <c r="AU42" i="3"/>
  <c r="AU44" i="3" s="1"/>
  <c r="W127" i="1" l="1"/>
  <c r="AV42" i="3"/>
  <c r="AV44" i="3" s="1"/>
  <c r="W126" i="1" l="1"/>
  <c r="AW42" i="3"/>
  <c r="AW44" i="3" s="1"/>
  <c r="X127" i="1" l="1"/>
  <c r="AX42" i="3"/>
  <c r="AX44" i="3" s="1"/>
  <c r="AY42" i="3" s="1"/>
  <c r="AY44" i="3" s="1"/>
  <c r="X126" i="1" l="1"/>
  <c r="Y127" i="1" l="1"/>
  <c r="AZ42" i="3"/>
  <c r="Y126" i="1" l="1"/>
  <c r="AZ44" i="3"/>
  <c r="E48" i="11"/>
  <c r="E50" i="11" s="1"/>
  <c r="Z127" i="1" l="1"/>
  <c r="Z126" i="1" s="1"/>
  <c r="AA127" i="1" s="1"/>
  <c r="AA126" i="1" s="1"/>
  <c r="AB127" i="1" s="1"/>
  <c r="AB126" i="1" s="1"/>
  <c r="AC127" i="1" s="1"/>
  <c r="AC126" i="1" s="1"/>
  <c r="AD127" i="1" s="1"/>
  <c r="AD126" i="1" s="1"/>
  <c r="AE127" i="1" s="1"/>
  <c r="AE126" i="1" s="1"/>
  <c r="AF127" i="1" s="1"/>
  <c r="AF126" i="1" s="1"/>
  <c r="AG127" i="1" s="1"/>
  <c r="AG126" i="1" s="1"/>
  <c r="AH127" i="1" s="1"/>
  <c r="AH126" i="1" s="1"/>
  <c r="AI127" i="1" s="1"/>
  <c r="AI126" i="1" s="1"/>
  <c r="AJ127" i="1" s="1"/>
  <c r="AJ126" i="1" s="1"/>
  <c r="AK127" i="1" s="1"/>
  <c r="AK126" i="1" s="1"/>
  <c r="AL127" i="1" s="1"/>
  <c r="AL126" i="1" s="1"/>
  <c r="AM127" i="1" s="1"/>
  <c r="BA42" i="3"/>
  <c r="BA44" i="3" l="1"/>
  <c r="BB42" i="3" l="1"/>
  <c r="BB44" i="3" s="1"/>
  <c r="BC42" i="3" l="1"/>
  <c r="BC44" i="3" s="1"/>
  <c r="BD42" i="3" l="1"/>
  <c r="BD44" i="3" l="1"/>
  <c r="C48" i="11"/>
  <c r="C50" i="11" s="1"/>
  <c r="BE42" i="3" l="1"/>
  <c r="BE44" i="3" s="1"/>
  <c r="BF42" i="3"/>
  <c r="BF44" i="3" s="1"/>
  <c r="BG42" i="3" l="1"/>
  <c r="BG44" i="3" s="1"/>
  <c r="BH42" i="3" l="1"/>
  <c r="BH44" i="3" s="1"/>
  <c r="BI42" i="3" l="1"/>
  <c r="BI44" i="3" s="1"/>
  <c r="BL38" i="3"/>
  <c r="BJ42" i="3" l="1"/>
  <c r="BJ44" i="3" s="1"/>
  <c r="BM38" i="3"/>
  <c r="D44" i="11" s="1"/>
  <c r="D46" i="11" s="1"/>
  <c r="D47" i="11" s="1"/>
  <c r="D48" i="11"/>
  <c r="D50" i="11" l="1"/>
  <c r="B48" i="11"/>
  <c r="B50" i="11" s="1"/>
  <c r="AM126" i="1" l="1"/>
  <c r="AN127" i="1" l="1"/>
  <c r="AN126" i="1" s="1"/>
  <c r="AO127" i="1" l="1"/>
  <c r="AO126" i="1" s="1"/>
  <c r="AP127" i="1" s="1"/>
  <c r="AP126" i="1" s="1"/>
  <c r="AQ127" i="1" s="1"/>
  <c r="AQ126" i="1" s="1"/>
  <c r="AR127" i="1" s="1"/>
  <c r="AR126" i="1" s="1"/>
  <c r="AS127" i="1" s="1"/>
  <c r="AS126" i="1" s="1"/>
  <c r="AT127" i="1" s="1"/>
  <c r="AT126" i="1" s="1"/>
  <c r="AU127" i="1" s="1"/>
  <c r="AU126" i="1" s="1"/>
  <c r="AV127" i="1" s="1"/>
  <c r="AV126" i="1" s="1"/>
  <c r="AW127" i="1" s="1"/>
  <c r="AW126" i="1" s="1"/>
  <c r="AX127" i="1" s="1"/>
  <c r="AX126" i="1" s="1"/>
  <c r="AY127" i="1" s="1"/>
  <c r="AY126" i="1" s="1"/>
  <c r="AZ127" i="1" s="1"/>
  <c r="AZ126" i="1" s="1"/>
  <c r="BA127" i="1" s="1"/>
  <c r="BA126" i="1" s="1"/>
  <c r="BB127" i="1" s="1"/>
  <c r="BB126" i="1" s="1"/>
  <c r="BC127" i="1" s="1"/>
  <c r="BC126" i="1" s="1"/>
  <c r="BD127" i="1" s="1"/>
  <c r="BD126" i="1" s="1"/>
  <c r="BE127" i="1" s="1"/>
  <c r="BE126" i="1" s="1"/>
  <c r="BF127" i="1" s="1"/>
  <c r="BF126" i="1" s="1"/>
  <c r="BG127" i="1" s="1"/>
  <c r="BG126" i="1" s="1"/>
  <c r="BH127" i="1" s="1"/>
  <c r="BH126" i="1" s="1"/>
  <c r="BI127" i="1" s="1"/>
  <c r="BI126" i="1" s="1"/>
  <c r="BJ127" i="1" s="1"/>
  <c r="BJ126" i="1" s="1"/>
  <c r="C151" i="9"/>
  <c r="C150" i="9" s="1"/>
  <c r="C138" i="9" s="1"/>
  <c r="C154" i="9" s="1"/>
  <c r="C155" i="9" s="1"/>
  <c r="B151" i="9" l="1"/>
  <c r="B150" i="9" s="1"/>
  <c r="B138" i="9" s="1"/>
  <c r="B154" i="9" s="1"/>
  <c r="B155" i="9" s="1"/>
  <c r="BI4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P11" authorId="0" shapeId="0" xr:uid="{D8198202-A1D5-4105-879F-C99BDB9EBD08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CHỈNH </t>
        </r>
      </text>
    </comment>
    <comment ref="AX29" authorId="0" shapeId="0" xr:uid="{D32AC543-E060-4487-B418-37D57F359D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Chuyển vốn Plascene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<sst xmlns="http://schemas.openxmlformats.org/spreadsheetml/2006/main" count="1943" uniqueCount="632">
  <si>
    <t>CÔNG TY TNHH THU MUA PHẾ LIỆU KHÁNH NGA</t>
  </si>
  <si>
    <t>Địa chỉ:</t>
  </si>
  <si>
    <t>Mã số thuế:</t>
  </si>
  <si>
    <t>Deadline ngày 5 tây hàng tháng</t>
  </si>
  <si>
    <t>Năm tài chính hiện tại</t>
  </si>
  <si>
    <t>Năm trước</t>
  </si>
  <si>
    <t>Tháng báo cáo hiện tại</t>
  </si>
  <si>
    <t>NGƯỜI LẬP BIỂU</t>
  </si>
  <si>
    <t>KẾ TOÁN TRƯỞNG</t>
  </si>
  <si>
    <t>GIÁM ĐỐC TÀI CHÍNH</t>
  </si>
  <si>
    <t xml:space="preserve"> THÁNG 02 NĂM 2026</t>
  </si>
  <si>
    <t>Thành phố Hồ Chí Minh, Ngày 28 tháng 02 năm 2026</t>
  </si>
  <si>
    <t xml:space="preserve">BÁO CÁO TÀI CHÍNH </t>
  </si>
  <si>
    <t>Trang</t>
  </si>
  <si>
    <t>BÁO CÁO CỦA BAN  GIÁM ĐỐC</t>
  </si>
  <si>
    <t>2 - 3</t>
  </si>
  <si>
    <t>BÁO CÁO  KIỂM TOÁN</t>
  </si>
  <si>
    <t>4 - 4</t>
  </si>
  <si>
    <t xml:space="preserve">- Bảng cân đối kế toán </t>
  </si>
  <si>
    <t>1 - 4</t>
  </si>
  <si>
    <t>- Báo cáo kết quả hoạt động kinh doanh</t>
  </si>
  <si>
    <t>5</t>
  </si>
  <si>
    <t>- Báo cáo lưu chuyển tiền tệ</t>
  </si>
  <si>
    <t>6 - 7</t>
  </si>
  <si>
    <t>- Bản thuyết minh báo cáo tài chính</t>
  </si>
  <si>
    <t>11 - 31</t>
  </si>
  <si>
    <t>(Báo cáo tài chính được lập và trình bày theo Quyết định số 15/2006/QĐ-BTC ngày 20/03/2006</t>
  </si>
  <si>
    <t>của Bộ trưởng Bộ Tài Chính)</t>
  </si>
  <si>
    <t>BÁO CÁO TÌNH HÌNH TÀI CHÍNH</t>
  </si>
  <si>
    <t>TÀI SẢN</t>
  </si>
  <si>
    <t>A . TÀI SẢN NGẮN HẠN</t>
  </si>
  <si>
    <t>I. Tiền và các khoản tương đương tiền</t>
  </si>
  <si>
    <t xml:space="preserve">1. Tiền </t>
  </si>
  <si>
    <t xml:space="preserve">2. Các khoản tương đương tiền </t>
  </si>
  <si>
    <t>II. Các khoản đầu tư tài chính ngắn hạn</t>
  </si>
  <si>
    <t>1.Chứng khoán kinh doanh</t>
  </si>
  <si>
    <t xml:space="preserve">2.Dự phòng giảm giá chứng khoán kinh doanh (*) </t>
  </si>
  <si>
    <t>3.Đầu tư nắm giữ đến ngày đáo hạn ngắn hạn</t>
  </si>
  <si>
    <t>4.Dự phòng đầu tư nắm giữ đến ngày đáo hạn ngắn hạn (*)</t>
  </si>
  <si>
    <t>5.Đầu tư ngắn hạn khác</t>
  </si>
  <si>
    <t>6.Dự phòng tổn thất các khoản đầu tư ngắn hạn khác (*)</t>
  </si>
  <si>
    <t>III. Các khoản phải thu ngắn hạn</t>
  </si>
  <si>
    <t>1.Phải thu ngắn hạn của khách hàng</t>
  </si>
  <si>
    <t>2.Trả trước cho người bán ngắn hạn</t>
  </si>
  <si>
    <t>3.Phải thu nội bộ ngắn hạn</t>
  </si>
  <si>
    <t>4.Phải thu theo tiến độ hợp đồng xây dựng</t>
  </si>
  <si>
    <t>5.Phải thu ngắn hạn khác</t>
  </si>
  <si>
    <t>6.Dự phòng phải thu ngắn hạn khó đòi (*)</t>
  </si>
  <si>
    <t>7.Tài sản thiếu chờ xử lý</t>
  </si>
  <si>
    <t>IV. Hàng tồn kho</t>
  </si>
  <si>
    <t>1. Hàng tồn kho</t>
  </si>
  <si>
    <t>2. Dự phòng giảm giá hàng tồn kho (*)</t>
  </si>
  <si>
    <t>V. Tài sản sinh học ngắn hạn</t>
  </si>
  <si>
    <t>1.Súc vật nuôi lấy sản phẩm một lần ngắn hạn</t>
  </si>
  <si>
    <t>2.Cây trồng theo mùa vụ hoặc lấy sản phẩm một lần ngắn hạn</t>
  </si>
  <si>
    <t>3.Dự phòng tổn thất tài sản sinh học ngắn hạn (*)</t>
  </si>
  <si>
    <t>VI. Tài sản ngắn hạn khác</t>
  </si>
  <si>
    <t>1.Chi phí chờ phân bổ ngắn hạn</t>
  </si>
  <si>
    <t>2.Thuế GTGT được khấu trừ</t>
  </si>
  <si>
    <t>3.Thuế và các khoản khác phải thu Nhà nước</t>
  </si>
  <si>
    <t>4.Giao dịch mua bán lại trái phiếu Chính phủ</t>
  </si>
  <si>
    <t>5.Tài sản ngắn hạn khác</t>
  </si>
  <si>
    <t>B. TÀI SẢN DÀI HẠN</t>
  </si>
  <si>
    <t>I.Các khoản phải thu dài hạn</t>
  </si>
  <si>
    <t>1.Phải thu dài hạn của khách hàng</t>
  </si>
  <si>
    <t>2.Trả trước cho người bán dài hạn</t>
  </si>
  <si>
    <t>3.Vốn kinh doanh ở đơn vị trực thuộc</t>
  </si>
  <si>
    <t>4.Phải thu nội bộ dài hạn</t>
  </si>
  <si>
    <t>5.Phải thu dài hạn khác</t>
  </si>
  <si>
    <t>6.Dự phòng phải thu dài hạn khó đòi (*)</t>
  </si>
  <si>
    <t>II. Tài sản cố định</t>
  </si>
  <si>
    <t>1. Tài sản cố định hữu hình</t>
  </si>
  <si>
    <t xml:space="preserve">    - Nguyên giá</t>
  </si>
  <si>
    <t xml:space="preserve">    - Giá trị hao mòn luỹ kế (*)</t>
  </si>
  <si>
    <t>2. Tài sản cố định thuê tài chính</t>
  </si>
  <si>
    <t>3. Tài sản cố định vô hình</t>
  </si>
  <si>
    <t>III. Tài sản sinh học dài hạn</t>
  </si>
  <si>
    <t>1.Súc vật nuôi cho sản phẩm định kỳ</t>
  </si>
  <si>
    <t>a)Súc vật nuôi cho sản phẩm định kỳ chưa đến giai đoạn trưởng thành</t>
  </si>
  <si>
    <t>b)Súc vật nuôi cho sản phẩm định kỳ đến giai đoạn trưởng thành</t>
  </si>
  <si>
    <t>- Nguyên giá</t>
  </si>
  <si>
    <t>- Giá trị khấu hao lũy kế (*)</t>
  </si>
  <si>
    <t>2.Súc vật nuôi lấy sản phẩm một lần dài hạn</t>
  </si>
  <si>
    <t>3.Cây trồng theo mùa vụ hoặc lấy sản phẩm một lần dài hạn</t>
  </si>
  <si>
    <t>4.Dự phòng tổn thất tài sản sinh học dài hạn</t>
  </si>
  <si>
    <t>IV. Bất động sản đầu tư</t>
  </si>
  <si>
    <t>- Giá trị hao mòn luỹ kế (*)</t>
  </si>
  <si>
    <t xml:space="preserve">V. Tài sản dở dang dài hạn </t>
  </si>
  <si>
    <t>1.Chi phí sản xuất, kinh doanh dở dang dài hạn</t>
  </si>
  <si>
    <t>2.Chi phí xây dựng cơ bản dở dang</t>
  </si>
  <si>
    <t>VI. Đầu tư tài chính dài hạn</t>
  </si>
  <si>
    <t xml:space="preserve">1.Đầu tư vào công ty con </t>
  </si>
  <si>
    <t>2.Đầu tư vào công ty liên doanh, liên kết</t>
  </si>
  <si>
    <t>3.Đầu tư góp vốn vào đơn vị khác</t>
  </si>
  <si>
    <t>4.Dự phòng tổn thất đầu tư vào đơn vị khác dài hạn(*)</t>
  </si>
  <si>
    <t>5.Đầu tư nắm giữ đến ngày đáo hạn dài hạn</t>
  </si>
  <si>
    <t>6.Dự phòng đầu tư nắm giữ đến ngày đáo hạn dài hạn (*)</t>
  </si>
  <si>
    <t>VII. Tài sản dài hạn khác</t>
  </si>
  <si>
    <t>1.Chi phí chờ phân bổ dài hạn</t>
  </si>
  <si>
    <t>2.Tài sản thuế thu nhập hoãn lại</t>
  </si>
  <si>
    <t>3.Thiết bị, vật tư, phụ tùng thay thế dài hạn</t>
  </si>
  <si>
    <t>4.Tài sản dài hạn khác</t>
  </si>
  <si>
    <t>TỔNG CỘNG TÀI SẢN</t>
  </si>
  <si>
    <t>NGUỒN VỐN</t>
  </si>
  <si>
    <t>C . NỢ PHẢI TRẢ</t>
  </si>
  <si>
    <t>I. Nợ ngắn hạn</t>
  </si>
  <si>
    <t>1.Phải trả người bán ngắn hạn</t>
  </si>
  <si>
    <t>2.Người mua trả tiền trước ngắn hạn</t>
  </si>
  <si>
    <t>3.Phải trả cổ tức, lợi nhuận</t>
  </si>
  <si>
    <t>4.Thuế và các khoản phải nộp Nhà nước ngắn hạn</t>
  </si>
  <si>
    <t>5.Phải trả người lao động</t>
  </si>
  <si>
    <t>6.Chi phí phải trả ngắn hạn</t>
  </si>
  <si>
    <t>7.Phải trả nội bộ ngắn hạn</t>
  </si>
  <si>
    <t>8.Phải trả theo tiến độ hợp đồng xây dựng ngắn hạn</t>
  </si>
  <si>
    <t>9.Doanh thu chờ phân bổ ngắn hạn</t>
  </si>
  <si>
    <t>10.Phải trả ngắn hạn khác</t>
  </si>
  <si>
    <t>11.Vay và nợ thuê tài chính ngắn hạn</t>
  </si>
  <si>
    <t xml:space="preserve">12.Dự phòng phải trả ngắn hạn </t>
  </si>
  <si>
    <t>13.Quỹ khen thưởng, phúc lợi</t>
  </si>
  <si>
    <t>14.Quỹ bình ổn giá</t>
  </si>
  <si>
    <t>15.Giao dịch mua bán lại trái phiếu Chính phủ</t>
  </si>
  <si>
    <t>II. Nợ dài hạn</t>
  </si>
  <si>
    <t>1.Phải trả người bán dài hạn</t>
  </si>
  <si>
    <t>2.Người mua trả tiền trước dài hạn</t>
  </si>
  <si>
    <t>3.Thuế và các khoản phải nộp Nhà nước dài hạn</t>
  </si>
  <si>
    <t>4.Chi phí phải trả dài hạn</t>
  </si>
  <si>
    <t>5.Phải trả nội bộ về vốn kinh doanh</t>
  </si>
  <si>
    <t>6.Phải trả nội bộ dài hạn</t>
  </si>
  <si>
    <t>7.Doanh thu chờ phân bổ dài hạn</t>
  </si>
  <si>
    <t>8.Phải trả dài hạn khác</t>
  </si>
  <si>
    <t xml:space="preserve">8.Vay và nợ thuê tài chính dài hạn </t>
  </si>
  <si>
    <t>10.Trái phiếu chuyển đổi</t>
  </si>
  <si>
    <t>11.Cổ phiếu ưu đãi</t>
  </si>
  <si>
    <t xml:space="preserve">12.Thuế thu nhập hoãn lại phải trả </t>
  </si>
  <si>
    <t xml:space="preserve">13.Dự phòng phải trả dài hạn </t>
  </si>
  <si>
    <t>14.Quỹ phát triển khoa học và công nghệ</t>
  </si>
  <si>
    <t>D . VỐN CHỦ SỞ HỮU</t>
  </si>
  <si>
    <t>1.Vốn góp của chủ sở hữu</t>
  </si>
  <si>
    <t>-Cổ phiếu phổ thông có quyền biểu quyết</t>
  </si>
  <si>
    <t>-Cổ phiếu ưu đãi</t>
  </si>
  <si>
    <t>2.Thặng dư vốn</t>
  </si>
  <si>
    <t>3.Quyền chọn chuyển đổi trái phiếu</t>
  </si>
  <si>
    <t xml:space="preserve">4.Vốn khác của chủ sở hữu </t>
  </si>
  <si>
    <t>5.Cổ phiếu mua lại của chính mình (*)</t>
  </si>
  <si>
    <t>6.Chênh lệch đánh giá lại tài sản</t>
  </si>
  <si>
    <t>7.Chênh lệch tỷ giá hối đoái</t>
  </si>
  <si>
    <t>8.Quỹ đầu tư phát triển</t>
  </si>
  <si>
    <t>9.Quỹ khác thuộc vốn chủ sở hữu</t>
  </si>
  <si>
    <t>10.Lợi nhuận sau thuế chưa phân phối</t>
  </si>
  <si>
    <t>-LNST chưa phân phối lũy kế đến cuối kỳ trước</t>
  </si>
  <si>
    <t>-LNST chưa phân phối kỳ này</t>
  </si>
  <si>
    <t>TỔNG CỘNG NGUỒN VỐN</t>
  </si>
  <si>
    <t>Nguyễn Bảo Quốc</t>
  </si>
  <si>
    <t>BÁO CÁO KẾT QUẢ HOẠT ĐỘNG KINH DOANH</t>
  </si>
  <si>
    <t>ĐVT: VNĐ</t>
  </si>
  <si>
    <t>Chỉ tiêu</t>
  </si>
  <si>
    <t>1.</t>
  </si>
  <si>
    <t>Doanh thu bán hàng và cung cấp dịch vụ</t>
  </si>
  <si>
    <t>2.</t>
  </si>
  <si>
    <t>Các khoản giảm trừ doanh thu</t>
  </si>
  <si>
    <t>3.</t>
  </si>
  <si>
    <t>Doanh thu thuần về bán hàng và cung cấp dịch vụ</t>
  </si>
  <si>
    <t>4.</t>
  </si>
  <si>
    <t>Giá vốn hàng bán</t>
  </si>
  <si>
    <t>5.</t>
  </si>
  <si>
    <t>Lợi nhuận gộp về bán hàng và cung cấp dịch vụ</t>
  </si>
  <si>
    <t>6.</t>
  </si>
  <si>
    <t>Lãi/lỗ của hoạt động bán, thanh lý bất động sản đầu tư</t>
  </si>
  <si>
    <t>7.</t>
  </si>
  <si>
    <t>Doanh thu hoạt động tài chính</t>
  </si>
  <si>
    <t>8.</t>
  </si>
  <si>
    <t>Chi phí tài chính</t>
  </si>
  <si>
    <t xml:space="preserve">Trong đó:  chi phí lãi vay </t>
  </si>
  <si>
    <t>9.</t>
  </si>
  <si>
    <t>Chi phí bán hàng</t>
  </si>
  <si>
    <t>10.</t>
  </si>
  <si>
    <t>Chi phí quản lý doanh nghiệp</t>
  </si>
  <si>
    <t>11.</t>
  </si>
  <si>
    <t>Lợi nhuận thuần từ hoạt động kinh doanh</t>
  </si>
  <si>
    <t>12.</t>
  </si>
  <si>
    <t>Thu nhập khác</t>
  </si>
  <si>
    <t>13.</t>
  </si>
  <si>
    <t xml:space="preserve">Chi phí khác </t>
  </si>
  <si>
    <t>14.</t>
  </si>
  <si>
    <t>Lợi nhuận khác</t>
  </si>
  <si>
    <t>15.</t>
  </si>
  <si>
    <t xml:space="preserve">Tổng lợi nhuận kế toán trước thuế </t>
  </si>
  <si>
    <t>16.</t>
  </si>
  <si>
    <t>Chi phí thuế TNDN hiện hành (*)</t>
  </si>
  <si>
    <t>17.</t>
  </si>
  <si>
    <t>Chi phí thuế TNDN hoãn lại</t>
  </si>
  <si>
    <t>18.</t>
  </si>
  <si>
    <t xml:space="preserve">Lợi nhuận sau thuế </t>
  </si>
  <si>
    <t>19.</t>
  </si>
  <si>
    <t xml:space="preserve">Lãi cơ bản trên cổ phiếu </t>
  </si>
  <si>
    <t>Lập, ngày 28 tháng 02 năm 2026</t>
  </si>
  <si>
    <t>BÁO CÁO LƯU CHUYỂN TIỀN TỆ</t>
  </si>
  <si>
    <t>(Theo phương pháp gián tiếp)</t>
  </si>
  <si>
    <t>I. Lưu chuyển tiền từ hoạt động kinh doanh</t>
  </si>
  <si>
    <t>1. Lợi nhuận trước thuế</t>
  </si>
  <si>
    <t>2. Điều chỉnh cho các khoản</t>
  </si>
  <si>
    <t>- Khấu hao tài sản cố định và BĐSĐT</t>
  </si>
  <si>
    <t>- Các khoản dự phòng</t>
  </si>
  <si>
    <t>- Lãi, lỗ chênh lệch tỷ giá hối đoái do đánh giá lại các khoản mục tiền tệ có gốc ngoại tệ</t>
  </si>
  <si>
    <t>- Lãi lỗ từ hoạt động đầu tư, tài chính</t>
  </si>
  <si>
    <t>- Chi phí đi vay</t>
  </si>
  <si>
    <t>- Các khoản điều chỉnh khác</t>
  </si>
  <si>
    <t>3. Lợi nhuận từ hoạt động kinh doanh trước thay đổi vốn lưu động</t>
  </si>
  <si>
    <t>- Tăng giảm các khoản phải thu</t>
  </si>
  <si>
    <t>- Tăng giảm hàng tồn kho</t>
  </si>
  <si>
    <t xml:space="preserve">- Tăng giảm các khoản phải trả (Không bao gồm lãi vay phải trả, thuế TNDN phải nộp) </t>
  </si>
  <si>
    <t>- Tăng giảm chi phí chờ phân bổ</t>
  </si>
  <si>
    <t>- Tăng, giảm chứng khoán kinh doanh</t>
  </si>
  <si>
    <t>- Chi phí đi vay đã trả</t>
  </si>
  <si>
    <t>- Thuế thu nhập doanh nghiệp đã nộp</t>
  </si>
  <si>
    <t>- Tiền thu khác từ hoạt động kinh doanh</t>
  </si>
  <si>
    <t>- Tiền chi khác cho hoạt động kinh doanh</t>
  </si>
  <si>
    <t>Lưu chuyển tiền thuần từ hoạt động kinh doanh</t>
  </si>
  <si>
    <t>II. Lưu chuyển tiền từ hoạt động đầu tư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</si>
  <si>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</si>
  <si>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</si>
  <si>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</si>
  <si>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</si>
  <si>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chi đầu tư góp vốn vào đơn vị khác</t>
  </si>
  <si>
    <t>6. Tiền thu hồi đầu tư góp vốn vào đơn vị khác</t>
  </si>
  <si>
    <t>7. Tiền thu lãi cho vay, cổ tức và lợi nhuận được chia</t>
  </si>
  <si>
    <t>Lưu chuyển tiền thuần từ hoạt động đầu tư</t>
  </si>
  <si>
    <t>III. Lưu chuyển tiền từ hoạt động tài chính</t>
  </si>
  <si>
    <t>1. Tiền thu từ phát hành cố phiếu, nhận vốn góp của chủ sở hữu</t>
  </si>
  <si>
    <t>2. Tiền trả lại vốn góp cho các chủ sở hữu, mua lại cổ phiểu đã phát hành</t>
  </si>
  <si>
    <t>3. Tiền thu từ đi vay</t>
  </si>
  <si>
    <t>4. Tiền trả nợ gốc vay</t>
  </si>
  <si>
    <t xml:space="preserve">5. Tiền trả nợ gốc thuê tài chính </t>
  </si>
  <si>
    <t xml:space="preserve">6. Cổ tức, lợi nhuận đã trả cho chủ sở hữu </t>
  </si>
  <si>
    <t xml:space="preserve">Lưu chuyển tiền thuần từ hoạt động tài chính 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</si>
  <si>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</si>
  <si>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</si>
  <si>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</si>
  <si>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</si>
  <si>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GIÁM ĐỐC</t>
  </si>
  <si>
    <t>VND</t>
  </si>
  <si>
    <t>Index BS</t>
  </si>
  <si>
    <t>PHẦN I-BÁO CÁO TÌNH HÌNH TÀI CHÍNH</t>
  </si>
  <si>
    <t>TenCongTyID</t>
  </si>
  <si>
    <t>T1.2021</t>
  </si>
  <si>
    <t>T02.2021</t>
  </si>
  <si>
    <t>T03.2021</t>
  </si>
  <si>
    <t>T04.2021</t>
  </si>
  <si>
    <t>T05.2021</t>
  </si>
  <si>
    <t>T06.2021</t>
  </si>
  <si>
    <t>T07.2021</t>
  </si>
  <si>
    <t>T08.2021</t>
  </si>
  <si>
    <t>T09.2021</t>
  </si>
  <si>
    <t>T10.2021</t>
  </si>
  <si>
    <t>T11.2021</t>
  </si>
  <si>
    <t>T12.2021</t>
  </si>
  <si>
    <t>T1.2022</t>
  </si>
  <si>
    <t>T02.2022</t>
  </si>
  <si>
    <t>T03.2022</t>
  </si>
  <si>
    <t>T04.2022</t>
  </si>
  <si>
    <t>T05.2022</t>
  </si>
  <si>
    <t>T06.2022</t>
  </si>
  <si>
    <t>T07.2022</t>
  </si>
  <si>
    <t>T08.2022</t>
  </si>
  <si>
    <t>T09.2022</t>
  </si>
  <si>
    <t>T10.2022</t>
  </si>
  <si>
    <t>T11.2022</t>
  </si>
  <si>
    <t>T12.2022</t>
  </si>
  <si>
    <t>T1.2023</t>
  </si>
  <si>
    <t>T02.2023</t>
  </si>
  <si>
    <t>T03.2023</t>
  </si>
  <si>
    <t>T04.2023</t>
  </si>
  <si>
    <t>T05.2023</t>
  </si>
  <si>
    <t>T06.2023</t>
  </si>
  <si>
    <t>T07.2023</t>
  </si>
  <si>
    <t>T08.2023</t>
  </si>
  <si>
    <t>T09.2023</t>
  </si>
  <si>
    <t>T10.2023</t>
  </si>
  <si>
    <t>T11.2023</t>
  </si>
  <si>
    <t>T12.2023</t>
  </si>
  <si>
    <t>T01.2024</t>
  </si>
  <si>
    <t>T02.2024</t>
  </si>
  <si>
    <t>T03.2024</t>
  </si>
  <si>
    <t>T04.2024</t>
  </si>
  <si>
    <t>T05.2024</t>
  </si>
  <si>
    <t>T06.2024</t>
  </si>
  <si>
    <t>T07.2024</t>
  </si>
  <si>
    <t>T08.2024</t>
  </si>
  <si>
    <t>T09.2024</t>
  </si>
  <si>
    <t>T10.2024</t>
  </si>
  <si>
    <t>T11.2024</t>
  </si>
  <si>
    <t>T12.2024</t>
  </si>
  <si>
    <t>T01.2025</t>
  </si>
  <si>
    <t>T02.2025</t>
  </si>
  <si>
    <t>T03.2025</t>
  </si>
  <si>
    <t>T04.2025</t>
  </si>
  <si>
    <t>T05.2025</t>
  </si>
  <si>
    <t>T06.2025</t>
  </si>
  <si>
    <t>T07.2025</t>
  </si>
  <si>
    <t>T08.2025</t>
  </si>
  <si>
    <t>T09.2025</t>
  </si>
  <si>
    <t>T10.2025</t>
  </si>
  <si>
    <t>T11.2025</t>
  </si>
  <si>
    <t>T12.2025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</si>
  <si>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</si>
  <si>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</si>
  <si>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</si>
  <si>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</si>
  <si>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</si>
  <si>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</si>
  <si>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</si>
  <si>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</si>
  <si>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</si>
  <si>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</si>
  <si>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</si>
  <si>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</si>
  <si>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A-TÀI SẢN NGẮN HẠN</t>
  </si>
  <si>
    <t>I.Tiền và các khoản tương đương tiền</t>
  </si>
  <si>
    <t xml:space="preserve">1.Tiền </t>
  </si>
  <si>
    <t>2.Các khoản tương đương tiền</t>
  </si>
  <si>
    <t>II.Đầu tư tài chính ngắn hạn</t>
  </si>
  <si>
    <t>III.Các khoản phải thu ngắn hạn</t>
  </si>
  <si>
    <t>1.Hàng tồn kho</t>
  </si>
  <si>
    <t>2.Dự phòng giảm giá hàng tồn kho (*)</t>
  </si>
  <si>
    <t>B-TÀI SẢN DÀI HẠN</t>
  </si>
  <si>
    <t>II.Tài sản cố định</t>
  </si>
  <si>
    <t>1.Tài sản cố định hữu hình</t>
  </si>
  <si>
    <t>Nguyên giá TSCĐ HH</t>
  </si>
  <si>
    <t>Giá trị hao mòn luỹ kế TSCĐ HH(*)</t>
  </si>
  <si>
    <t>Nguyên giá TSCĐ thuê tài chính</t>
  </si>
  <si>
    <t>Giá trị hao mòn luỹ kế TSCĐ thuê tài chính</t>
  </si>
  <si>
    <t>Nguyên giá TSCĐ vô hình</t>
  </si>
  <si>
    <t>Giá trị hao mòn luỹ kế TSCĐ vô hình(*)</t>
  </si>
  <si>
    <t>III.Tài sản sinh học dài hạn</t>
  </si>
  <si>
    <t>Nguyên giá</t>
  </si>
  <si>
    <t>Giá trị khấu hao lũy kế (*)</t>
  </si>
  <si>
    <t>Nguyên giá bất động sản đầu tư</t>
  </si>
  <si>
    <t>Giá trị hao mòn luỹ kế BĐSĐT(*)</t>
  </si>
  <si>
    <t>V.Tài sản dở dang dài hạn</t>
  </si>
  <si>
    <t>VI.Đầu tư tài chính dài hạn</t>
  </si>
  <si>
    <t>VII.Tài sản dài hạn khác</t>
  </si>
  <si>
    <t>TỔNG TÀI SẢN</t>
  </si>
  <si>
    <t>C-NỢ PHẢI TRẢ</t>
  </si>
  <si>
    <t>I.Nợ ngắn hạn</t>
  </si>
  <si>
    <t>II.Nợ dài hạn</t>
  </si>
  <si>
    <t xml:space="preserve">9.Vay và nợ thuê tài chính dài hạn </t>
  </si>
  <si>
    <t>D-VỐN CHỦ SỞ HỮU</t>
  </si>
  <si>
    <t>TỔNG NGUỒN VỐN</t>
  </si>
  <si>
    <t>Index PL</t>
  </si>
  <si>
    <t>PHẦN II-KẾT QUẢ HOẠT ĐỘNG KINH DOANH</t>
  </si>
  <si>
    <t>Sản lượng (Tấn)</t>
  </si>
  <si>
    <t>1.Doanh thu bán hàng và cung cấp dịch vụ</t>
  </si>
  <si>
    <t>2.Các khoản giảm trừ doanh thu</t>
  </si>
  <si>
    <t xml:space="preserve">   </t>
  </si>
  <si>
    <t>3.Doanh thu thuần về bán hàng và cung cấp dịch vụ</t>
  </si>
  <si>
    <t>4.Giá vốn hàng bán</t>
  </si>
  <si>
    <t>5.Lợi nhuận gộp về bán hàng</t>
  </si>
  <si>
    <t>6.Lãi/lỗ của hoạt động bán, thanh lý bất động sản đầu tư</t>
  </si>
  <si>
    <t> </t>
  </si>
  <si>
    <t>7.Doanh thu hoạt động tài chính</t>
  </si>
  <si>
    <t>8.Chi phí tài chính</t>
  </si>
  <si>
    <t>Trong đó: Chi phí lãi vay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</si>
  <si>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</si>
  <si>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</si>
  <si>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</si>
  <si>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</si>
  <si>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</si>
  <si>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</si>
  <si>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</si>
  <si>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</si>
  <si>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</si>
  <si>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</si>
  <si>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Index CF</t>
  </si>
  <si>
    <t>PHẦN III- LƯU CHUYỂN TIỀN TỆ</t>
  </si>
  <si>
    <t>Lợi nhuận trước thuế</t>
  </si>
  <si>
    <t>Điều chỉnh cho các khoản:</t>
  </si>
  <si>
    <t>Khấu hao tài sản cố định và BĐSĐT</t>
  </si>
  <si>
    <t>Các khoản dự phòng</t>
  </si>
  <si>
    <t>Lãi, lỗ chênh lệch tỷ giá do đánh giá lại các khoản mục tiền tệ có gốc ngoại tệ</t>
  </si>
  <si>
    <t>Lãi, lỗ từ hoạt động đầu tư, tài chính</t>
  </si>
  <si>
    <t>Chi phí đi vay</t>
  </si>
  <si>
    <t>Các khoản điều chỉnh khác</t>
  </si>
  <si>
    <t>Lợi nhuận từ hoạt động kinh doanh trước thay đổi vốn lưu động</t>
  </si>
  <si>
    <t xml:space="preserve">Tăng / giảm các khoản phải thu </t>
  </si>
  <si>
    <t>Tăng / giảm hàng tồn kho</t>
  </si>
  <si>
    <t>Tăng / giảm các khoản phải trả (Không bao gồm lãi vay phải trả, thuế TNDN phải nộp)</t>
  </si>
  <si>
    <t>Tăng / giảm chi phí chờ phân bổ</t>
  </si>
  <si>
    <t>Tăng / giảm chứng khoán kinh doanh</t>
  </si>
  <si>
    <t>Chi phí đi vay đã trả</t>
  </si>
  <si>
    <t>Thuế thu nhập doanh nghiệp đã nộp</t>
  </si>
  <si>
    <t>Tiền thu khác từ hoạt động kinh doanh</t>
  </si>
  <si>
    <t>Tiền chi khác cho hoạt động kinh doanh</t>
  </si>
  <si>
    <t>Tiền chi để mua sắm, xây dựng,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</si>
  <si>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</si>
  <si>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</si>
  <si>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</si>
  <si>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</si>
  <si>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</si>
  <si>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tức, và lợi nhuận được chia</t>
  </si>
  <si>
    <t>Tiền thu từ phát hành cổ phiếu, nhận vốn góp của chủ sở hữu</t>
  </si>
  <si>
    <t>Tiền trả lại vốn góp cho các chủ sở hữu, mua lại cổ phiểu đã phát hành</t>
  </si>
  <si>
    <t>Tiền thu từ đi vay</t>
  </si>
  <si>
    <t>Tiền trả nợ gốc vay</t>
  </si>
  <si>
    <t>Tiền trả nợ gốc thuê tài chính</t>
  </si>
  <si>
    <t>Cổ tức, lợi nhuận đã trả cho chủ sở hữu</t>
  </si>
  <si>
    <t>Lưu chuyển thuần từ hoạt động tài chính</t>
  </si>
  <si>
    <t>Index PL Element</t>
  </si>
  <si>
    <t>PHẦN IV: CHI PHÍ THEO YẾU TỐ</t>
  </si>
  <si>
    <t>Tổng nhân sự</t>
  </si>
  <si>
    <t>Nhân sự nhóm sản xuất</t>
  </si>
  <si>
    <t>Số ngày công (8 hrs)</t>
  </si>
  <si>
    <t>Sản lượng sản xuất (Ton)</t>
  </si>
  <si>
    <t>Sản lượng bán (Ton)</t>
  </si>
  <si>
    <t>Doanh thu bán hàng</t>
  </si>
  <si>
    <t>Các khoản giảm trừ doanh thu</t>
  </si>
  <si>
    <t xml:space="preserve">% Các khoản giảm trừ </t>
  </si>
  <si>
    <t>Doanh thu thuần</t>
  </si>
  <si>
    <t>Xuất khẩu</t>
  </si>
  <si>
    <t>Nội địa</t>
  </si>
  <si>
    <t>Khác</t>
  </si>
  <si>
    <t>Giá vốn hàng bán</t>
  </si>
  <si>
    <t xml:space="preserve">Chi phí nguyên vật liệu </t>
  </si>
  <si>
    <t>Chi phí điện</t>
  </si>
  <si>
    <t>Chi phí lương ngoài giờ sản xuất</t>
  </si>
  <si>
    <t>Chi phí nhân công trực tiếp sản xuất (622)</t>
  </si>
  <si>
    <t>Chi phí nhân công gián tiếp sản xuất (6271)</t>
  </si>
  <si>
    <t>Phúc lợi nhân viên sản xuất (BHXH,thưởng,…)</t>
  </si>
  <si>
    <t>Chi phí sửa chữa, bảo trì</t>
  </si>
  <si>
    <t>Chi phí xưởng (các khoản còn lại ngoài các mục trên)</t>
  </si>
  <si>
    <t>Chi phí khấu hao sản xuất (6274)</t>
  </si>
  <si>
    <t>Chi phí gia công ngoài (nếu có)</t>
  </si>
  <si>
    <t>Giá vốn khác</t>
  </si>
  <si>
    <t>Giá vốn trong hàng tồn kho</t>
  </si>
  <si>
    <t>% Giá vốn hàng bán</t>
  </si>
  <si>
    <t>Lợi nhuận gộp</t>
  </si>
  <si>
    <t>% Lợi nhuận gộp</t>
  </si>
  <si>
    <t>Lợi nhuận trước thuế</t>
  </si>
  <si>
    <t>% Lợi nhuận trước thuế</t>
  </si>
  <si>
    <t>EBITDA</t>
  </si>
  <si>
    <t>% EBITDA</t>
  </si>
  <si>
    <t>Thuế TNDN</t>
  </si>
  <si>
    <t>% Thuế TNDN</t>
  </si>
  <si>
    <t>Lợi nhuận sau thuế</t>
  </si>
  <si>
    <t>% Lợi nhuận sau thuế</t>
  </si>
  <si>
    <t>Chi phí bán hàng</t>
  </si>
  <si>
    <t>Chi phí lương bán hàng</t>
  </si>
  <si>
    <t>Phúc lợi nhân viên bán hàng (BHXH, thưởng,…)</t>
  </si>
  <si>
    <t>Chi phí hoa hồng</t>
  </si>
  <si>
    <t>Chi phí vận chuyển trong nước</t>
  </si>
  <si>
    <t>Chi phí vận chuyển xuất khẩu</t>
  </si>
  <si>
    <t>Chi phí khấu hao bán hàng (6414)</t>
  </si>
  <si>
    <t>Chi phí hoạt động bán hàng (phần còn lại)</t>
  </si>
  <si>
    <t>% Chi phí bán hàng</t>
  </si>
  <si>
    <t>Chi phí quản lý</t>
  </si>
  <si>
    <t>Chi phí nhân viên quản lý</t>
  </si>
  <si>
    <t>Phúc lợi nhân viên quản lý (BHXH, thưởng,…)</t>
  </si>
  <si>
    <t>Chi phí khấu hao quản lý (6424)</t>
  </si>
  <si>
    <t>Chi phí hoạt động quản lý (phần còn lại)</t>
  </si>
  <si>
    <t>% Chi phí quản lý</t>
  </si>
  <si>
    <t>Chi phí tài chính</t>
  </si>
  <si>
    <t>Chi phí lãi vay</t>
  </si>
  <si>
    <t>% Chi phí lãi vay</t>
  </si>
  <si>
    <t>Index Loan</t>
  </si>
  <si>
    <t>PHẦN V: CHI TIẾT NỢ VAY NGÂN HÀNG</t>
  </si>
  <si>
    <t>Hạn mức vay ngắn hạn</t>
  </si>
  <si>
    <t>ACB</t>
  </si>
  <si>
    <t>VietinBank</t>
  </si>
  <si>
    <t>Vietcombank</t>
  </si>
  <si>
    <t>BIDV</t>
  </si>
  <si>
    <t>Standard Chartered</t>
  </si>
  <si>
    <t>VILC</t>
  </si>
  <si>
    <t>IVB</t>
  </si>
  <si>
    <t>Vay ngắn hạn ngân hàng</t>
  </si>
  <si>
    <t>Lãi suất vay ngắn hạn (%)</t>
  </si>
  <si>
    <t>Vay trung hạn Ngân hàng</t>
  </si>
  <si>
    <t>Lãi suất vay trung hạn (%)</t>
  </si>
  <si>
    <t>TỔNG SỐ DƯ NỢ VAY NGÂN HÀNG</t>
  </si>
  <si>
    <t>SỐ DƯ TIỀN TẠI CÁC NGÂN HÀNG</t>
  </si>
  <si>
    <t>SỐ DƯ TIỀN GỬI TIẾT KIỆM TẠI CÁC NGÂN HÀNG</t>
  </si>
  <si>
    <t>TỔNG HỢP THÔNG TIN GIAO DỊCH VỚI CÁC BÊN LIÊN QUAN NĂM 2026</t>
  </si>
  <si>
    <t>A</t>
  </si>
  <si>
    <t>GIÁ TRỊ GIAO DỊCH VỚI CÁC BÊN LIÊN QUAN</t>
  </si>
  <si>
    <t>Số tiền chưa VAT</t>
  </si>
  <si>
    <t>Công ty thành viên</t>
  </si>
  <si>
    <t>Mã số thuế</t>
  </si>
  <si>
    <t>Diễn giải</t>
  </si>
  <si>
    <t>TK hạch toán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</si>
  <si>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</si>
  <si>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</si>
  <si>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</si>
  <si>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</si>
  <si>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</si>
  <si>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</si>
  <si>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</si>
  <si>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</si>
  <si>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</si>
  <si>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</si>
  <si>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</si>
  <si>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</si>
  <si>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Lũy kế năm 2025</t>
  </si>
  <si>
    <t>Lũy kế năm 2026</t>
  </si>
  <si>
    <t>I.</t>
  </si>
  <si>
    <t>DOANH THU BÁN HÀNG VÀ DỊCH VỤ, TÀI SẢN….</t>
  </si>
  <si>
    <t>Công ty TNHH Nhựa Duy Tân</t>
  </si>
  <si>
    <t>0301417196</t>
  </si>
  <si>
    <t>Bán hàng nhựa</t>
  </si>
  <si>
    <t>Bán vật tư</t>
  </si>
  <si>
    <t>Bán TSCĐ</t>
  </si>
  <si>
    <t>Lãi vay</t>
  </si>
  <si>
    <t>Thu tiền lãi vay</t>
  </si>
  <si>
    <t>DV TS24</t>
  </si>
  <si>
    <t>Bán khác</t>
  </si>
  <si>
    <t>7118</t>
  </si>
  <si>
    <t>Công ty CP Nhựa Tái Chế Duy Tân</t>
  </si>
  <si>
    <t>1100676611</t>
  </si>
  <si>
    <t>Bán nguyên vật liệu</t>
  </si>
  <si>
    <t>Cho thuê máy móc</t>
  </si>
  <si>
    <t>Bán Laptop</t>
  </si>
  <si>
    <t>CP công tác</t>
  </si>
  <si>
    <t>Công ty TNHH Thu mua phế liệu Đại Lộc</t>
  </si>
  <si>
    <t>3603813473</t>
  </si>
  <si>
    <t>Cho thuê nhà xưởng</t>
  </si>
  <si>
    <t>Công ty TNHH MTV Đồng Lâm</t>
  </si>
  <si>
    <t>1501075079</t>
  </si>
  <si>
    <t>Công ty TNHH Thu mua phế liệu Khánh Nga</t>
  </si>
  <si>
    <t>1201638316</t>
  </si>
  <si>
    <t>Chi Phí Hỗ Trợ Kỹ Thuật</t>
  </si>
  <si>
    <t xml:space="preserve">Công ty Cổ phần Tái chế Tân Đại Phát </t>
  </si>
  <si>
    <t>1102066435</t>
  </si>
  <si>
    <t>Cho thuê xe</t>
  </si>
  <si>
    <t>Bán CCDC</t>
  </si>
  <si>
    <t>Công ty Cổ phần Nhựa Tái chế Duy Tân Vĩnh Long</t>
  </si>
  <si>
    <t>1501162229</t>
  </si>
  <si>
    <t>Công ty TNHH Khuôn Chính xác Minh Đạt</t>
  </si>
  <si>
    <t>1100673882</t>
  </si>
  <si>
    <t>Bán khuôn</t>
  </si>
  <si>
    <t>Công ty TNHH MTV Sản Xuất Và XNK Cơ Khí Duy Phong</t>
  </si>
  <si>
    <t>0308309915</t>
  </si>
  <si>
    <t>Công ty TNHH Khuôn Chính Xác Natec</t>
  </si>
  <si>
    <t>0313783944</t>
  </si>
  <si>
    <t>Công ty TNHH Plenma</t>
  </si>
  <si>
    <t>0316224817</t>
  </si>
  <si>
    <t>Plascene Inc</t>
  </si>
  <si>
    <t>45-3042526</t>
  </si>
  <si>
    <t>Công ty Cổ phần Cát Vân</t>
  </si>
  <si>
    <t>0304259773</t>
  </si>
  <si>
    <t>Công ty Cổ phần Tân Bình Group</t>
  </si>
  <si>
    <t>1501147679</t>
  </si>
  <si>
    <t>Công ty TNHH SX &amp; TM Thạnh Phát</t>
  </si>
  <si>
    <t>1100140919</t>
  </si>
  <si>
    <t>Công ty TNHH Nội Thất Tân Lợi Phát</t>
  </si>
  <si>
    <t>1101806126</t>
  </si>
  <si>
    <t>Công ty TNHH MTV Trung tâm Thính học Đà Nẵng</t>
  </si>
  <si>
    <t>0401524699</t>
  </si>
  <si>
    <t>Công ty TNHH SX-TM-XNK Yến Nhất Vương</t>
  </si>
  <si>
    <t>3401182514</t>
  </si>
  <si>
    <t>Công ty Cổ phần Duytan Group</t>
  </si>
  <si>
    <t>0317929753</t>
  </si>
  <si>
    <t>Công ty TNHH Duytan Xanh</t>
  </si>
  <si>
    <t>0318602662</t>
  </si>
  <si>
    <t>Công ty TNHH Duy Tân</t>
  </si>
  <si>
    <t>0303816206</t>
  </si>
  <si>
    <t>Công ty Cổ phần Tập đoàn DTG</t>
  </si>
  <si>
    <t>0317356492</t>
  </si>
  <si>
    <t>II.</t>
  </si>
  <si>
    <t>MUA HÀNG VÀ DỊCH VỤ, TÀI SẢN….</t>
  </si>
  <si>
    <t>Thuê nhà xưởng</t>
  </si>
  <si>
    <t>Mua TSCĐ</t>
  </si>
  <si>
    <t>Mua CCDC</t>
  </si>
  <si>
    <t>Chuyển nhượng NH,KDCN</t>
  </si>
  <si>
    <t>Mua khác</t>
  </si>
  <si>
    <t>Phí gia công</t>
  </si>
  <si>
    <t>Mua nguyên vật liệu</t>
  </si>
  <si>
    <t>Mua vật tư</t>
  </si>
  <si>
    <t>152/153</t>
  </si>
  <si>
    <t>Thuê kho</t>
  </si>
  <si>
    <t>Dịch vụ vận chuyển</t>
  </si>
  <si>
    <t>Mua hàng hóa</t>
  </si>
  <si>
    <t>Thuê kho thành phẩm</t>
  </si>
  <si>
    <t>Thuê máy móc</t>
  </si>
  <si>
    <t>Phí sửa khuôn</t>
  </si>
  <si>
    <t>Mua thùng giấy</t>
  </si>
  <si>
    <t>151/152</t>
  </si>
  <si>
    <t>III.</t>
  </si>
  <si>
    <t>CHO VAY</t>
  </si>
  <si>
    <t>Mối liên hệ</t>
  </si>
  <si>
    <t>Tài khoản hạch toán</t>
  </si>
  <si>
    <t>Công ty mẹ</t>
  </si>
  <si>
    <t>Ông Trần Duy Hy</t>
  </si>
  <si>
    <t>Chủ tịch HĐQT</t>
  </si>
  <si>
    <t>Phải thu khác</t>
  </si>
  <si>
    <t>Lãi cho chú Hy vay</t>
  </si>
  <si>
    <t>IV.</t>
  </si>
  <si>
    <t>THU TIỀN CHO VAY</t>
  </si>
  <si>
    <t>V</t>
  </si>
  <si>
    <t>NHẬN VAY</t>
  </si>
  <si>
    <t>VI</t>
  </si>
  <si>
    <t>TRẢ NỢ VAY</t>
  </si>
  <si>
    <t>VII</t>
  </si>
  <si>
    <t>LỢI NHUẬN ĐƯỢC CHIA</t>
  </si>
  <si>
    <t>Công ty con</t>
  </si>
  <si>
    <t>VIII</t>
  </si>
  <si>
    <t>CHIA CỔ TỨC</t>
  </si>
  <si>
    <t>4211/338</t>
  </si>
  <si>
    <t>421/338</t>
  </si>
  <si>
    <t>Bà Nguyễn Thị Huệ Thu</t>
  </si>
  <si>
    <t>Bà Dương Phương Thảo</t>
  </si>
  <si>
    <t>IX</t>
  </si>
  <si>
    <t>CHI TRẢ CỔ TỨC</t>
  </si>
  <si>
    <t>338/112</t>
  </si>
  <si>
    <t>338/33351</t>
  </si>
  <si>
    <t>Phó TGĐ</t>
  </si>
  <si>
    <t>B</t>
  </si>
  <si>
    <t>SỐ DƯ CUỐI THÁNG VỚI CÁC BÊN LIÊN QUAN</t>
  </si>
  <si>
    <t>Số tiền gồm VAT</t>
  </si>
  <si>
    <t>SỐ DƯ PHẢI THU</t>
  </si>
  <si>
    <t>Tháng 1/2025</t>
  </si>
  <si>
    <t>Tháng 1/2026</t>
  </si>
  <si>
    <t>SỐ DƯ NGƯỜI MUA TRẢ TIỀN TRƯỚC</t>
  </si>
  <si>
    <t>SỐ DƯ PHẢI TRẢ NGƯỜI BÁN</t>
  </si>
  <si>
    <t>SỐ DƯ TRẢ TRƯỚC CHO NGƯỜI BÁN</t>
  </si>
  <si>
    <t>V.</t>
  </si>
  <si>
    <t>SỐ DƯ CHO VAY</t>
  </si>
  <si>
    <t>CÔNG TY</t>
  </si>
  <si>
    <t>CÁ NHÂN</t>
  </si>
  <si>
    <t>VI.</t>
  </si>
  <si>
    <t>SỐ DƯ ĐI VAY</t>
  </si>
  <si>
    <t xml:space="preserve">CÁ NHÂN </t>
  </si>
  <si>
    <t>Bà…</t>
  </si>
  <si>
    <t>VII.</t>
  </si>
  <si>
    <t>CHUYỂN NHƯỢNG VỐN GÓP CỦA</t>
  </si>
  <si>
    <t>N221/Có 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</si>
</sst>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#,##0;[Red]#,##0"/>
    <numFmt numFmtId="168" formatCode="#,##0,,"/>
    <numFmt numFmtId="169" formatCode="0.0%"/>
    <numFmt numFmtId="170" formatCode="_-* #,##0\ _₫_-;\-* #,##0\ _₫_-;_-* &quot;-&quot;\ _₫_-;_-@_-"/>
    <numFmt numFmtId="171" formatCode="_(* #,##0_);[Red]_(* \(#,##0\);_(* &quot;-&quot;??_);_(@_)"/>
    <numFmt numFmtId="172" formatCode="_-* #,##0.00\ _₫_-;\-* #,##0.00\ _₫_-;_-* &quot;-&quot;??\ _₫_-;_-@_-"/>
    <numFmt numFmtId="173" formatCode="#,###"/>
    <numFmt numFmtId="174" formatCode="_-* #,##0\ _₫_-;\-* #,##0\ _₫_-;_-* &quot;-&quot;??\ _₫_-;_-@_-"/>
    <numFmt numFmtId="175" formatCode="_-* #,##0.0\ _₫_-;\-* #,##0.0\ _₫_-;_-* &quot;-&quot;??\ _₫_-;_-@_-"/>
  </numFmts>
  <fonts count="1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rgb="FFFF0000"/>
      <name val="Times New Roman"/>
      <family val="1"/>
    </font>
    <font>
      <b/>
      <sz val="11"/>
      <color theme="0"/>
      <name val="Arial"/>
      <family val="2"/>
    </font>
    <font>
      <b/>
      <sz val="12"/>
      <color rgb="FFFF0000"/>
      <name val="Times New Roman"/>
      <family val="1"/>
    </font>
    <font>
      <b/>
      <sz val="12"/>
      <color rgb="FF0000FF"/>
      <name val="Times New Roman"/>
      <family val="1"/>
    </font>
    <font>
      <sz val="10"/>
      <name val="VNI-Times"/>
    </font>
    <font>
      <sz val="11"/>
      <name val="Times New Roman"/>
      <family val="1"/>
    </font>
    <font>
      <sz val="10"/>
      <name val="Times New Roman"/>
      <family val="1"/>
    </font>
    <font>
      <b/>
      <sz val="11"/>
      <color indexed="12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008000"/>
      <name val="Times New Roman"/>
      <family val="1"/>
      <charset val="163"/>
    </font>
    <font>
      <b/>
      <sz val="11"/>
      <color indexed="17"/>
      <name val="Times New Roman"/>
      <family val="1"/>
    </font>
    <font>
      <b/>
      <sz val="11"/>
      <color rgb="FF0000FF"/>
      <name val="Times New Roman"/>
      <family val="1"/>
      <charset val="163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Times New Roman"/>
      <family val="1"/>
    </font>
    <font>
      <b/>
      <sz val="10"/>
      <color rgb="FF0000FF"/>
      <name val="VNI-Times"/>
    </font>
    <font>
      <b/>
      <u/>
      <sz val="11"/>
      <color rgb="FF0000FF"/>
      <name val="Times New Roman"/>
      <family val="1"/>
      <charset val="163"/>
    </font>
    <font>
      <b/>
      <u/>
      <sz val="11"/>
      <color rgb="FF0000FF"/>
      <name val="Times New Roman"/>
      <family val="1"/>
    </font>
    <font>
      <u/>
      <sz val="10"/>
      <name val="VNI-Times"/>
    </font>
    <font>
      <sz val="11"/>
      <color indexed="8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2"/>
      <name val="VNI-Times"/>
    </font>
    <font>
      <b/>
      <u/>
      <sz val="11"/>
      <color rgb="FFFF0000"/>
      <name val="Times New Roman"/>
      <family val="1"/>
      <charset val="163"/>
    </font>
    <font>
      <b/>
      <sz val="11"/>
      <color rgb="FFFF0000"/>
      <name val="Arial"/>
      <family val="2"/>
      <charset val="163"/>
    </font>
    <font>
      <sz val="11"/>
      <color rgb="FF0000FF"/>
      <name val="Times New Roman"/>
      <family val="1"/>
      <charset val="163"/>
    </font>
    <font>
      <sz val="12"/>
      <name val="Times New Roman"/>
      <family val="1"/>
    </font>
    <font>
      <sz val="11"/>
      <color indexed="12"/>
      <name val="Times New Roman"/>
      <family val="1"/>
    </font>
    <font>
      <sz val="10"/>
      <color theme="1"/>
      <name val="Times New Roman"/>
      <family val="1"/>
    </font>
    <font>
      <sz val="10"/>
      <color rgb="FF0000FF"/>
      <name val="Arial"/>
      <family val="2"/>
      <charset val="163"/>
    </font>
    <font>
      <b/>
      <sz val="11"/>
      <color indexed="8"/>
      <name val="Times New Roman"/>
      <family val="1"/>
      <charset val="163"/>
    </font>
    <font>
      <sz val="11"/>
      <color rgb="FFFF0000"/>
      <name val="Arial"/>
      <family val="2"/>
    </font>
    <font>
      <sz val="11"/>
      <color rgb="FF0000FF"/>
      <name val="Times New Roman"/>
      <family val="1"/>
    </font>
    <font>
      <sz val="11"/>
      <color rgb="FF0000FF"/>
      <name val="Arial"/>
      <family val="2"/>
    </font>
    <font>
      <b/>
      <sz val="11"/>
      <color indexed="12"/>
      <name val="Arial Nova"/>
      <family val="2"/>
    </font>
    <font>
      <b/>
      <sz val="11"/>
      <color rgb="FF0000FF"/>
      <name val="Arial Nova"/>
      <family val="2"/>
    </font>
    <font>
      <sz val="11"/>
      <color theme="5" tint="-0.249977111117893"/>
      <name val="Arial Nova"/>
      <family val="2"/>
    </font>
    <font>
      <sz val="10"/>
      <color theme="5" tint="-0.249977111117893"/>
      <name val="Arial Nova"/>
      <family val="2"/>
    </font>
    <font>
      <b/>
      <sz val="10"/>
      <name val="Arial Nova"/>
      <family val="2"/>
    </font>
    <font>
      <sz val="11"/>
      <color rgb="FF0000FF"/>
      <name val="Arial Nova"/>
      <family val="2"/>
    </font>
    <font>
      <sz val="10"/>
      <name val="Arial Nova"/>
      <family val="2"/>
    </font>
    <font>
      <b/>
      <sz val="10"/>
      <color rgb="FF0000FF"/>
      <name val="Arial Nova"/>
      <family val="2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indexed="18"/>
      <name val="Times New Roman"/>
      <family val="1"/>
    </font>
    <font>
      <sz val="12"/>
      <color indexed="18"/>
      <name val="Times New Roman"/>
      <family val="1"/>
    </font>
    <font>
      <i/>
      <sz val="12"/>
      <color indexed="18"/>
      <name val="Times New Roman"/>
      <family val="1"/>
    </font>
    <font>
      <sz val="10"/>
      <color rgb="FFFF0000"/>
      <name val="Times New Roman"/>
      <family val="1"/>
    </font>
    <font>
      <b/>
      <i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rgb="FF0033CC"/>
      <name val="Arial"/>
      <family val="2"/>
    </font>
    <font>
      <b/>
      <sz val="12"/>
      <name val="Times New Roman"/>
      <family val="1"/>
    </font>
    <font>
      <b/>
      <u/>
      <sz val="16"/>
      <color indexed="21"/>
      <name val="Times New Roman"/>
      <family val="1"/>
    </font>
    <font>
      <sz val="12"/>
      <color indexed="9"/>
      <name val="Times New Roman"/>
      <family val="1"/>
    </font>
    <font>
      <sz val="16"/>
      <color indexed="12"/>
      <name val="Times New Roman"/>
      <family val="1"/>
    </font>
    <font>
      <sz val="12"/>
      <color indexed="12"/>
      <name val="Times New Roman"/>
      <family val="1"/>
    </font>
    <font>
      <sz val="16"/>
      <color indexed="16"/>
      <name val="Times New Roman"/>
      <family val="1"/>
    </font>
    <font>
      <sz val="12"/>
      <color indexed="16"/>
      <name val="Times New Roman"/>
      <family val="1"/>
    </font>
    <font>
      <sz val="16"/>
      <color indexed="20"/>
      <name val="Times New Roman"/>
      <family val="1"/>
    </font>
    <font>
      <sz val="12"/>
      <color indexed="20"/>
      <name val="Times New Roman"/>
      <family val="1"/>
    </font>
    <font>
      <sz val="16"/>
      <name val="Times New Roman"/>
      <family val="1"/>
    </font>
    <font>
      <b/>
      <sz val="11"/>
      <color indexed="18"/>
      <name val="Times New Roman"/>
      <family val="1"/>
    </font>
    <font>
      <sz val="11"/>
      <color indexed="18"/>
      <name val="Times New Roman"/>
      <family val="1"/>
    </font>
    <font>
      <sz val="11"/>
      <color rgb="FF000080"/>
      <name val="Times New Roman"/>
      <family val="1"/>
    </font>
    <font>
      <b/>
      <sz val="16"/>
      <color indexed="18"/>
      <name val="Times New Roman"/>
      <family val="1"/>
    </font>
    <font>
      <b/>
      <sz val="12"/>
      <color rgb="FF000080"/>
      <name val="Times New Roman"/>
      <family val="1"/>
    </font>
    <font>
      <i/>
      <sz val="11"/>
      <color rgb="FF000080"/>
      <name val="Times New Roman"/>
      <family val="1"/>
    </font>
    <font>
      <b/>
      <sz val="10"/>
      <color rgb="FF0000FF"/>
      <name val="Arial"/>
      <family val="2"/>
    </font>
    <font>
      <sz val="10"/>
      <color indexed="8"/>
      <name val="Arial"/>
      <family val="2"/>
    </font>
    <font>
      <b/>
      <sz val="10"/>
      <color indexed="18"/>
      <name val="Arial"/>
      <family val="2"/>
    </font>
    <font>
      <sz val="11"/>
      <color indexed="9"/>
      <name val="Times New Roman"/>
      <family val="1"/>
    </font>
    <font>
      <b/>
      <sz val="10"/>
      <color indexed="12"/>
      <name val="Arial"/>
      <family val="2"/>
    </font>
    <font>
      <i/>
      <sz val="11"/>
      <color rgb="FFFF0000"/>
      <name val="Times New Roman"/>
      <family val="1"/>
    </font>
    <font>
      <i/>
      <sz val="11"/>
      <color indexed="8"/>
      <name val="Times New Roman"/>
      <family val="1"/>
    </font>
    <font>
      <i/>
      <sz val="10"/>
      <color indexed="8"/>
      <name val="Arial"/>
      <family val="2"/>
    </font>
    <font>
      <sz val="12"/>
      <color indexed="8"/>
      <name val="Garamond"/>
      <family val="1"/>
    </font>
    <font>
      <b/>
      <sz val="11"/>
      <color rgb="FF000080"/>
      <name val="Times New Roman"/>
      <family val="1"/>
    </font>
    <font>
      <b/>
      <sz val="16"/>
      <color rgb="FF00008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sz val="10"/>
      <color theme="1"/>
      <name val="Times New Roman"/>
      <family val="1"/>
      <charset val="163"/>
    </font>
    <font>
      <b/>
      <i/>
      <sz val="11"/>
      <name val="Times New Roman"/>
      <family val="1"/>
    </font>
    <font>
      <b/>
      <sz val="11"/>
      <color indexed="60"/>
      <name val="Times New Roman"/>
      <family val="1"/>
    </font>
    <font>
      <b/>
      <sz val="11"/>
      <name val="Times New Roman"/>
      <family val="1"/>
    </font>
    <font>
      <b/>
      <i/>
      <sz val="11"/>
      <color indexed="12"/>
      <name val="Times New Roman"/>
      <family val="1"/>
    </font>
    <font>
      <b/>
      <i/>
      <sz val="10"/>
      <color indexed="12"/>
      <name val="Times New Roman"/>
      <family val="1"/>
    </font>
    <font>
      <i/>
      <sz val="11"/>
      <color indexed="12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rgb="FF0070C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1"/>
      <color rgb="FF008000"/>
      <name val="Times New Roman"/>
      <family val="1"/>
    </font>
    <font>
      <sz val="11"/>
      <color rgb="FF000000"/>
      <name val="Arial"/>
      <family val="2"/>
    </font>
    <font>
      <b/>
      <sz val="11"/>
      <color rgb="FF0000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E699"/>
        <bgColor rgb="FF000000"/>
      </patternFill>
    </fill>
  </fills>
  <borders count="64">
    <border>
      <left/>
      <right/>
      <top/>
      <bottom/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medium">
        <color indexed="23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thin">
        <color indexed="55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808080"/>
      </left>
      <right style="thin">
        <color rgb="FF808080"/>
      </right>
      <top style="hair">
        <color rgb="FF808080"/>
      </top>
      <bottom style="hair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/>
      <top style="thin">
        <color indexed="23"/>
      </top>
      <bottom style="hair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16">
    <xf numFmtId="0" fontId="0" fillId="0" borderId="0"/>
    <xf numFmtId="9" fontId="18" fillId="0" borderId="0" applyFont="0" applyFill="0" applyBorder="0" applyAlignment="0" applyProtection="0"/>
    <xf numFmtId="0" fontId="2" fillId="0" borderId="0"/>
    <xf numFmtId="0" fontId="7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102" fillId="0" borderId="0"/>
    <xf numFmtId="172" fontId="102" fillId="0" borderId="0" applyFont="0" applyFill="0" applyBorder="0" applyAlignment="0" applyProtection="0"/>
    <xf numFmtId="0" fontId="2" fillId="0" borderId="0"/>
  </cellStyleXfs>
  <cellXfs count="689">
    <xf numFmtId="0" fontId="0" fillId="0" borderId="0" xfId="0"/>
    <xf numFmtId="165" fontId="13" fillId="0" borderId="4" xfId="4" applyNumberFormat="1" applyFont="1" applyFill="1" applyBorder="1" applyAlignment="1" applyProtection="1">
      <alignment vertical="top" wrapText="1"/>
      <protection locked="0"/>
    </xf>
    <xf numFmtId="165" fontId="10" fillId="0" borderId="4" xfId="4" applyNumberFormat="1" applyFont="1" applyFill="1" applyBorder="1" applyAlignment="1" applyProtection="1">
      <alignment vertical="top" wrapText="1"/>
      <protection locked="0"/>
    </xf>
    <xf numFmtId="3" fontId="17" fillId="0" borderId="4" xfId="2" applyNumberFormat="1" applyFont="1" applyBorder="1" applyAlignment="1" applyProtection="1">
      <alignment vertical="top" wrapText="1"/>
      <protection locked="0"/>
    </xf>
    <xf numFmtId="3" fontId="19" fillId="0" borderId="4" xfId="2" applyNumberFormat="1" applyFont="1" applyBorder="1" applyAlignment="1" applyProtection="1">
      <alignment vertical="top" wrapText="1"/>
      <protection locked="0"/>
    </xf>
    <xf numFmtId="3" fontId="10" fillId="0" borderId="4" xfId="2" applyNumberFormat="1" applyFont="1" applyBorder="1" applyAlignment="1" applyProtection="1">
      <alignment vertical="top" wrapText="1"/>
      <protection locked="0"/>
    </xf>
    <xf numFmtId="3" fontId="10" fillId="0" borderId="4" xfId="0" applyNumberFormat="1" applyFont="1" applyBorder="1" applyAlignment="1" applyProtection="1">
      <alignment vertical="top" wrapText="1"/>
      <protection locked="0"/>
    </xf>
    <xf numFmtId="3" fontId="13" fillId="0" borderId="4" xfId="2" applyNumberFormat="1" applyFont="1" applyBorder="1" applyAlignment="1" applyProtection="1">
      <alignment vertical="top" wrapText="1"/>
      <protection locked="0"/>
    </xf>
    <xf numFmtId="3" fontId="13" fillId="0" borderId="4" xfId="0" applyNumberFormat="1" applyFont="1" applyBorder="1" applyAlignment="1" applyProtection="1">
      <alignment vertical="top" wrapText="1"/>
      <protection locked="0"/>
    </xf>
    <xf numFmtId="3" fontId="17" fillId="0" borderId="2" xfId="2" applyNumberFormat="1" applyFont="1" applyBorder="1" applyAlignment="1" applyProtection="1">
      <alignment vertical="top" wrapText="1"/>
      <protection locked="0"/>
    </xf>
    <xf numFmtId="3" fontId="25" fillId="3" borderId="4" xfId="2" applyNumberFormat="1" applyFont="1" applyFill="1" applyBorder="1" applyAlignment="1" applyProtection="1">
      <alignment vertical="top" wrapText="1"/>
      <protection locked="0"/>
    </xf>
    <xf numFmtId="3" fontId="25" fillId="3" borderId="4" xfId="0" applyNumberFormat="1" applyFont="1" applyFill="1" applyBorder="1" applyAlignment="1" applyProtection="1">
      <alignment vertical="top" wrapText="1"/>
      <protection locked="0"/>
    </xf>
    <xf numFmtId="3" fontId="17" fillId="0" borderId="4" xfId="0" applyNumberFormat="1" applyFont="1" applyBorder="1" applyAlignment="1" applyProtection="1">
      <alignment vertical="top" wrapText="1"/>
      <protection locked="0"/>
    </xf>
    <xf numFmtId="3" fontId="6" fillId="3" borderId="4" xfId="2" applyNumberFormat="1" applyFont="1" applyFill="1" applyBorder="1" applyAlignment="1" applyProtection="1">
      <alignment vertical="center" wrapText="1"/>
      <protection locked="0"/>
    </xf>
    <xf numFmtId="3" fontId="6" fillId="3" borderId="4" xfId="0" applyNumberFormat="1" applyFont="1" applyFill="1" applyBorder="1" applyAlignment="1" applyProtection="1">
      <alignment vertical="center" wrapText="1"/>
      <protection locked="0"/>
    </xf>
    <xf numFmtId="3" fontId="16" fillId="0" borderId="4" xfId="2" applyNumberFormat="1" applyFont="1" applyBorder="1" applyAlignment="1" applyProtection="1">
      <alignment vertical="top" wrapText="1"/>
      <protection locked="0"/>
    </xf>
    <xf numFmtId="3" fontId="16" fillId="0" borderId="4" xfId="0" applyNumberFormat="1" applyFont="1" applyBorder="1" applyAlignment="1" applyProtection="1">
      <alignment vertical="top" wrapText="1"/>
      <protection locked="0"/>
    </xf>
    <xf numFmtId="3" fontId="11" fillId="0" borderId="4" xfId="2" applyNumberFormat="1" applyFont="1" applyBorder="1" applyAlignment="1" applyProtection="1">
      <alignment vertical="top" wrapText="1"/>
      <protection locked="0"/>
    </xf>
    <xf numFmtId="3" fontId="11" fillId="0" borderId="4" xfId="0" applyNumberFormat="1" applyFont="1" applyBorder="1" applyAlignment="1" applyProtection="1">
      <alignment vertical="top" wrapText="1"/>
      <protection locked="0"/>
    </xf>
    <xf numFmtId="165" fontId="33" fillId="0" borderId="6" xfId="4" applyNumberFormat="1" applyFont="1" applyBorder="1" applyAlignment="1" applyProtection="1">
      <alignment horizontal="center" vertical="top" wrapText="1"/>
      <protection locked="0"/>
    </xf>
    <xf numFmtId="165" fontId="33" fillId="0" borderId="6" xfId="4" applyNumberFormat="1" applyFont="1" applyFill="1" applyBorder="1" applyAlignment="1" applyProtection="1">
      <alignment horizontal="center" vertical="top" wrapText="1"/>
      <protection locked="0"/>
    </xf>
    <xf numFmtId="3" fontId="19" fillId="0" borderId="4" xfId="0" applyNumberFormat="1" applyFont="1" applyBorder="1" applyAlignment="1" applyProtection="1">
      <alignment vertical="top" wrapText="1"/>
      <protection locked="0"/>
    </xf>
    <xf numFmtId="3" fontId="34" fillId="0" borderId="4" xfId="2" applyNumberFormat="1" applyFont="1" applyBorder="1" applyAlignment="1" applyProtection="1">
      <alignment vertical="top" wrapText="1"/>
      <protection locked="0"/>
    </xf>
    <xf numFmtId="3" fontId="34" fillId="0" borderId="4" xfId="0" applyNumberFormat="1" applyFont="1" applyBorder="1" applyAlignment="1" applyProtection="1">
      <alignment vertical="top" wrapText="1"/>
      <protection locked="0"/>
    </xf>
    <xf numFmtId="165" fontId="10" fillId="0" borderId="4" xfId="2" applyNumberFormat="1" applyFont="1" applyBorder="1" applyAlignment="1" applyProtection="1">
      <alignment vertical="top" wrapText="1"/>
      <protection locked="0"/>
    </xf>
    <xf numFmtId="3" fontId="10" fillId="0" borderId="4" xfId="0" applyNumberFormat="1" applyFont="1" applyBorder="1" applyProtection="1">
      <protection locked="0"/>
    </xf>
    <xf numFmtId="0" fontId="22" fillId="0" borderId="4" xfId="0" applyFont="1" applyBorder="1" applyProtection="1">
      <protection locked="0"/>
    </xf>
    <xf numFmtId="165" fontId="8" fillId="0" borderId="4" xfId="4" quotePrefix="1" applyNumberFormat="1" applyFont="1" applyFill="1" applyBorder="1" applyAlignment="1" applyProtection="1">
      <alignment horizontal="left" indent="1"/>
      <protection locked="0"/>
    </xf>
    <xf numFmtId="165" fontId="8" fillId="0" borderId="4" xfId="4" quotePrefix="1" applyNumberFormat="1" applyFont="1" applyFill="1" applyBorder="1" applyAlignment="1" applyProtection="1">
      <alignment horizontal="left" vertical="center"/>
      <protection locked="0"/>
    </xf>
    <xf numFmtId="165" fontId="8" fillId="0" borderId="4" xfId="5" quotePrefix="1" applyNumberFormat="1" applyFont="1" applyFill="1" applyBorder="1" applyAlignment="1" applyProtection="1">
      <alignment horizontal="left" indent="1"/>
      <protection locked="0"/>
    </xf>
    <xf numFmtId="165" fontId="11" fillId="0" borderId="4" xfId="5" quotePrefix="1" applyNumberFormat="1" applyFont="1" applyFill="1" applyBorder="1" applyAlignment="1" applyProtection="1">
      <alignment horizontal="left" vertical="center"/>
      <protection locked="0"/>
    </xf>
    <xf numFmtId="165" fontId="10" fillId="0" borderId="4" xfId="5" applyNumberFormat="1" applyFont="1" applyFill="1" applyBorder="1" applyAlignment="1" applyProtection="1">
      <alignment horizontal="left"/>
      <protection locked="0"/>
    </xf>
    <xf numFmtId="165" fontId="10" fillId="0" borderId="4" xfId="4" applyNumberFormat="1" applyFont="1" applyFill="1" applyBorder="1" applyAlignment="1" applyProtection="1">
      <alignment horizontal="left"/>
      <protection locked="0"/>
    </xf>
    <xf numFmtId="165" fontId="11" fillId="0" borderId="4" xfId="5" applyNumberFormat="1" applyFont="1" applyFill="1" applyBorder="1" applyProtection="1">
      <protection locked="0"/>
    </xf>
    <xf numFmtId="165" fontId="11" fillId="0" borderId="4" xfId="4" applyNumberFormat="1" applyFont="1" applyFill="1" applyBorder="1" applyProtection="1">
      <protection locked="0"/>
    </xf>
    <xf numFmtId="165" fontId="10" fillId="0" borderId="4" xfId="5" applyNumberFormat="1" applyFont="1" applyFill="1" applyBorder="1" applyProtection="1">
      <protection locked="0"/>
    </xf>
    <xf numFmtId="165" fontId="8" fillId="0" borderId="4" xfId="5" quotePrefix="1" applyNumberFormat="1" applyFont="1" applyFill="1" applyBorder="1" applyAlignment="1" applyProtection="1">
      <alignment horizontal="left" vertical="center"/>
      <protection locked="0"/>
    </xf>
    <xf numFmtId="165" fontId="10" fillId="4" borderId="4" xfId="5" applyNumberFormat="1" applyFont="1" applyFill="1" applyBorder="1" applyProtection="1">
      <protection locked="0"/>
    </xf>
    <xf numFmtId="165" fontId="10" fillId="0" borderId="4" xfId="4" applyNumberFormat="1" applyFont="1" applyFill="1" applyBorder="1" applyProtection="1">
      <protection locked="0"/>
    </xf>
    <xf numFmtId="0" fontId="39" fillId="0" borderId="4" xfId="0" applyFont="1" applyBorder="1" applyAlignment="1" applyProtection="1">
      <alignment horizontal="left" indent="1"/>
      <protection locked="0"/>
    </xf>
    <xf numFmtId="0" fontId="39" fillId="0" borderId="4" xfId="2" applyFont="1" applyBorder="1" applyAlignment="1" applyProtection="1">
      <alignment horizontal="left" indent="1"/>
      <protection locked="0"/>
    </xf>
    <xf numFmtId="3" fontId="40" fillId="0" borderId="4" xfId="2" applyNumberFormat="1" applyFont="1" applyBorder="1" applyAlignment="1" applyProtection="1">
      <alignment vertical="top" wrapText="1"/>
      <protection locked="0"/>
    </xf>
    <xf numFmtId="0" fontId="4" fillId="0" borderId="1" xfId="2" applyFont="1" applyBorder="1" applyAlignment="1">
      <alignment horizontal="center" vertical="center" wrapText="1"/>
    </xf>
    <xf numFmtId="0" fontId="3" fillId="0" borderId="0" xfId="2" applyFont="1" applyAlignment="1">
      <alignment horizontal="left"/>
    </xf>
    <xf numFmtId="0" fontId="6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7" fillId="0" borderId="0" xfId="3"/>
    <xf numFmtId="0" fontId="4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165" fontId="6" fillId="0" borderId="0" xfId="2" applyNumberFormat="1" applyFont="1" applyAlignment="1">
      <alignment horizontal="center"/>
    </xf>
    <xf numFmtId="3" fontId="6" fillId="0" borderId="0" xfId="2" applyNumberFormat="1" applyFont="1" applyAlignment="1">
      <alignment horizontal="center"/>
    </xf>
    <xf numFmtId="0" fontId="11" fillId="3" borderId="2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13" fillId="0" borderId="4" xfId="4" applyNumberFormat="1" applyFont="1" applyFill="1" applyBorder="1" applyAlignment="1" applyProtection="1">
      <alignment horizontal="center" vertical="top" wrapText="1"/>
    </xf>
    <xf numFmtId="0" fontId="12" fillId="0" borderId="2" xfId="2" applyFont="1" applyBorder="1" applyAlignment="1">
      <alignment horizontal="left" vertical="top" wrapText="1"/>
    </xf>
    <xf numFmtId="0" fontId="10" fillId="0" borderId="4" xfId="4" applyNumberFormat="1" applyFont="1" applyFill="1" applyBorder="1" applyAlignment="1" applyProtection="1">
      <alignment horizontal="center" vertical="top" wrapText="1"/>
    </xf>
    <xf numFmtId="0" fontId="14" fillId="0" borderId="2" xfId="2" applyFont="1" applyBorder="1" applyAlignment="1">
      <alignment horizontal="left" vertical="top" wrapText="1" indent="1"/>
    </xf>
    <xf numFmtId="3" fontId="17" fillId="0" borderId="4" xfId="2" applyNumberFormat="1" applyFont="1" applyBorder="1" applyAlignment="1">
      <alignment horizontal="center" vertical="top" wrapText="1"/>
    </xf>
    <xf numFmtId="0" fontId="15" fillId="0" borderId="2" xfId="2" applyFont="1" applyBorder="1" applyAlignment="1">
      <alignment horizontal="left" vertical="top" wrapText="1" indent="2"/>
    </xf>
    <xf numFmtId="3" fontId="19" fillId="0" borderId="4" xfId="2" applyNumberFormat="1" applyFont="1" applyBorder="1" applyAlignment="1">
      <alignment horizontal="center" vertical="top" wrapText="1"/>
    </xf>
    <xf numFmtId="0" fontId="15" fillId="0" borderId="4" xfId="2" applyFont="1" applyBorder="1" applyAlignment="1">
      <alignment horizontal="left" vertical="top" wrapText="1" indent="2"/>
    </xf>
    <xf numFmtId="3" fontId="10" fillId="0" borderId="4" xfId="2" applyNumberFormat="1" applyFont="1" applyBorder="1" applyAlignment="1">
      <alignment horizontal="center" vertical="top" wrapText="1"/>
    </xf>
    <xf numFmtId="0" fontId="16" fillId="0" borderId="2" xfId="2" applyFont="1" applyBorder="1" applyAlignment="1">
      <alignment horizontal="left" vertical="top" wrapText="1" indent="2"/>
    </xf>
    <xf numFmtId="0" fontId="16" fillId="0" borderId="4" xfId="2" applyFont="1" applyBorder="1" applyAlignment="1">
      <alignment horizontal="left" vertical="top" wrapText="1" indent="2"/>
    </xf>
    <xf numFmtId="3" fontId="13" fillId="0" borderId="4" xfId="2" applyNumberFormat="1" applyFont="1" applyBorder="1" applyAlignment="1">
      <alignment horizontal="center" vertical="top" wrapText="1"/>
    </xf>
    <xf numFmtId="0" fontId="13" fillId="0" borderId="2" xfId="2" applyFont="1" applyBorder="1" applyAlignment="1">
      <alignment horizontal="left" vertical="top" wrapText="1"/>
    </xf>
    <xf numFmtId="0" fontId="10" fillId="0" borderId="2" xfId="2" applyFont="1" applyBorder="1" applyAlignment="1">
      <alignment horizontal="left" vertical="top" wrapText="1" indent="1"/>
    </xf>
    <xf numFmtId="0" fontId="10" fillId="0" borderId="2" xfId="2" applyFont="1" applyBorder="1" applyAlignment="1">
      <alignment horizontal="left" vertical="top" wrapText="1" indent="2"/>
    </xf>
    <xf numFmtId="165" fontId="15" fillId="0" borderId="2" xfId="6" applyNumberFormat="1" applyFont="1" applyFill="1" applyBorder="1" applyAlignment="1" applyProtection="1">
      <alignment horizontal="left" vertical="top" wrapText="1" indent="3"/>
    </xf>
    <xf numFmtId="165" fontId="15" fillId="0" borderId="2" xfId="6" applyNumberFormat="1" applyFont="1" applyFill="1" applyBorder="1" applyAlignment="1" applyProtection="1">
      <alignment horizontal="left" vertical="top" wrapText="1" indent="2"/>
    </xf>
    <xf numFmtId="165" fontId="15" fillId="0" borderId="2" xfId="6" applyNumberFormat="1" applyFont="1" applyFill="1" applyBorder="1" applyAlignment="1" applyProtection="1">
      <alignment horizontal="left" vertical="top" wrapText="1" indent="5"/>
    </xf>
    <xf numFmtId="0" fontId="10" fillId="0" borderId="4" xfId="2" applyFont="1" applyBorder="1" applyAlignment="1">
      <alignment horizontal="left" vertical="top" wrapText="1" indent="1"/>
    </xf>
    <xf numFmtId="0" fontId="11" fillId="0" borderId="4" xfId="2" applyFont="1" applyBorder="1" applyAlignment="1">
      <alignment horizontal="left" vertical="top" wrapText="1" indent="1"/>
    </xf>
    <xf numFmtId="0" fontId="23" fillId="0" borderId="0" xfId="3" applyFont="1"/>
    <xf numFmtId="3" fontId="25" fillId="3" borderId="4" xfId="2" applyNumberFormat="1" applyFont="1" applyFill="1" applyBorder="1" applyAlignment="1">
      <alignment horizontal="center" vertical="top" wrapText="1"/>
    </xf>
    <xf numFmtId="0" fontId="24" fillId="3" borderId="2" xfId="2" applyFont="1" applyFill="1" applyBorder="1" applyAlignment="1">
      <alignment horizontal="center" vertical="top" wrapText="1"/>
    </xf>
    <xf numFmtId="0" fontId="26" fillId="0" borderId="0" xfId="3" applyFont="1"/>
    <xf numFmtId="0" fontId="16" fillId="0" borderId="2" xfId="2" applyFont="1" applyBorder="1" applyAlignment="1">
      <alignment horizontal="left" vertical="top" wrapText="1" indent="1"/>
    </xf>
    <xf numFmtId="0" fontId="16" fillId="0" borderId="4" xfId="2" applyFont="1" applyBorder="1" applyAlignment="1">
      <alignment horizontal="left" vertical="top" wrapText="1" indent="1"/>
    </xf>
    <xf numFmtId="3" fontId="17" fillId="0" borderId="4" xfId="0" applyNumberFormat="1" applyFont="1" applyBorder="1" applyAlignment="1">
      <alignment horizontal="center" vertical="top" wrapText="1"/>
    </xf>
    <xf numFmtId="0" fontId="27" fillId="0" borderId="2" xfId="2" applyFont="1" applyBorder="1" applyAlignment="1">
      <alignment horizontal="left" vertical="top" wrapText="1" indent="1"/>
    </xf>
    <xf numFmtId="0" fontId="28" fillId="0" borderId="2" xfId="2" applyFont="1" applyBorder="1" applyAlignment="1">
      <alignment horizontal="left" vertical="top" wrapText="1" indent="1"/>
    </xf>
    <xf numFmtId="3" fontId="6" fillId="3" borderId="4" xfId="2" applyNumberFormat="1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29" fillId="0" borderId="0" xfId="3" applyFont="1" applyAlignment="1">
      <alignment vertical="center"/>
    </xf>
    <xf numFmtId="43" fontId="2" fillId="0" borderId="0" xfId="6" applyFont="1" applyBorder="1" applyAlignment="1" applyProtection="1">
      <alignment horizontal="center" vertical="top" wrapText="1"/>
    </xf>
    <xf numFmtId="43" fontId="9" fillId="0" borderId="0" xfId="6" applyFont="1" applyBorder="1" applyAlignment="1" applyProtection="1">
      <alignment horizontal="center" vertical="top" wrapText="1"/>
    </xf>
    <xf numFmtId="165" fontId="2" fillId="0" borderId="0" xfId="6" applyNumberFormat="1" applyFont="1" applyBorder="1" applyAlignment="1" applyProtection="1">
      <alignment horizontal="center" vertical="top" wrapText="1"/>
    </xf>
    <xf numFmtId="9" fontId="1" fillId="0" borderId="0" xfId="7" applyFont="1" applyFill="1" applyBorder="1" applyAlignment="1" applyProtection="1">
      <alignment horizontal="right" vertical="top" wrapText="1" indent="1"/>
    </xf>
    <xf numFmtId="167" fontId="35" fillId="0" borderId="0" xfId="2" applyNumberFormat="1" applyFont="1" applyAlignment="1">
      <alignment horizontal="right" vertical="top" wrapText="1" indent="1"/>
    </xf>
    <xf numFmtId="165" fontId="1" fillId="0" borderId="0" xfId="4" applyNumberFormat="1" applyFont="1" applyFill="1" applyBorder="1" applyAlignment="1" applyProtection="1">
      <alignment horizontal="right" vertical="top" wrapText="1" indent="1"/>
    </xf>
    <xf numFmtId="165" fontId="1" fillId="0" borderId="0" xfId="6" applyNumberFormat="1" applyFont="1" applyFill="1" applyBorder="1" applyAlignment="1" applyProtection="1">
      <alignment horizontal="right" vertical="top" wrapText="1" indent="1"/>
    </xf>
    <xf numFmtId="0" fontId="2" fillId="0" borderId="0" xfId="2"/>
    <xf numFmtId="0" fontId="9" fillId="0" borderId="0" xfId="2" applyFont="1"/>
    <xf numFmtId="165" fontId="2" fillId="0" borderId="0" xfId="6" applyNumberFormat="1" applyFont="1" applyProtection="1"/>
    <xf numFmtId="0" fontId="47" fillId="0" borderId="0" xfId="2" applyFont="1" applyAlignment="1">
      <alignment horizontal="center" vertical="center"/>
    </xf>
    <xf numFmtId="0" fontId="47" fillId="0" borderId="0" xfId="2" applyFont="1"/>
    <xf numFmtId="3" fontId="47" fillId="0" borderId="0" xfId="2" applyNumberFormat="1" applyFont="1"/>
    <xf numFmtId="0" fontId="31" fillId="0" borderId="4" xfId="4" applyNumberFormat="1" applyFont="1" applyFill="1" applyBorder="1" applyAlignment="1" applyProtection="1">
      <alignment horizontal="center" vertical="top" wrapText="1"/>
    </xf>
    <xf numFmtId="3" fontId="30" fillId="0" borderId="2" xfId="2" applyNumberFormat="1" applyFont="1" applyBorder="1" applyAlignment="1">
      <alignment horizontal="left" vertical="top" wrapText="1" indent="1"/>
    </xf>
    <xf numFmtId="3" fontId="14" fillId="0" borderId="2" xfId="2" applyNumberFormat="1" applyFont="1" applyBorder="1" applyAlignment="1">
      <alignment horizontal="left" vertical="top" wrapText="1" indent="1"/>
    </xf>
    <xf numFmtId="3" fontId="16" fillId="0" borderId="2" xfId="2" applyNumberFormat="1" applyFont="1" applyBorder="1" applyAlignment="1">
      <alignment horizontal="left" vertical="top" wrapText="1" indent="1"/>
    </xf>
    <xf numFmtId="3" fontId="11" fillId="0" borderId="4" xfId="2" applyNumberFormat="1" applyFont="1" applyBorder="1" applyAlignment="1">
      <alignment horizontal="center" vertical="top" wrapText="1"/>
    </xf>
    <xf numFmtId="3" fontId="17" fillId="0" borderId="2" xfId="2" applyNumberFormat="1" applyFont="1" applyBorder="1" applyAlignment="1">
      <alignment horizontal="center" vertical="top" wrapText="1"/>
    </xf>
    <xf numFmtId="3" fontId="19" fillId="0" borderId="4" xfId="0" applyNumberFormat="1" applyFont="1" applyBorder="1" applyAlignment="1">
      <alignment horizontal="center" vertical="top" wrapText="1"/>
    </xf>
    <xf numFmtId="3" fontId="16" fillId="0" borderId="2" xfId="2" applyNumberFormat="1" applyFont="1" applyBorder="1" applyAlignment="1">
      <alignment horizontal="left" vertical="top" wrapText="1" indent="2"/>
    </xf>
    <xf numFmtId="3" fontId="8" fillId="0" borderId="2" xfId="2" applyNumberFormat="1" applyFont="1" applyBorder="1" applyAlignment="1">
      <alignment horizontal="left" vertical="top" wrapText="1" indent="1"/>
    </xf>
    <xf numFmtId="166" fontId="31" fillId="0" borderId="5" xfId="4" applyNumberFormat="1" applyFont="1" applyFill="1" applyBorder="1" applyAlignment="1" applyProtection="1">
      <alignment horizontal="right" vertical="top" wrapText="1"/>
      <protection locked="0"/>
    </xf>
    <xf numFmtId="166" fontId="31" fillId="0" borderId="4" xfId="4" applyNumberFormat="1" applyFont="1" applyFill="1" applyBorder="1" applyAlignment="1" applyProtection="1">
      <alignment horizontal="right" vertical="top" wrapText="1"/>
      <protection locked="0"/>
    </xf>
    <xf numFmtId="165" fontId="31" fillId="0" borderId="5" xfId="6" applyNumberFormat="1" applyFont="1" applyFill="1" applyBorder="1" applyAlignment="1" applyProtection="1">
      <alignment horizontal="right" vertical="top" wrapText="1"/>
      <protection locked="0"/>
    </xf>
    <xf numFmtId="165" fontId="31" fillId="0" borderId="4" xfId="6" applyNumberFormat="1" applyFont="1" applyFill="1" applyBorder="1" applyAlignment="1" applyProtection="1">
      <alignment horizontal="right" vertical="top" wrapText="1"/>
      <protection locked="0"/>
    </xf>
    <xf numFmtId="0" fontId="10" fillId="2" borderId="4" xfId="2" applyFont="1" applyFill="1" applyBorder="1" applyAlignment="1">
      <alignment horizontal="center" vertical="center" wrapText="1"/>
    </xf>
    <xf numFmtId="0" fontId="14" fillId="0" borderId="4" xfId="2" applyFont="1" applyBorder="1" applyAlignment="1">
      <alignment horizontal="center"/>
    </xf>
    <xf numFmtId="0" fontId="14" fillId="0" borderId="2" xfId="2" applyFont="1" applyBorder="1"/>
    <xf numFmtId="0" fontId="36" fillId="0" borderId="2" xfId="4" applyNumberFormat="1" applyFont="1" applyFill="1" applyBorder="1" applyAlignment="1" applyProtection="1">
      <alignment horizontal="center" vertical="top" wrapText="1"/>
    </xf>
    <xf numFmtId="0" fontId="10" fillId="0" borderId="4" xfId="2" applyFont="1" applyBorder="1" applyAlignment="1">
      <alignment horizontal="center" vertical="top" wrapText="1"/>
    </xf>
    <xf numFmtId="0" fontId="37" fillId="0" borderId="4" xfId="2" applyFont="1" applyBorder="1" applyAlignment="1">
      <alignment horizontal="center"/>
    </xf>
    <xf numFmtId="0" fontId="37" fillId="0" borderId="2" xfId="2" applyFont="1" applyBorder="1"/>
    <xf numFmtId="0" fontId="22" fillId="0" borderId="4" xfId="0" applyFont="1" applyBorder="1" applyAlignment="1">
      <alignment horizontal="center"/>
    </xf>
    <xf numFmtId="0" fontId="8" fillId="0" borderId="4" xfId="2" quotePrefix="1" applyFont="1" applyBorder="1" applyAlignment="1">
      <alignment horizontal="center"/>
    </xf>
    <xf numFmtId="0" fontId="8" fillId="0" borderId="2" xfId="2" quotePrefix="1" applyFont="1" applyBorder="1" applyAlignment="1">
      <alignment horizontal="left" indent="1"/>
    </xf>
    <xf numFmtId="0" fontId="20" fillId="0" borderId="2" xfId="0" quotePrefix="1" applyFont="1" applyBorder="1" applyAlignment="1">
      <alignment horizontal="center"/>
    </xf>
    <xf numFmtId="0" fontId="8" fillId="0" borderId="4" xfId="2" quotePrefix="1" applyFont="1" applyBorder="1" applyAlignment="1">
      <alignment horizontal="center" vertical="center"/>
    </xf>
    <xf numFmtId="0" fontId="8" fillId="0" borderId="2" xfId="2" quotePrefix="1" applyFont="1" applyBorder="1" applyAlignment="1">
      <alignment horizontal="left" vertical="center" indent="1"/>
    </xf>
    <xf numFmtId="0" fontId="20" fillId="0" borderId="2" xfId="0" quotePrefix="1" applyFont="1" applyBorder="1" applyAlignment="1">
      <alignment horizontal="center" vertical="center"/>
    </xf>
    <xf numFmtId="0" fontId="8" fillId="0" borderId="4" xfId="5" quotePrefix="1" applyNumberFormat="1" applyFont="1" applyFill="1" applyBorder="1" applyAlignment="1" applyProtection="1">
      <alignment horizontal="center"/>
    </xf>
    <xf numFmtId="0" fontId="14" fillId="0" borderId="4" xfId="2" quotePrefix="1" applyFont="1" applyBorder="1" applyAlignment="1">
      <alignment horizontal="center" vertical="center"/>
    </xf>
    <xf numFmtId="0" fontId="14" fillId="0" borderId="2" xfId="2" quotePrefix="1" applyFont="1" applyBorder="1" applyAlignment="1">
      <alignment horizontal="left" vertical="center"/>
    </xf>
    <xf numFmtId="0" fontId="11" fillId="0" borderId="4" xfId="5" quotePrefix="1" applyNumberFormat="1" applyFont="1" applyFill="1" applyBorder="1" applyAlignment="1" applyProtection="1">
      <alignment horizontal="center" vertical="center"/>
    </xf>
    <xf numFmtId="0" fontId="16" fillId="0" borderId="4" xfId="2" quotePrefix="1" applyFont="1" applyBorder="1" applyAlignment="1">
      <alignment horizontal="center"/>
    </xf>
    <xf numFmtId="0" fontId="16" fillId="0" borderId="2" xfId="2" quotePrefix="1" applyFont="1" applyBorder="1" applyAlignment="1">
      <alignment horizontal="left" indent="1"/>
    </xf>
    <xf numFmtId="0" fontId="16" fillId="0" borderId="4" xfId="2" quotePrefix="1" applyFont="1" applyBorder="1" applyAlignment="1">
      <alignment horizontal="center" wrapText="1"/>
    </xf>
    <xf numFmtId="0" fontId="16" fillId="0" borderId="2" xfId="2" quotePrefix="1" applyFont="1" applyBorder="1" applyAlignment="1">
      <alignment horizontal="left" wrapText="1" indent="1"/>
    </xf>
    <xf numFmtId="0" fontId="16" fillId="0" borderId="4" xfId="2" quotePrefix="1" applyFont="1" applyBorder="1" applyAlignment="1">
      <alignment horizontal="center" vertical="center"/>
    </xf>
    <xf numFmtId="0" fontId="16" fillId="0" borderId="2" xfId="2" quotePrefix="1" applyFont="1" applyBorder="1" applyAlignment="1">
      <alignment horizontal="left" vertical="center" indent="1"/>
    </xf>
    <xf numFmtId="0" fontId="20" fillId="0" borderId="4" xfId="0" quotePrefix="1" applyFont="1" applyBorder="1" applyAlignment="1">
      <alignment horizontal="center"/>
    </xf>
    <xf numFmtId="0" fontId="14" fillId="0" borderId="2" xfId="2" applyFont="1" applyBorder="1" applyAlignment="1">
      <alignment horizontal="left"/>
    </xf>
    <xf numFmtId="0" fontId="10" fillId="0" borderId="4" xfId="5" applyNumberFormat="1" applyFont="1" applyFill="1" applyBorder="1" applyAlignment="1" applyProtection="1">
      <alignment horizontal="center"/>
    </xf>
    <xf numFmtId="0" fontId="11" fillId="0" borderId="4" xfId="5" applyNumberFormat="1" applyFont="1" applyFill="1" applyBorder="1" applyAlignment="1" applyProtection="1">
      <alignment horizontal="center"/>
    </xf>
    <xf numFmtId="0" fontId="8" fillId="0" borderId="4" xfId="2" applyFont="1" applyBorder="1" applyAlignment="1">
      <alignment horizontal="center"/>
    </xf>
    <xf numFmtId="0" fontId="8" fillId="0" borderId="2" xfId="2" applyFont="1" applyBorder="1" applyAlignment="1">
      <alignment horizontal="left" indent="1"/>
    </xf>
    <xf numFmtId="0" fontId="8" fillId="0" borderId="4" xfId="2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 indent="1"/>
    </xf>
    <xf numFmtId="0" fontId="8" fillId="0" borderId="4" xfId="5" quotePrefix="1" applyNumberFormat="1" applyFont="1" applyFill="1" applyBorder="1" applyAlignment="1" applyProtection="1">
      <alignment horizontal="center" vertical="center"/>
    </xf>
    <xf numFmtId="0" fontId="14" fillId="4" borderId="4" xfId="2" applyFont="1" applyFill="1" applyBorder="1" applyAlignment="1">
      <alignment horizontal="center"/>
    </xf>
    <xf numFmtId="0" fontId="14" fillId="4" borderId="2" xfId="2" applyFont="1" applyFill="1" applyBorder="1"/>
    <xf numFmtId="0" fontId="10" fillId="4" borderId="4" xfId="5" applyNumberFormat="1" applyFont="1" applyFill="1" applyBorder="1" applyAlignment="1" applyProtection="1">
      <alignment horizontal="center"/>
    </xf>
    <xf numFmtId="0" fontId="32" fillId="0" borderId="4" xfId="2" applyFont="1" applyBorder="1" applyAlignment="1">
      <alignment horizontal="center"/>
    </xf>
    <xf numFmtId="0" fontId="32" fillId="0" borderId="2" xfId="2" applyFont="1" applyBorder="1" applyAlignment="1">
      <alignment horizontal="left" indent="1"/>
    </xf>
    <xf numFmtId="0" fontId="39" fillId="0" borderId="4" xfId="0" applyFont="1" applyBorder="1" applyAlignment="1">
      <alignment horizontal="center"/>
    </xf>
    <xf numFmtId="165" fontId="36" fillId="0" borderId="3" xfId="4" applyNumberFormat="1" applyFont="1" applyFill="1" applyBorder="1" applyAlignment="1" applyProtection="1">
      <alignment vertical="top" wrapText="1"/>
      <protection locked="0"/>
    </xf>
    <xf numFmtId="165" fontId="36" fillId="0" borderId="2" xfId="4" applyNumberFormat="1" applyFont="1" applyFill="1" applyBorder="1" applyAlignment="1" applyProtection="1">
      <alignment vertical="top" wrapText="1"/>
      <protection locked="0"/>
    </xf>
    <xf numFmtId="165" fontId="20" fillId="0" borderId="2" xfId="0" quotePrefix="1" applyNumberFormat="1" applyFont="1" applyBorder="1" applyAlignment="1" applyProtection="1">
      <alignment horizontal="right"/>
      <protection locked="0"/>
    </xf>
    <xf numFmtId="3" fontId="21" fillId="0" borderId="4" xfId="0" applyNumberFormat="1" applyFont="1" applyBorder="1" applyAlignment="1" applyProtection="1">
      <alignment vertical="top" wrapText="1"/>
      <protection locked="0"/>
    </xf>
    <xf numFmtId="3" fontId="20" fillId="0" borderId="2" xfId="0" quotePrefix="1" applyNumberFormat="1" applyFont="1" applyBorder="1" applyAlignment="1" applyProtection="1">
      <alignment vertical="center"/>
      <protection locked="0"/>
    </xf>
    <xf numFmtId="3" fontId="20" fillId="0" borderId="2" xfId="0" quotePrefix="1" applyNumberFormat="1" applyFont="1" applyBorder="1" applyProtection="1">
      <protection locked="0"/>
    </xf>
    <xf numFmtId="3" fontId="38" fillId="0" borderId="2" xfId="0" quotePrefix="1" applyNumberFormat="1" applyFont="1" applyBorder="1" applyProtection="1">
      <protection locked="0"/>
    </xf>
    <xf numFmtId="165" fontId="20" fillId="0" borderId="2" xfId="0" quotePrefix="1" applyNumberFormat="1" applyFont="1" applyBorder="1" applyAlignment="1" applyProtection="1">
      <alignment horizontal="right" vertical="center"/>
      <protection locked="0"/>
    </xf>
    <xf numFmtId="3" fontId="20" fillId="0" borderId="4" xfId="0" quotePrefix="1" applyNumberFormat="1" applyFont="1" applyBorder="1" applyAlignment="1" applyProtection="1">
      <alignment horizontal="right"/>
      <protection locked="0"/>
    </xf>
    <xf numFmtId="3" fontId="20" fillId="0" borderId="4" xfId="0" quotePrefix="1" applyNumberFormat="1" applyFont="1" applyBorder="1" applyProtection="1">
      <protection locked="0"/>
    </xf>
    <xf numFmtId="165" fontId="20" fillId="0" borderId="4" xfId="0" quotePrefix="1" applyNumberFormat="1" applyFont="1" applyBorder="1" applyAlignment="1" applyProtection="1">
      <alignment horizontal="right"/>
      <protection locked="0"/>
    </xf>
    <xf numFmtId="0" fontId="41" fillId="2" borderId="9" xfId="2" applyFont="1" applyFill="1" applyBorder="1" applyAlignment="1">
      <alignment horizontal="center" vertical="center" wrapText="1"/>
    </xf>
    <xf numFmtId="0" fontId="41" fillId="2" borderId="2" xfId="2" applyFont="1" applyFill="1" applyBorder="1" applyAlignment="1">
      <alignment horizontal="left" vertical="center" wrapText="1"/>
    </xf>
    <xf numFmtId="0" fontId="42" fillId="3" borderId="3" xfId="3" applyFont="1" applyFill="1" applyBorder="1" applyAlignment="1">
      <alignment horizontal="center" vertical="center" wrapText="1"/>
    </xf>
    <xf numFmtId="168" fontId="42" fillId="3" borderId="3" xfId="3" applyNumberFormat="1" applyFont="1" applyFill="1" applyBorder="1" applyAlignment="1">
      <alignment horizontal="center" vertical="center" wrapText="1"/>
    </xf>
    <xf numFmtId="0" fontId="43" fillId="0" borderId="4" xfId="2" applyFont="1" applyBorder="1" applyAlignment="1">
      <alignment horizontal="center" vertical="center" wrapText="1"/>
    </xf>
    <xf numFmtId="0" fontId="43" fillId="0" borderId="2" xfId="2" applyFont="1" applyBorder="1" applyAlignment="1">
      <alignment horizontal="left" vertical="center" wrapText="1" indent="2"/>
    </xf>
    <xf numFmtId="0" fontId="44" fillId="0" borderId="2" xfId="3" applyFont="1" applyBorder="1" applyAlignment="1">
      <alignment horizontal="center"/>
    </xf>
    <xf numFmtId="0" fontId="42" fillId="0" borderId="4" xfId="2" applyFont="1" applyBorder="1" applyAlignment="1">
      <alignment horizontal="center" vertical="center" wrapText="1"/>
    </xf>
    <xf numFmtId="0" fontId="42" fillId="0" borderId="2" xfId="2" applyFont="1" applyBorder="1" applyAlignment="1">
      <alignment horizontal="left" vertical="center" wrapText="1" indent="1"/>
    </xf>
    <xf numFmtId="0" fontId="45" fillId="0" borderId="2" xfId="2" applyFont="1" applyBorder="1" applyAlignment="1">
      <alignment horizontal="center"/>
    </xf>
    <xf numFmtId="0" fontId="46" fillId="0" borderId="4" xfId="2" applyFont="1" applyBorder="1" applyAlignment="1">
      <alignment horizontal="center" vertical="center" wrapText="1"/>
    </xf>
    <xf numFmtId="0" fontId="46" fillId="0" borderId="2" xfId="2" applyFont="1" applyBorder="1" applyAlignment="1">
      <alignment horizontal="left" vertical="center" wrapText="1" indent="1"/>
    </xf>
    <xf numFmtId="0" fontId="47" fillId="0" borderId="2" xfId="2" applyFont="1" applyBorder="1" applyAlignment="1">
      <alignment horizontal="center"/>
    </xf>
    <xf numFmtId="0" fontId="47" fillId="0" borderId="2" xfId="1" applyNumberFormat="1" applyFont="1" applyBorder="1" applyAlignment="1" applyProtection="1">
      <alignment horizontal="center"/>
    </xf>
    <xf numFmtId="0" fontId="48" fillId="0" borderId="2" xfId="2" applyFont="1" applyBorder="1" applyAlignment="1">
      <alignment horizontal="center"/>
    </xf>
    <xf numFmtId="0" fontId="44" fillId="0" borderId="2" xfId="2" applyFont="1" applyBorder="1" applyAlignment="1">
      <alignment horizontal="center"/>
    </xf>
    <xf numFmtId="0" fontId="43" fillId="0" borderId="2" xfId="2" applyFont="1" applyBorder="1" applyAlignment="1">
      <alignment horizontal="left" vertical="center" indent="2"/>
    </xf>
    <xf numFmtId="0" fontId="43" fillId="0" borderId="4" xfId="2" applyFont="1" applyBorder="1" applyAlignment="1">
      <alignment horizontal="center" vertical="center"/>
    </xf>
    <xf numFmtId="0" fontId="48" fillId="0" borderId="2" xfId="1" applyNumberFormat="1" applyFont="1" applyBorder="1" applyAlignment="1" applyProtection="1">
      <alignment horizontal="center"/>
    </xf>
    <xf numFmtId="0" fontId="42" fillId="0" borderId="4" xfId="2" applyFont="1" applyBorder="1" applyAlignment="1">
      <alignment horizontal="center" vertical="center"/>
    </xf>
    <xf numFmtId="0" fontId="42" fillId="0" borderId="2" xfId="2" applyFont="1" applyBorder="1" applyAlignment="1">
      <alignment horizontal="left" vertical="center" indent="1"/>
    </xf>
    <xf numFmtId="0" fontId="46" fillId="0" borderId="4" xfId="2" applyFont="1" applyBorder="1" applyAlignment="1">
      <alignment horizontal="center" vertical="center"/>
    </xf>
    <xf numFmtId="0" fontId="46" fillId="0" borderId="2" xfId="2" applyFont="1" applyBorder="1" applyAlignment="1">
      <alignment horizontal="left" vertical="center" indent="1"/>
    </xf>
    <xf numFmtId="0" fontId="46" fillId="0" borderId="10" xfId="2" applyFont="1" applyBorder="1" applyAlignment="1">
      <alignment horizontal="center" vertical="center"/>
    </xf>
    <xf numFmtId="3" fontId="44" fillId="0" borderId="2" xfId="3" applyNumberFormat="1" applyFont="1" applyBorder="1" applyProtection="1">
      <protection locked="0"/>
    </xf>
    <xf numFmtId="3" fontId="45" fillId="0" borderId="2" xfId="2" applyNumberFormat="1" applyFont="1" applyBorder="1" applyProtection="1">
      <protection locked="0"/>
    </xf>
    <xf numFmtId="3" fontId="47" fillId="0" borderId="2" xfId="2" applyNumberFormat="1" applyFont="1" applyBorder="1" applyProtection="1">
      <protection locked="0"/>
    </xf>
    <xf numFmtId="169" fontId="47" fillId="0" borderId="2" xfId="1" applyNumberFormat="1" applyFont="1" applyBorder="1" applyProtection="1">
      <protection locked="0"/>
    </xf>
    <xf numFmtId="3" fontId="48" fillId="0" borderId="2" xfId="2" applyNumberFormat="1" applyFont="1" applyBorder="1" applyProtection="1">
      <protection locked="0"/>
    </xf>
    <xf numFmtId="3" fontId="44" fillId="0" borderId="2" xfId="2" applyNumberFormat="1" applyFont="1" applyBorder="1" applyProtection="1">
      <protection locked="0"/>
    </xf>
    <xf numFmtId="169" fontId="48" fillId="0" borderId="2" xfId="1" applyNumberFormat="1" applyFont="1" applyBorder="1" applyProtection="1">
      <protection locked="0"/>
    </xf>
    <xf numFmtId="0" fontId="41" fillId="2" borderId="11" xfId="2" applyFont="1" applyFill="1" applyBorder="1" applyAlignment="1">
      <alignment horizontal="center" vertical="center" wrapText="1"/>
    </xf>
    <xf numFmtId="0" fontId="41" fillId="2" borderId="11" xfId="2" applyFont="1" applyFill="1" applyBorder="1" applyAlignment="1">
      <alignment horizontal="left" vertical="center" wrapText="1"/>
    </xf>
    <xf numFmtId="0" fontId="11" fillId="3" borderId="12" xfId="2" applyFont="1" applyFill="1" applyBorder="1" applyAlignment="1">
      <alignment horizontal="center" vertical="center" wrapText="1"/>
    </xf>
    <xf numFmtId="3" fontId="11" fillId="3" borderId="11" xfId="2" applyNumberFormat="1" applyFont="1" applyFill="1" applyBorder="1" applyAlignment="1">
      <alignment horizontal="center" vertical="center" wrapText="1"/>
    </xf>
    <xf numFmtId="0" fontId="49" fillId="0" borderId="7" xfId="2" applyFont="1" applyBorder="1" applyAlignment="1">
      <alignment horizontal="center"/>
    </xf>
    <xf numFmtId="0" fontId="49" fillId="0" borderId="7" xfId="2" applyFont="1" applyBorder="1"/>
    <xf numFmtId="0" fontId="9" fillId="0" borderId="7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left" indent="1"/>
    </xf>
    <xf numFmtId="0" fontId="49" fillId="0" borderId="0" xfId="2" applyFont="1" applyAlignment="1">
      <alignment horizontal="center"/>
    </xf>
    <xf numFmtId="0" fontId="49" fillId="0" borderId="0" xfId="2" applyFont="1"/>
    <xf numFmtId="0" fontId="49" fillId="0" borderId="8" xfId="2" applyFont="1" applyBorder="1" applyAlignment="1">
      <alignment horizontal="center"/>
    </xf>
    <xf numFmtId="0" fontId="49" fillId="0" borderId="8" xfId="2" applyFont="1" applyBorder="1"/>
    <xf numFmtId="3" fontId="49" fillId="0" borderId="7" xfId="2" applyNumberFormat="1" applyFont="1" applyBorder="1" applyProtection="1">
      <protection locked="0"/>
    </xf>
    <xf numFmtId="3" fontId="9" fillId="0" borderId="0" xfId="2" applyNumberFormat="1" applyFont="1" applyProtection="1">
      <protection locked="0"/>
    </xf>
    <xf numFmtId="3" fontId="49" fillId="0" borderId="8" xfId="2" applyNumberFormat="1" applyFont="1" applyBorder="1" applyProtection="1">
      <protection locked="0"/>
    </xf>
    <xf numFmtId="0" fontId="9" fillId="0" borderId="0" xfId="2" applyFont="1" applyProtection="1">
      <protection locked="0"/>
    </xf>
    <xf numFmtId="0" fontId="11" fillId="3" borderId="3" xfId="6" applyNumberFormat="1" applyFont="1" applyFill="1" applyBorder="1" applyAlignment="1" applyProtection="1">
      <alignment horizontal="center" vertical="center" wrapText="1"/>
    </xf>
    <xf numFmtId="0" fontId="10" fillId="2" borderId="2" xfId="2" applyFont="1" applyFill="1" applyBorder="1" applyAlignment="1">
      <alignment horizontal="left" vertical="top" wrapText="1"/>
    </xf>
    <xf numFmtId="0" fontId="54" fillId="5" borderId="0" xfId="3" applyFont="1" applyFill="1"/>
    <xf numFmtId="0" fontId="55" fillId="5" borderId="0" xfId="3" applyFont="1" applyFill="1"/>
    <xf numFmtId="0" fontId="55" fillId="0" borderId="0" xfId="3" applyFont="1"/>
    <xf numFmtId="0" fontId="54" fillId="0" borderId="0" xfId="3" applyFont="1" applyAlignment="1">
      <alignment horizontal="right"/>
    </xf>
    <xf numFmtId="0" fontId="55" fillId="5" borderId="13" xfId="3" applyFont="1" applyFill="1" applyBorder="1"/>
    <xf numFmtId="0" fontId="55" fillId="0" borderId="13" xfId="3" applyFont="1" applyBorder="1"/>
    <xf numFmtId="0" fontId="56" fillId="0" borderId="13" xfId="3" applyFont="1" applyBorder="1" applyAlignment="1">
      <alignment horizontal="right"/>
    </xf>
    <xf numFmtId="0" fontId="55" fillId="5" borderId="0" xfId="3" quotePrefix="1" applyFont="1" applyFill="1"/>
    <xf numFmtId="0" fontId="56" fillId="0" borderId="0" xfId="3" applyFont="1" applyAlignment="1">
      <alignment horizontal="right"/>
    </xf>
    <xf numFmtId="0" fontId="57" fillId="0" borderId="0" xfId="3" applyFont="1"/>
    <xf numFmtId="0" fontId="9" fillId="0" borderId="0" xfId="3" applyFont="1"/>
    <xf numFmtId="0" fontId="9" fillId="5" borderId="0" xfId="3" applyFont="1" applyFill="1"/>
    <xf numFmtId="0" fontId="49" fillId="0" borderId="0" xfId="3" applyFont="1"/>
    <xf numFmtId="0" fontId="49" fillId="5" borderId="0" xfId="3" applyFont="1" applyFill="1" applyAlignment="1">
      <alignment horizontal="center"/>
    </xf>
    <xf numFmtId="14" fontId="9" fillId="0" borderId="0" xfId="3" applyNumberFormat="1" applyFont="1" applyAlignment="1">
      <alignment vertical="center"/>
    </xf>
    <xf numFmtId="0" fontId="22" fillId="0" borderId="0" xfId="3" applyFont="1" applyAlignment="1">
      <alignment horizontal="left"/>
    </xf>
    <xf numFmtId="0" fontId="8" fillId="5" borderId="0" xfId="3" applyFont="1" applyFill="1" applyAlignment="1">
      <alignment horizontal="left"/>
    </xf>
    <xf numFmtId="0" fontId="8" fillId="5" borderId="0" xfId="3" applyFont="1" applyFill="1"/>
    <xf numFmtId="0" fontId="58" fillId="0" borderId="0" xfId="3" applyFont="1" applyAlignment="1">
      <alignment horizontal="right"/>
    </xf>
    <xf numFmtId="0" fontId="20" fillId="0" borderId="0" xfId="3" applyFont="1"/>
    <xf numFmtId="0" fontId="58" fillId="0" borderId="0" xfId="3" applyFont="1"/>
    <xf numFmtId="0" fontId="58" fillId="0" borderId="0" xfId="3" applyFont="1" applyAlignment="1">
      <alignment horizontal="centerContinuous"/>
    </xf>
    <xf numFmtId="0" fontId="58" fillId="0" borderId="0" xfId="3" applyFont="1" applyAlignment="1">
      <alignment horizontal="centerContinuous" wrapText="1"/>
    </xf>
    <xf numFmtId="0" fontId="20" fillId="0" borderId="0" xfId="3" applyFont="1" applyAlignment="1">
      <alignment horizontal="centerContinuous"/>
    </xf>
    <xf numFmtId="0" fontId="62" fillId="0" borderId="0" xfId="3" applyFont="1"/>
    <xf numFmtId="0" fontId="63" fillId="0" borderId="0" xfId="3" applyFont="1" applyAlignment="1">
      <alignment horizontal="centerContinuous"/>
    </xf>
    <xf numFmtId="0" fontId="54" fillId="0" borderId="0" xfId="3" applyFont="1"/>
    <xf numFmtId="0" fontId="65" fillId="0" borderId="0" xfId="3" applyFont="1"/>
    <xf numFmtId="0" fontId="33" fillId="0" borderId="0" xfId="3" applyFont="1"/>
    <xf numFmtId="0" fontId="66" fillId="0" borderId="0" xfId="3" applyFont="1"/>
    <xf numFmtId="0" fontId="65" fillId="0" borderId="0" xfId="3" applyFont="1" applyAlignment="1">
      <alignment horizontal="right"/>
    </xf>
    <xf numFmtId="0" fontId="67" fillId="0" borderId="0" xfId="3" applyFont="1"/>
    <xf numFmtId="49" fontId="67" fillId="0" borderId="0" xfId="3" applyNumberFormat="1" applyFont="1" applyAlignment="1">
      <alignment horizontal="right"/>
    </xf>
    <xf numFmtId="0" fontId="68" fillId="0" borderId="0" xfId="3" quotePrefix="1" applyFont="1" applyAlignment="1">
      <alignment horizontal="left" indent="1"/>
    </xf>
    <xf numFmtId="0" fontId="69" fillId="0" borderId="0" xfId="3" applyFont="1"/>
    <xf numFmtId="49" fontId="69" fillId="0" borderId="0" xfId="3" applyNumberFormat="1" applyFont="1" applyAlignment="1">
      <alignment horizontal="right"/>
    </xf>
    <xf numFmtId="0" fontId="70" fillId="0" borderId="0" xfId="3" quotePrefix="1" applyFont="1" applyAlignment="1">
      <alignment horizontal="left" indent="1"/>
    </xf>
    <xf numFmtId="0" fontId="71" fillId="0" borderId="0" xfId="3" applyFont="1"/>
    <xf numFmtId="49" fontId="71" fillId="0" borderId="0" xfId="3" applyNumberFormat="1" applyFont="1" applyAlignment="1">
      <alignment horizontal="right"/>
    </xf>
    <xf numFmtId="0" fontId="72" fillId="0" borderId="0" xfId="3" quotePrefix="1" applyFont="1" applyAlignment="1">
      <alignment horizontal="left" indent="1"/>
    </xf>
    <xf numFmtId="0" fontId="73" fillId="0" borderId="0" xfId="3" applyFont="1"/>
    <xf numFmtId="49" fontId="73" fillId="0" borderId="0" xfId="3" applyNumberFormat="1" applyFont="1" applyAlignment="1">
      <alignment horizontal="right"/>
    </xf>
    <xf numFmtId="0" fontId="74" fillId="0" borderId="0" xfId="3" quotePrefix="1" applyFont="1" applyAlignment="1">
      <alignment horizontal="left" indent="1"/>
    </xf>
    <xf numFmtId="49" fontId="33" fillId="0" borderId="0" xfId="3" applyNumberFormat="1" applyFont="1" applyAlignment="1">
      <alignment horizontal="right"/>
    </xf>
    <xf numFmtId="0" fontId="75" fillId="0" borderId="0" xfId="3" applyFont="1"/>
    <xf numFmtId="170" fontId="76" fillId="0" borderId="0" xfId="3" applyNumberFormat="1" applyFont="1"/>
    <xf numFmtId="0" fontId="76" fillId="0" borderId="0" xfId="3" applyFont="1"/>
    <xf numFmtId="0" fontId="77" fillId="0" borderId="13" xfId="3" applyFont="1" applyBorder="1"/>
    <xf numFmtId="170" fontId="76" fillId="0" borderId="13" xfId="3" applyNumberFormat="1" applyFont="1" applyBorder="1"/>
    <xf numFmtId="0" fontId="16" fillId="0" borderId="0" xfId="3" applyFont="1"/>
    <xf numFmtId="0" fontId="16" fillId="0" borderId="0" xfId="9" applyFont="1"/>
    <xf numFmtId="170" fontId="16" fillId="0" borderId="0" xfId="9" applyNumberFormat="1" applyFont="1"/>
    <xf numFmtId="170" fontId="80" fillId="0" borderId="0" xfId="9" applyNumberFormat="1" applyFont="1" applyAlignment="1">
      <alignment horizontal="right"/>
    </xf>
    <xf numFmtId="0" fontId="22" fillId="6" borderId="0" xfId="3" applyFont="1" applyFill="1" applyAlignment="1">
      <alignment horizontal="center" vertical="center" wrapText="1"/>
    </xf>
    <xf numFmtId="0" fontId="22" fillId="0" borderId="0" xfId="3" applyFont="1" applyAlignment="1">
      <alignment horizontal="center" vertical="center" wrapText="1"/>
    </xf>
    <xf numFmtId="0" fontId="11" fillId="0" borderId="14" xfId="10" applyFont="1" applyBorder="1" applyAlignment="1">
      <alignment horizontal="left" wrapText="1"/>
    </xf>
    <xf numFmtId="3" fontId="81" fillId="0" borderId="14" xfId="10" applyNumberFormat="1" applyFont="1" applyBorder="1" applyAlignment="1" applyProtection="1">
      <alignment horizontal="right" vertical="center"/>
      <protection hidden="1"/>
    </xf>
    <xf numFmtId="170" fontId="39" fillId="0" borderId="0" xfId="3" applyNumberFormat="1" applyFont="1"/>
    <xf numFmtId="0" fontId="39" fillId="0" borderId="0" xfId="3" applyFont="1"/>
    <xf numFmtId="0" fontId="16" fillId="0" borderId="15" xfId="10" applyFont="1" applyBorder="1"/>
    <xf numFmtId="3" fontId="82" fillId="0" borderId="15" xfId="10" applyNumberFormat="1" applyFont="1" applyBorder="1" applyProtection="1">
      <protection hidden="1"/>
    </xf>
    <xf numFmtId="0" fontId="75" fillId="0" borderId="15" xfId="10" applyFont="1" applyBorder="1"/>
    <xf numFmtId="3" fontId="83" fillId="0" borderId="15" xfId="10" applyNumberFormat="1" applyFont="1" applyBorder="1" applyProtection="1">
      <protection hidden="1"/>
    </xf>
    <xf numFmtId="16" fontId="16" fillId="0" borderId="0" xfId="3" applyNumberFormat="1" applyFont="1"/>
    <xf numFmtId="0" fontId="16" fillId="0" borderId="15" xfId="10" applyFont="1" applyBorder="1" applyAlignment="1">
      <alignment horizontal="left" wrapText="1"/>
    </xf>
    <xf numFmtId="0" fontId="8" fillId="0" borderId="15" xfId="10" applyFont="1" applyBorder="1"/>
    <xf numFmtId="9" fontId="16" fillId="0" borderId="0" xfId="11" applyFont="1"/>
    <xf numFmtId="3" fontId="2" fillId="0" borderId="15" xfId="10" applyNumberFormat="1" applyBorder="1" applyProtection="1">
      <protection hidden="1"/>
    </xf>
    <xf numFmtId="0" fontId="11" fillId="0" borderId="15" xfId="10" applyFont="1" applyBorder="1" applyAlignment="1">
      <alignment horizontal="left" wrapText="1"/>
    </xf>
    <xf numFmtId="3" fontId="81" fillId="0" borderId="15" xfId="10" applyNumberFormat="1" applyFont="1" applyBorder="1" applyAlignment="1" applyProtection="1">
      <alignment horizontal="right" vertical="center"/>
      <protection hidden="1"/>
    </xf>
    <xf numFmtId="3" fontId="83" fillId="0" borderId="15" xfId="10" applyNumberFormat="1" applyFont="1" applyBorder="1" applyAlignment="1" applyProtection="1">
      <alignment horizontal="right"/>
      <protection hidden="1"/>
    </xf>
    <xf numFmtId="0" fontId="16" fillId="0" borderId="16" xfId="10" applyFont="1" applyBorder="1"/>
    <xf numFmtId="3" fontId="82" fillId="0" borderId="17" xfId="10" applyNumberFormat="1" applyFont="1" applyBorder="1" applyProtection="1">
      <protection hidden="1"/>
    </xf>
    <xf numFmtId="0" fontId="16" fillId="0" borderId="0" xfId="10" applyFont="1"/>
    <xf numFmtId="3" fontId="82" fillId="0" borderId="0" xfId="10" applyNumberFormat="1" applyFont="1" applyProtection="1">
      <protection hidden="1"/>
    </xf>
    <xf numFmtId="0" fontId="84" fillId="0" borderId="0" xfId="3" applyFont="1"/>
    <xf numFmtId="0" fontId="22" fillId="0" borderId="14" xfId="10" applyFont="1" applyBorder="1"/>
    <xf numFmtId="3" fontId="82" fillId="0" borderId="14" xfId="10" applyNumberFormat="1" applyFont="1" applyBorder="1" applyProtection="1">
      <protection hidden="1"/>
    </xf>
    <xf numFmtId="3" fontId="82" fillId="0" borderId="15" xfId="10" applyNumberFormat="1" applyFont="1" applyBorder="1" applyAlignment="1" applyProtection="1">
      <alignment horizontal="right"/>
      <protection hidden="1"/>
    </xf>
    <xf numFmtId="165" fontId="82" fillId="0" borderId="15" xfId="10" applyNumberFormat="1" applyFont="1" applyBorder="1" applyAlignment="1" applyProtection="1">
      <alignment horizontal="right"/>
      <protection hidden="1"/>
    </xf>
    <xf numFmtId="170" fontId="16" fillId="0" borderId="0" xfId="3" applyNumberFormat="1" applyFont="1"/>
    <xf numFmtId="0" fontId="16" fillId="0" borderId="15" xfId="10" applyFont="1" applyBorder="1" applyAlignment="1">
      <alignment horizontal="left" indent="1"/>
    </xf>
    <xf numFmtId="0" fontId="16" fillId="0" borderId="15" xfId="10" quotePrefix="1" applyFont="1" applyBorder="1" applyAlignment="1">
      <alignment horizontal="left" indent="2"/>
    </xf>
    <xf numFmtId="0" fontId="16" fillId="0" borderId="15" xfId="10" quotePrefix="1" applyFont="1" applyBorder="1"/>
    <xf numFmtId="0" fontId="16" fillId="0" borderId="17" xfId="10" applyFont="1" applyBorder="1"/>
    <xf numFmtId="3" fontId="16" fillId="0" borderId="0" xfId="3" applyNumberFormat="1" applyFont="1" applyProtection="1">
      <protection hidden="1"/>
    </xf>
    <xf numFmtId="0" fontId="11" fillId="0" borderId="15" xfId="10" applyFont="1" applyBorder="1"/>
    <xf numFmtId="3" fontId="81" fillId="0" borderId="15" xfId="10" applyNumberFormat="1" applyFont="1" applyBorder="1" applyProtection="1">
      <protection hidden="1"/>
    </xf>
    <xf numFmtId="3" fontId="16" fillId="0" borderId="0" xfId="10" applyNumberFormat="1" applyFont="1" applyProtection="1">
      <protection hidden="1"/>
    </xf>
    <xf numFmtId="3" fontId="86" fillId="0" borderId="0" xfId="10" applyNumberFormat="1" applyFont="1" applyAlignment="1" applyProtection="1">
      <alignment horizontal="right"/>
      <protection hidden="1"/>
    </xf>
    <xf numFmtId="3" fontId="82" fillId="0" borderId="15" xfId="10" applyNumberFormat="1" applyFont="1" applyBorder="1" applyAlignment="1" applyProtection="1">
      <alignment vertical="top"/>
      <protection hidden="1"/>
    </xf>
    <xf numFmtId="171" fontId="82" fillId="0" borderId="15" xfId="10" applyNumberFormat="1" applyFont="1" applyBorder="1" applyProtection="1">
      <protection hidden="1"/>
    </xf>
    <xf numFmtId="3" fontId="16" fillId="0" borderId="0" xfId="3" applyNumberFormat="1" applyFont="1"/>
    <xf numFmtId="0" fontId="87" fillId="0" borderId="15" xfId="10" applyFont="1" applyBorder="1" applyAlignment="1">
      <alignment horizontal="left" indent="1"/>
    </xf>
    <xf numFmtId="165" fontId="88" fillId="0" borderId="15" xfId="10" applyNumberFormat="1" applyFont="1" applyBorder="1" applyAlignment="1" applyProtection="1">
      <alignment vertical="center"/>
      <protection hidden="1"/>
    </xf>
    <xf numFmtId="0" fontId="16" fillId="0" borderId="14" xfId="10" applyFont="1" applyBorder="1"/>
    <xf numFmtId="168" fontId="16" fillId="0" borderId="0" xfId="3" applyNumberFormat="1" applyFont="1" applyProtection="1">
      <protection hidden="1"/>
    </xf>
    <xf numFmtId="0" fontId="16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89" fillId="0" borderId="0" xfId="3" applyFont="1" applyAlignment="1">
      <alignment horizontal="center"/>
    </xf>
    <xf numFmtId="0" fontId="90" fillId="0" borderId="0" xfId="3" applyFont="1"/>
    <xf numFmtId="0" fontId="22" fillId="0" borderId="0" xfId="3" applyFont="1"/>
    <xf numFmtId="0" fontId="16" fillId="0" borderId="13" xfId="3" applyFont="1" applyBorder="1"/>
    <xf numFmtId="170" fontId="87" fillId="0" borderId="0" xfId="3" applyNumberFormat="1" applyFont="1" applyAlignment="1">
      <alignment horizontal="right"/>
    </xf>
    <xf numFmtId="170" fontId="80" fillId="0" borderId="0" xfId="10" applyNumberFormat="1" applyFont="1" applyAlignment="1">
      <alignment horizontal="right"/>
    </xf>
    <xf numFmtId="0" fontId="22" fillId="0" borderId="21" xfId="3" applyFont="1" applyBorder="1" applyAlignment="1">
      <alignment vertical="center"/>
    </xf>
    <xf numFmtId="3" fontId="92" fillId="0" borderId="22" xfId="3" applyNumberFormat="1" applyFont="1" applyBorder="1" applyAlignment="1" applyProtection="1">
      <alignment vertical="center"/>
      <protection hidden="1"/>
    </xf>
    <xf numFmtId="0" fontId="16" fillId="0" borderId="23" xfId="3" applyFont="1" applyBorder="1" applyAlignment="1">
      <alignment vertical="center"/>
    </xf>
    <xf numFmtId="0" fontId="16" fillId="0" borderId="24" xfId="3" applyFont="1" applyBorder="1" applyAlignment="1">
      <alignment vertical="center"/>
    </xf>
    <xf numFmtId="0" fontId="16" fillId="0" borderId="25" xfId="3" applyFont="1" applyBorder="1" applyAlignment="1">
      <alignment vertical="center"/>
    </xf>
    <xf numFmtId="3" fontId="93" fillId="0" borderId="6" xfId="3" applyNumberFormat="1" applyFont="1" applyBorder="1" applyAlignment="1" applyProtection="1">
      <alignment vertical="center"/>
      <protection hidden="1"/>
    </xf>
    <xf numFmtId="0" fontId="10" fillId="0" borderId="23" xfId="3" applyFont="1" applyBorder="1" applyAlignment="1">
      <alignment vertical="center"/>
    </xf>
    <xf numFmtId="3" fontId="94" fillId="0" borderId="6" xfId="3" applyNumberFormat="1" applyFont="1" applyBorder="1" applyAlignment="1" applyProtection="1">
      <alignment horizontal="right" vertical="center"/>
      <protection hidden="1"/>
    </xf>
    <xf numFmtId="0" fontId="34" fillId="0" borderId="0" xfId="3" applyFont="1"/>
    <xf numFmtId="0" fontId="22" fillId="0" borderId="23" xfId="3" applyFont="1" applyBorder="1" applyAlignment="1">
      <alignment vertical="center"/>
    </xf>
    <xf numFmtId="0" fontId="22" fillId="0" borderId="24" xfId="3" applyFont="1" applyBorder="1" applyAlignment="1">
      <alignment vertical="center"/>
    </xf>
    <xf numFmtId="0" fontId="22" fillId="0" borderId="25" xfId="3" applyFont="1" applyBorder="1" applyAlignment="1">
      <alignment vertical="center"/>
    </xf>
    <xf numFmtId="3" fontId="92" fillId="0" borderId="6" xfId="3" applyNumberFormat="1" applyFont="1" applyBorder="1" applyAlignment="1" applyProtection="1">
      <alignment vertical="center"/>
      <protection hidden="1"/>
    </xf>
    <xf numFmtId="171" fontId="94" fillId="0" borderId="6" xfId="3" applyNumberFormat="1" applyFont="1" applyBorder="1" applyAlignment="1" applyProtection="1">
      <alignment horizontal="right" vertical="center"/>
      <protection hidden="1"/>
    </xf>
    <xf numFmtId="165" fontId="93" fillId="0" borderId="6" xfId="3" applyNumberFormat="1" applyFont="1" applyBorder="1" applyAlignment="1" applyProtection="1">
      <alignment vertical="center"/>
      <protection hidden="1"/>
    </xf>
    <xf numFmtId="0" fontId="87" fillId="0" borderId="23" xfId="3" applyFont="1" applyBorder="1" applyAlignment="1">
      <alignment vertical="center"/>
    </xf>
    <xf numFmtId="0" fontId="87" fillId="0" borderId="24" xfId="3" applyFont="1" applyBorder="1" applyAlignment="1">
      <alignment vertical="center"/>
    </xf>
    <xf numFmtId="0" fontId="87" fillId="0" borderId="25" xfId="3" applyFont="1" applyBorder="1" applyAlignment="1">
      <alignment vertical="center"/>
    </xf>
    <xf numFmtId="0" fontId="87" fillId="0" borderId="0" xfId="3" applyFont="1"/>
    <xf numFmtId="0" fontId="10" fillId="0" borderId="23" xfId="3" applyFont="1" applyBorder="1" applyAlignment="1">
      <alignment horizontal="left" vertical="center"/>
    </xf>
    <xf numFmtId="171" fontId="92" fillId="0" borderId="6" xfId="3" applyNumberFormat="1" applyFont="1" applyBorder="1" applyAlignment="1" applyProtection="1">
      <alignment vertical="center"/>
      <protection hidden="1"/>
    </xf>
    <xf numFmtId="0" fontId="10" fillId="0" borderId="24" xfId="3" applyFont="1" applyBorder="1" applyAlignment="1">
      <alignment vertical="center"/>
    </xf>
    <xf numFmtId="0" fontId="10" fillId="0" borderId="25" xfId="3" applyFont="1" applyBorder="1" applyAlignment="1">
      <alignment vertical="center"/>
    </xf>
    <xf numFmtId="171" fontId="94" fillId="0" borderId="6" xfId="3" applyNumberFormat="1" applyFont="1" applyBorder="1" applyAlignment="1" applyProtection="1">
      <alignment vertical="center"/>
      <protection hidden="1"/>
    </xf>
    <xf numFmtId="171" fontId="95" fillId="0" borderId="6" xfId="3" applyNumberFormat="1" applyFont="1" applyBorder="1" applyAlignment="1" applyProtection="1">
      <alignment vertical="center"/>
      <protection hidden="1"/>
    </xf>
    <xf numFmtId="0" fontId="10" fillId="0" borderId="21" xfId="3" quotePrefix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10" fillId="0" borderId="26" xfId="3" applyFont="1" applyBorder="1" applyAlignment="1">
      <alignment vertical="center"/>
    </xf>
    <xf numFmtId="171" fontId="94" fillId="0" borderId="22" xfId="3" applyNumberFormat="1" applyFont="1" applyBorder="1" applyAlignment="1" applyProtection="1">
      <alignment vertical="center"/>
      <protection hidden="1"/>
    </xf>
    <xf numFmtId="0" fontId="22" fillId="0" borderId="21" xfId="3" quotePrefix="1" applyFont="1" applyBorder="1" applyAlignment="1">
      <alignment vertical="top"/>
    </xf>
    <xf numFmtId="0" fontId="22" fillId="0" borderId="26" xfId="3" applyFont="1" applyBorder="1"/>
    <xf numFmtId="165" fontId="92" fillId="0" borderId="22" xfId="12" applyNumberFormat="1" applyFont="1" applyBorder="1" applyProtection="1">
      <protection hidden="1"/>
    </xf>
    <xf numFmtId="0" fontId="16" fillId="0" borderId="22" xfId="3" applyFont="1" applyBorder="1" applyProtection="1">
      <protection hidden="1"/>
    </xf>
    <xf numFmtId="170" fontId="92" fillId="0" borderId="22" xfId="3" applyNumberFormat="1" applyFont="1" applyBorder="1" applyProtection="1">
      <protection hidden="1"/>
    </xf>
    <xf numFmtId="0" fontId="16" fillId="0" borderId="18" xfId="3" applyFont="1" applyBorder="1"/>
    <xf numFmtId="0" fontId="16" fillId="0" borderId="19" xfId="3" applyFont="1" applyBorder="1"/>
    <xf numFmtId="0" fontId="16" fillId="0" borderId="20" xfId="3" applyFont="1" applyBorder="1"/>
    <xf numFmtId="10" fontId="16" fillId="0" borderId="27" xfId="11" applyNumberFormat="1" applyFont="1" applyBorder="1" applyProtection="1">
      <protection hidden="1"/>
    </xf>
    <xf numFmtId="0" fontId="16" fillId="0" borderId="27" xfId="3" applyFont="1" applyBorder="1" applyProtection="1">
      <protection hidden="1"/>
    </xf>
    <xf numFmtId="0" fontId="87" fillId="0" borderId="0" xfId="3" applyFont="1" applyAlignment="1">
      <alignment horizontal="center"/>
    </xf>
    <xf numFmtId="0" fontId="16" fillId="0" borderId="0" xfId="3" applyFont="1" applyAlignment="1">
      <alignment vertical="center"/>
    </xf>
    <xf numFmtId="170" fontId="16" fillId="0" borderId="0" xfId="3" applyNumberFormat="1" applyFont="1" applyAlignment="1">
      <alignment horizontal="center" vertical="center"/>
    </xf>
    <xf numFmtId="0" fontId="8" fillId="0" borderId="0" xfId="3" applyFont="1"/>
    <xf numFmtId="0" fontId="96" fillId="0" borderId="0" xfId="3" applyFont="1" applyAlignment="1">
      <alignment horizontal="centerContinuous"/>
    </xf>
    <xf numFmtId="170" fontId="80" fillId="0" borderId="0" xfId="3" applyNumberFormat="1" applyFont="1" applyAlignment="1">
      <alignment horizontal="right"/>
    </xf>
    <xf numFmtId="0" fontId="97" fillId="0" borderId="0" xfId="3" applyFont="1" applyAlignment="1">
      <alignment horizontal="center" vertical="center" wrapText="1"/>
    </xf>
    <xf numFmtId="0" fontId="98" fillId="0" borderId="21" xfId="3" applyFont="1" applyBorder="1" applyAlignment="1">
      <alignment vertical="center"/>
    </xf>
    <xf numFmtId="173" fontId="8" fillId="0" borderId="22" xfId="12" applyNumberFormat="1" applyFont="1" applyBorder="1" applyAlignment="1" applyProtection="1">
      <alignment vertical="center"/>
      <protection hidden="1"/>
    </xf>
    <xf numFmtId="0" fontId="99" fillId="0" borderId="23" xfId="3" applyFont="1" applyBorder="1" applyAlignment="1">
      <alignment vertical="center"/>
    </xf>
    <xf numFmtId="171" fontId="100" fillId="0" borderId="6" xfId="12" applyNumberFormat="1" applyFont="1" applyBorder="1" applyAlignment="1" applyProtection="1">
      <alignment vertical="center"/>
      <protection hidden="1"/>
    </xf>
    <xf numFmtId="0" fontId="99" fillId="0" borderId="0" xfId="3" applyFont="1"/>
    <xf numFmtId="0" fontId="8" fillId="0" borderId="23" xfId="3" quotePrefix="1" applyFont="1" applyBorder="1" applyAlignment="1">
      <alignment horizontal="left" vertical="center"/>
    </xf>
    <xf numFmtId="171" fontId="9" fillId="0" borderId="6" xfId="12" applyNumberFormat="1" applyFont="1" applyBorder="1" applyAlignment="1" applyProtection="1">
      <alignment vertical="center"/>
      <protection hidden="1"/>
    </xf>
    <xf numFmtId="168" fontId="8" fillId="0" borderId="0" xfId="12" applyNumberFormat="1" applyFont="1"/>
    <xf numFmtId="0" fontId="8" fillId="0" borderId="23" xfId="3" quotePrefix="1" applyFont="1" applyBorder="1" applyAlignment="1">
      <alignment horizontal="justify" vertical="center" wrapText="1"/>
    </xf>
    <xf numFmtId="0" fontId="99" fillId="0" borderId="23" xfId="3" applyFont="1" applyBorder="1" applyAlignment="1">
      <alignment horizontal="left" vertical="center" wrapText="1"/>
    </xf>
    <xf numFmtId="171" fontId="100" fillId="0" borderId="6" xfId="12" applyNumberFormat="1" applyFont="1" applyBorder="1" applyAlignment="1" applyProtection="1">
      <alignment horizontal="right" vertical="center"/>
      <protection hidden="1"/>
    </xf>
    <xf numFmtId="0" fontId="101" fillId="0" borderId="0" xfId="3" applyFont="1"/>
    <xf numFmtId="0" fontId="16" fillId="0" borderId="23" xfId="3" quotePrefix="1" applyFont="1" applyBorder="1" applyAlignment="1">
      <alignment horizontal="left" vertical="center"/>
    </xf>
    <xf numFmtId="0" fontId="16" fillId="0" borderId="23" xfId="3" quotePrefix="1" applyFont="1" applyBorder="1" applyAlignment="1">
      <alignment horizontal="left" vertical="center" wrapText="1"/>
    </xf>
    <xf numFmtId="0" fontId="98" fillId="0" borderId="23" xfId="3" applyFont="1" applyBorder="1" applyAlignment="1">
      <alignment vertical="center"/>
    </xf>
    <xf numFmtId="171" fontId="49" fillId="0" borderId="6" xfId="12" applyNumberFormat="1" applyFont="1" applyBorder="1" applyAlignment="1" applyProtection="1">
      <alignment vertical="center"/>
      <protection hidden="1"/>
    </xf>
    <xf numFmtId="0" fontId="8" fillId="0" borderId="23" xfId="3" applyFont="1" applyBorder="1" applyAlignment="1">
      <alignment horizontal="left" vertical="center" wrapText="1"/>
    </xf>
    <xf numFmtId="0" fontId="8" fillId="0" borderId="0" xfId="3" applyFont="1" applyAlignment="1">
      <alignment vertical="center"/>
    </xf>
    <xf numFmtId="0" fontId="8" fillId="0" borderId="23" xfId="3" applyFont="1" applyBorder="1" applyAlignment="1">
      <alignment horizontal="left" vertical="center"/>
    </xf>
    <xf numFmtId="171" fontId="94" fillId="0" borderId="6" xfId="12" applyNumberFormat="1" applyFont="1" applyBorder="1" applyAlignment="1" applyProtection="1">
      <alignment vertical="center"/>
      <protection hidden="1"/>
    </xf>
    <xf numFmtId="0" fontId="8" fillId="0" borderId="23" xfId="3" applyFont="1" applyBorder="1" applyAlignment="1">
      <alignment horizontal="justify" vertical="center" wrapText="1"/>
    </xf>
    <xf numFmtId="0" fontId="8" fillId="0" borderId="23" xfId="3" applyFont="1" applyBorder="1" applyAlignment="1">
      <alignment vertical="center"/>
    </xf>
    <xf numFmtId="0" fontId="99" fillId="0" borderId="23" xfId="3" applyFont="1" applyBorder="1" applyAlignment="1">
      <alignment horizontal="left" vertical="center"/>
    </xf>
    <xf numFmtId="171" fontId="100" fillId="0" borderId="6" xfId="12" applyNumberFormat="1" applyFont="1" applyFill="1" applyBorder="1" applyAlignment="1" applyProtection="1">
      <alignment vertical="center"/>
      <protection hidden="1"/>
    </xf>
    <xf numFmtId="0" fontId="10" fillId="0" borderId="18" xfId="3" applyFont="1" applyBorder="1" applyAlignment="1">
      <alignment vertical="center"/>
    </xf>
    <xf numFmtId="171" fontId="94" fillId="0" borderId="27" xfId="12" applyNumberFormat="1" applyFont="1" applyBorder="1" applyAlignment="1" applyProtection="1">
      <alignment vertical="center"/>
      <protection hidden="1"/>
    </xf>
    <xf numFmtId="165" fontId="34" fillId="0" borderId="0" xfId="3" applyNumberFormat="1" applyFont="1"/>
    <xf numFmtId="0" fontId="98" fillId="0" borderId="0" xfId="3" applyFont="1"/>
    <xf numFmtId="168" fontId="98" fillId="0" borderId="0" xfId="12" applyNumberFormat="1" applyFont="1" applyBorder="1" applyProtection="1">
      <protection hidden="1"/>
    </xf>
    <xf numFmtId="165" fontId="8" fillId="0" borderId="0" xfId="12" applyNumberFormat="1" applyFont="1"/>
    <xf numFmtId="0" fontId="103" fillId="0" borderId="0" xfId="13" applyFont="1" applyAlignment="1">
      <alignment horizontal="left"/>
    </xf>
    <xf numFmtId="0" fontId="1" fillId="0" borderId="0" xfId="13" applyFont="1"/>
    <xf numFmtId="174" fontId="1" fillId="0" borderId="0" xfId="14" applyNumberFormat="1" applyFont="1"/>
    <xf numFmtId="0" fontId="104" fillId="0" borderId="0" xfId="13" applyFont="1" applyAlignment="1">
      <alignment horizontal="center"/>
    </xf>
    <xf numFmtId="0" fontId="105" fillId="0" borderId="0" xfId="13" applyFont="1" applyAlignment="1">
      <alignment vertical="center"/>
    </xf>
    <xf numFmtId="0" fontId="103" fillId="0" borderId="0" xfId="13" applyFont="1" applyAlignment="1">
      <alignment horizontal="center"/>
    </xf>
    <xf numFmtId="0" fontId="103" fillId="7" borderId="0" xfId="13" applyFont="1" applyFill="1"/>
    <xf numFmtId="0" fontId="103" fillId="0" borderId="0" xfId="13" applyFont="1"/>
    <xf numFmtId="174" fontId="104" fillId="8" borderId="0" xfId="14" applyNumberFormat="1" applyFont="1" applyFill="1" applyAlignment="1">
      <alignment horizontal="centerContinuous"/>
    </xf>
    <xf numFmtId="0" fontId="1" fillId="8" borderId="0" xfId="13" applyFont="1" applyFill="1" applyAlignment="1">
      <alignment horizontal="centerContinuous"/>
    </xf>
    <xf numFmtId="174" fontId="1" fillId="0" borderId="0" xfId="14" applyNumberFormat="1" applyFont="1" applyAlignment="1">
      <alignment horizontal="centerContinuous"/>
    </xf>
    <xf numFmtId="0" fontId="1" fillId="0" borderId="0" xfId="13" applyFont="1" applyAlignment="1">
      <alignment vertical="top"/>
    </xf>
    <xf numFmtId="0" fontId="103" fillId="0" borderId="28" xfId="13" applyFont="1" applyBorder="1" applyAlignment="1">
      <alignment horizontal="center"/>
    </xf>
    <xf numFmtId="0" fontId="1" fillId="0" borderId="29" xfId="13" applyFont="1" applyBorder="1" applyAlignment="1">
      <alignment horizontal="center"/>
    </xf>
    <xf numFmtId="0" fontId="2" fillId="0" borderId="29" xfId="13" applyFont="1" applyBorder="1"/>
    <xf numFmtId="0" fontId="1" fillId="0" borderId="29" xfId="13" applyFont="1" applyBorder="1"/>
    <xf numFmtId="0" fontId="1" fillId="0" borderId="29" xfId="13" applyFont="1" applyBorder="1" applyAlignment="1">
      <alignment horizontal="left"/>
    </xf>
    <xf numFmtId="3" fontId="1" fillId="0" borderId="29" xfId="13" quotePrefix="1" applyNumberFormat="1" applyFont="1" applyBorder="1"/>
    <xf numFmtId="3" fontId="1" fillId="0" borderId="29" xfId="13" applyNumberFormat="1" applyFont="1" applyBorder="1"/>
    <xf numFmtId="174" fontId="1" fillId="0" borderId="29" xfId="14" applyNumberFormat="1" applyFont="1" applyBorder="1"/>
    <xf numFmtId="0" fontId="1" fillId="0" borderId="30" xfId="13" applyFont="1" applyBorder="1" applyAlignment="1">
      <alignment horizontal="center"/>
    </xf>
    <xf numFmtId="0" fontId="1" fillId="0" borderId="31" xfId="13" applyFont="1" applyBorder="1"/>
    <xf numFmtId="2" fontId="1" fillId="0" borderId="32" xfId="13" applyNumberFormat="1" applyFont="1" applyBorder="1"/>
    <xf numFmtId="3" fontId="2" fillId="0" borderId="29" xfId="13" applyNumberFormat="1" applyFont="1" applyBorder="1" applyAlignment="1">
      <alignment horizontal="left"/>
    </xf>
    <xf numFmtId="0" fontId="1" fillId="0" borderId="33" xfId="13" applyFont="1" applyBorder="1"/>
    <xf numFmtId="0" fontId="1" fillId="0" borderId="31" xfId="13" applyFont="1" applyBorder="1" applyAlignment="1">
      <alignment horizontal="left"/>
    </xf>
    <xf numFmtId="0" fontId="1" fillId="0" borderId="34" xfId="13" applyFont="1" applyBorder="1" applyAlignment="1">
      <alignment horizontal="center"/>
    </xf>
    <xf numFmtId="2" fontId="1" fillId="0" borderId="31" xfId="13" applyNumberFormat="1" applyFont="1" applyBorder="1"/>
    <xf numFmtId="3" fontId="2" fillId="0" borderId="31" xfId="13" applyNumberFormat="1" applyFont="1" applyBorder="1" applyAlignment="1">
      <alignment horizontal="left"/>
    </xf>
    <xf numFmtId="0" fontId="1" fillId="0" borderId="35" xfId="13" applyFont="1" applyBorder="1" applyAlignment="1">
      <alignment horizontal="center"/>
    </xf>
    <xf numFmtId="0" fontId="1" fillId="0" borderId="35" xfId="13" applyFont="1" applyBorder="1"/>
    <xf numFmtId="2" fontId="1" fillId="0" borderId="36" xfId="13" applyNumberFormat="1" applyFont="1" applyBorder="1"/>
    <xf numFmtId="3" fontId="2" fillId="0" borderId="33" xfId="13" quotePrefix="1" applyNumberFormat="1" applyFont="1" applyBorder="1" applyAlignment="1">
      <alignment horizontal="left"/>
    </xf>
    <xf numFmtId="3" fontId="1" fillId="0" borderId="35" xfId="13" quotePrefix="1" applyNumberFormat="1" applyFont="1" applyBorder="1"/>
    <xf numFmtId="174" fontId="1" fillId="0" borderId="35" xfId="14" applyNumberFormat="1" applyFont="1" applyBorder="1"/>
    <xf numFmtId="2" fontId="106" fillId="0" borderId="31" xfId="13" applyNumberFormat="1" applyFont="1" applyBorder="1"/>
    <xf numFmtId="3" fontId="1" fillId="0" borderId="31" xfId="13" applyNumberFormat="1" applyFont="1" applyBorder="1"/>
    <xf numFmtId="3" fontId="1" fillId="0" borderId="31" xfId="13" quotePrefix="1" applyNumberFormat="1" applyFont="1" applyBorder="1"/>
    <xf numFmtId="0" fontId="1" fillId="0" borderId="31" xfId="13" applyFont="1" applyBorder="1" applyAlignment="1">
      <alignment horizontal="center"/>
    </xf>
    <xf numFmtId="2" fontId="1" fillId="0" borderId="29" xfId="13" applyNumberFormat="1" applyFont="1" applyBorder="1"/>
    <xf numFmtId="0" fontId="1" fillId="0" borderId="33" xfId="13" applyFont="1" applyBorder="1" applyAlignment="1">
      <alignment horizontal="center"/>
    </xf>
    <xf numFmtId="2" fontId="1" fillId="0" borderId="37" xfId="13" applyNumberFormat="1" applyFont="1" applyBorder="1"/>
    <xf numFmtId="3" fontId="1" fillId="0" borderId="33" xfId="13" quotePrefix="1" applyNumberFormat="1" applyFont="1" applyBorder="1"/>
    <xf numFmtId="174" fontId="1" fillId="0" borderId="37" xfId="14" applyNumberFormat="1" applyFont="1" applyBorder="1"/>
    <xf numFmtId="0" fontId="2" fillId="0" borderId="33" xfId="13" quotePrefix="1" applyFont="1" applyBorder="1" applyAlignment="1">
      <alignment horizontal="left"/>
    </xf>
    <xf numFmtId="174" fontId="1" fillId="0" borderId="0" xfId="13" applyNumberFormat="1" applyFont="1"/>
    <xf numFmtId="2" fontId="2" fillId="0" borderId="31" xfId="13" applyNumberFormat="1" applyFont="1" applyBorder="1"/>
    <xf numFmtId="0" fontId="1" fillId="0" borderId="37" xfId="13" applyFont="1" applyBorder="1" applyAlignment="1">
      <alignment horizontal="center"/>
    </xf>
    <xf numFmtId="2" fontId="2" fillId="0" borderId="33" xfId="13" applyNumberFormat="1" applyFont="1" applyBorder="1"/>
    <xf numFmtId="2" fontId="1" fillId="0" borderId="33" xfId="13" applyNumberFormat="1" applyFont="1" applyBorder="1"/>
    <xf numFmtId="2" fontId="2" fillId="0" borderId="29" xfId="13" applyNumberFormat="1" applyFont="1" applyBorder="1"/>
    <xf numFmtId="3" fontId="2" fillId="0" borderId="29" xfId="13" quotePrefix="1" applyNumberFormat="1" applyFont="1" applyBorder="1" applyAlignment="1">
      <alignment horizontal="left"/>
    </xf>
    <xf numFmtId="2" fontId="2" fillId="0" borderId="38" xfId="13" applyNumberFormat="1" applyFont="1" applyBorder="1"/>
    <xf numFmtId="174" fontId="1" fillId="0" borderId="31" xfId="14" applyNumberFormat="1" applyFont="1" applyBorder="1"/>
    <xf numFmtId="3" fontId="2" fillId="0" borderId="33" xfId="13" applyNumberFormat="1" applyFont="1" applyBorder="1" applyAlignment="1">
      <alignment horizontal="left"/>
    </xf>
    <xf numFmtId="2" fontId="1" fillId="0" borderId="38" xfId="13" applyNumberFormat="1" applyFont="1" applyBorder="1"/>
    <xf numFmtId="3" fontId="2" fillId="0" borderId="38" xfId="13" applyNumberFormat="1" applyFont="1" applyBorder="1" applyAlignment="1">
      <alignment horizontal="left"/>
    </xf>
    <xf numFmtId="0" fontId="2" fillId="0" borderId="37" xfId="13" applyFont="1" applyBorder="1" applyAlignment="1">
      <alignment horizontal="left"/>
    </xf>
    <xf numFmtId="0" fontId="1" fillId="0" borderId="38" xfId="13" applyFont="1" applyBorder="1" applyAlignment="1">
      <alignment horizontal="center"/>
    </xf>
    <xf numFmtId="2" fontId="2" fillId="0" borderId="0" xfId="13" applyNumberFormat="1" applyFont="1"/>
    <xf numFmtId="3" fontId="1" fillId="0" borderId="0" xfId="13" applyNumberFormat="1" applyFont="1"/>
    <xf numFmtId="2" fontId="2" fillId="0" borderId="35" xfId="13" applyNumberFormat="1" applyFont="1" applyBorder="1"/>
    <xf numFmtId="0" fontId="2" fillId="0" borderId="35" xfId="13" applyFont="1" applyBorder="1" applyAlignment="1">
      <alignment horizontal="left"/>
    </xf>
    <xf numFmtId="0" fontId="2" fillId="0" borderId="33" xfId="13" applyFont="1" applyBorder="1" applyAlignment="1">
      <alignment horizontal="left"/>
    </xf>
    <xf numFmtId="2" fontId="1" fillId="0" borderId="35" xfId="13" applyNumberFormat="1" applyFont="1" applyBorder="1"/>
    <xf numFmtId="3" fontId="1" fillId="0" borderId="33" xfId="13" applyNumberFormat="1" applyFont="1" applyBorder="1"/>
    <xf numFmtId="0" fontId="2" fillId="0" borderId="38" xfId="13" applyFont="1" applyBorder="1" applyAlignment="1">
      <alignment horizontal="left"/>
    </xf>
    <xf numFmtId="0" fontId="1" fillId="0" borderId="36" xfId="13" applyFont="1" applyBorder="1" applyAlignment="1">
      <alignment horizontal="center"/>
    </xf>
    <xf numFmtId="0" fontId="1" fillId="0" borderId="36" xfId="13" applyFont="1" applyBorder="1"/>
    <xf numFmtId="175" fontId="1" fillId="0" borderId="31" xfId="14" applyNumberFormat="1" applyFont="1" applyBorder="1"/>
    <xf numFmtId="0" fontId="1" fillId="0" borderId="35" xfId="13" applyFont="1" applyBorder="1" applyAlignment="1">
      <alignment horizontal="left"/>
    </xf>
    <xf numFmtId="175" fontId="1" fillId="0" borderId="35" xfId="14" applyNumberFormat="1" applyFont="1" applyBorder="1"/>
    <xf numFmtId="0" fontId="2" fillId="0" borderId="29" xfId="13" applyFont="1" applyBorder="1" applyAlignment="1">
      <alignment horizontal="left"/>
    </xf>
    <xf numFmtId="0" fontId="2" fillId="0" borderId="31" xfId="13" applyFont="1" applyBorder="1" applyAlignment="1">
      <alignment horizontal="left"/>
    </xf>
    <xf numFmtId="3" fontId="1" fillId="0" borderId="37" xfId="13" applyNumberFormat="1" applyFont="1" applyBorder="1"/>
    <xf numFmtId="3" fontId="1" fillId="0" borderId="35" xfId="13" applyNumberFormat="1" applyFont="1" applyBorder="1"/>
    <xf numFmtId="174" fontId="1" fillId="0" borderId="33" xfId="14" applyNumberFormat="1" applyFont="1" applyBorder="1"/>
    <xf numFmtId="0" fontId="104" fillId="0" borderId="31" xfId="13" applyFont="1" applyBorder="1" applyAlignment="1">
      <alignment horizontal="center"/>
    </xf>
    <xf numFmtId="0" fontId="1" fillId="0" borderId="31" xfId="13" applyFont="1" applyBorder="1" applyAlignment="1">
      <alignment horizontal="left" vertical="center"/>
    </xf>
    <xf numFmtId="0" fontId="1" fillId="0" borderId="0" xfId="13" applyFont="1" applyAlignment="1">
      <alignment horizontal="left"/>
    </xf>
    <xf numFmtId="0" fontId="1" fillId="0" borderId="29" xfId="13" applyFont="1" applyBorder="1" applyAlignment="1">
      <alignment horizontal="left" vertical="center"/>
    </xf>
    <xf numFmtId="0" fontId="1" fillId="0" borderId="29" xfId="13" applyFont="1" applyBorder="1" applyAlignment="1">
      <alignment vertical="center"/>
    </xf>
    <xf numFmtId="0" fontId="104" fillId="0" borderId="35" xfId="13" applyFont="1" applyBorder="1" applyAlignment="1">
      <alignment horizontal="center"/>
    </xf>
    <xf numFmtId="0" fontId="1" fillId="0" borderId="35" xfId="13" applyFont="1" applyBorder="1" applyAlignment="1">
      <alignment horizontal="left" vertical="center"/>
    </xf>
    <xf numFmtId="0" fontId="104" fillId="0" borderId="37" xfId="13" applyFont="1" applyBorder="1" applyAlignment="1">
      <alignment horizontal="center"/>
    </xf>
    <xf numFmtId="0" fontId="1" fillId="0" borderId="37" xfId="13" applyFont="1" applyBorder="1"/>
    <xf numFmtId="174" fontId="1" fillId="0" borderId="35" xfId="14" applyNumberFormat="1" applyFont="1" applyFill="1" applyBorder="1"/>
    <xf numFmtId="174" fontId="1" fillId="0" borderId="29" xfId="14" applyNumberFormat="1" applyFont="1" applyFill="1" applyBorder="1"/>
    <xf numFmtId="0" fontId="104" fillId="0" borderId="33" xfId="13" applyFont="1" applyBorder="1" applyAlignment="1">
      <alignment horizontal="center"/>
    </xf>
    <xf numFmtId="0" fontId="2" fillId="0" borderId="37" xfId="13" applyFont="1" applyBorder="1"/>
    <xf numFmtId="0" fontId="1" fillId="0" borderId="33" xfId="13" applyFont="1" applyBorder="1" applyAlignment="1">
      <alignment horizontal="left" vertical="center"/>
    </xf>
    <xf numFmtId="174" fontId="1" fillId="0" borderId="31" xfId="14" applyNumberFormat="1" applyFont="1" applyFill="1" applyBorder="1"/>
    <xf numFmtId="0" fontId="104" fillId="0" borderId="7" xfId="13" applyFont="1" applyBorder="1" applyAlignment="1">
      <alignment horizontal="center"/>
    </xf>
    <xf numFmtId="0" fontId="1" fillId="0" borderId="36" xfId="13" applyFont="1" applyBorder="1" applyAlignment="1">
      <alignment vertical="center"/>
    </xf>
    <xf numFmtId="0" fontId="1" fillId="0" borderId="0" xfId="13" applyFont="1" applyAlignment="1">
      <alignment vertical="center"/>
    </xf>
    <xf numFmtId="0" fontId="1" fillId="0" borderId="0" xfId="13" applyFont="1" applyAlignment="1">
      <alignment horizontal="left" vertical="center"/>
    </xf>
    <xf numFmtId="0" fontId="2" fillId="0" borderId="36" xfId="13" applyFont="1" applyBorder="1" applyAlignment="1">
      <alignment horizontal="center"/>
    </xf>
    <xf numFmtId="0" fontId="2" fillId="0" borderId="36" xfId="13" applyFont="1" applyBorder="1"/>
    <xf numFmtId="0" fontId="1" fillId="0" borderId="36" xfId="13" applyFont="1" applyBorder="1" applyAlignment="1">
      <alignment horizontal="left"/>
    </xf>
    <xf numFmtId="3" fontId="1" fillId="0" borderId="39" xfId="13" applyNumberFormat="1" applyFont="1" applyBorder="1"/>
    <xf numFmtId="3" fontId="1" fillId="0" borderId="36" xfId="13" applyNumberFormat="1" applyFont="1" applyBorder="1"/>
    <xf numFmtId="0" fontId="2" fillId="0" borderId="35" xfId="13" applyFont="1" applyBorder="1" applyAlignment="1">
      <alignment horizontal="center"/>
    </xf>
    <xf numFmtId="0" fontId="2" fillId="0" borderId="35" xfId="13" applyFont="1" applyBorder="1"/>
    <xf numFmtId="3" fontId="1" fillId="0" borderId="40" xfId="13" applyNumberFormat="1" applyFont="1" applyBorder="1"/>
    <xf numFmtId="0" fontId="1" fillId="0" borderId="33" xfId="13" applyFont="1" applyBorder="1" applyAlignment="1">
      <alignment horizontal="left"/>
    </xf>
    <xf numFmtId="0" fontId="2" fillId="0" borderId="31" xfId="13" applyFont="1" applyBorder="1" applyAlignment="1">
      <alignment horizontal="center"/>
    </xf>
    <xf numFmtId="0" fontId="2" fillId="0" borderId="31" xfId="13" applyFont="1" applyBorder="1"/>
    <xf numFmtId="0" fontId="1" fillId="0" borderId="32" xfId="13" applyFont="1" applyBorder="1"/>
    <xf numFmtId="0" fontId="1" fillId="0" borderId="41" xfId="13" applyFont="1" applyBorder="1"/>
    <xf numFmtId="0" fontId="104" fillId="0" borderId="31" xfId="13" applyFont="1" applyBorder="1"/>
    <xf numFmtId="0" fontId="104" fillId="0" borderId="31" xfId="13" applyFont="1" applyBorder="1" applyAlignment="1">
      <alignment horizontal="left"/>
    </xf>
    <xf numFmtId="0" fontId="107" fillId="0" borderId="31" xfId="13" applyFont="1" applyBorder="1"/>
    <xf numFmtId="0" fontId="104" fillId="0" borderId="42" xfId="13" applyFont="1" applyBorder="1" applyAlignment="1">
      <alignment horizontal="center"/>
    </xf>
    <xf numFmtId="2" fontId="106" fillId="0" borderId="29" xfId="13" applyNumberFormat="1" applyFont="1" applyBorder="1"/>
    <xf numFmtId="2" fontId="2" fillId="0" borderId="37" xfId="13" applyNumberFormat="1" applyFont="1" applyBorder="1"/>
    <xf numFmtId="2" fontId="2" fillId="0" borderId="36" xfId="13" applyNumberFormat="1" applyFont="1" applyBorder="1"/>
    <xf numFmtId="0" fontId="103" fillId="0" borderId="37" xfId="13" applyFont="1" applyBorder="1"/>
    <xf numFmtId="0" fontId="2" fillId="0" borderId="33" xfId="13" applyFont="1" applyBorder="1"/>
    <xf numFmtId="0" fontId="2" fillId="0" borderId="0" xfId="13" applyFont="1" applyAlignment="1">
      <alignment horizontal="left"/>
    </xf>
    <xf numFmtId="0" fontId="2" fillId="0" borderId="32" xfId="13" applyFont="1" applyBorder="1" applyAlignment="1">
      <alignment horizontal="left"/>
    </xf>
    <xf numFmtId="0" fontId="2" fillId="0" borderId="43" xfId="13" applyFont="1" applyBorder="1"/>
    <xf numFmtId="43" fontId="1" fillId="0" borderId="29" xfId="13" quotePrefix="1" applyNumberFormat="1" applyFont="1" applyBorder="1"/>
    <xf numFmtId="3" fontId="2" fillId="0" borderId="0" xfId="2" applyNumberFormat="1" applyAlignment="1" applyProtection="1">
      <alignment vertical="top"/>
      <protection locked="0"/>
    </xf>
    <xf numFmtId="3" fontId="2" fillId="0" borderId="0" xfId="0" applyNumberFormat="1" applyFont="1" applyAlignment="1" applyProtection="1">
      <alignment vertical="top"/>
      <protection locked="0"/>
    </xf>
    <xf numFmtId="165" fontId="2" fillId="0" borderId="44" xfId="0" applyNumberFormat="1" applyFont="1" applyBorder="1"/>
    <xf numFmtId="3" fontId="9" fillId="0" borderId="8" xfId="2" applyNumberFormat="1" applyFont="1" applyBorder="1" applyProtection="1">
      <protection locked="0"/>
    </xf>
    <xf numFmtId="3" fontId="1" fillId="0" borderId="31" xfId="14" applyNumberFormat="1" applyFont="1" applyBorder="1"/>
    <xf numFmtId="3" fontId="1" fillId="0" borderId="35" xfId="14" applyNumberFormat="1" applyFont="1" applyBorder="1"/>
    <xf numFmtId="165" fontId="0" fillId="0" borderId="0" xfId="0" applyNumberFormat="1"/>
    <xf numFmtId="165" fontId="13" fillId="0" borderId="9" xfId="4" applyNumberFormat="1" applyFont="1" applyFill="1" applyBorder="1" applyAlignment="1" applyProtection="1">
      <alignment vertical="top" wrapText="1"/>
      <protection locked="0"/>
    </xf>
    <xf numFmtId="165" fontId="108" fillId="0" borderId="9" xfId="4" applyNumberFormat="1" applyFont="1" applyFill="1" applyBorder="1" applyAlignment="1" applyProtection="1">
      <alignment vertical="top" wrapText="1"/>
      <protection locked="0"/>
    </xf>
    <xf numFmtId="165" fontId="11" fillId="0" borderId="9" xfId="4" applyNumberFormat="1" applyFont="1" applyFill="1" applyBorder="1" applyAlignment="1" applyProtection="1">
      <alignment vertical="top" wrapText="1"/>
      <protection locked="0"/>
    </xf>
    <xf numFmtId="3" fontId="109" fillId="0" borderId="9" xfId="2" applyNumberFormat="1" applyFont="1" applyBorder="1" applyAlignment="1" applyProtection="1">
      <alignment vertical="top" wrapText="1"/>
      <protection locked="0"/>
    </xf>
    <xf numFmtId="3" fontId="110" fillId="0" borderId="9" xfId="2" applyNumberFormat="1" applyFont="1" applyBorder="1" applyAlignment="1" applyProtection="1">
      <alignment vertical="top" wrapText="1"/>
      <protection locked="0"/>
    </xf>
    <xf numFmtId="3" fontId="11" fillId="0" borderId="9" xfId="0" applyNumberFormat="1" applyFont="1" applyBorder="1" applyAlignment="1" applyProtection="1">
      <alignment vertical="top" wrapText="1"/>
      <protection locked="0"/>
    </xf>
    <xf numFmtId="3" fontId="108" fillId="0" borderId="9" xfId="0" applyNumberFormat="1" applyFont="1" applyBorder="1" applyAlignment="1" applyProtection="1">
      <alignment vertical="top" wrapText="1"/>
      <protection locked="0"/>
    </xf>
    <xf numFmtId="3" fontId="109" fillId="0" borderId="9" xfId="2" quotePrefix="1" applyNumberFormat="1" applyFont="1" applyBorder="1" applyAlignment="1" applyProtection="1">
      <alignment vertical="top" wrapText="1"/>
      <protection locked="0"/>
    </xf>
    <xf numFmtId="3" fontId="11" fillId="0" borderId="9" xfId="2" applyNumberFormat="1" applyFont="1" applyBorder="1" applyAlignment="1" applyProtection="1">
      <alignment vertical="top" wrapText="1"/>
      <protection locked="0"/>
    </xf>
    <xf numFmtId="3" fontId="25" fillId="10" borderId="9" xfId="0" applyNumberFormat="1" applyFont="1" applyFill="1" applyBorder="1" applyAlignment="1" applyProtection="1">
      <alignment vertical="top" wrapText="1"/>
      <protection locked="0"/>
    </xf>
    <xf numFmtId="3" fontId="109" fillId="0" borderId="9" xfId="0" applyNumberFormat="1" applyFont="1" applyBorder="1" applyAlignment="1" applyProtection="1">
      <alignment vertical="top" wrapText="1"/>
      <protection locked="0"/>
    </xf>
    <xf numFmtId="3" fontId="6" fillId="10" borderId="9" xfId="0" applyNumberFormat="1" applyFont="1" applyFill="1" applyBorder="1" applyAlignment="1" applyProtection="1">
      <alignment vertical="center" wrapText="1"/>
      <protection locked="0"/>
    </xf>
    <xf numFmtId="3" fontId="111" fillId="0" borderId="9" xfId="0" applyNumberFormat="1" applyFont="1" applyBorder="1" applyAlignment="1" applyProtection="1">
      <alignment vertical="top" wrapText="1"/>
      <protection locked="0"/>
    </xf>
    <xf numFmtId="165" fontId="33" fillId="0" borderId="45" xfId="4" applyNumberFormat="1" applyFont="1" applyFill="1" applyBorder="1" applyAlignment="1" applyProtection="1">
      <alignment horizontal="center" vertical="top" wrapText="1"/>
      <protection locked="0"/>
    </xf>
    <xf numFmtId="3" fontId="110" fillId="0" borderId="4" xfId="0" applyNumberFormat="1" applyFont="1" applyBorder="1" applyAlignment="1" applyProtection="1">
      <alignment vertical="top" wrapText="1"/>
      <protection locked="0"/>
    </xf>
    <xf numFmtId="3" fontId="110" fillId="0" borderId="9" xfId="0" applyNumberFormat="1" applyFont="1" applyBorder="1" applyAlignment="1" applyProtection="1">
      <alignment vertical="top" wrapText="1"/>
      <protection locked="0"/>
    </xf>
    <xf numFmtId="3" fontId="111" fillId="0" borderId="9" xfId="2" applyNumberFormat="1" applyFont="1" applyBorder="1" applyAlignment="1" applyProtection="1">
      <alignment vertical="top" wrapText="1"/>
      <protection locked="0"/>
    </xf>
    <xf numFmtId="3" fontId="39" fillId="0" borderId="9" xfId="0" applyNumberFormat="1" applyFont="1" applyBorder="1" applyAlignment="1" applyProtection="1">
      <alignment vertical="top" wrapText="1"/>
      <protection locked="0"/>
    </xf>
    <xf numFmtId="3" fontId="11" fillId="0" borderId="9" xfId="0" applyNumberFormat="1" applyFont="1" applyBorder="1" applyProtection="1">
      <protection locked="0"/>
    </xf>
    <xf numFmtId="0" fontId="112" fillId="0" borderId="9" xfId="0" applyFont="1" applyBorder="1" applyProtection="1">
      <protection locked="0"/>
    </xf>
    <xf numFmtId="165" fontId="8" fillId="0" borderId="9" xfId="4" quotePrefix="1" applyNumberFormat="1" applyFont="1" applyFill="1" applyBorder="1" applyAlignment="1" applyProtection="1">
      <alignment horizontal="left" indent="1"/>
      <protection locked="0"/>
    </xf>
    <xf numFmtId="165" fontId="8" fillId="0" borderId="9" xfId="4" quotePrefix="1" applyNumberFormat="1" applyFont="1" applyFill="1" applyBorder="1" applyAlignment="1" applyProtection="1">
      <alignment horizontal="left" vertical="center"/>
      <protection locked="0"/>
    </xf>
    <xf numFmtId="165" fontId="20" fillId="0" borderId="11" xfId="0" quotePrefix="1" applyNumberFormat="1" applyFont="1" applyBorder="1" applyAlignment="1" applyProtection="1">
      <alignment horizontal="right"/>
      <protection locked="0"/>
    </xf>
    <xf numFmtId="165" fontId="20" fillId="0" borderId="9" xfId="0" quotePrefix="1" applyNumberFormat="1" applyFont="1" applyBorder="1" applyAlignment="1" applyProtection="1">
      <alignment horizontal="right"/>
      <protection locked="0"/>
    </xf>
    <xf numFmtId="3" fontId="20" fillId="0" borderId="11" xfId="0" quotePrefix="1" applyNumberFormat="1" applyFont="1" applyBorder="1" applyProtection="1">
      <protection locked="0"/>
    </xf>
    <xf numFmtId="3" fontId="20" fillId="0" borderId="9" xfId="0" quotePrefix="1" applyNumberFormat="1" applyFont="1" applyBorder="1" applyProtection="1">
      <protection locked="0"/>
    </xf>
    <xf numFmtId="165" fontId="11" fillId="0" borderId="9" xfId="5" quotePrefix="1" applyNumberFormat="1" applyFont="1" applyFill="1" applyBorder="1" applyAlignment="1" applyProtection="1">
      <alignment horizontal="left" vertical="center"/>
      <protection locked="0"/>
    </xf>
    <xf numFmtId="165" fontId="20" fillId="0" borderId="11" xfId="0" quotePrefix="1" applyNumberFormat="1" applyFont="1" applyBorder="1" applyAlignment="1" applyProtection="1">
      <alignment horizontal="right" vertical="center"/>
      <protection locked="0"/>
    </xf>
    <xf numFmtId="165" fontId="20" fillId="0" borderId="9" xfId="0" quotePrefix="1" applyNumberFormat="1" applyFont="1" applyBorder="1" applyAlignment="1" applyProtection="1">
      <alignment horizontal="right" vertical="center"/>
      <protection locked="0"/>
    </xf>
    <xf numFmtId="3" fontId="20" fillId="0" borderId="9" xfId="0" quotePrefix="1" applyNumberFormat="1" applyFont="1" applyBorder="1" applyAlignment="1" applyProtection="1">
      <alignment horizontal="right"/>
      <protection locked="0"/>
    </xf>
    <xf numFmtId="165" fontId="8" fillId="0" borderId="9" xfId="5" quotePrefix="1" applyNumberFormat="1" applyFont="1" applyFill="1" applyBorder="1" applyAlignment="1" applyProtection="1">
      <alignment horizontal="left" indent="1"/>
      <protection locked="0"/>
    </xf>
    <xf numFmtId="165" fontId="11" fillId="0" borderId="9" xfId="5" applyNumberFormat="1" applyFont="1" applyFill="1" applyBorder="1" applyAlignment="1" applyProtection="1">
      <alignment horizontal="left"/>
      <protection locked="0"/>
    </xf>
    <xf numFmtId="165" fontId="11" fillId="0" borderId="9" xfId="4" applyNumberFormat="1" applyFont="1" applyFill="1" applyBorder="1" applyAlignment="1" applyProtection="1">
      <alignment horizontal="left"/>
      <protection locked="0"/>
    </xf>
    <xf numFmtId="165" fontId="11" fillId="0" borderId="9" xfId="4" applyNumberFormat="1" applyFont="1" applyFill="1" applyBorder="1" applyAlignment="1" applyProtection="1">
      <protection locked="0"/>
    </xf>
    <xf numFmtId="165" fontId="11" fillId="0" borderId="9" xfId="5" applyNumberFormat="1" applyFont="1" applyFill="1" applyBorder="1" applyAlignment="1" applyProtection="1">
      <protection locked="0"/>
    </xf>
    <xf numFmtId="165" fontId="11" fillId="11" borderId="9" xfId="5" applyNumberFormat="1" applyFont="1" applyFill="1" applyBorder="1" applyAlignment="1" applyProtection="1">
      <protection locked="0"/>
    </xf>
    <xf numFmtId="0" fontId="39" fillId="0" borderId="9" xfId="2" applyFont="1" applyBorder="1" applyAlignment="1" applyProtection="1">
      <alignment horizontal="left" indent="1"/>
      <protection locked="0"/>
    </xf>
    <xf numFmtId="0" fontId="75" fillId="0" borderId="50" xfId="10" applyFont="1" applyBorder="1" applyAlignment="1">
      <alignment horizontal="center" vertical="center" wrapText="1"/>
    </xf>
    <xf numFmtId="170" fontId="75" fillId="0" borderId="50" xfId="10" applyNumberFormat="1" applyFont="1" applyBorder="1" applyAlignment="1">
      <alignment horizontal="center" vertical="center" wrapText="1"/>
    </xf>
    <xf numFmtId="14" fontId="75" fillId="0" borderId="50" xfId="10" applyNumberFormat="1" applyFont="1" applyBorder="1" applyAlignment="1">
      <alignment horizontal="center" vertical="center" wrapText="1"/>
    </xf>
    <xf numFmtId="3" fontId="75" fillId="0" borderId="50" xfId="10" applyNumberFormat="1" applyFont="1" applyBorder="1" applyAlignment="1" applyProtection="1">
      <alignment horizontal="center" vertical="center" wrapText="1"/>
      <protection hidden="1"/>
    </xf>
    <xf numFmtId="0" fontId="10" fillId="0" borderId="50" xfId="10" applyFont="1" applyBorder="1"/>
    <xf numFmtId="3" fontId="85" fillId="0" borderId="50" xfId="10" applyNumberFormat="1" applyFont="1" applyBorder="1" applyProtection="1">
      <protection hidden="1"/>
    </xf>
    <xf numFmtId="170" fontId="90" fillId="0" borderId="56" xfId="3" applyNumberFormat="1" applyFont="1" applyBorder="1" applyAlignment="1">
      <alignment horizontal="center" vertical="center"/>
    </xf>
    <xf numFmtId="170" fontId="90" fillId="0" borderId="59" xfId="3" applyNumberFormat="1" applyFont="1" applyBorder="1" applyAlignment="1">
      <alignment horizontal="center" vertical="center"/>
    </xf>
    <xf numFmtId="0" fontId="104" fillId="0" borderId="46" xfId="13" applyFont="1" applyBorder="1" applyAlignment="1">
      <alignment horizontal="center" vertical="top"/>
    </xf>
    <xf numFmtId="0" fontId="81" fillId="0" borderId="46" xfId="13" applyFont="1" applyBorder="1" applyAlignment="1">
      <alignment vertical="top"/>
    </xf>
    <xf numFmtId="0" fontId="81" fillId="0" borderId="46" xfId="13" applyFont="1" applyBorder="1" applyAlignment="1">
      <alignment horizontal="center" vertical="top" wrapText="1"/>
    </xf>
    <xf numFmtId="16" fontId="1" fillId="9" borderId="46" xfId="13" applyNumberFormat="1" applyFont="1" applyFill="1" applyBorder="1" applyAlignment="1">
      <alignment horizontal="centerContinuous" vertical="center"/>
    </xf>
    <xf numFmtId="174" fontId="81" fillId="0" borderId="46" xfId="14" applyNumberFormat="1" applyFont="1" applyBorder="1" applyAlignment="1">
      <alignment horizontal="center" vertical="center"/>
    </xf>
    <xf numFmtId="0" fontId="103" fillId="0" borderId="46" xfId="13" applyFont="1" applyBorder="1"/>
    <xf numFmtId="0" fontId="81" fillId="0" borderId="46" xfId="13" applyFont="1" applyBorder="1" applyAlignment="1">
      <alignment vertical="top" wrapText="1"/>
    </xf>
    <xf numFmtId="0" fontId="1" fillId="0" borderId="46" xfId="13" applyFont="1" applyBorder="1" applyAlignment="1">
      <alignment horizontal="center" vertical="top" wrapText="1"/>
    </xf>
    <xf numFmtId="174" fontId="81" fillId="0" borderId="46" xfId="14" applyNumberFormat="1" applyFont="1" applyBorder="1" applyAlignment="1">
      <alignment horizontal="center" vertical="top"/>
    </xf>
    <xf numFmtId="0" fontId="1" fillId="0" borderId="47" xfId="13" applyFont="1" applyBorder="1" applyAlignment="1">
      <alignment horizontal="center"/>
    </xf>
    <xf numFmtId="2" fontId="2" fillId="0" borderId="47" xfId="13" applyNumberFormat="1" applyFont="1" applyBorder="1"/>
    <xf numFmtId="2" fontId="1" fillId="0" borderId="47" xfId="13" applyNumberFormat="1" applyFont="1" applyBorder="1"/>
    <xf numFmtId="3" fontId="2" fillId="0" borderId="47" xfId="13" applyNumberFormat="1" applyFont="1" applyBorder="1" applyAlignment="1">
      <alignment horizontal="left"/>
    </xf>
    <xf numFmtId="3" fontId="1" fillId="0" borderId="47" xfId="13" quotePrefix="1" applyNumberFormat="1" applyFont="1" applyBorder="1"/>
    <xf numFmtId="174" fontId="1" fillId="0" borderId="47" xfId="14" applyNumberFormat="1" applyFont="1" applyBorder="1"/>
    <xf numFmtId="3" fontId="1" fillId="0" borderId="47" xfId="13" applyNumberFormat="1" applyFont="1" applyBorder="1"/>
    <xf numFmtId="3" fontId="2" fillId="0" borderId="47" xfId="13" quotePrefix="1" applyNumberFormat="1" applyFont="1" applyBorder="1" applyAlignment="1">
      <alignment horizontal="left"/>
    </xf>
    <xf numFmtId="0" fontId="103" fillId="0" borderId="46" xfId="13" applyFont="1" applyBorder="1" applyAlignment="1">
      <alignment horizontal="center"/>
    </xf>
    <xf numFmtId="174" fontId="1" fillId="0" borderId="46" xfId="14" applyNumberFormat="1" applyFont="1" applyBorder="1"/>
    <xf numFmtId="0" fontId="1" fillId="0" borderId="46" xfId="13" applyFont="1" applyBorder="1"/>
    <xf numFmtId="0" fontId="2" fillId="0" borderId="47" xfId="13" applyFont="1" applyBorder="1" applyAlignment="1">
      <alignment horizontal="left"/>
    </xf>
    <xf numFmtId="0" fontId="1" fillId="0" borderId="47" xfId="13" applyFont="1" applyBorder="1"/>
    <xf numFmtId="0" fontId="1" fillId="0" borderId="47" xfId="13" applyFont="1" applyBorder="1" applyAlignment="1">
      <alignment horizontal="left"/>
    </xf>
    <xf numFmtId="0" fontId="2" fillId="0" borderId="47" xfId="13" applyFont="1" applyBorder="1"/>
    <xf numFmtId="0" fontId="2" fillId="0" borderId="48" xfId="13" applyFont="1" applyBorder="1"/>
    <xf numFmtId="2" fontId="1" fillId="0" borderId="48" xfId="13" applyNumberFormat="1" applyFont="1" applyBorder="1"/>
    <xf numFmtId="0" fontId="81" fillId="0" borderId="46" xfId="13" applyFont="1" applyBorder="1" applyAlignment="1">
      <alignment horizontal="center"/>
    </xf>
    <xf numFmtId="0" fontId="81" fillId="0" borderId="46" xfId="13" applyFont="1" applyBorder="1"/>
    <xf numFmtId="0" fontId="104" fillId="0" borderId="47" xfId="13" applyFont="1" applyBorder="1" applyAlignment="1">
      <alignment horizontal="center"/>
    </xf>
    <xf numFmtId="0" fontId="1" fillId="0" borderId="47" xfId="13" applyFont="1" applyBorder="1" applyAlignment="1">
      <alignment horizontal="left" vertical="center"/>
    </xf>
    <xf numFmtId="0" fontId="103" fillId="0" borderId="47" xfId="13" applyFont="1" applyBorder="1" applyAlignment="1">
      <alignment horizontal="center"/>
    </xf>
    <xf numFmtId="0" fontId="103" fillId="0" borderId="47" xfId="13" applyFont="1" applyBorder="1"/>
    <xf numFmtId="0" fontId="104" fillId="0" borderId="47" xfId="13" applyFont="1" applyBorder="1"/>
    <xf numFmtId="16" fontId="1" fillId="9" borderId="46" xfId="13" applyNumberFormat="1" applyFont="1" applyFill="1" applyBorder="1" applyAlignment="1">
      <alignment horizontal="centerContinuous"/>
    </xf>
    <xf numFmtId="0" fontId="2" fillId="0" borderId="47" xfId="13" applyFont="1" applyBorder="1" applyAlignment="1">
      <alignment horizontal="center"/>
    </xf>
    <xf numFmtId="3" fontId="1" fillId="0" borderId="48" xfId="13" applyNumberFormat="1" applyFont="1" applyBorder="1"/>
    <xf numFmtId="0" fontId="113" fillId="0" borderId="0" xfId="0" applyFont="1" applyAlignment="1">
      <alignment horizontal="center" vertical="center"/>
    </xf>
    <xf numFmtId="0" fontId="113" fillId="12" borderId="46" xfId="0" applyFont="1" applyFill="1" applyBorder="1" applyAlignment="1">
      <alignment horizontal="center" vertical="center"/>
    </xf>
    <xf numFmtId="0" fontId="113" fillId="0" borderId="36" xfId="0" applyFont="1" applyBorder="1" applyAlignment="1">
      <alignment horizontal="center" vertical="center" wrapText="1"/>
    </xf>
    <xf numFmtId="0" fontId="113" fillId="0" borderId="29" xfId="0" applyFont="1" applyBorder="1" applyAlignment="1">
      <alignment horizontal="center" vertical="center"/>
    </xf>
    <xf numFmtId="0" fontId="113" fillId="0" borderId="36" xfId="0" applyFont="1" applyBorder="1" applyAlignment="1">
      <alignment horizontal="center" vertical="center"/>
    </xf>
    <xf numFmtId="3" fontId="113" fillId="0" borderId="29" xfId="0" applyNumberFormat="1" applyFont="1" applyBorder="1" applyAlignment="1">
      <alignment horizontal="center" vertical="center"/>
    </xf>
    <xf numFmtId="0" fontId="113" fillId="0" borderId="47" xfId="0" applyFont="1" applyBorder="1" applyAlignment="1">
      <alignment horizontal="center" vertical="center"/>
    </xf>
    <xf numFmtId="0" fontId="113" fillId="0" borderId="37" xfId="0" applyFont="1" applyBorder="1" applyAlignment="1">
      <alignment horizontal="center" vertical="center"/>
    </xf>
    <xf numFmtId="0" fontId="113" fillId="0" borderId="33" xfId="0" applyFont="1" applyBorder="1" applyAlignment="1">
      <alignment horizontal="center" vertical="center"/>
    </xf>
    <xf numFmtId="0" fontId="113" fillId="0" borderId="31" xfId="0" applyFont="1" applyBorder="1" applyAlignment="1">
      <alignment horizontal="center" vertical="center"/>
    </xf>
    <xf numFmtId="0" fontId="113" fillId="0" borderId="46" xfId="0" applyFont="1" applyBorder="1" applyAlignment="1">
      <alignment horizontal="center" vertical="center"/>
    </xf>
    <xf numFmtId="0" fontId="113" fillId="0" borderId="48" xfId="0" applyFont="1" applyBorder="1" applyAlignment="1">
      <alignment horizontal="center" vertical="center"/>
    </xf>
    <xf numFmtId="0" fontId="113" fillId="0" borderId="39" xfId="0" applyFont="1" applyBorder="1" applyAlignment="1">
      <alignment horizontal="center" vertical="center"/>
    </xf>
    <xf numFmtId="3" fontId="113" fillId="0" borderId="48" xfId="0" applyNumberFormat="1" applyFont="1" applyBorder="1" applyAlignment="1">
      <alignment horizontal="center" vertical="center"/>
    </xf>
    <xf numFmtId="0" fontId="113" fillId="0" borderId="49" xfId="0" applyFont="1" applyBorder="1" applyAlignment="1">
      <alignment horizontal="center" vertical="center"/>
    </xf>
    <xf numFmtId="0" fontId="113" fillId="0" borderId="35" xfId="0" applyFont="1" applyBorder="1" applyAlignment="1">
      <alignment horizontal="center" vertical="center"/>
    </xf>
    <xf numFmtId="0" fontId="1" fillId="0" borderId="0" xfId="13" applyFont="1" applyAlignment="1">
      <alignment horizontal="center" vertical="center"/>
    </xf>
    <xf numFmtId="0" fontId="113" fillId="12" borderId="0" xfId="0" applyFont="1" applyFill="1" applyAlignment="1">
      <alignment horizontal="centerContinuous" vertical="center"/>
    </xf>
    <xf numFmtId="0" fontId="113" fillId="0" borderId="60" xfId="0" applyFont="1" applyBorder="1"/>
    <xf numFmtId="3" fontId="113" fillId="0" borderId="60" xfId="0" applyNumberFormat="1" applyFont="1" applyBorder="1"/>
    <xf numFmtId="3" fontId="2" fillId="0" borderId="47" xfId="0" applyNumberFormat="1" applyFont="1" applyBorder="1"/>
    <xf numFmtId="0" fontId="2" fillId="0" borderId="61" xfId="0" applyFont="1" applyBorder="1"/>
    <xf numFmtId="3" fontId="2" fillId="0" borderId="61" xfId="0" applyNumberFormat="1" applyFont="1" applyBorder="1"/>
    <xf numFmtId="0" fontId="113" fillId="0" borderId="62" xfId="0" applyFont="1" applyBorder="1"/>
    <xf numFmtId="3" fontId="113" fillId="0" borderId="62" xfId="0" applyNumberFormat="1" applyFont="1" applyBorder="1"/>
    <xf numFmtId="0" fontId="113" fillId="0" borderId="47" xfId="0" applyFont="1" applyBorder="1"/>
    <xf numFmtId="0" fontId="113" fillId="0" borderId="61" xfId="0" applyFont="1" applyBorder="1"/>
    <xf numFmtId="3" fontId="113" fillId="0" borderId="61" xfId="0" applyNumberFormat="1" applyFont="1" applyBorder="1"/>
    <xf numFmtId="0" fontId="113" fillId="0" borderId="29" xfId="0" applyFont="1" applyBorder="1"/>
    <xf numFmtId="0" fontId="113" fillId="0" borderId="48" xfId="0" applyFont="1" applyBorder="1"/>
    <xf numFmtId="3" fontId="113" fillId="0" borderId="48" xfId="0" applyNumberFormat="1" applyFont="1" applyBorder="1"/>
    <xf numFmtId="3" fontId="113" fillId="0" borderId="47" xfId="0" applyNumberFormat="1" applyFont="1" applyBorder="1"/>
    <xf numFmtId="165" fontId="1" fillId="0" borderId="35" xfId="13" applyNumberFormat="1" applyFont="1" applyBorder="1" applyAlignment="1">
      <alignment horizontal="center"/>
    </xf>
    <xf numFmtId="165" fontId="2" fillId="0" borderId="35" xfId="13" applyNumberFormat="1" applyFont="1" applyBorder="1"/>
    <xf numFmtId="165" fontId="1" fillId="0" borderId="32" xfId="13" applyNumberFormat="1" applyFont="1" applyBorder="1"/>
    <xf numFmtId="165" fontId="1" fillId="0" borderId="35" xfId="14" applyNumberFormat="1" applyFont="1" applyBorder="1"/>
    <xf numFmtId="165" fontId="1" fillId="0" borderId="35" xfId="13" applyNumberFormat="1" applyFont="1" applyBorder="1"/>
    <xf numFmtId="165" fontId="113" fillId="0" borderId="36" xfId="0" applyNumberFormat="1" applyFont="1" applyBorder="1" applyAlignment="1">
      <alignment horizontal="center" vertical="center"/>
    </xf>
    <xf numFmtId="165" fontId="1" fillId="0" borderId="0" xfId="14" applyNumberFormat="1" applyFont="1"/>
    <xf numFmtId="165" fontId="113" fillId="0" borderId="29" xfId="0" applyNumberFormat="1" applyFont="1" applyBorder="1" applyAlignment="1">
      <alignment horizontal="center" vertical="center"/>
    </xf>
    <xf numFmtId="165" fontId="1" fillId="0" borderId="31" xfId="13" applyNumberFormat="1" applyFont="1" applyBorder="1"/>
    <xf numFmtId="3" fontId="113" fillId="0" borderId="31" xfId="0" applyNumberFormat="1" applyFont="1" applyBorder="1"/>
    <xf numFmtId="3" fontId="113" fillId="0" borderId="30" xfId="0" applyNumberFormat="1" applyFont="1" applyBorder="1"/>
    <xf numFmtId="0" fontId="113" fillId="0" borderId="31" xfId="0" applyFont="1" applyBorder="1"/>
    <xf numFmtId="0" fontId="113" fillId="0" borderId="30" xfId="0" applyFont="1" applyBorder="1"/>
    <xf numFmtId="0" fontId="113" fillId="0" borderId="33" xfId="0" applyFont="1" applyBorder="1"/>
    <xf numFmtId="0" fontId="2" fillId="0" borderId="30" xfId="0" applyFont="1" applyBorder="1"/>
    <xf numFmtId="0" fontId="113" fillId="0" borderId="37" xfId="0" applyFont="1" applyBorder="1"/>
    <xf numFmtId="0" fontId="104" fillId="0" borderId="61" xfId="13" applyFont="1" applyBorder="1" applyAlignment="1">
      <alignment horizontal="center"/>
    </xf>
    <xf numFmtId="0" fontId="1" fillId="0" borderId="63" xfId="13" applyFont="1" applyBorder="1"/>
    <xf numFmtId="0" fontId="59" fillId="0" borderId="0" xfId="3" applyFont="1" applyAlignment="1">
      <alignment horizontal="center"/>
    </xf>
    <xf numFmtId="0" fontId="60" fillId="0" borderId="0" xfId="3" applyFont="1" applyAlignment="1">
      <alignment horizontal="center"/>
    </xf>
    <xf numFmtId="0" fontId="20" fillId="0" borderId="0" xfId="3" applyFont="1" applyAlignment="1">
      <alignment horizontal="center"/>
    </xf>
    <xf numFmtId="0" fontId="61" fillId="0" borderId="0" xfId="3" applyFont="1" applyAlignment="1">
      <alignment horizontal="center"/>
    </xf>
    <xf numFmtId="0" fontId="64" fillId="0" borderId="0" xfId="3" applyFont="1" applyAlignment="1">
      <alignment horizontal="center"/>
    </xf>
    <xf numFmtId="0" fontId="67" fillId="0" borderId="0" xfId="3" applyFont="1" applyAlignment="1">
      <alignment horizontal="center"/>
    </xf>
    <xf numFmtId="0" fontId="78" fillId="0" borderId="0" xfId="9" applyFont="1" applyAlignment="1">
      <alignment horizontal="center"/>
    </xf>
    <xf numFmtId="0" fontId="79" fillId="0" borderId="0" xfId="9" applyFont="1" applyAlignment="1">
      <alignment horizontal="center"/>
    </xf>
    <xf numFmtId="0" fontId="16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165" fontId="16" fillId="0" borderId="0" xfId="12" applyNumberFormat="1" applyFont="1" applyAlignment="1">
      <alignment horizontal="center"/>
    </xf>
    <xf numFmtId="0" fontId="91" fillId="0" borderId="0" xfId="3" applyFont="1" applyAlignment="1">
      <alignment horizontal="center"/>
    </xf>
    <xf numFmtId="0" fontId="79" fillId="0" borderId="0" xfId="3" applyFont="1" applyAlignment="1">
      <alignment horizontal="center"/>
    </xf>
    <xf numFmtId="0" fontId="90" fillId="0" borderId="51" xfId="3" applyFont="1" applyBorder="1" applyAlignment="1">
      <alignment horizontal="center" vertical="center" wrapText="1"/>
    </xf>
    <xf numFmtId="0" fontId="90" fillId="0" borderId="52" xfId="3" applyFont="1" applyBorder="1" applyAlignment="1">
      <alignment horizontal="center" vertical="center" wrapText="1"/>
    </xf>
    <xf numFmtId="0" fontId="90" fillId="0" borderId="53" xfId="3" applyFont="1" applyBorder="1" applyAlignment="1">
      <alignment horizontal="center" vertical="center" wrapText="1"/>
    </xf>
    <xf numFmtId="0" fontId="90" fillId="0" borderId="18" xfId="3" applyFont="1" applyBorder="1" applyAlignment="1">
      <alignment horizontal="center" vertical="center" wrapText="1"/>
    </xf>
    <xf numFmtId="0" fontId="90" fillId="0" borderId="19" xfId="3" applyFont="1" applyBorder="1" applyAlignment="1">
      <alignment horizontal="center" vertical="center" wrapText="1"/>
    </xf>
    <xf numFmtId="0" fontId="90" fillId="0" borderId="20" xfId="3" applyFont="1" applyBorder="1" applyAlignment="1">
      <alignment horizontal="center" vertical="center" wrapText="1"/>
    </xf>
    <xf numFmtId="1" fontId="90" fillId="0" borderId="54" xfId="3" applyNumberFormat="1" applyFont="1" applyBorder="1" applyAlignment="1">
      <alignment horizontal="center" vertical="center"/>
    </xf>
    <xf numFmtId="1" fontId="90" fillId="0" borderId="55" xfId="3" applyNumberFormat="1" applyFont="1" applyBorder="1" applyAlignment="1">
      <alignment horizontal="center" vertical="center"/>
    </xf>
    <xf numFmtId="170" fontId="90" fillId="0" borderId="54" xfId="3" applyNumberFormat="1" applyFont="1" applyBorder="1" applyAlignment="1">
      <alignment horizontal="center" vertical="center"/>
    </xf>
    <xf numFmtId="170" fontId="90" fillId="0" borderId="55" xfId="3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10" fillId="0" borderId="24" xfId="3" applyFont="1" applyBorder="1" applyAlignment="1">
      <alignment horizontal="left" vertical="center" wrapText="1"/>
    </xf>
    <xf numFmtId="0" fontId="10" fillId="0" borderId="25" xfId="3" applyFont="1" applyBorder="1" applyAlignment="1">
      <alignment horizontal="left" vertical="center" wrapText="1"/>
    </xf>
    <xf numFmtId="0" fontId="87" fillId="0" borderId="0" xfId="3" applyFont="1" applyAlignment="1">
      <alignment horizontal="right"/>
    </xf>
    <xf numFmtId="0" fontId="22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80" fillId="0" borderId="0" xfId="3" applyFont="1" applyAlignment="1">
      <alignment horizontal="center"/>
    </xf>
    <xf numFmtId="0" fontId="90" fillId="0" borderId="0" xfId="3" applyFont="1" applyAlignment="1">
      <alignment horizontal="center"/>
    </xf>
    <xf numFmtId="0" fontId="90" fillId="0" borderId="56" xfId="3" applyFont="1" applyBorder="1" applyAlignment="1">
      <alignment horizontal="center" vertical="center" wrapText="1"/>
    </xf>
    <xf numFmtId="0" fontId="90" fillId="0" borderId="27" xfId="3" applyFont="1" applyBorder="1" applyAlignment="1">
      <alignment horizontal="center" vertical="center" wrapText="1"/>
    </xf>
    <xf numFmtId="0" fontId="87" fillId="0" borderId="0" xfId="3" applyFont="1" applyAlignment="1">
      <alignment horizontal="center"/>
    </xf>
    <xf numFmtId="170" fontId="22" fillId="0" borderId="0" xfId="3" applyNumberFormat="1" applyFont="1" applyAlignment="1">
      <alignment horizontal="center"/>
    </xf>
  </cellXfs>
  <cellStyles count="16">
    <cellStyle name="Comma 2" xfId="8" xr:uid="{23313689-B7B7-48D6-93FB-C7082F6BFD5D}"/>
    <cellStyle name="Comma 3" xfId="6" xr:uid="{FFE299F4-C14D-4A21-A53E-762258601F2D}"/>
    <cellStyle name="Comma 3 2" xfId="14" xr:uid="{0AC0DC86-68C2-4F4B-912D-72E99FC76709}"/>
    <cellStyle name="Comma 4" xfId="12" xr:uid="{C403CEAB-DC32-4092-A399-112BE526181D}"/>
    <cellStyle name="Comma 5" xfId="5" xr:uid="{A9CE92CB-BC12-4E08-B5C6-5F2C871E20FB}"/>
    <cellStyle name="Comma 5 2" xfId="4" xr:uid="{FB367F04-4E16-49DD-9AB5-2991926FD350}"/>
    <cellStyle name="Normal" xfId="0" builtinId="0"/>
    <cellStyle name="Normal 2" xfId="2" xr:uid="{C0D44816-FEB8-4C73-8FAD-1271DCDD50B5}"/>
    <cellStyle name="Normal 2 2" xfId="15" xr:uid="{026D62AF-8094-49AF-93AE-677F06A65C45}"/>
    <cellStyle name="Normal 3" xfId="3" xr:uid="{7817CB01-0B51-46EB-BB87-8963DF91615A}"/>
    <cellStyle name="Normal 4" xfId="13" xr:uid="{51E39C98-955B-414B-83AB-FDC6160F25F0}"/>
    <cellStyle name="Normal_2010_09_BCTC_CTCP" xfId="9" xr:uid="{F972E5A3-5160-4A50-A112-4F44ACA30B7D}"/>
    <cellStyle name="Normal_2010_09_BCTC_CTCP 2" xfId="10" xr:uid="{F8BDD4E1-0FD0-4D9F-821A-B85DA853446D}"/>
    <cellStyle name="Percent" xfId="1" builtinId="5"/>
    <cellStyle name="Percent 2" xfId="11" xr:uid="{0FB84C75-2FAA-4AB7-8FC8-9CE72AB1039F}"/>
    <cellStyle name="Percent 2 2" xfId="7" xr:uid="{92480176-D72B-46FF-B087-94704D20CC18}"/>
  </cellStyles>
  <dxfs count="3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bottom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00B0F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6" formatCode="#.##0"/>
      <protection locked="1" hidden="0"/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3" formatCode="#,##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protection locked="1" hidden="0"/>
    </dxf>
    <dxf>
      <protection locked="1" hidden="0"/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ova"/>
        <family val="2"/>
        <scheme val="none"/>
      </font>
      <numFmt numFmtId="168" formatCode="#,##0,,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/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/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/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161FB6-9F2D-466A-8026-D6D10CE98596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3BFAEAC8-4F63-4429-9259-2574E9FE9A44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27</xdr:row>
      <xdr:rowOff>0</xdr:rowOff>
    </xdr:to>
    <xdr:sp macro="" textlink="">
      <xdr:nvSpPr>
        <xdr:cNvPr id="4" name="AutoShape 2696">
          <a:extLst>
            <a:ext uri="{FF2B5EF4-FFF2-40B4-BE49-F238E27FC236}">
              <a16:creationId xmlns:a16="http://schemas.microsoft.com/office/drawing/2014/main" id="{1738D769-3F3C-4388-A0D9-A509B9895DA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476250</xdr:colOff>
      <xdr:row>16</xdr:row>
      <xdr:rowOff>66675</xdr:rowOff>
    </xdr:from>
    <xdr:to>
      <xdr:col>9</xdr:col>
      <xdr:colOff>371475</xdr:colOff>
      <xdr:row>26</xdr:row>
      <xdr:rowOff>180975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BBCDEFE1-28B9-4669-A749-D0AC9CD1CD17}"/>
            </a:ext>
          </a:extLst>
        </xdr:cNvPr>
        <xdr:cNvSpPr>
          <a:spLocks noChangeArrowheads="1"/>
        </xdr:cNvSpPr>
      </xdr:nvSpPr>
      <xdr:spPr bwMode="auto">
        <a:xfrm>
          <a:off x="476250" y="3400425"/>
          <a:ext cx="5381625" cy="2047875"/>
        </a:xfrm>
        <a:prstGeom prst="flowChartAlternateProcess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BÁO CÁO TÀI CHÍNH</a:t>
          </a:r>
        </a:p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endParaRPr lang="en-US" sz="24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 </a:t>
          </a: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37DCADBD-11E4-46DB-803E-9738B91AC18B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8EBDE48A-B09E-4FF6-8D02-DCF785D61B32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27</xdr:row>
      <xdr:rowOff>0</xdr:rowOff>
    </xdr:to>
    <xdr:sp macro="" textlink="">
      <xdr:nvSpPr>
        <xdr:cNvPr id="8" name="AutoShape 2696">
          <a:extLst>
            <a:ext uri="{FF2B5EF4-FFF2-40B4-BE49-F238E27FC236}">
              <a16:creationId xmlns:a16="http://schemas.microsoft.com/office/drawing/2014/main" id="{1EB8A76A-4403-416F-90EB-53EF03FA6FF4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133350</xdr:colOff>
      <xdr:row>0</xdr:row>
      <xdr:rowOff>161925</xdr:rowOff>
    </xdr:from>
    <xdr:to>
      <xdr:col>10</xdr:col>
      <xdr:colOff>476250</xdr:colOff>
      <xdr:row>4</xdr:row>
      <xdr:rowOff>361950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8246CD82-FECC-4C24-9585-07D15F800E9A}"/>
            </a:ext>
          </a:extLst>
        </xdr:cNvPr>
        <xdr:cNvSpPr txBox="1">
          <a:spLocks noChangeArrowheads="1"/>
        </xdr:cNvSpPr>
      </xdr:nvSpPr>
      <xdr:spPr bwMode="auto">
        <a:xfrm>
          <a:off x="1962150" y="161925"/>
          <a:ext cx="4391025" cy="1047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vi-VN" sz="1400" b="1" i="0" u="none" strike="noStrike" spc="-10" baseline="0">
              <a:solidFill>
                <a:srgbClr val="000080"/>
              </a:solidFill>
              <a:latin typeface="Arial"/>
              <a:cs typeface="Arial"/>
            </a:rPr>
            <a:t>CÔNG TY TNHH THU MUA PHẾ LIỆU KHÁNH NGA</a:t>
          </a:r>
          <a:endParaRPr lang="vi-VN" sz="1400" b="0" i="0" u="none" strike="noStrike" spc="-10" baseline="0">
            <a:solidFill>
              <a:srgbClr val="000080"/>
            </a:solidFill>
            <a:latin typeface="Microsoft Sans Serif"/>
            <a:cs typeface="Microsoft Sans Serif"/>
          </a:endParaRP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Địa chỉ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: </a:t>
          </a: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Mã số thuế:   </a:t>
          </a:r>
          <a:endParaRPr lang="en-US" sz="1000" b="0" i="0" u="none" strike="noStrike" baseline="0">
            <a:solidFill>
              <a:srgbClr val="000080"/>
            </a:solidFill>
            <a:latin typeface="Microsoft Sans Serif"/>
            <a:cs typeface="Microsoft Sans Serif"/>
          </a:endParaRP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 CE"/>
            </a:rPr>
            <a:t>Đ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iện thoại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		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 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– Fax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: 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 </a:t>
          </a: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Website: 		 – Email:  </a:t>
          </a:r>
          <a:endParaRPr lang="vi-VN" sz="1000" b="0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vi-VN" sz="1000" b="0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2</xdr:col>
      <xdr:colOff>9527</xdr:colOff>
      <xdr:row>21</xdr:row>
      <xdr:rowOff>142875</xdr:rowOff>
    </xdr:from>
    <xdr:to>
      <xdr:col>8</xdr:col>
      <xdr:colOff>266701</xdr:colOff>
      <xdr:row>25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A775E6D-B8DE-4924-8804-AD747D40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7" y="4381500"/>
          <a:ext cx="3914774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133351</xdr:colOff>
      <xdr:row>1</xdr:row>
      <xdr:rowOff>66677</xdr:rowOff>
    </xdr:from>
    <xdr:to>
      <xdr:col>3</xdr:col>
      <xdr:colOff>19050</xdr:colOff>
      <xdr:row>3</xdr:row>
      <xdr:rowOff>38101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EEA457B-1C4A-44D2-8CA1-FE37F4C1A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247652"/>
          <a:ext cx="1714499" cy="33337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49BAAD-AD3D-4762-8203-22B96B72F135}" name="Data_BS" displayName="Data_BS" ref="A3:BW129" totalsRowShown="0" headerRowDxfId="309" dataDxfId="308" headerRowCellStyle="Normal 2" dataCellStyle="Normal 2">
  <tableColumns count="75">
    <tableColumn id="1" xr3:uid="{A1558BD6-D5F3-4B7E-A4D7-F5B05F977781}" name="Index BS" dataDxfId="307" dataCellStyle="Normal 2"/>
    <tableColumn id="2" xr3:uid="{212BA77A-281C-4283-BA28-C3182EBC9579}" name="PHẦN I-BÁO CÁO TÌNH HÌNH TÀI CHÍNH" dataDxfId="306" dataCellStyle="Normal 2"/>
    <tableColumn id="3" xr3:uid="{A5789484-8289-4421-88CA-DA20B0B4D72D}" name="TenCongTyID" dataDxfId="305" dataCellStyle="Normal 2"/>
    <tableColumn id="4" xr3:uid="{C77C550F-2990-4651-8364-7E3E36FEFCB0}" name="T1.2021" dataDxfId="304" dataCellStyle="Normal 2"/>
    <tableColumn id="5" xr3:uid="{F0B75723-267C-48A7-A728-89FFE60706EA}" name="T02.2021" dataDxfId="303" dataCellStyle="Normal 2"/>
    <tableColumn id="6" xr3:uid="{ED59E0E7-247C-44D8-BD56-DB53F0B83957}" name="T03.2021" dataDxfId="302" dataCellStyle="Normal 2"/>
    <tableColumn id="7" xr3:uid="{BCD3F92D-74ED-4A1B-85F9-75FEBB24A5B0}" name="T04.2021" dataDxfId="301" dataCellStyle="Normal 2"/>
    <tableColumn id="8" xr3:uid="{EED8B156-01AE-49DD-B766-0805BCA4C5F0}" name="T05.2021" dataDxfId="300" dataCellStyle="Normal 2"/>
    <tableColumn id="9" xr3:uid="{5926D158-0808-4A28-9F3E-2A82640FD7D1}" name="T06.2021" dataDxfId="299" dataCellStyle="Normal 2"/>
    <tableColumn id="10" xr3:uid="{927E01A6-A27C-44C4-BA46-CC8540045234}" name="T07.2021" dataDxfId="298" dataCellStyle="Normal 2"/>
    <tableColumn id="11" xr3:uid="{4D5D142F-2321-4657-B685-683F255C91F7}" name="T08.2021" dataDxfId="297" dataCellStyle="Normal 2"/>
    <tableColumn id="12" xr3:uid="{96026E15-D02D-4BD3-94F6-668056803C77}" name="T09.2021" dataDxfId="296" dataCellStyle="Normal 2"/>
    <tableColumn id="13" xr3:uid="{BEA9B9BD-4C04-4B35-8B2D-2965BF4D2E42}" name="T10.2021" dataDxfId="295" dataCellStyle="Normal 2"/>
    <tableColumn id="14" xr3:uid="{8DF115B2-C9C4-4C83-AAFA-CB1E4433BB4E}" name="T11.2021" dataDxfId="294" dataCellStyle="Normal 2"/>
    <tableColumn id="15" xr3:uid="{627D33F9-3B12-48C0-A6D6-668C3020857F}" name="T12.2021" dataDxfId="293" dataCellStyle="Normal 2"/>
    <tableColumn id="16" xr3:uid="{5FA548B8-39A1-4A8E-AACE-8534D38CD42D}" name="T1.2022" dataDxfId="292" dataCellStyle="Normal 2"/>
    <tableColumn id="17" xr3:uid="{35664109-EE81-4438-B53C-17110A5B6A6B}" name="T02.2022" dataDxfId="291" dataCellStyle="Normal 2"/>
    <tableColumn id="18" xr3:uid="{AF68F743-2D97-4846-9CBD-B0FB93850764}" name="T03.2022" dataDxfId="290" dataCellStyle="Normal 2"/>
    <tableColumn id="19" xr3:uid="{67ABA78D-2FFF-4643-AD56-36E308B149FA}" name="T04.2022" dataDxfId="289" dataCellStyle="Normal 2"/>
    <tableColumn id="20" xr3:uid="{1B02E746-562A-42FC-9A31-F0484A09E798}" name="T05.2022" dataDxfId="288" dataCellStyle="Normal 2"/>
    <tableColumn id="21" xr3:uid="{8B2A634F-8968-41FA-9780-1B983D9B4F44}" name="T06.2022" dataDxfId="287" dataCellStyle="Normal 2"/>
    <tableColumn id="22" xr3:uid="{7E855B1B-12CE-4955-A15B-9503C7A6045B}" name="T07.2022" dataDxfId="286" dataCellStyle="Normal 2"/>
    <tableColumn id="23" xr3:uid="{3808DEAE-7202-42B4-A0AF-B094B6F2F562}" name="T08.2022" dataDxfId="285" dataCellStyle="Normal 2"/>
    <tableColumn id="24" xr3:uid="{EA047FF1-F9FE-41FA-87A0-14004114CF4F}" name="T09.2022" dataDxfId="284" dataCellStyle="Normal 2"/>
    <tableColumn id="25" xr3:uid="{74E17ADD-4028-43F6-85A3-20CEB422EB90}" name="T10.2022" dataDxfId="283" dataCellStyle="Normal 2"/>
    <tableColumn id="26" xr3:uid="{B6CAA9B8-D205-41C2-8558-A5AAE190D5A3}" name="T11.2022" dataDxfId="282" dataCellStyle="Normal 2"/>
    <tableColumn id="27" xr3:uid="{29E2EC10-589E-4236-BD6F-FE336457A0D6}" name="T12.2022" dataDxfId="281" dataCellStyle="Normal 2"/>
    <tableColumn id="28" xr3:uid="{FD8D0529-9618-4335-86A0-74325AB08981}" name="T1.2023" dataDxfId="280" dataCellStyle="Normal 2"/>
    <tableColumn id="29" xr3:uid="{B9F65C3F-6B8E-45B9-A30E-BF0AC2CB825B}" name="T02.2023" dataDxfId="279" dataCellStyle="Normal 2"/>
    <tableColumn id="30" xr3:uid="{21E6EA08-D4C9-447E-8D72-75FC0EF20916}" name="T03.2023" dataDxfId="278" dataCellStyle="Normal 2"/>
    <tableColumn id="31" xr3:uid="{FE211A8D-4EF7-4753-ADC3-7EDE935979C3}" name="T04.2023" dataDxfId="277" dataCellStyle="Normal 2"/>
    <tableColumn id="32" xr3:uid="{0A37F975-B93D-488C-8E0B-98DA03DF78D0}" name="T05.2023" dataDxfId="276" dataCellStyle="Normal 2"/>
    <tableColumn id="33" xr3:uid="{BFC46517-C3AD-42B2-95F4-65C82AADF267}" name="T06.2023" dataDxfId="275" dataCellStyle="Normal 2"/>
    <tableColumn id="34" xr3:uid="{E75C8A3A-FCFC-49C3-AC90-A8A17AB1C61D}" name="T07.2023" dataDxfId="274" dataCellStyle="Normal 2"/>
    <tableColumn id="35" xr3:uid="{BFBF190F-7FCA-4E93-87D0-996617DB8B2F}" name="T08.2023" dataDxfId="273" dataCellStyle="Normal 2"/>
    <tableColumn id="36" xr3:uid="{10B84A29-9E03-4C22-B9A8-DF5B1975F57A}" name="T09.2023" dataDxfId="272" dataCellStyle="Normal 2"/>
    <tableColumn id="37" xr3:uid="{E5DA8E9E-80A1-4010-ABF6-554B85502328}" name="T10.2023" dataDxfId="271" dataCellStyle="Normal 2"/>
    <tableColumn id="38" xr3:uid="{1AB106BC-6F22-41B5-BB87-7261AE2B523D}" name="T11.2023" dataDxfId="270" dataCellStyle="Normal 2"/>
    <tableColumn id="39" xr3:uid="{32C65034-2357-4007-8CA5-250A3AAB3C95}" name="T12.2023" dataDxfId="269" dataCellStyle="Normal 2"/>
    <tableColumn id="40" xr3:uid="{85E59338-23B2-4FE7-B116-7B481929F574}" name="T01.2024" dataDxfId="268" dataCellStyle="Normal 2"/>
    <tableColumn id="41" xr3:uid="{38C6B4D8-7FDB-4DE5-B608-ACDAF5606F13}" name="T02.2024" dataDxfId="267" dataCellStyle="Normal 2"/>
    <tableColumn id="42" xr3:uid="{130F76D3-5891-4F21-BB0C-93A574FB8887}" name="T03.2024" dataDxfId="266" dataCellStyle="Normal 2"/>
    <tableColumn id="43" xr3:uid="{052A0406-B84D-4A3E-94C0-FFF1C295825E}" name="T04.2024" dataDxfId="265" dataCellStyle="Normal 2"/>
    <tableColumn id="44" xr3:uid="{DCAAE67F-B6B1-429D-B44E-9153278E1E64}" name="T05.2024" dataDxfId="264" dataCellStyle="Normal 2"/>
    <tableColumn id="45" xr3:uid="{75DBB0F5-FDF7-4C07-9B3E-054541E3CA81}" name="T06.2024" dataDxfId="263" dataCellStyle="Normal 2"/>
    <tableColumn id="46" xr3:uid="{E2F8A015-F094-4E79-879E-FD24E987B040}" name="T07.2024" dataDxfId="262" dataCellStyle="Normal 2"/>
    <tableColumn id="47" xr3:uid="{8CDB1BE0-A3BD-41C4-8972-5AB09CA6B18C}" name="T08.2024" dataDxfId="261" dataCellStyle="Normal 2"/>
    <tableColumn id="48" xr3:uid="{19E6835F-004A-4F97-B5DE-4361E305391F}" name="T09.2024" dataDxfId="260" dataCellStyle="Normal 2"/>
    <tableColumn id="49" xr3:uid="{4CF5908F-ED70-4A8C-8ECE-81E918E1D5C1}" name="T10.2024" dataDxfId="259" dataCellStyle="Normal 2"/>
    <tableColumn id="50" xr3:uid="{D567A71B-0B07-4A1F-BAF6-04078A502254}" name="T11.2024" dataDxfId="258" dataCellStyle="Normal 2"/>
    <tableColumn id="51" xr3:uid="{E1C2B916-4B46-4E52-BA6F-41BE049C3C49}" name="T12.2024" dataDxfId="257" dataCellStyle="Normal 2"/>
    <tableColumn id="52" xr3:uid="{47E3A6AC-7E6A-4E86-BEEA-D53D8F42F88F}" name="T01.2025" dataDxfId="256" dataCellStyle="Normal 2"/>
    <tableColumn id="53" xr3:uid="{56A21C78-5351-4E66-867C-B6268ED1D376}" name="T02.2025" dataDxfId="255" dataCellStyle="Normal 2"/>
    <tableColumn id="54" xr3:uid="{E4C299E9-3AFB-4546-91E0-A842E1CDC74A}" name="T03.2025" dataDxfId="254" dataCellStyle="Normal 2"/>
    <tableColumn id="55" xr3:uid="{BE25B6F1-E689-474F-91B9-625F78EB7ADB}" name="T04.2025" dataDxfId="253" dataCellStyle="Normal 2"/>
    <tableColumn id="56" xr3:uid="{8C74325D-480E-4948-8A78-6928275B0591}" name="T05.2025" dataDxfId="252" dataCellStyle="Normal 2"/>
    <tableColumn id="57" xr3:uid="{67A0CC87-DC9A-45AC-AE8D-F677772F75E8}" name="T06.2025" dataDxfId="251" dataCellStyle="Normal 2"/>
    <tableColumn id="58" xr3:uid="{002777C5-1AB7-42F3-8E3D-775E9B996FFC}" name="T07.2025" dataDxfId="250" dataCellStyle="Normal 2"/>
    <tableColumn id="59" xr3:uid="{F9F7BD1B-BDC7-498F-B802-B634FC9AE437}" name="T08.2025" dataDxfId="249" dataCellStyle="Normal 2"/>
    <tableColumn id="60" xr3:uid="{A8A5AE38-9B0A-4996-A032-F8EA2F5ED0C5}" name="T09.2025" dataDxfId="248" dataCellStyle="Normal 2"/>
    <tableColumn id="61" xr3:uid="{B61E0698-D551-4826-B7BB-E57F9FB7B9D6}" name="T10.2025" dataDxfId="247" dataCellStyle="Normal 2"/>
    <tableColumn id="62" xr3:uid="{B72652A9-D170-4A95-ACE1-39BA349AE5CF}" name="T11.2025" dataDxfId="246" dataCellStyle="Normal 2"/>
    <tableColumn id="63" xr3:uid="{7342923F-A961-4F1C-B25E-816D1C87231B}" name="T12.2025" dataDxfId="245" dataCellStyle="Normal 2"/>
    <tableColumn id="64" xr3:uid="{135BB7EA-C8B2-477D-B410-707C0F5DD7A2}" name="T01.2026" dataDxfId="244" dataCellStyle="Normal 2"/>
    <tableColumn id="65" xr3:uid="{5FB2B76F-AA95-4891-9D48-B2DF131C03CC}" name="T02.2026" dataDxfId="243" dataCellStyle="Normal 2"/>
    <tableColumn id="66" xr3:uid="{F12007E3-4C1C-44A2-B82D-A3FA5707378A}" name="T03.2026" dataDxfId="242" dataCellStyle="Normal 2"/>
    <tableColumn id="67" xr3:uid="{D115EF2C-3993-4A66-A6A3-80C641C14BE5}" name="T04.2026" dataDxfId="241" dataCellStyle="Normal 2"/>
    <tableColumn id="68" xr3:uid="{6E63293A-9948-4924-BB08-E2BBFFFE183F}" name="T05.2026" dataDxfId="240" dataCellStyle="Normal 2"/>
    <tableColumn id="69" xr3:uid="{BE7E702A-45FB-4DA0-B463-81188DF224D1}" name="T06.2026" dataDxfId="239" dataCellStyle="Normal 2"/>
    <tableColumn id="70" xr3:uid="{BE860B79-8B69-4966-AB24-633C51575525}" name="T07.2026" dataDxfId="238" dataCellStyle="Normal 2"/>
    <tableColumn id="71" xr3:uid="{0F55F6FA-9CA0-4FD5-94A7-703D291AF932}" name="T08.2026" dataDxfId="237" dataCellStyle="Normal 2"/>
    <tableColumn id="72" xr3:uid="{41154A6A-4AD9-4C94-B3DD-575D17BA4018}" name="T09.2026" dataDxfId="236" dataCellStyle="Normal 2"/>
    <tableColumn id="73" xr3:uid="{D21B2C31-10D3-4A18-B26A-7A03E2A088A3}" name="T10.2026" dataDxfId="235" dataCellStyle="Normal 2"/>
    <tableColumn id="74" xr3:uid="{945174D0-CD32-4357-A2C1-6044C4B3F1DE}" name="T11.2026" dataDxfId="234" dataCellStyle="Normal 2"/>
    <tableColumn id="75" xr3:uid="{E664F3A0-395F-4E94-98E2-2B5C8E4A6744}" name="T12.2026" dataDxfId="233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572105-29B1-4154-AF9A-8F3B9D57210D}" name="Data_PL" displayName="Data_PL" ref="A3:BW23" totalsRowShown="0" headerRowDxfId="232" dataDxfId="231" headerRowCellStyle="Comma 3">
  <tableColumns count="75">
    <tableColumn id="1" xr3:uid="{1481B317-396A-4913-95EB-DF1ADBB7ADB7}" name="Index PL" dataDxfId="230" dataCellStyle="Normal 2"/>
    <tableColumn id="2" xr3:uid="{5A51A9AE-8513-444D-84DA-CB7647AF62B6}" name="PHẦN II-KẾT QUẢ HOẠT ĐỘNG KINH DOANH" dataDxfId="229" dataCellStyle="Normal 2"/>
    <tableColumn id="3" xr3:uid="{E8BB895E-9B0E-47CD-AE81-5F8CA15FFC89}" name="TenCongTyID" dataDxfId="228"/>
    <tableColumn id="4" xr3:uid="{A7AE86A7-4B9D-4C9B-9417-F79EEBC18E5A}" name="T1.2021" dataDxfId="227"/>
    <tableColumn id="5" xr3:uid="{BCF2AF12-3D31-4E3F-B20B-6B0F11F89EB4}" name="T02.2021" dataDxfId="226"/>
    <tableColumn id="6" xr3:uid="{0D878537-ABCE-47FF-802D-220EFCF72E63}" name="T03.2021" dataDxfId="225"/>
    <tableColumn id="7" xr3:uid="{90614905-A83C-4F62-9762-F2A5F88B9D2E}" name="T04.2021" dataDxfId="224"/>
    <tableColumn id="8" xr3:uid="{657380D5-44F5-4C1B-8FE5-4EF0420F3662}" name="T05.2021" dataDxfId="223"/>
    <tableColumn id="9" xr3:uid="{4C935CE1-E40E-4421-8BB4-076A44FE8766}" name="T06.2021" dataDxfId="222"/>
    <tableColumn id="10" xr3:uid="{A64962FD-92D6-405F-97B8-1EA28B9154B6}" name="T07.2021" dataDxfId="221"/>
    <tableColumn id="11" xr3:uid="{6FD36A62-99FF-4EAB-8D46-4DF61D7E0D43}" name="T08.2021" dataDxfId="220"/>
    <tableColumn id="12" xr3:uid="{B09CA23F-92E6-47CC-9324-C447BCF6165A}" name="T09.2021" dataDxfId="219"/>
    <tableColumn id="13" xr3:uid="{88FB0E93-AAFB-4238-AE79-5AE4C52B8EEA}" name="T10.2021" dataDxfId="218"/>
    <tableColumn id="14" xr3:uid="{F0D83197-2DBB-4303-A1EE-D150E3F02D6A}" name="T11.2021" dataDxfId="217"/>
    <tableColumn id="15" xr3:uid="{EC3BF197-B3CC-4BFA-94C0-2D69614A8F53}" name="T12.2021" dataDxfId="216"/>
    <tableColumn id="16" xr3:uid="{759B2BD4-E467-4205-B723-23771D7B9180}" name="T1.2022" dataDxfId="215"/>
    <tableColumn id="17" xr3:uid="{E91A4677-A84F-4A92-A512-4E4B03E44F55}" name="T02.2022" dataDxfId="214"/>
    <tableColumn id="18" xr3:uid="{D42CF407-7AAD-4CE7-818A-4A381930F44E}" name="T03.2022" dataDxfId="213"/>
    <tableColumn id="19" xr3:uid="{895CE895-0B2E-4E26-8E7E-A017850C0725}" name="T04.2022" dataDxfId="212"/>
    <tableColumn id="20" xr3:uid="{E8AC02AE-4AB4-4454-9B71-3317A700CC79}" name="T05.2022" dataDxfId="211"/>
    <tableColumn id="21" xr3:uid="{99633561-AE15-421B-A5A3-FF9F1F32C951}" name="T06.2022" dataDxfId="210"/>
    <tableColumn id="22" xr3:uid="{1835FA8E-C826-4A94-96F9-624D2319E762}" name="T07.2022" dataDxfId="209"/>
    <tableColumn id="23" xr3:uid="{22C9D8AF-F6BF-4631-9A14-42F864FFF03D}" name="T08.2022" dataDxfId="208"/>
    <tableColumn id="24" xr3:uid="{0DB9C0AE-1BC6-4833-87EA-F0941D1FC502}" name="T09.2022" dataDxfId="207"/>
    <tableColumn id="25" xr3:uid="{E64AF626-E998-4A07-AD39-D418360C092B}" name="T10.2022" dataDxfId="206"/>
    <tableColumn id="26" xr3:uid="{C2121200-0F7B-4E02-950F-952E144AF90E}" name="T11.2022" dataDxfId="205"/>
    <tableColumn id="27" xr3:uid="{54D640ED-7CAF-452F-8368-867205E01FBA}" name="T12.2022" dataDxfId="204"/>
    <tableColumn id="28" xr3:uid="{F047D3A9-C177-4749-AACD-A13129906A81}" name="T1.2023" dataDxfId="203"/>
    <tableColumn id="29" xr3:uid="{B54804C2-AC96-469E-8E37-88D7F1F37A5C}" name="T02.2023" dataDxfId="202"/>
    <tableColumn id="30" xr3:uid="{30BEBD52-4AA2-4C1E-B681-01B693D02DFF}" name="T03.2023" dataDxfId="201"/>
    <tableColumn id="31" xr3:uid="{D2EA3FB6-12C6-4C71-B014-A54F29B6CE02}" name="T04.2023" dataDxfId="200"/>
    <tableColumn id="32" xr3:uid="{136ACB7E-B888-4F75-BCFC-BD339694366A}" name="T05.2023" dataDxfId="199"/>
    <tableColumn id="33" xr3:uid="{B44E4506-50A3-44B9-A33A-C710AD84BE94}" name="T06.2023" dataDxfId="198"/>
    <tableColumn id="34" xr3:uid="{D19CE81D-159B-4B5A-943F-60C52923AD03}" name="T07.2023" dataDxfId="197"/>
    <tableColumn id="35" xr3:uid="{2AE458E1-483B-4648-AA09-5C2541C17BB8}" name="T08.2023" dataDxfId="196"/>
    <tableColumn id="36" xr3:uid="{3B0741AF-4F27-42E1-8CB3-17D9C3E7DF71}" name="T09.2023" dataDxfId="195"/>
    <tableColumn id="37" xr3:uid="{19014BDF-44DB-4B4E-8693-26622E5ACAB8}" name="T10.2023" dataDxfId="194"/>
    <tableColumn id="38" xr3:uid="{354A05E2-6B0F-4AFB-994D-935C4B35D07E}" name="T11.2023" dataDxfId="193"/>
    <tableColumn id="39" xr3:uid="{0D3710FF-B847-4DCA-B202-2169B3315DD9}" name="T12.2023" dataDxfId="192"/>
    <tableColumn id="40" xr3:uid="{5E5F3059-8D8A-406B-AC1D-5E7438D6598D}" name="T01.2024" dataDxfId="191"/>
    <tableColumn id="41" xr3:uid="{2405C11D-8F33-4660-8CD5-DDE88D2F3DCE}" name="T02.2024" dataDxfId="190"/>
    <tableColumn id="42" xr3:uid="{FBE886DB-0171-4E45-BCDB-4DBAC54BDA33}" name="T03.2024" dataDxfId="189"/>
    <tableColumn id="43" xr3:uid="{3FC9E948-426B-486B-99A0-F908F7CAAF47}" name="T04.2024" dataDxfId="188"/>
    <tableColumn id="44" xr3:uid="{F58E17BE-7EF0-4F98-BEF7-E80BA8DAFF15}" name="T05.2024" dataDxfId="187"/>
    <tableColumn id="45" xr3:uid="{DBF5BC5B-5687-4986-8AAD-0FBA44B9998C}" name="T06.2024" dataDxfId="186"/>
    <tableColumn id="46" xr3:uid="{83D5FFA4-CBBC-4889-A359-9273B91DFEEE}" name="T07.2024" dataDxfId="185"/>
    <tableColumn id="47" xr3:uid="{1D80C920-B747-436B-B303-72FD5D2D4C04}" name="T08.2024" dataDxfId="184"/>
    <tableColumn id="48" xr3:uid="{291FF185-E1A5-4A96-858C-BC16A1D923BF}" name="T09.2024" dataDxfId="183"/>
    <tableColumn id="49" xr3:uid="{C80F072B-EE4D-4BCF-9ED4-149259A16973}" name="T10.2024" dataDxfId="182"/>
    <tableColumn id="50" xr3:uid="{704D14F0-BDD6-4142-B932-C508D3F3C325}" name="T11.2024" dataDxfId="181"/>
    <tableColumn id="51" xr3:uid="{98EE3EB4-7B69-483F-80A8-C0DE380A17D9}" name="T12.2024" dataDxfId="180"/>
    <tableColumn id="52" xr3:uid="{C16F60CC-D5D1-4E34-8B1D-2AA24264D153}" name="T01.2025" dataDxfId="179"/>
    <tableColumn id="53" xr3:uid="{9BB3821D-7CF6-41AF-997A-7A953000B222}" name="T02.2025" dataDxfId="178"/>
    <tableColumn id="54" xr3:uid="{3A168446-3B6C-4140-BBCA-1D8027B1A87B}" name="T03.2025" dataDxfId="177"/>
    <tableColumn id="55" xr3:uid="{16AC6BA6-AA79-41AD-8023-4128D1086C85}" name="T04.2025" dataDxfId="176"/>
    <tableColumn id="56" xr3:uid="{9F40669C-2A9F-45D2-8145-DD80BF7B6C89}" name="T05.2025" dataDxfId="175"/>
    <tableColumn id="57" xr3:uid="{61E0AEF7-E002-46E9-9B1C-4C6E565F2A1B}" name="T06.2025" dataDxfId="174"/>
    <tableColumn id="58" xr3:uid="{9D8CE228-7E91-4462-96B6-CB9831E9EA63}" name="T07.2025" dataDxfId="173"/>
    <tableColumn id="59" xr3:uid="{24058ADA-45CB-42A1-A3CC-F675F17E2DE0}" name="T08.2025" dataDxfId="172"/>
    <tableColumn id="60" xr3:uid="{3885BAEF-0D11-4B9D-990D-2D8A41D60D90}" name="T09.2025" dataDxfId="171"/>
    <tableColumn id="61" xr3:uid="{B77FC37F-5367-4193-8C64-1A525C5EC7FD}" name="T10.2025" dataDxfId="170"/>
    <tableColumn id="62" xr3:uid="{7BAA8F4C-1F46-404F-820B-6A23A4426F57}" name="T11.2025" dataDxfId="169"/>
    <tableColumn id="63" xr3:uid="{41BCB132-6595-42D1-AB0F-765C7A33B441}" name="T12.2025" dataDxfId="168"/>
    <tableColumn id="64" xr3:uid="{8C309FF9-7E3B-4B46-9216-70C63C9346C0}" name="T01.2026" dataDxfId="167"/>
    <tableColumn id="65" xr3:uid="{463BE957-4430-4139-A7E6-980932A06481}" name="T02.2026" dataDxfId="166"/>
    <tableColumn id="66" xr3:uid="{59DB157A-80CE-4F9A-8CB9-413651FF5218}" name="T03.2026" dataDxfId="165"/>
    <tableColumn id="67" xr3:uid="{8CCF4112-3304-480D-B901-9E1409B63919}" name="T04.2026"/>
    <tableColumn id="68" xr3:uid="{571DC107-692D-4234-A6CB-4D9EDCD7CD1E}" name="T05.2026" dataDxfId="164"/>
    <tableColumn id="69" xr3:uid="{ED4D7BF9-9302-453C-8419-02C6553C5AEF}" name="T06.2026" dataDxfId="163"/>
    <tableColumn id="70" xr3:uid="{4262F59C-FFDA-45F9-BAC9-5B7ECDA93363}" name="T07.2026" dataDxfId="162"/>
    <tableColumn id="71" xr3:uid="{C796DF0A-6867-4D3E-B34D-C28E0221C113}" name="T08.2026" dataDxfId="161"/>
    <tableColumn id="72" xr3:uid="{5AC2E0A8-2432-47A3-B8E3-D361D014A438}" name="T09.2026" dataDxfId="160"/>
    <tableColumn id="73" xr3:uid="{3FA02CDA-B43D-4A55-988D-AC97F0BB93A9}" name="T10.2026" dataDxfId="159"/>
    <tableColumn id="74" xr3:uid="{959E0D0B-A867-4118-9210-4E43C0C2C1E8}" name="T11.2026" dataDxfId="158"/>
    <tableColumn id="75" xr3:uid="{0FE799E0-A7CE-4771-B50A-A7ABC9C71D53}" name="T12.2026" dataDxfId="15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51D870-530E-41F9-88D4-EE4B2DFC5984}" name="Data_CF" displayName="Data_CF" ref="A3:BW44" totalsRowShown="0" headerRowDxfId="383" dataDxfId="382" headerRowCellStyle="Normal 2" dataCellStyle="Comma 5 2">
  <tableColumns count="75">
    <tableColumn id="1" xr3:uid="{69549981-A810-4B2B-9666-D49959D22B34}" name="Index CF" dataDxfId="381" dataCellStyle="Normal 2"/>
    <tableColumn id="2" xr3:uid="{FD773D5B-D740-43BC-B117-9990858929CD}" name="PHẦN III- LƯU CHUYỂN TIỀN TỆ" dataDxfId="380" dataCellStyle="Normal 2"/>
    <tableColumn id="3" xr3:uid="{90E1E95D-9D16-4FDF-91FC-27FA7ACCAFB3}" name="TenCongTyID" dataDxfId="379" dataCellStyle="Comma 5"/>
    <tableColumn id="4" xr3:uid="{D613B15B-FD3F-4BE4-B9E1-0E4CF1D65CBC}" name="T1.2021" dataDxfId="378" dataCellStyle="Comma 5"/>
    <tableColumn id="5" xr3:uid="{3B0E9C07-B156-45FB-8FA5-814E8CD86F3A}" name="T02.2021" dataDxfId="377" dataCellStyle="Comma 5"/>
    <tableColumn id="6" xr3:uid="{6AE2E031-B62B-41F5-A8E8-3738A386AD32}" name="T03.2021" dataDxfId="376" dataCellStyle="Comma 5"/>
    <tableColumn id="7" xr3:uid="{A375DA83-D044-458E-9E2B-B30C29C7879E}" name="T04.2021" dataDxfId="375" dataCellStyle="Comma 5"/>
    <tableColumn id="8" xr3:uid="{A8B91848-9C70-47A3-AC32-8F6CE8EB658D}" name="T05.2021" dataDxfId="374" dataCellStyle="Comma 5"/>
    <tableColumn id="9" xr3:uid="{144BC632-3F17-4CF4-AC0E-A5233BA0E25D}" name="T06.2021" dataDxfId="373" dataCellStyle="Comma 5"/>
    <tableColumn id="10" xr3:uid="{14C5CC30-9912-4D84-A4C6-AEF7AB85587E}" name="T07.2021" dataDxfId="372" dataCellStyle="Comma 5"/>
    <tableColumn id="11" xr3:uid="{B0F75EFA-7986-4696-BBBC-8A52E306A362}" name="T08.2021" dataDxfId="371" dataCellStyle="Comma 5"/>
    <tableColumn id="12" xr3:uid="{2DB32EE0-5499-4091-911C-7E01EB5FBDF9}" name="T09.2021" dataDxfId="370" dataCellStyle="Comma 5"/>
    <tableColumn id="13" xr3:uid="{509A27FB-1884-442E-A2A6-F9F577FF61B9}" name="T10.2021" dataDxfId="369" dataCellStyle="Comma 5"/>
    <tableColumn id="14" xr3:uid="{98D42790-12E2-4D56-A6B9-EEC4229E26E3}" name="T11.2021" dataDxfId="368" dataCellStyle="Comma 5"/>
    <tableColumn id="15" xr3:uid="{40159549-2D2D-4455-9FF4-AF2792B7120F}" name="T12.2021" dataDxfId="367" dataCellStyle="Comma 5"/>
    <tableColumn id="16" xr3:uid="{B741BC03-CF5C-4FCD-A655-52E0FF80DA0A}" name="T1.2022" dataDxfId="366" dataCellStyle="Comma 5"/>
    <tableColumn id="17" xr3:uid="{25F50BD3-D737-49D4-AF90-59085D97ECAA}" name="T02.2022" dataDxfId="365" dataCellStyle="Comma 5"/>
    <tableColumn id="18" xr3:uid="{FAB0C21E-14D5-43D3-AE71-AC9333214127}" name="T03.2022" dataDxfId="364" dataCellStyle="Comma 5"/>
    <tableColumn id="19" xr3:uid="{9CAB2C93-223D-4A67-A8B3-A0D2EDBFA2D7}" name="T04.2022" dataDxfId="363" dataCellStyle="Comma 5"/>
    <tableColumn id="20" xr3:uid="{DC24E7A8-0851-4698-AD2B-6966D187B343}" name="T05.2022" dataDxfId="362" dataCellStyle="Comma 5"/>
    <tableColumn id="21" xr3:uid="{BB751C47-894C-4E21-83AD-D315E260B67E}" name="T06.2022" dataDxfId="361" dataCellStyle="Comma 5"/>
    <tableColumn id="22" xr3:uid="{13273712-4ED1-46A9-A71E-05DA117E88DF}" name="T07.2022" dataDxfId="360" dataCellStyle="Comma 5"/>
    <tableColumn id="23" xr3:uid="{01E6F868-0CBC-4258-9EFE-C8290F674643}" name="T08.2022" dataDxfId="359" dataCellStyle="Comma 5"/>
    <tableColumn id="24" xr3:uid="{AFE2311F-917D-4C0C-8CA9-BDECE3C248FA}" name="T09.2022" dataDxfId="358" dataCellStyle="Comma 5"/>
    <tableColumn id="25" xr3:uid="{CE903886-7394-4EE6-A2F2-1C6663F2CDD4}" name="T10.2022" dataDxfId="357" dataCellStyle="Comma 5"/>
    <tableColumn id="26" xr3:uid="{DF793BC8-1C52-41C5-A13A-81482A18752C}" name="T11.2022" dataDxfId="356" dataCellStyle="Comma 5"/>
    <tableColumn id="27" xr3:uid="{8ECF4845-4A6F-4DE3-B833-77CD68B89FDC}" name="T12.2022" dataDxfId="355" dataCellStyle="Comma 5"/>
    <tableColumn id="28" xr3:uid="{10B5FEDA-2AE7-4BAF-ADE7-1B38F56E2B4A}" name="T1.2023" dataDxfId="354" dataCellStyle="Comma 5"/>
    <tableColumn id="29" xr3:uid="{51CD29CA-E4C8-4824-97C1-ED2FC0CD9BBF}" name="T02.2023" dataDxfId="353" dataCellStyle="Comma 5"/>
    <tableColumn id="30" xr3:uid="{4695D0E7-0306-48E0-B0E7-CADE9229D657}" name="T03.2023" dataDxfId="352" dataCellStyle="Comma 5"/>
    <tableColumn id="31" xr3:uid="{92B13F65-FB91-4212-B097-043B418DFB9D}" name="T04.2023" dataDxfId="351" dataCellStyle="Comma 5"/>
    <tableColumn id="32" xr3:uid="{3318B87E-8537-48CC-A7B8-8621D9ACE43A}" name="T05.2023" dataDxfId="350" dataCellStyle="Comma 5"/>
    <tableColumn id="33" xr3:uid="{B0A9F313-86D0-4E01-A706-219B7F3DCFB0}" name="T06.2023" dataDxfId="349" dataCellStyle="Comma 5"/>
    <tableColumn id="34" xr3:uid="{7AC51E22-12C9-429B-AC1E-DE33A3FF05B7}" name="T07.2023" dataDxfId="348" dataCellStyle="Comma 5"/>
    <tableColumn id="35" xr3:uid="{DACFCEBA-C001-4D05-B849-D821AA25FFC2}" name="T08.2023" dataDxfId="347" dataCellStyle="Comma 5"/>
    <tableColumn id="36" xr3:uid="{9CFA7E39-0993-4B95-AFF1-34BCD11CF17A}" name="T09.2023" dataDxfId="346" dataCellStyle="Comma 5"/>
    <tableColumn id="37" xr3:uid="{01AABB37-1FE6-4D39-A36C-2541C66320F5}" name="T10.2023" dataDxfId="345" dataCellStyle="Comma 5"/>
    <tableColumn id="38" xr3:uid="{BE616D5B-F682-4C48-83F3-2163C06B654F}" name="T11.2023" dataDxfId="344" dataCellStyle="Comma 5"/>
    <tableColumn id="39" xr3:uid="{0EACC477-2259-41D6-A377-C90BBA982E97}" name="T12.2023" dataDxfId="343" dataCellStyle="Comma 5"/>
    <tableColumn id="40" xr3:uid="{4C2C0755-B33B-4ED8-8203-2D779BEBD4F7}" name="T01.2024" dataDxfId="342" dataCellStyle="Comma 5"/>
    <tableColumn id="41" xr3:uid="{498E0D55-53BC-453F-AD60-057878DA6BD5}" name="T02.2024" dataDxfId="341" dataCellStyle="Comma 5"/>
    <tableColumn id="42" xr3:uid="{3198448A-D611-40CA-B814-63184F6C3C3E}" name="T03.2024" dataDxfId="340" dataCellStyle="Comma 5"/>
    <tableColumn id="43" xr3:uid="{6B2763DC-5ECF-476E-9507-AEADEE0CA7FD}" name="T04.2024" dataDxfId="339" dataCellStyle="Comma 5"/>
    <tableColumn id="44" xr3:uid="{E190EE71-9763-4CC8-9314-1059787B6CF1}" name="T05.2024" dataDxfId="338" dataCellStyle="Comma 5"/>
    <tableColumn id="45" xr3:uid="{6121843F-68FD-46F6-84C9-FCFC79B96207}" name="T06.2024" dataDxfId="337" dataCellStyle="Comma 5"/>
    <tableColumn id="46" xr3:uid="{72DE79D8-E12F-434A-BC37-A666EB8EFE36}" name="T07.2024" dataDxfId="336" dataCellStyle="Comma 5"/>
    <tableColumn id="47" xr3:uid="{09B40BEC-A3C1-45E1-AECE-9A60FFF435F3}" name="T08.2024" dataDxfId="335" dataCellStyle="Comma 5"/>
    <tableColumn id="48" xr3:uid="{2EDD3499-286B-4668-8C81-DBC0BE917F2E}" name="T09.2024" dataDxfId="334" dataCellStyle="Comma 5"/>
    <tableColumn id="49" xr3:uid="{4EC6DE48-BF90-4988-91E4-B699B3FDECD8}" name="T10.2024" dataDxfId="333" dataCellStyle="Comma 5"/>
    <tableColumn id="50" xr3:uid="{9C87FB46-C2B6-42F4-BE23-25F60991538B}" name="T11.2024" dataDxfId="332" dataCellStyle="Comma 5"/>
    <tableColumn id="51" xr3:uid="{A0D8D177-893A-4FFD-B8C7-3BC428132BCF}" name="T12.2024" dataDxfId="331" dataCellStyle="Comma 5 2"/>
    <tableColumn id="52" xr3:uid="{259254FF-4666-4C36-9B9F-380CDCDE3E80}" name="T01.2025" dataDxfId="330" dataCellStyle="Comma 5 2"/>
    <tableColumn id="53" xr3:uid="{B3F0ADBB-8F37-4E02-BBE5-ABA48A657A8D}" name="T02.2025" dataDxfId="329" dataCellStyle="Comma 5 2"/>
    <tableColumn id="54" xr3:uid="{3CEE253E-5203-41CA-92AF-B53F196AD368}" name="T03.2025" dataDxfId="328" dataCellStyle="Comma 5 2"/>
    <tableColumn id="55" xr3:uid="{C73999BA-B0C1-495D-A724-5CDD0A8A1C1D}" name="T04.2025" dataDxfId="327" dataCellStyle="Comma 5 2"/>
    <tableColumn id="56" xr3:uid="{423CA5CC-26DA-41BA-81DC-CA4B2952D14F}" name="T05.2025" dataDxfId="326" dataCellStyle="Comma 5 2"/>
    <tableColumn id="57" xr3:uid="{84952E5D-1463-4286-AF23-0A293223AA02}" name="T06.2025" dataDxfId="325" dataCellStyle="Comma 5 2"/>
    <tableColumn id="58" xr3:uid="{1E4F371F-3B3E-4680-A633-F586B0122978}" name="T07.2025" dataDxfId="324" dataCellStyle="Comma 5 2"/>
    <tableColumn id="59" xr3:uid="{22FBA536-C42A-41EB-B02F-D9E20403269E}" name="T08.2025" dataDxfId="323" dataCellStyle="Comma 5 2"/>
    <tableColumn id="60" xr3:uid="{669010D9-F13F-461C-AFDA-236D2113A25C}" name="T09.2025" dataDxfId="322" dataCellStyle="Comma 5 2"/>
    <tableColumn id="61" xr3:uid="{306F61CE-D4B4-47EE-B61F-32E34C2C3E26}" name="T10.2025" dataDxfId="321" dataCellStyle="Comma 5 2"/>
    <tableColumn id="62" xr3:uid="{3734AE45-1F4F-4A1B-B404-FA3E27C8CC22}" name="T11.2025" dataDxfId="320" dataCellStyle="Comma 5 2"/>
    <tableColumn id="63" xr3:uid="{C56FD48D-86A2-4BB4-A297-95DBEE486532}" name="T12.2025" dataDxfId="319" dataCellStyle="Comma 5"/>
    <tableColumn id="64" xr3:uid="{25FF709F-60FD-46D6-9506-9BCC08DC09DD}" name="T01.2026" dataDxfId="318" dataCellStyle="Comma 5 2"/>
    <tableColumn id="65" xr3:uid="{202C5344-6BBE-4026-8E71-E4D0494E805D}" name="T02.2026"/>
    <tableColumn id="66" xr3:uid="{D130FC88-CC6E-41DF-852E-FF6854A89759}" name="T03.2026"/>
    <tableColumn id="67" xr3:uid="{3FD70CF0-B3A3-4807-A0B4-D0B9687051B7}" name="T04.2026"/>
    <tableColumn id="68" xr3:uid="{8E4676AC-310E-466A-9965-EF31F305B28C}" name="T05.2026" dataDxfId="317" dataCellStyle="Comma 5 2"/>
    <tableColumn id="69" xr3:uid="{A126A6E3-4842-4602-8ED1-049E5A10D0FE}" name="T06.2026" dataDxfId="316" dataCellStyle="Comma 5 2"/>
    <tableColumn id="70" xr3:uid="{2DC406AD-D09C-4A06-82AC-EC36A30FE285}" name="T07.2026" dataDxfId="315" dataCellStyle="Comma 5 2"/>
    <tableColumn id="71" xr3:uid="{8AD5C302-A003-4087-BB3E-1E5BCF399FDC}" name="T08.2026" dataDxfId="314" dataCellStyle="Comma 5 2"/>
    <tableColumn id="72" xr3:uid="{898AFC12-619D-4A18-9E94-72CC1D3BBD14}" name="T09.2026" dataDxfId="313" dataCellStyle="Comma 5 2"/>
    <tableColumn id="73" xr3:uid="{073B8168-5D22-4831-B86D-553A91362653}" name="T10.2026" dataDxfId="312" dataCellStyle="Comma 5 2"/>
    <tableColumn id="74" xr3:uid="{E4EE8E61-E571-4954-BC97-ADB18D926167}" name="T11.2026" dataDxfId="311" dataCellStyle="Comma 5 2"/>
    <tableColumn id="75" xr3:uid="{FBA89AC1-85D5-4F55-BB48-56862DDF996A}" name="T12.2026" dataDxfId="310" dataCellStyle="Comma 5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743915-56A6-495A-993A-9899B9AF0579}" name="Data_PL_Element" displayName="Data_PL_Element" ref="A3:BW57" totalsRowShown="0" headerRowDxfId="156" dataDxfId="154" headerRowBorderDxfId="155" headerRowCellStyle="Normal 3">
  <tableColumns count="75">
    <tableColumn id="1" xr3:uid="{392C77E3-807C-4E67-94F9-8B52B3F9FC74}" name="Index PL Element" dataDxfId="153"/>
    <tableColumn id="2" xr3:uid="{ECA9DF31-FBC4-485D-A796-FCFFF708A2A2}" name="PHẦN IV: CHI PHÍ THEO YẾU TỐ" dataDxfId="152"/>
    <tableColumn id="3" xr3:uid="{3737E5B1-1106-4C25-96BE-2F7B2EBCCA2B}" name="TenCongTyID" dataDxfId="151" dataCellStyle="Normal 2"/>
    <tableColumn id="4" xr3:uid="{D4985C29-E0C2-4898-8DCA-AB75ADECC90D}" name="T1.2021" dataDxfId="150"/>
    <tableColumn id="5" xr3:uid="{3E99E066-016A-459A-A7F4-E682A7F396F3}" name="T02.2021" dataDxfId="149"/>
    <tableColumn id="6" xr3:uid="{748EA746-CF60-42B0-8078-0EBDC849534B}" name="T03.2021" dataDxfId="148"/>
    <tableColumn id="7" xr3:uid="{11DF5CD0-DBD4-46A7-A0D8-3AB4FA25DBA1}" name="T04.2021" dataDxfId="147"/>
    <tableColumn id="8" xr3:uid="{A5ACAA5F-3E17-4EAF-86F4-3BBD74BA41E2}" name="T05.2021" dataDxfId="146"/>
    <tableColumn id="9" xr3:uid="{922E54C2-9FBF-430A-AC1D-2E00E022DC63}" name="T06.2021" dataDxfId="145"/>
    <tableColumn id="10" xr3:uid="{6084AE0F-E6D0-4AB3-88E7-0B9FAACDF366}" name="T07.2021" dataDxfId="144"/>
    <tableColumn id="11" xr3:uid="{B61962C7-F68A-4FE4-A200-67227959E7EC}" name="T08.2021" dataDxfId="143"/>
    <tableColumn id="12" xr3:uid="{BAAE2C4E-AFCA-45F9-9C30-F6DC23BFCE8A}" name="T09.2021" dataDxfId="142"/>
    <tableColumn id="13" xr3:uid="{A732C67E-AE8C-4559-B2FB-1BC69977AEE1}" name="T10.2021" dataDxfId="141"/>
    <tableColumn id="14" xr3:uid="{3B15491E-0680-469B-B7C8-EA50A3DBDDCC}" name="T11.2021" dataDxfId="140"/>
    <tableColumn id="15" xr3:uid="{B4338649-6244-4F9A-A87E-04BD3A3369CA}" name="T12.2021" dataDxfId="139"/>
    <tableColumn id="16" xr3:uid="{F6816C04-E9EE-439E-A953-61FF1484BA36}" name="T1.2022" dataDxfId="138"/>
    <tableColumn id="17" xr3:uid="{8D5AEA12-D645-4943-A63A-0E5F654AEABF}" name="T02.2022" dataDxfId="137"/>
    <tableColumn id="18" xr3:uid="{BEE2077B-AC12-48F8-B0A7-F3CC0FF0B2FF}" name="T03.2022" dataDxfId="136"/>
    <tableColumn id="19" xr3:uid="{D3DC4535-6D6B-4496-B6FB-ECD6544D3E87}" name="T04.2022" dataDxfId="135"/>
    <tableColumn id="20" xr3:uid="{230AEBDE-5B35-4083-B44A-CECD77B333F2}" name="T05.2022" dataDxfId="134"/>
    <tableColumn id="21" xr3:uid="{C8D1A3AE-8938-4503-BBD5-55F4B010056B}" name="T06.2022" dataDxfId="133"/>
    <tableColumn id="22" xr3:uid="{62813B27-C2ED-40D1-A593-813034DBE89E}" name="T07.2022" dataDxfId="132"/>
    <tableColumn id="23" xr3:uid="{F51CDBF7-9311-4B73-8A36-0E87BD38EB00}" name="T08.2022" dataDxfId="131"/>
    <tableColumn id="24" xr3:uid="{5ECB0FB8-8A29-4930-8DAD-8EEF385A7B72}" name="T09.2022" dataDxfId="130"/>
    <tableColumn id="25" xr3:uid="{120C41E2-07CC-4537-B067-75CBA0A8E6AF}" name="T10.2022" dataDxfId="129"/>
    <tableColumn id="26" xr3:uid="{C62AC1E9-2636-4956-A707-E4905C98020B}" name="T11.2022" dataDxfId="128"/>
    <tableColumn id="27" xr3:uid="{89137190-C5F1-43A2-BEC3-EB8BB04978F8}" name="T12.2022" dataDxfId="127"/>
    <tableColumn id="28" xr3:uid="{13244A05-488E-4376-86AF-032288DE459C}" name="T1.2023" dataDxfId="126"/>
    <tableColumn id="29" xr3:uid="{907BB853-FAA9-41EC-8260-FC6C3C3828DA}" name="T02.2023" dataDxfId="125"/>
    <tableColumn id="30" xr3:uid="{C751EAE8-648F-43D2-9963-91F9D71165F3}" name="T03.2023" dataDxfId="124"/>
    <tableColumn id="31" xr3:uid="{259FC01B-1AB5-4E1D-B30A-08FFE050F632}" name="T04.2023" dataDxfId="123"/>
    <tableColumn id="32" xr3:uid="{32641D15-49FF-43EC-A0BF-9EB69DDC53C8}" name="T05.2023" dataDxfId="122"/>
    <tableColumn id="33" xr3:uid="{DA718C88-9CA1-42A6-917E-E23A079DB6DA}" name="T06.2023" dataDxfId="121"/>
    <tableColumn id="34" xr3:uid="{0375FC23-5711-4F9A-9678-2A318ADDA847}" name="T07.2023" dataDxfId="120"/>
    <tableColumn id="35" xr3:uid="{D595CF51-BA64-4494-849A-337B87058FA0}" name="T08.2023" dataDxfId="119"/>
    <tableColumn id="36" xr3:uid="{E118FCB5-46C4-4B4D-9E5A-18CDC1A23918}" name="T09.2023" dataDxfId="118"/>
    <tableColumn id="37" xr3:uid="{0A5CEE96-DB6B-4E98-AFF2-381A7EE73543}" name="T10.2023" dataDxfId="117"/>
    <tableColumn id="38" xr3:uid="{EA89D6AD-E29F-4E99-A8C0-65CC9E9B2E5B}" name="T11.2023" dataDxfId="116"/>
    <tableColumn id="39" xr3:uid="{01DB9C32-3F5A-4DA5-B5C1-763B616F073A}" name="T12.2023" dataDxfId="115"/>
    <tableColumn id="40" xr3:uid="{698DE7D4-1096-4F9A-8726-C27B80D1B768}" name="T01.2024" dataDxfId="114"/>
    <tableColumn id="41" xr3:uid="{E363AD17-1E0D-4C39-94F3-15717A96BB5A}" name="T02.2024" dataDxfId="113"/>
    <tableColumn id="42" xr3:uid="{D3D35F58-1B20-4E36-8340-F87E127AE847}" name="T03.2024" dataDxfId="112"/>
    <tableColumn id="43" xr3:uid="{C1D0276B-DE0D-4421-A21E-F9E43EC5A2C4}" name="T04.2024" dataDxfId="111"/>
    <tableColumn id="44" xr3:uid="{2AD9F3E4-BF6D-4C9F-AE73-5BD612FAFDAE}" name="T05.2024" dataDxfId="110"/>
    <tableColumn id="45" xr3:uid="{FFFCA4D0-3761-4798-A91F-46FD21D36733}" name="T06.2024" dataDxfId="109"/>
    <tableColumn id="46" xr3:uid="{64264CA5-01DB-4125-84C7-4AEFF0C581C6}" name="T07.2024" dataDxfId="108"/>
    <tableColumn id="47" xr3:uid="{F0407936-3695-412A-A81A-B1350CB7C7A9}" name="T08.2024" dataDxfId="107"/>
    <tableColumn id="48" xr3:uid="{720DE97B-BAEE-4A40-BE50-BF34A64D3B4B}" name="T09.2024" dataDxfId="106"/>
    <tableColumn id="49" xr3:uid="{03F09372-DA17-4CB5-AE3A-1C3DE73B068F}" name="T10.2024" dataDxfId="105"/>
    <tableColumn id="50" xr3:uid="{68AB0115-9DBF-48AA-9FED-46BF40C60E61}" name="T11.2024" dataDxfId="104"/>
    <tableColumn id="51" xr3:uid="{961B41D9-77E5-4703-AE4B-E4B2AE853036}" name="T12.2024" dataDxfId="103"/>
    <tableColumn id="52" xr3:uid="{F7697D4C-7C07-458F-A0B0-8D99C734A4DC}" name="T01.2025" dataDxfId="102"/>
    <tableColumn id="53" xr3:uid="{014E3E85-83F0-4104-8116-6D060370045B}" name="T02.2025" dataDxfId="101"/>
    <tableColumn id="54" xr3:uid="{634EF5BF-2D4B-4A68-99EF-13CF983D8B9E}" name="T03.2025" dataDxfId="100"/>
    <tableColumn id="55" xr3:uid="{EFF1B150-12B0-4F2A-A0A1-217CDB323073}" name="T04.2025" dataDxfId="99"/>
    <tableColumn id="56" xr3:uid="{37415B4F-E601-4F55-89EF-FD16BFF40F1E}" name="T05.2025" dataDxfId="98"/>
    <tableColumn id="57" xr3:uid="{F4DD0131-A3D5-4F0D-9175-3D8184901536}" name="T06.2025" dataDxfId="97"/>
    <tableColumn id="58" xr3:uid="{9B49E609-AA2C-4C76-98DB-5ACC651611F9}" name="T07.2025" dataDxfId="96"/>
    <tableColumn id="59" xr3:uid="{1C62744B-FB82-4593-8A34-74BC4C4D1CE5}" name="T08.2025" dataDxfId="95"/>
    <tableColumn id="60" xr3:uid="{392E62A0-5102-4AE0-8940-13C8ADDEF863}" name="T09.2025" dataDxfId="94"/>
    <tableColumn id="61" xr3:uid="{15706EEE-44AA-4291-96C9-5A66582BE392}" name="T10.2025" dataDxfId="93"/>
    <tableColumn id="62" xr3:uid="{328EF54E-47C7-4FA2-BDED-A2D51892E0AE}" name="T11.2025" dataDxfId="92"/>
    <tableColumn id="63" xr3:uid="{6381577D-11FB-4E83-9A96-5AC797C6DCBA}" name="T12.2025" dataDxfId="91"/>
    <tableColumn id="64" xr3:uid="{15FD499D-B1E0-41F0-A9F9-B93D21B620F9}" name="T01.2026" dataDxfId="90"/>
    <tableColumn id="65" xr3:uid="{6ABFE7D7-A414-41FC-A459-33AAD7E15FC3}" name="T02.2026" dataDxfId="89"/>
    <tableColumn id="66" xr3:uid="{A6D51C98-EFA9-451B-B12D-248F28569B7B}" name="T03.2026" dataDxfId="88"/>
    <tableColumn id="67" xr3:uid="{1EFA566A-CD58-477C-9F8B-A0C7528A6119}" name="T04.2026" dataDxfId="87"/>
    <tableColumn id="68" xr3:uid="{C2E17F2D-2B7D-4B71-8EFF-02E0AF9F028C}" name="T05.2026" dataDxfId="86"/>
    <tableColumn id="69" xr3:uid="{66CE4651-D4D5-4695-B601-51F46F678414}" name="T06.2026" dataDxfId="85"/>
    <tableColumn id="70" xr3:uid="{8B8D155D-D27A-474B-B749-07D5B1664D3D}" name="T07.2026" dataDxfId="84"/>
    <tableColumn id="71" xr3:uid="{2D336D24-465E-419F-B2EF-5D6E85886CCC}" name="T08.2026" dataDxfId="83"/>
    <tableColumn id="72" xr3:uid="{183284E7-9BF3-4621-96A7-CB903D56AEF8}" name="T09.2026" dataDxfId="82"/>
    <tableColumn id="73" xr3:uid="{BF6B8C2D-6E22-4F29-B033-9F92F8A5AE5C}" name="T10.2026" dataDxfId="81"/>
    <tableColumn id="74" xr3:uid="{57B31391-8EEF-4180-8CBF-683E2381E6F7}" name="T11.2026" dataDxfId="80"/>
    <tableColumn id="75" xr3:uid="{7C4231FE-F5EB-466C-A1A8-833A8F361703}" name="T12.2026" dataDxfId="7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0231AA-3070-43E9-B647-9DD7C5BFB875}" name="Data_Loan" displayName="Data_Loan" ref="A3:BW74" totalsRowShown="0" headerRowDxfId="78" dataDxfId="76" headerRowBorderDxfId="77" tableBorderDxfId="75" headerRowCellStyle="Normal 2" dataCellStyle="Normal 2">
  <tableColumns count="75">
    <tableColumn id="1" xr3:uid="{EA2E0570-05CC-4EA6-A908-487281301AE8}" name="Index Loan" dataDxfId="74" dataCellStyle="Normal 2"/>
    <tableColumn id="2" xr3:uid="{AF73D424-E629-438B-97A4-A6BF1C5049FC}" name="PHẦN V: CHI TIẾT NỢ VAY NGÂN HÀNG" dataDxfId="73" dataCellStyle="Normal 2"/>
    <tableColumn id="3" xr3:uid="{575D5C4F-B40C-4348-96AA-010B4AE99420}" name="TenCongTyID" dataDxfId="72" dataCellStyle="Normal 2"/>
    <tableColumn id="4" xr3:uid="{48DC81ED-ECA2-46B4-9AD4-5D9B017E3E71}" name="T1.2021" dataDxfId="71" dataCellStyle="Normal 2"/>
    <tableColumn id="5" xr3:uid="{42B42E01-3BF5-4679-BE84-D93D96D40E4D}" name="T02.2021" dataDxfId="70" dataCellStyle="Normal 2"/>
    <tableColumn id="6" xr3:uid="{20E30FEB-5C22-47B9-8EB0-578AFDBBF40D}" name="T03.2021" dataDxfId="69" dataCellStyle="Normal 2"/>
    <tableColumn id="7" xr3:uid="{320ED38C-87AC-4FB2-8833-BC39BA579BE5}" name="T04.2021" dataDxfId="68" dataCellStyle="Normal 2"/>
    <tableColumn id="8" xr3:uid="{877498C0-7F11-498C-8EA5-8F79D4B065FB}" name="T05.2021" dataDxfId="67" dataCellStyle="Normal 2"/>
    <tableColumn id="9" xr3:uid="{AD63631C-FF91-48B8-A74C-23A75A8D3478}" name="T06.2021" dataDxfId="66" dataCellStyle="Normal 2"/>
    <tableColumn id="10" xr3:uid="{A47CAB01-39B7-4447-8636-40F921E53E26}" name="T07.2021" dataDxfId="65" dataCellStyle="Normal 2"/>
    <tableColumn id="11" xr3:uid="{43CD4C25-9DF4-45C2-BBB9-7C585578712A}" name="T08.2021" dataDxfId="64" dataCellStyle="Normal 2"/>
    <tableColumn id="12" xr3:uid="{04470419-B82D-42FC-B602-5D49859E2212}" name="T09.2021" dataDxfId="63" dataCellStyle="Normal 2"/>
    <tableColumn id="13" xr3:uid="{E0C9D580-818B-4B8A-8DA7-04348F8C11D9}" name="T10.2021" dataDxfId="62" dataCellStyle="Normal 2"/>
    <tableColumn id="14" xr3:uid="{0D2B989D-6C5D-459B-B4A7-89EDF80B7AC5}" name="T11.2021" dataDxfId="61" dataCellStyle="Normal 2"/>
    <tableColumn id="15" xr3:uid="{1DA8814E-61EC-41D5-951B-7D18F6ABECE2}" name="T12.2021" dataDxfId="60" dataCellStyle="Normal 2"/>
    <tableColumn id="16" xr3:uid="{2BF09781-F0F3-4C5F-99C1-C30019BCC13D}" name="T1.2022" dataDxfId="59" dataCellStyle="Normal 2"/>
    <tableColumn id="17" xr3:uid="{929F312D-B31A-4777-945A-922994F87C1B}" name="T02.2022" dataDxfId="58" dataCellStyle="Normal 2"/>
    <tableColumn id="18" xr3:uid="{FCC17EB8-A12B-4DAD-BF87-DC5B3E10699C}" name="T03.2022" dataDxfId="57" dataCellStyle="Normal 2"/>
    <tableColumn id="19" xr3:uid="{E70D0ABA-477A-4332-8F42-E0D5AFE3968D}" name="T04.2022" dataDxfId="56" dataCellStyle="Normal 2"/>
    <tableColumn id="20" xr3:uid="{7B3AB6E5-816B-4534-85C2-4AB77694D14C}" name="T05.2022" dataDxfId="55" dataCellStyle="Normal 2"/>
    <tableColumn id="21" xr3:uid="{55F7F8D8-1449-46FB-8F23-9374980325A1}" name="T06.2022" dataDxfId="54" dataCellStyle="Normal 2"/>
    <tableColumn id="22" xr3:uid="{55E9F706-CD93-4C90-BE2E-D187AEECC549}" name="T07.2022" dataDxfId="53" dataCellStyle="Normal 2"/>
    <tableColumn id="23" xr3:uid="{1B00767B-6D09-41F9-ACFC-C6BB45B83FB1}" name="T08.2022" dataDxfId="52" dataCellStyle="Normal 2"/>
    <tableColumn id="24" xr3:uid="{46588B00-F352-45B0-8768-53D51B3FAE3B}" name="T09.2022" dataDxfId="51" dataCellStyle="Normal 2"/>
    <tableColumn id="25" xr3:uid="{D8503185-DC4A-48FD-9F90-D0AF4C16A5CA}" name="T10.2022" dataDxfId="50" dataCellStyle="Normal 2"/>
    <tableColumn id="26" xr3:uid="{1D802265-A847-4B7B-AF43-26983A522934}" name="T11.2022" dataDxfId="49" dataCellStyle="Normal 2"/>
    <tableColumn id="27" xr3:uid="{13C0D6BC-B5AE-43D9-9323-64D100C6FC7A}" name="T12.2022" dataDxfId="48" dataCellStyle="Normal 2"/>
    <tableColumn id="28" xr3:uid="{B7A6C3ED-8A9F-4536-BF87-A6B59DEC3CA1}" name="T1.2023" dataDxfId="47" dataCellStyle="Normal 2"/>
    <tableColumn id="29" xr3:uid="{9E81FD58-4B1F-4866-8E57-2C3A59CD6BC3}" name="T02.2023" dataDxfId="46" dataCellStyle="Normal 2"/>
    <tableColumn id="30" xr3:uid="{FA18C003-D84E-4004-AB28-C8EB0BF2BA87}" name="T03.2023" dataDxfId="45" dataCellStyle="Normal 2"/>
    <tableColumn id="31" xr3:uid="{E701312D-C3BB-4D31-AC75-B3AAB2F77305}" name="T04.2023" dataDxfId="44" dataCellStyle="Normal 2"/>
    <tableColumn id="32" xr3:uid="{946C6F16-3CC6-4DD5-B96D-253A9011BFAB}" name="T05.2023" dataDxfId="43" dataCellStyle="Normal 2"/>
    <tableColumn id="33" xr3:uid="{5099F22C-1942-49F7-82FC-FAEA71B67810}" name="T06.2023" dataDxfId="42" dataCellStyle="Normal 2"/>
    <tableColumn id="34" xr3:uid="{455BD543-5E80-4AC4-898A-5A35DD624D18}" name="T07.2023" dataDxfId="41" dataCellStyle="Normal 2"/>
    <tableColumn id="35" xr3:uid="{7EADC759-E158-4D0F-9873-D374FE25875B}" name="T08.2023" dataDxfId="40" dataCellStyle="Normal 2"/>
    <tableColumn id="36" xr3:uid="{7E5FE88D-CAE9-47D5-9914-F3AF3A6BC956}" name="T09.2023" dataDxfId="39" dataCellStyle="Normal 2"/>
    <tableColumn id="37" xr3:uid="{F0548BC5-16BC-434A-A742-2D714F54532E}" name="T10.2023" dataDxfId="38" dataCellStyle="Normal 2"/>
    <tableColumn id="38" xr3:uid="{C3A6722E-3FDB-4ADE-8F2E-2DB7C1A34186}" name="T11.2023" dataDxfId="37" dataCellStyle="Normal 2"/>
    <tableColumn id="39" xr3:uid="{AF3B9011-A842-4A59-8D43-8E55F269F5A7}" name="T12.2023" dataDxfId="36" dataCellStyle="Normal 2"/>
    <tableColumn id="40" xr3:uid="{742DF5DA-BC53-49C9-A0C2-4742E957783B}" name="T01.2024" dataDxfId="35" dataCellStyle="Normal 2"/>
    <tableColumn id="41" xr3:uid="{61B7CC5F-BB0E-45CE-813C-5A6554FB4494}" name="T02.2024" dataDxfId="34" dataCellStyle="Normal 2"/>
    <tableColumn id="42" xr3:uid="{1FE7F186-8280-4F88-8955-75469FE13082}" name="T03.2024" dataDxfId="33" dataCellStyle="Normal 2"/>
    <tableColumn id="43" xr3:uid="{3C22F82D-FD0E-4F72-B518-B64AB4E9FA72}" name="T04.2024" dataDxfId="32" dataCellStyle="Normal 2"/>
    <tableColumn id="44" xr3:uid="{26EE6541-96CC-4AEF-816A-BB0C80C5341C}" name="T05.2024" dataDxfId="31" dataCellStyle="Normal 2"/>
    <tableColumn id="45" xr3:uid="{0929709F-32EE-4942-BCA9-6D531872C052}" name="T06.2024" dataDxfId="30" dataCellStyle="Normal 2"/>
    <tableColumn id="46" xr3:uid="{84CC8F7C-5178-4ED6-B08C-77F112DF9716}" name="T07.2024" dataDxfId="29" dataCellStyle="Normal 2"/>
    <tableColumn id="47" xr3:uid="{DF011041-5B9F-4F3C-9917-A3E99D01D66E}" name="T08.2024" dataDxfId="28" dataCellStyle="Normal 2"/>
    <tableColumn id="48" xr3:uid="{9355621D-406D-4AC4-A473-3D2C96535211}" name="T09.2024" dataDxfId="27" dataCellStyle="Normal 2"/>
    <tableColumn id="49" xr3:uid="{8B01E0AE-5AA8-4D36-BEC0-A3B25CBCCC95}" name="T10.2024" dataDxfId="26" dataCellStyle="Normal 2"/>
    <tableColumn id="50" xr3:uid="{A0ED342B-0175-42FA-B156-110AA55FA35D}" name="T11.2024" dataDxfId="25" dataCellStyle="Normal 2"/>
    <tableColumn id="51" xr3:uid="{A2CD7253-6695-47B4-BA62-58885814AA4D}" name="T12.2024" dataDxfId="24" dataCellStyle="Normal 2"/>
    <tableColumn id="52" xr3:uid="{799C2FB0-5F6E-47F4-9342-E642156F8D65}" name="T01.2025" dataDxfId="23" dataCellStyle="Normal 2"/>
    <tableColumn id="53" xr3:uid="{9395DC01-7107-46F5-A981-32BB10D1F7A4}" name="T02.2025" dataDxfId="22" dataCellStyle="Normal 2"/>
    <tableColumn id="54" xr3:uid="{78F2DD60-7A83-4AAF-B9C2-D6D7BC3AC3B6}" name="T03.2025" dataDxfId="21" dataCellStyle="Normal 2"/>
    <tableColumn id="55" xr3:uid="{A3FD34CE-8E47-412F-9572-7605D9DF0CE5}" name="T04.2025" dataDxfId="20" dataCellStyle="Normal 2"/>
    <tableColumn id="56" xr3:uid="{6104C94C-1E15-4116-BBE7-3FC68B540FB9}" name="T05.2025" dataDxfId="19" dataCellStyle="Normal 2"/>
    <tableColumn id="57" xr3:uid="{DBDA31C2-618C-492E-AC7C-155618A563C2}" name="T06.2025" dataDxfId="18" dataCellStyle="Normal 2"/>
    <tableColumn id="58" xr3:uid="{40D1F951-0B34-4557-B8B8-1B1DDBC5AA09}" name="T07.2025" dataDxfId="17" dataCellStyle="Normal 2"/>
    <tableColumn id="59" xr3:uid="{558630ED-F038-4A10-9E56-69B6AA36CD94}" name="T08.2025" dataDxfId="16" dataCellStyle="Normal 2"/>
    <tableColumn id="60" xr3:uid="{2A0112DC-AC59-4157-9C6C-91A11A073B40}" name="T09.2025" dataDxfId="15" dataCellStyle="Normal 2"/>
    <tableColumn id="61" xr3:uid="{8FE2CC87-D989-4E71-AB5C-AA8D51DC84D2}" name="T10.2025" dataDxfId="14" dataCellStyle="Normal 2"/>
    <tableColumn id="62" xr3:uid="{1A49B698-F22E-4E7A-A8EB-0C1BEDC3E242}" name="T11.2025" dataDxfId="13" dataCellStyle="Normal 2"/>
    <tableColumn id="63" xr3:uid="{2B559A1F-F0B9-4F29-916F-8425FBF0FA8B}" name="T12.2025" dataDxfId="12" dataCellStyle="Normal 2"/>
    <tableColumn id="64" xr3:uid="{C8EDFC52-F207-4460-B0C0-B071DCC30644}" name="T01.2026" dataDxfId="11" dataCellStyle="Normal 2"/>
    <tableColumn id="65" xr3:uid="{7B8258B6-CF90-4C4A-9BF1-A5A17C20E39A}" name="T02.2026" dataDxfId="10" dataCellStyle="Normal 2"/>
    <tableColumn id="66" xr3:uid="{F08517D1-56F2-4CA2-B19E-3E7151F7EFC3}" name="T03.2026" dataDxfId="9" dataCellStyle="Normal 2"/>
    <tableColumn id="67" xr3:uid="{A5B79DBB-248F-474A-B12B-129054A4FD2E}" name="T04.2026" dataDxfId="8" dataCellStyle="Normal 2"/>
    <tableColumn id="68" xr3:uid="{8073AA54-F74F-48EA-94F9-57D1343ED482}" name="T05.2026" dataDxfId="7" dataCellStyle="Normal 2"/>
    <tableColumn id="69" xr3:uid="{5F4FF2D9-E406-4FD3-BFE3-2E88118E67E3}" name="T06.2026" dataDxfId="6" dataCellStyle="Normal 2"/>
    <tableColumn id="70" xr3:uid="{A3441E71-7CDE-4F4B-A031-AA9FD9C7398B}" name="T07.2026" dataDxfId="5" dataCellStyle="Normal 2"/>
    <tableColumn id="71" xr3:uid="{F83E4489-5B91-4836-8438-B3B3508CC6DB}" name="T08.2026" dataDxfId="4" dataCellStyle="Normal 2"/>
    <tableColumn id="72" xr3:uid="{26A11982-4B5A-4B89-B843-E4424C9FA88D}" name="T09.2026" dataDxfId="3" dataCellStyle="Normal 2"/>
    <tableColumn id="73" xr3:uid="{EADF574B-B8B0-493F-951E-BAD4E4287A27}" name="T10.2026" dataDxfId="2" dataCellStyle="Normal 2"/>
    <tableColumn id="74" xr3:uid="{A3AEA024-9244-4E91-A1FA-337B5071C656}" name="T11.2026" dataDxfId="1" dataCellStyle="Normal 2"/>
    <tableColumn id="75" xr3:uid="{E285798F-651C-432F-BBF9-E6DF863C506A}" name="T12.2026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5B68-66E2-48B4-9F0A-7805873FC99B}">
  <sheetPr>
    <tabColor theme="9" tint="0.59999389629810485"/>
  </sheetPr>
  <dimension ref="A1:J19"/>
  <sheetViews>
    <sheetView showGridLines="0" workbookViewId="0">
      <selection activeCell="C10" sqref="C10"/>
    </sheetView>
  </sheetViews>
  <sheetFormatPr defaultColWidth="9.140625" defaultRowHeight="12.75" x14ac:dyDescent="0.2"/>
  <cols>
    <col min="1" max="1" width="12.7109375" style="222" customWidth="1"/>
    <col min="2" max="2" width="19.5703125" style="222" bestFit="1" customWidth="1"/>
    <col min="3" max="3" width="11.28515625" style="222" customWidth="1"/>
    <col min="4" max="16384" width="9.140625" style="222"/>
  </cols>
  <sheetData>
    <row r="1" spans="1:10" s="214" customFormat="1" ht="15.75" x14ac:dyDescent="0.25">
      <c r="A1" s="212" t="s">
        <v>0</v>
      </c>
      <c r="B1" s="213"/>
      <c r="C1" s="213"/>
      <c r="D1" s="213"/>
      <c r="E1" s="213"/>
      <c r="J1" s="215"/>
    </row>
    <row r="2" spans="1:10" s="214" customFormat="1" ht="16.5" thickBot="1" x14ac:dyDescent="0.3">
      <c r="A2" s="216" t="s">
        <v>1</v>
      </c>
      <c r="B2" s="216"/>
      <c r="C2" s="216"/>
      <c r="D2" s="216"/>
      <c r="E2" s="216"/>
      <c r="F2" s="217"/>
      <c r="G2" s="217"/>
      <c r="H2" s="217"/>
      <c r="I2" s="217"/>
      <c r="J2" s="218"/>
    </row>
    <row r="3" spans="1:10" s="214" customFormat="1" ht="15.75" x14ac:dyDescent="0.25">
      <c r="A3" s="213" t="s">
        <v>2</v>
      </c>
      <c r="B3" s="219"/>
      <c r="J3" s="220"/>
    </row>
    <row r="4" spans="1:10" x14ac:dyDescent="0.2">
      <c r="A4" s="221" t="s">
        <v>3</v>
      </c>
    </row>
    <row r="6" spans="1:10" x14ac:dyDescent="0.2">
      <c r="B6" s="222" t="s">
        <v>4</v>
      </c>
      <c r="C6" s="223">
        <v>2026</v>
      </c>
    </row>
    <row r="7" spans="1:10" x14ac:dyDescent="0.2">
      <c r="B7" s="222" t="s">
        <v>5</v>
      </c>
      <c r="C7" s="222">
        <f>C6-1</f>
        <v>2025</v>
      </c>
    </row>
    <row r="9" spans="1:10" x14ac:dyDescent="0.2">
      <c r="B9" s="224" t="s">
        <v>6</v>
      </c>
      <c r="C9" s="225">
        <v>5</v>
      </c>
      <c r="F9" s="226"/>
    </row>
    <row r="10" spans="1:10" x14ac:dyDescent="0.2">
      <c r="B10" s="224"/>
    </row>
    <row r="12" spans="1:10" ht="14.25" x14ac:dyDescent="0.2">
      <c r="B12" s="227" t="s">
        <v>7</v>
      </c>
    </row>
    <row r="13" spans="1:10" ht="15" x14ac:dyDescent="0.25">
      <c r="B13" s="228"/>
    </row>
    <row r="15" spans="1:10" ht="14.25" x14ac:dyDescent="0.2">
      <c r="B15" s="227" t="s">
        <v>8</v>
      </c>
    </row>
    <row r="16" spans="1:10" ht="15" x14ac:dyDescent="0.25">
      <c r="B16" s="228"/>
    </row>
    <row r="18" spans="2:2" ht="14.25" x14ac:dyDescent="0.2">
      <c r="B18" s="227" t="s">
        <v>9</v>
      </c>
    </row>
    <row r="19" spans="2:2" ht="15" x14ac:dyDescent="0.25">
      <c r="B19" s="22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1C83-8B5F-4EF5-820C-A3F3CEE646D7}">
  <sheetPr>
    <tabColor theme="9" tint="0.59999389629810485"/>
  </sheetPr>
  <dimension ref="A3:J50"/>
  <sheetViews>
    <sheetView showGridLines="0" showZeros="0" topLeftCell="A5" workbookViewId="0">
      <selection activeCell="B51" sqref="B51"/>
    </sheetView>
  </sheetViews>
  <sheetFormatPr defaultColWidth="9.140625" defaultRowHeight="14.25" x14ac:dyDescent="0.2"/>
  <cols>
    <col min="1" max="9" width="9.140625" style="231"/>
    <col min="10" max="10" width="5.85546875" style="231" customWidth="1"/>
    <col min="11" max="11" width="11" style="231" customWidth="1"/>
    <col min="12" max="16384" width="9.140625" style="231"/>
  </cols>
  <sheetData>
    <row r="3" spans="9:9" x14ac:dyDescent="0.2">
      <c r="I3" s="230"/>
    </row>
    <row r="4" spans="9:9" ht="24" customHeight="1" x14ac:dyDescent="0.2"/>
    <row r="5" spans="9:9" ht="31.5" customHeight="1" x14ac:dyDescent="0.2"/>
    <row r="6" spans="9:9" ht="21.75" customHeight="1" x14ac:dyDescent="0.2"/>
    <row r="26" spans="1:10" ht="24" customHeight="1" x14ac:dyDescent="0.2">
      <c r="B26" s="232"/>
    </row>
    <row r="27" spans="1:10" ht="20.25" x14ac:dyDescent="0.3">
      <c r="A27" s="653"/>
      <c r="B27" s="653"/>
      <c r="C27" s="653"/>
      <c r="D27" s="653"/>
      <c r="E27" s="653"/>
      <c r="F27" s="653"/>
      <c r="G27" s="653"/>
      <c r="H27" s="653"/>
      <c r="I27" s="653"/>
      <c r="J27" s="653"/>
    </row>
    <row r="28" spans="1:10" ht="6.75" customHeight="1" x14ac:dyDescent="0.2"/>
    <row r="29" spans="1:10" ht="22.5" customHeight="1" x14ac:dyDescent="0.25">
      <c r="A29" s="233"/>
      <c r="B29" s="654" t="s">
        <v>10</v>
      </c>
      <c r="C29" s="655"/>
      <c r="D29" s="654"/>
      <c r="E29" s="655"/>
      <c r="F29" s="655"/>
      <c r="G29" s="655"/>
      <c r="H29" s="655"/>
      <c r="I29" s="655"/>
      <c r="J29" s="655"/>
    </row>
    <row r="30" spans="1:10" ht="15.95" customHeight="1" x14ac:dyDescent="0.2">
      <c r="A30" s="234"/>
      <c r="B30" s="235"/>
      <c r="C30" s="235"/>
      <c r="D30" s="235"/>
      <c r="E30" s="235"/>
      <c r="F30" s="235"/>
      <c r="G30" s="235"/>
      <c r="H30" s="235"/>
      <c r="I30" s="235"/>
      <c r="J30" s="235"/>
    </row>
    <row r="31" spans="1:10" ht="15.95" customHeight="1" x14ac:dyDescent="0.2">
      <c r="A31" s="233"/>
      <c r="B31" s="235"/>
      <c r="C31" s="235"/>
      <c r="D31" s="235"/>
      <c r="E31" s="235"/>
      <c r="F31" s="235"/>
      <c r="G31" s="235"/>
      <c r="H31" s="235"/>
      <c r="I31" s="235"/>
      <c r="J31" s="235"/>
    </row>
    <row r="34" spans="1:10" ht="15" customHeight="1" x14ac:dyDescent="0.2">
      <c r="B34" s="656"/>
      <c r="C34" s="656"/>
      <c r="D34" s="656"/>
      <c r="E34" s="656"/>
      <c r="F34" s="656"/>
      <c r="G34" s="656"/>
      <c r="H34" s="656"/>
      <c r="I34" s="656"/>
      <c r="J34" s="656"/>
    </row>
    <row r="45" spans="1:10" ht="3" customHeight="1" x14ac:dyDescent="0.2"/>
    <row r="46" spans="1:10" ht="16.5" customHeight="1" x14ac:dyDescent="0.2">
      <c r="A46" s="236"/>
    </row>
    <row r="47" spans="1:10" ht="22.5" customHeight="1" x14ac:dyDescent="0.25">
      <c r="A47" s="237"/>
      <c r="B47" s="235"/>
      <c r="C47" s="235"/>
      <c r="D47" s="235"/>
      <c r="E47" s="235"/>
      <c r="F47" s="235"/>
      <c r="G47" s="235"/>
      <c r="H47" s="235"/>
      <c r="I47" s="235"/>
      <c r="J47" s="235"/>
    </row>
    <row r="48" spans="1:10" ht="15" x14ac:dyDescent="0.25">
      <c r="A48" s="237"/>
      <c r="B48" s="235"/>
      <c r="C48" s="235"/>
      <c r="D48" s="235"/>
      <c r="E48" s="235"/>
      <c r="F48" s="235"/>
      <c r="G48" s="235"/>
      <c r="H48" s="235"/>
      <c r="I48" s="235"/>
      <c r="J48" s="235"/>
    </row>
    <row r="49" spans="1:10" ht="15" x14ac:dyDescent="0.25">
      <c r="A49" s="237"/>
      <c r="B49" s="235"/>
      <c r="C49" s="235"/>
      <c r="D49" s="235"/>
      <c r="E49" s="235"/>
      <c r="F49" s="235"/>
      <c r="G49" s="235"/>
      <c r="H49" s="235"/>
      <c r="I49" s="235"/>
      <c r="J49" s="235"/>
    </row>
    <row r="50" spans="1:10" ht="15" customHeight="1" x14ac:dyDescent="0.25">
      <c r="B50" s="657" t="s">
        <v>11</v>
      </c>
      <c r="C50" s="657"/>
      <c r="D50" s="657"/>
      <c r="E50" s="657"/>
      <c r="F50" s="657"/>
      <c r="G50" s="657"/>
      <c r="H50" s="657"/>
      <c r="I50" s="657"/>
      <c r="J50" s="657"/>
    </row>
  </sheetData>
  <mergeCells count="4">
    <mergeCell ref="A27:J27"/>
    <mergeCell ref="B29:J29"/>
    <mergeCell ref="B34:J34"/>
    <mergeCell ref="B50:J50"/>
  </mergeCells>
  <printOptions horizontalCentered="1"/>
  <pageMargins left="0.59055118110236227" right="0.31496062992125984" top="0.31496062992125984" bottom="0.31496062992125984" header="0.23622047244094491" footer="0.15748031496062992"/>
  <pageSetup paperSize="9" scale="9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355D-0A49-4CF5-8113-CE6AD0894983}">
  <sheetPr>
    <tabColor theme="8" tint="0.59999389629810485"/>
  </sheetPr>
  <dimension ref="A1:I31"/>
  <sheetViews>
    <sheetView showGridLines="0" showZeros="0" zoomScaleNormal="100" workbookViewId="0">
      <selection activeCell="D8" sqref="D8:E8"/>
    </sheetView>
  </sheetViews>
  <sheetFormatPr defaultColWidth="9.140625" defaultRowHeight="15.75" x14ac:dyDescent="0.25"/>
  <cols>
    <col min="1" max="5" width="9.140625" style="240"/>
    <col min="6" max="6" width="12.140625" style="240" customWidth="1"/>
    <col min="7" max="8" width="9.140625" style="240"/>
    <col min="9" max="9" width="26.28515625" style="240" customWidth="1"/>
    <col min="10" max="16384" width="9.140625" style="240"/>
  </cols>
  <sheetData>
    <row r="1" spans="1:9" s="214" customFormat="1" x14ac:dyDescent="0.25">
      <c r="A1" s="238" t="str">
        <f>'Thong tin'!A1</f>
        <v>CÔNG TY TNHH THU MUA PHẾ LIỆU KHÁNH NGA</v>
      </c>
      <c r="I1" s="215" t="s">
        <v>12</v>
      </c>
    </row>
    <row r="2" spans="1:9" s="214" customFormat="1" ht="16.5" thickBot="1" x14ac:dyDescent="0.3">
      <c r="A2" s="217" t="str">
        <f>'Thong tin'!A2</f>
        <v>Địa chỉ:</v>
      </c>
      <c r="B2" s="217"/>
      <c r="C2" s="217"/>
      <c r="D2" s="217"/>
      <c r="E2" s="217"/>
      <c r="F2" s="217"/>
      <c r="G2" s="217"/>
      <c r="H2" s="217"/>
      <c r="I2" s="218"/>
    </row>
    <row r="5" spans="1:9" x14ac:dyDescent="0.25">
      <c r="A5" s="239"/>
    </row>
    <row r="10" spans="1:9" ht="20.25" x14ac:dyDescent="0.3">
      <c r="A10" s="241" t="str">
        <f>"BÁO CÁO TÀI CHÍNH THÁNG "&amp;'Thong tin'!C9&amp;" NĂM 2026"</f>
        <v>BÁO CÁO TÀI CHÍNH THÁNG 5 NĂM 2026</v>
      </c>
      <c r="I10" s="242" t="s">
        <v>13</v>
      </c>
    </row>
    <row r="11" spans="1:9" ht="20.25" x14ac:dyDescent="0.3">
      <c r="A11" s="241"/>
    </row>
    <row r="12" spans="1:9" s="243" customFormat="1" ht="24.95" hidden="1" customHeight="1" x14ac:dyDescent="0.25">
      <c r="A12" s="243" t="s">
        <v>14</v>
      </c>
      <c r="I12" s="244" t="s">
        <v>15</v>
      </c>
    </row>
    <row r="13" spans="1:9" s="243" customFormat="1" ht="24.95" hidden="1" customHeight="1" x14ac:dyDescent="0.25">
      <c r="A13" s="243" t="s">
        <v>16</v>
      </c>
      <c r="I13" s="244" t="s">
        <v>17</v>
      </c>
    </row>
    <row r="14" spans="1:9" s="246" customFormat="1" ht="27" customHeight="1" x14ac:dyDescent="0.3">
      <c r="A14" s="245" t="s">
        <v>18</v>
      </c>
      <c r="I14" s="247" t="s">
        <v>19</v>
      </c>
    </row>
    <row r="15" spans="1:9" s="249" customFormat="1" ht="25.5" customHeight="1" x14ac:dyDescent="0.3">
      <c r="A15" s="248" t="s">
        <v>20</v>
      </c>
      <c r="I15" s="250" t="s">
        <v>21</v>
      </c>
    </row>
    <row r="16" spans="1:9" s="252" customFormat="1" ht="27.75" customHeight="1" x14ac:dyDescent="0.3">
      <c r="A16" s="251" t="s">
        <v>22</v>
      </c>
      <c r="I16" s="253" t="s">
        <v>23</v>
      </c>
    </row>
    <row r="17" spans="1:9" ht="27" hidden="1" customHeight="1" x14ac:dyDescent="0.3">
      <c r="A17" s="254" t="s">
        <v>24</v>
      </c>
      <c r="I17" s="255" t="s">
        <v>25</v>
      </c>
    </row>
    <row r="30" spans="1:9" s="243" customFormat="1" x14ac:dyDescent="0.25">
      <c r="A30" s="658" t="s">
        <v>26</v>
      </c>
      <c r="B30" s="658"/>
      <c r="C30" s="658"/>
      <c r="D30" s="658"/>
      <c r="E30" s="658"/>
      <c r="F30" s="658"/>
      <c r="G30" s="658"/>
      <c r="H30" s="658"/>
      <c r="I30" s="658"/>
    </row>
    <row r="31" spans="1:9" s="243" customFormat="1" x14ac:dyDescent="0.25">
      <c r="A31" s="658" t="s">
        <v>27</v>
      </c>
      <c r="B31" s="658"/>
      <c r="C31" s="658"/>
      <c r="D31" s="658"/>
      <c r="E31" s="658"/>
      <c r="F31" s="658"/>
      <c r="G31" s="658"/>
      <c r="H31" s="658"/>
      <c r="I31" s="658"/>
    </row>
  </sheetData>
  <mergeCells count="2">
    <mergeCell ref="A30:I30"/>
    <mergeCell ref="A31:I31"/>
  </mergeCells>
  <printOptions horizontalCentered="1"/>
  <pageMargins left="0.64" right="0.31496062992125984" top="0.31496062992125984" bottom="0.19685039370078741" header="0.31496062992125984" footer="0.19685039370078741"/>
  <pageSetup paperSize="9" scale="90" orientation="portrait" useFirstPageNumber="1" r:id="rId1"/>
  <headerFooter alignWithMargins="0">
    <oddFooter>&amp;CTrang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3139-97D9-43F1-960F-5EF3BA44D057}">
  <sheetPr>
    <tabColor theme="8" tint="0.59999389629810485"/>
  </sheetPr>
  <dimension ref="A1:J168"/>
  <sheetViews>
    <sheetView showGridLines="0" showZeros="0" zoomScaleNormal="100" zoomScaleSheetLayoutView="90" workbookViewId="0">
      <pane xSplit="1" ySplit="7" topLeftCell="B8" activePane="bottomRight" state="frozen"/>
      <selection pane="topRight" activeCell="D8" sqref="D8:E8"/>
      <selection pane="bottomLeft" activeCell="D8" sqref="D8:E8"/>
      <selection pane="bottomRight" activeCell="D8" sqref="D8"/>
    </sheetView>
  </sheetViews>
  <sheetFormatPr defaultColWidth="9.140625" defaultRowHeight="15" x14ac:dyDescent="0.25"/>
  <cols>
    <col min="1" max="1" width="57.5703125" style="261" customWidth="1"/>
    <col min="2" max="2" width="20" style="292" customWidth="1"/>
    <col min="3" max="3" width="20" style="292" bestFit="1" customWidth="1"/>
    <col min="4" max="4" width="6.5703125" style="261" customWidth="1"/>
    <col min="5" max="5" width="16.28515625" style="261" bestFit="1" customWidth="1"/>
    <col min="6" max="16384" width="9.140625" style="261"/>
  </cols>
  <sheetData>
    <row r="1" spans="1:10" s="258" customFormat="1" ht="15.75" x14ac:dyDescent="0.25">
      <c r="A1" s="256" t="str">
        <f>'Thong tin'!$A$1</f>
        <v>CÔNG TY TNHH THU MUA PHẾ LIỆU KHÁNH NGA</v>
      </c>
      <c r="B1" s="257"/>
      <c r="C1" s="215"/>
    </row>
    <row r="2" spans="1:10" s="258" customFormat="1" ht="16.5" thickBot="1" x14ac:dyDescent="0.3">
      <c r="A2" s="259" t="str">
        <f>'Thong tin'!$A$2</f>
        <v>Địa chỉ:</v>
      </c>
      <c r="B2" s="260"/>
      <c r="C2" s="218"/>
    </row>
    <row r="3" spans="1:10" s="258" customFormat="1" ht="15.75" x14ac:dyDescent="0.25">
      <c r="A3" s="261"/>
      <c r="B3" s="257"/>
      <c r="C3" s="220"/>
    </row>
    <row r="4" spans="1:10" ht="20.25" x14ac:dyDescent="0.3">
      <c r="A4" s="659" t="s">
        <v>28</v>
      </c>
      <c r="B4" s="659"/>
      <c r="C4" s="659"/>
    </row>
    <row r="5" spans="1:10" ht="15.75" x14ac:dyDescent="0.25">
      <c r="A5" s="660" t="str">
        <f>"Năm " &amp; 'Thong tin'!$C$6</f>
        <v>Năm 2026</v>
      </c>
      <c r="B5" s="660"/>
      <c r="C5" s="660"/>
    </row>
    <row r="6" spans="1:10" x14ac:dyDescent="0.25">
      <c r="A6" s="262"/>
      <c r="B6" s="263"/>
      <c r="C6" s="264" t="str">
        <f>'KQKD in'!G6</f>
        <v>ĐVT: VNĐ</v>
      </c>
    </row>
    <row r="7" spans="1:10" s="266" customFormat="1" ht="30" customHeight="1" x14ac:dyDescent="0.25">
      <c r="A7" s="559" t="s">
        <v>29</v>
      </c>
      <c r="B7" s="560" t="str">
        <f>"Số cuối tháng"&amp;" "&amp;$D$7</f>
        <v>Số cuối tháng 5</v>
      </c>
      <c r="C7" s="561" t="str">
        <f>"Số dư đầu năm " &amp; 'Thong tin'!$C$6</f>
        <v>Số dư đầu năm 2026</v>
      </c>
      <c r="D7" s="265">
        <v>5</v>
      </c>
    </row>
    <row r="8" spans="1:10" s="270" customFormat="1" x14ac:dyDescent="0.25">
      <c r="A8" s="267" t="s">
        <v>30</v>
      </c>
      <c r="B8" s="268">
        <f ca="1">B10+B14+B22+B31+B40</f>
        <v>19257599078</v>
      </c>
      <c r="C8" s="268">
        <f>C10+C14+C22+C31+C40</f>
        <v>17398509917</v>
      </c>
      <c r="D8" s="269"/>
      <c r="E8" s="269"/>
    </row>
    <row r="9" spans="1:10" x14ac:dyDescent="0.25">
      <c r="A9" s="271"/>
      <c r="B9" s="272"/>
      <c r="C9" s="272"/>
    </row>
    <row r="10" spans="1:10" s="258" customFormat="1" x14ac:dyDescent="0.25">
      <c r="A10" s="273" t="s">
        <v>31</v>
      </c>
      <c r="B10" s="274">
        <f t="shared" ref="B10:C10" ca="1" si="0">SUM(B11:B12)</f>
        <v>4265994913</v>
      </c>
      <c r="C10" s="274">
        <f t="shared" si="0"/>
        <v>8999449324</v>
      </c>
    </row>
    <row r="11" spans="1:10" x14ac:dyDescent="0.25">
      <c r="A11" s="271" t="s">
        <v>32</v>
      </c>
      <c r="B11" s="272">
        <f ca="1">OFFSET('Tinh hinh tai chinh'!$BL6,0,'THTC in'!$D$7 - 1)</f>
        <v>1265994913</v>
      </c>
      <c r="C11" s="272">
        <f>'Tinh hinh tai chinh'!BL6</f>
        <v>2999449324</v>
      </c>
    </row>
    <row r="12" spans="1:10" x14ac:dyDescent="0.25">
      <c r="A12" s="271" t="s">
        <v>33</v>
      </c>
      <c r="B12" s="272">
        <f ca="1">OFFSET('Tinh hinh tai chinh'!$BL7,0,'THTC in'!$D$7 - 1)</f>
        <v>3000000000</v>
      </c>
      <c r="C12" s="272">
        <f>'Tinh hinh tai chinh'!BL7</f>
        <v>6000000000</v>
      </c>
    </row>
    <row r="13" spans="1:10" x14ac:dyDescent="0.25">
      <c r="A13" s="271"/>
      <c r="B13" s="272"/>
      <c r="C13" s="272"/>
      <c r="J13" s="275"/>
    </row>
    <row r="14" spans="1:10" s="258" customFormat="1" x14ac:dyDescent="0.25">
      <c r="A14" s="273" t="s">
        <v>34</v>
      </c>
      <c r="B14" s="274">
        <f ca="1">SUM(B15:B20)</f>
        <v>1000000000</v>
      </c>
      <c r="C14" s="274">
        <f>SUM(C15:C20)</f>
        <v>0</v>
      </c>
    </row>
    <row r="15" spans="1:10" x14ac:dyDescent="0.25">
      <c r="A15" s="271" t="s">
        <v>35</v>
      </c>
      <c r="B15" s="272">
        <f ca="1">OFFSET('Tinh hinh tai chinh'!$BL9,0,'THTC in'!$D$7 - 1)</f>
        <v>0</v>
      </c>
      <c r="C15" s="272">
        <f>'Tinh hinh tai chinh'!BK9</f>
        <v>0</v>
      </c>
      <c r="J15" s="275"/>
    </row>
    <row r="16" spans="1:10" ht="17.25" customHeight="1" x14ac:dyDescent="0.25">
      <c r="A16" s="276" t="s">
        <v>36</v>
      </c>
      <c r="B16" s="272">
        <f ca="1">OFFSET('Tinh hinh tai chinh'!$BL10,0,'THTC in'!$D$7 - 1)</f>
        <v>0</v>
      </c>
      <c r="C16" s="272">
        <f>'Tinh hinh tai chinh'!BK10</f>
        <v>0</v>
      </c>
    </row>
    <row r="17" spans="1:6" ht="18" customHeight="1" x14ac:dyDescent="0.25">
      <c r="A17" s="277" t="s">
        <v>37</v>
      </c>
      <c r="B17" s="272">
        <f ca="1">OFFSET('Tinh hinh tai chinh'!$BL11,0,'THTC in'!$D$7 - 1)</f>
        <v>1000000000</v>
      </c>
      <c r="C17" s="272">
        <f>'Tinh hinh tai chinh'!BK11</f>
        <v>0</v>
      </c>
    </row>
    <row r="18" spans="1:6" ht="18" customHeight="1" x14ac:dyDescent="0.25">
      <c r="A18" s="277" t="s">
        <v>38</v>
      </c>
      <c r="B18" s="272">
        <f ca="1">OFFSET('Tinh hinh tai chinh'!$BL12,0,'THTC in'!$D$7 - 1)</f>
        <v>0</v>
      </c>
      <c r="C18" s="272">
        <f>'Tinh hinh tai chinh'!BK12</f>
        <v>0</v>
      </c>
    </row>
    <row r="19" spans="1:6" ht="18" customHeight="1" x14ac:dyDescent="0.25">
      <c r="A19" s="277" t="s">
        <v>39</v>
      </c>
      <c r="B19" s="272">
        <f ca="1">OFFSET('Tinh hinh tai chinh'!$BL13,0,'THTC in'!$D$7 - 1)</f>
        <v>0</v>
      </c>
      <c r="C19" s="272">
        <f>'Tinh hinh tai chinh'!BK13</f>
        <v>0</v>
      </c>
    </row>
    <row r="20" spans="1:6" ht="18" customHeight="1" x14ac:dyDescent="0.25">
      <c r="A20" s="277" t="s">
        <v>40</v>
      </c>
      <c r="B20" s="272">
        <f ca="1">OFFSET('Tinh hinh tai chinh'!$BL14,0,'THTC in'!$D$7 - 1)</f>
        <v>0</v>
      </c>
      <c r="C20" s="272">
        <f>'Tinh hinh tai chinh'!BK14</f>
        <v>0</v>
      </c>
    </row>
    <row r="21" spans="1:6" ht="15" customHeight="1" x14ac:dyDescent="0.25">
      <c r="A21" s="277"/>
      <c r="B21" s="272"/>
      <c r="C21" s="272"/>
    </row>
    <row r="22" spans="1:6" s="258" customFormat="1" x14ac:dyDescent="0.25">
      <c r="A22" s="273" t="s">
        <v>41</v>
      </c>
      <c r="B22" s="274">
        <f ca="1">SUM(B23:B29)</f>
        <v>4109614535</v>
      </c>
      <c r="C22" s="274">
        <f>SUM(C23:C29)</f>
        <v>2027514130</v>
      </c>
    </row>
    <row r="23" spans="1:6" x14ac:dyDescent="0.25">
      <c r="A23" s="271" t="s">
        <v>42</v>
      </c>
      <c r="B23" s="272">
        <f ca="1">OFFSET('Tinh hinh tai chinh'!$BL16,0,'THTC in'!$D$7 - 1)</f>
        <v>1482666995</v>
      </c>
      <c r="C23" s="272">
        <f>'Tinh hinh tai chinh'!BL16</f>
        <v>130705920</v>
      </c>
      <c r="D23" s="278"/>
      <c r="F23" s="278"/>
    </row>
    <row r="24" spans="1:6" x14ac:dyDescent="0.25">
      <c r="A24" s="271" t="s">
        <v>43</v>
      </c>
      <c r="B24" s="272">
        <f ca="1">OFFSET('Tinh hinh tai chinh'!$BL17,0,'THTC in'!$D$7 - 1)</f>
        <v>284717973</v>
      </c>
      <c r="C24" s="272">
        <f>'Tinh hinh tai chinh'!BL17</f>
        <v>874147973</v>
      </c>
    </row>
    <row r="25" spans="1:6" x14ac:dyDescent="0.25">
      <c r="A25" s="271" t="s">
        <v>44</v>
      </c>
      <c r="B25" s="272">
        <f ca="1">OFFSET('Tinh hinh tai chinh'!$BL18,0,'THTC in'!$D$7 - 1)</f>
        <v>0</v>
      </c>
      <c r="C25" s="272">
        <f>'Tinh hinh tai chinh'!BK18</f>
        <v>0</v>
      </c>
    </row>
    <row r="26" spans="1:6" ht="16.5" customHeight="1" x14ac:dyDescent="0.25">
      <c r="A26" s="276" t="s">
        <v>45</v>
      </c>
      <c r="B26" s="272">
        <f ca="1">OFFSET('Tinh hinh tai chinh'!$BL19,0,'THTC in'!$D$7 - 1)</f>
        <v>0</v>
      </c>
      <c r="C26" s="272">
        <f>'Tinh hinh tai chinh'!BK19</f>
        <v>0</v>
      </c>
    </row>
    <row r="27" spans="1:6" x14ac:dyDescent="0.25">
      <c r="A27" s="271" t="s">
        <v>46</v>
      </c>
      <c r="B27" s="272">
        <f ca="1">OFFSET('Tinh hinh tai chinh'!$BL20,0,'THTC in'!$D$7 - 1)</f>
        <v>2342229567</v>
      </c>
      <c r="C27" s="272">
        <f>'Tinh hinh tai chinh'!BL20</f>
        <v>1022660237</v>
      </c>
    </row>
    <row r="28" spans="1:6" x14ac:dyDescent="0.25">
      <c r="A28" s="271" t="s">
        <v>47</v>
      </c>
      <c r="B28" s="272">
        <f ca="1">OFFSET('Tinh hinh tai chinh'!$BL21,0,'THTC in'!$D$7 - 1)</f>
        <v>0</v>
      </c>
      <c r="C28" s="272">
        <f>'Tinh hinh tai chinh'!BK21</f>
        <v>0</v>
      </c>
    </row>
    <row r="29" spans="1:6" x14ac:dyDescent="0.25">
      <c r="A29" s="277" t="s">
        <v>48</v>
      </c>
      <c r="B29" s="272">
        <f ca="1">OFFSET('Tinh hinh tai chinh'!$BL22,0,'THTC in'!$D$7 - 1)</f>
        <v>0</v>
      </c>
      <c r="C29" s="272">
        <f>'Tinh hinh tai chinh'!BK22</f>
        <v>0</v>
      </c>
    </row>
    <row r="30" spans="1:6" ht="15" customHeight="1" x14ac:dyDescent="0.25">
      <c r="A30" s="277"/>
      <c r="B30" s="272"/>
      <c r="C30" s="272"/>
    </row>
    <row r="31" spans="1:6" s="258" customFormat="1" x14ac:dyDescent="0.25">
      <c r="A31" s="273" t="s">
        <v>49</v>
      </c>
      <c r="B31" s="274">
        <f t="shared" ref="B31:C31" ca="1" si="1">SUM(B32:B33)</f>
        <v>8989031026</v>
      </c>
      <c r="C31" s="274">
        <f t="shared" si="1"/>
        <v>5045758048</v>
      </c>
    </row>
    <row r="32" spans="1:6" x14ac:dyDescent="0.25">
      <c r="A32" s="271" t="s">
        <v>50</v>
      </c>
      <c r="B32" s="279">
        <f ca="1">OFFSET('Tinh hinh tai chinh'!$BL24,0,'THTC in'!$D$7 - 1)</f>
        <v>8989031026</v>
      </c>
      <c r="C32" s="272">
        <f>'Tinh hinh tai chinh'!BL24</f>
        <v>5045758048</v>
      </c>
    </row>
    <row r="33" spans="1:3" x14ac:dyDescent="0.25">
      <c r="A33" s="271" t="s">
        <v>51</v>
      </c>
      <c r="B33" s="279">
        <f ca="1">OFFSET('Tinh hinh tai chinh'!$BL25,0,'THTC in'!$D$7 - 1)</f>
        <v>0</v>
      </c>
      <c r="C33" s="272">
        <f>'Tinh hinh tai chinh'!BK25</f>
        <v>0</v>
      </c>
    </row>
    <row r="34" spans="1:3" x14ac:dyDescent="0.25">
      <c r="A34" s="271"/>
      <c r="B34" s="279"/>
      <c r="C34" s="272"/>
    </row>
    <row r="35" spans="1:3" x14ac:dyDescent="0.25">
      <c r="A35" s="273" t="s">
        <v>52</v>
      </c>
      <c r="B35" s="279">
        <f ca="1">SUM(B36:B38)</f>
        <v>0</v>
      </c>
      <c r="C35" s="272">
        <f>SUM(C36:C38)</f>
        <v>0</v>
      </c>
    </row>
    <row r="36" spans="1:3" x14ac:dyDescent="0.25">
      <c r="A36" s="271" t="s">
        <v>53</v>
      </c>
      <c r="B36" s="279">
        <f ca="1">OFFSET('Tinh hinh tai chinh'!$BL27,0,'THTC in'!$D$7 - 1)</f>
        <v>0</v>
      </c>
      <c r="C36" s="272">
        <f>'Tinh hinh tai chinh'!BK27</f>
        <v>0</v>
      </c>
    </row>
    <row r="37" spans="1:3" x14ac:dyDescent="0.25">
      <c r="A37" s="271" t="s">
        <v>54</v>
      </c>
      <c r="B37" s="279">
        <f ca="1">OFFSET('Tinh hinh tai chinh'!$BL28,0,'THTC in'!$D$7 - 1)</f>
        <v>0</v>
      </c>
      <c r="C37" s="272">
        <f>'Tinh hinh tai chinh'!BK28</f>
        <v>0</v>
      </c>
    </row>
    <row r="38" spans="1:3" x14ac:dyDescent="0.25">
      <c r="A38" s="271" t="s">
        <v>55</v>
      </c>
      <c r="B38" s="279">
        <f ca="1">OFFSET('Tinh hinh tai chinh'!$BL29,0,'THTC in'!$D$7 - 1)</f>
        <v>0</v>
      </c>
      <c r="C38" s="272">
        <f>'Tinh hinh tai chinh'!BK29</f>
        <v>0</v>
      </c>
    </row>
    <row r="39" spans="1:3" x14ac:dyDescent="0.25">
      <c r="A39" s="271"/>
      <c r="B39" s="272"/>
      <c r="C39" s="272"/>
    </row>
    <row r="40" spans="1:3" s="258" customFormat="1" x14ac:dyDescent="0.25">
      <c r="A40" s="273" t="s">
        <v>56</v>
      </c>
      <c r="B40" s="274">
        <f t="shared" ref="B40:C40" ca="1" si="2">SUM(B41:B45)</f>
        <v>892958604</v>
      </c>
      <c r="C40" s="274">
        <f t="shared" si="2"/>
        <v>1325788415</v>
      </c>
    </row>
    <row r="41" spans="1:3" x14ac:dyDescent="0.25">
      <c r="A41" s="271" t="s">
        <v>57</v>
      </c>
      <c r="B41" s="272">
        <f ca="1">OFFSET('Tinh hinh tai chinh'!$BL31,0,'THTC in'!$D$7 - 1)</f>
        <v>892958604</v>
      </c>
      <c r="C41" s="272">
        <f>'Tinh hinh tai chinh'!BL31</f>
        <v>1325788415</v>
      </c>
    </row>
    <row r="42" spans="1:3" x14ac:dyDescent="0.25">
      <c r="A42" s="271" t="s">
        <v>58</v>
      </c>
      <c r="B42" s="272">
        <f ca="1">OFFSET('Tinh hinh tai chinh'!$BL32,0,'THTC in'!$D$7 - 1)</f>
        <v>0</v>
      </c>
      <c r="C42" s="272">
        <f>'Tinh hinh tai chinh'!BK32</f>
        <v>0</v>
      </c>
    </row>
    <row r="43" spans="1:3" x14ac:dyDescent="0.25">
      <c r="A43" s="271" t="s">
        <v>59</v>
      </c>
      <c r="B43" s="272">
        <f ca="1">OFFSET('Tinh hinh tai chinh'!$BL33,0,'THTC in'!$D$7 - 1)</f>
        <v>0</v>
      </c>
      <c r="C43" s="272">
        <f>'Tinh hinh tai chinh'!BL33</f>
        <v>0</v>
      </c>
    </row>
    <row r="44" spans="1:3" x14ac:dyDescent="0.25">
      <c r="A44" s="277" t="s">
        <v>60</v>
      </c>
      <c r="B44" s="272">
        <f ca="1">OFFSET('Tinh hinh tai chinh'!$BL34,0,'THTC in'!$D$7 - 1)</f>
        <v>0</v>
      </c>
      <c r="C44" s="272">
        <f>'Tinh hinh tai chinh'!BK34</f>
        <v>0</v>
      </c>
    </row>
    <row r="45" spans="1:3" x14ac:dyDescent="0.25">
      <c r="A45" s="271" t="s">
        <v>61</v>
      </c>
      <c r="B45" s="272">
        <f ca="1">OFFSET('Tinh hinh tai chinh'!$BL35,0,'THTC in'!$D$7 - 1)</f>
        <v>0</v>
      </c>
      <c r="C45" s="272">
        <f>'Tinh hinh tai chinh'!BK35</f>
        <v>0</v>
      </c>
    </row>
    <row r="46" spans="1:3" ht="15" customHeight="1" x14ac:dyDescent="0.25">
      <c r="A46" s="271"/>
      <c r="B46" s="272"/>
      <c r="C46" s="272"/>
    </row>
    <row r="47" spans="1:3" s="270" customFormat="1" x14ac:dyDescent="0.25">
      <c r="A47" s="280" t="s">
        <v>62</v>
      </c>
      <c r="B47" s="281">
        <f ca="1">B48+B58+B79+B87+B95+B83</f>
        <v>6901738911</v>
      </c>
      <c r="C47" s="281">
        <f>C48+C58+C79+C87+C95+C83</f>
        <v>6404349557</v>
      </c>
    </row>
    <row r="48" spans="1:3" s="258" customFormat="1" x14ac:dyDescent="0.25">
      <c r="A48" s="273" t="s">
        <v>63</v>
      </c>
      <c r="B48" s="282">
        <f ca="1">SUM(B49:B54)</f>
        <v>0</v>
      </c>
      <c r="C48" s="282">
        <f>SUM(C49:C54)</f>
        <v>0</v>
      </c>
    </row>
    <row r="49" spans="1:4" x14ac:dyDescent="0.25">
      <c r="A49" s="271" t="s">
        <v>64</v>
      </c>
      <c r="B49" s="272">
        <f ca="1">OFFSET('Tinh hinh tai chinh'!$BL38,0,'THTC in'!$D$7 - 1)</f>
        <v>0</v>
      </c>
      <c r="C49" s="272">
        <f>'Tinh hinh tai chinh'!BK38</f>
        <v>0</v>
      </c>
    </row>
    <row r="50" spans="1:4" x14ac:dyDescent="0.25">
      <c r="A50" s="271" t="s">
        <v>65</v>
      </c>
      <c r="B50" s="272">
        <f ca="1">OFFSET('Tinh hinh tai chinh'!$BL39,0,'THTC in'!$D$7 - 1)</f>
        <v>0</v>
      </c>
      <c r="C50" s="272">
        <f>'Tinh hinh tai chinh'!BK39</f>
        <v>0</v>
      </c>
    </row>
    <row r="51" spans="1:4" x14ac:dyDescent="0.25">
      <c r="A51" s="271" t="s">
        <v>66</v>
      </c>
      <c r="B51" s="272">
        <f ca="1">OFFSET('Tinh hinh tai chinh'!$BL40,0,'THTC in'!$D$7 - 1)</f>
        <v>0</v>
      </c>
      <c r="C51" s="272">
        <f>'Tinh hinh tai chinh'!BK40</f>
        <v>0</v>
      </c>
    </row>
    <row r="52" spans="1:4" x14ac:dyDescent="0.25">
      <c r="A52" s="271" t="s">
        <v>67</v>
      </c>
      <c r="B52" s="272">
        <f ca="1">OFFSET('Tinh hinh tai chinh'!$BL41,0,'THTC in'!$D$7 - 1)</f>
        <v>0</v>
      </c>
      <c r="C52" s="272">
        <f>'Tinh hinh tai chinh'!BK41</f>
        <v>0</v>
      </c>
    </row>
    <row r="53" spans="1:4" x14ac:dyDescent="0.25">
      <c r="A53" s="271" t="s">
        <v>68</v>
      </c>
      <c r="B53" s="272">
        <f ca="1">OFFSET('Tinh hinh tai chinh'!$BL42,0,'THTC in'!$D$7 - 1)</f>
        <v>0</v>
      </c>
      <c r="C53" s="272">
        <f>'Tinh hinh tai chinh'!BK42</f>
        <v>0</v>
      </c>
    </row>
    <row r="54" spans="1:4" x14ac:dyDescent="0.25">
      <c r="A54" s="283" t="s">
        <v>69</v>
      </c>
      <c r="B54" s="284">
        <f ca="1">OFFSET('Tinh hinh tai chinh'!$BL43,0,'THTC in'!$D$7 - 1)</f>
        <v>0</v>
      </c>
      <c r="C54" s="284">
        <f>'Tinh hinh tai chinh'!BK43</f>
        <v>0</v>
      </c>
    </row>
    <row r="55" spans="1:4" x14ac:dyDescent="0.25">
      <c r="A55" s="285"/>
      <c r="B55" s="286"/>
      <c r="C55" s="286"/>
    </row>
    <row r="56" spans="1:4" s="287" customFormat="1" ht="32.25" customHeight="1" x14ac:dyDescent="0.25">
      <c r="A56" s="559" t="s">
        <v>29</v>
      </c>
      <c r="B56" s="562" t="str">
        <f>B7</f>
        <v>Số cuối tháng 5</v>
      </c>
      <c r="C56" s="562" t="str">
        <f>C7</f>
        <v>Số dư đầu năm 2026</v>
      </c>
    </row>
    <row r="57" spans="1:4" x14ac:dyDescent="0.25">
      <c r="A57" s="288"/>
      <c r="B57" s="289"/>
      <c r="C57" s="289"/>
    </row>
    <row r="58" spans="1:4" s="258" customFormat="1" x14ac:dyDescent="0.25">
      <c r="A58" s="273" t="s">
        <v>70</v>
      </c>
      <c r="B58" s="282">
        <f t="shared" ref="B58:C58" ca="1" si="3">B59+B62+B65</f>
        <v>6162816416</v>
      </c>
      <c r="C58" s="282">
        <f t="shared" si="3"/>
        <v>5733223097</v>
      </c>
    </row>
    <row r="59" spans="1:4" x14ac:dyDescent="0.25">
      <c r="A59" s="271" t="s">
        <v>71</v>
      </c>
      <c r="B59" s="290">
        <f t="shared" ref="B59:C59" ca="1" si="4">SUM(B60:B61)</f>
        <v>5913847666</v>
      </c>
      <c r="C59" s="290">
        <f t="shared" si="4"/>
        <v>5733223097</v>
      </c>
    </row>
    <row r="60" spans="1:4" s="258" customFormat="1" x14ac:dyDescent="0.25">
      <c r="A60" s="271" t="s">
        <v>72</v>
      </c>
      <c r="B60" s="290">
        <f ca="1">OFFSET('Tinh hinh tai chinh'!$BL46,0,'THTC in'!$D$7 - 1)</f>
        <v>11646875346</v>
      </c>
      <c r="C60" s="290">
        <f>'Tinh hinh tai chinh'!BL46</f>
        <v>10787997381</v>
      </c>
      <c r="D60" s="257"/>
    </row>
    <row r="61" spans="1:4" x14ac:dyDescent="0.25">
      <c r="A61" s="271" t="s">
        <v>73</v>
      </c>
      <c r="B61" s="291">
        <f ca="1">OFFSET('Tinh hinh tai chinh'!$BL47,0,'THTC in'!$D$7 - 1)</f>
        <v>-5733027680</v>
      </c>
      <c r="C61" s="291">
        <f>'Tinh hinh tai chinh'!BL47</f>
        <v>-5054774284</v>
      </c>
      <c r="D61" s="292"/>
    </row>
    <row r="62" spans="1:4" x14ac:dyDescent="0.25">
      <c r="A62" s="271" t="s">
        <v>74</v>
      </c>
      <c r="B62" s="290">
        <f ca="1">SUM(B63:B64)</f>
        <v>0</v>
      </c>
      <c r="C62" s="290">
        <f>SUM(C63:C64)</f>
        <v>0</v>
      </c>
    </row>
    <row r="63" spans="1:4" x14ac:dyDescent="0.25">
      <c r="A63" s="271" t="s">
        <v>72</v>
      </c>
      <c r="B63" s="291">
        <f ca="1">OFFSET('Tinh hinh tai chinh'!$BL49,0,'THTC in'!$D$7 - 1)</f>
        <v>0</v>
      </c>
      <c r="C63" s="290">
        <f>'Tinh hinh tai chinh'!BL49</f>
        <v>0</v>
      </c>
    </row>
    <row r="64" spans="1:4" x14ac:dyDescent="0.25">
      <c r="A64" s="271" t="s">
        <v>73</v>
      </c>
      <c r="B64" s="291">
        <f ca="1">OFFSET('Tinh hinh tai chinh'!$BL50,0,'THTC in'!$D$7 - 1)</f>
        <v>0</v>
      </c>
      <c r="C64" s="291">
        <f>'Tinh hinh tai chinh'!BL50</f>
        <v>0</v>
      </c>
    </row>
    <row r="65" spans="1:4" x14ac:dyDescent="0.25">
      <c r="A65" s="271" t="s">
        <v>75</v>
      </c>
      <c r="B65" s="290">
        <f t="shared" ref="B65" ca="1" si="5">SUM(B66:B67)</f>
        <v>248968750</v>
      </c>
      <c r="C65" s="290">
        <f>SUM(C66:C67)</f>
        <v>0</v>
      </c>
    </row>
    <row r="66" spans="1:4" x14ac:dyDescent="0.25">
      <c r="A66" s="271" t="s">
        <v>72</v>
      </c>
      <c r="B66" s="291">
        <f ca="1">OFFSET('Tinh hinh tai chinh'!$BL52,0,'THTC in'!$D$7 - 1)</f>
        <v>257000000</v>
      </c>
      <c r="C66" s="290">
        <f>'Tinh hinh tai chinh'!BK52</f>
        <v>0</v>
      </c>
      <c r="D66" s="292"/>
    </row>
    <row r="67" spans="1:4" x14ac:dyDescent="0.25">
      <c r="A67" s="271" t="s">
        <v>73</v>
      </c>
      <c r="B67" s="291">
        <f ca="1">OFFSET('Tinh hinh tai chinh'!$BL53,0,'THTC in'!$D$7 - 1)</f>
        <v>-8031250</v>
      </c>
      <c r="C67" s="291">
        <f>'Tinh hinh tai chinh'!BL53</f>
        <v>0</v>
      </c>
    </row>
    <row r="68" spans="1:4" x14ac:dyDescent="0.25">
      <c r="A68" s="271"/>
      <c r="B68" s="272"/>
      <c r="C68" s="272"/>
    </row>
    <row r="69" spans="1:4" x14ac:dyDescent="0.25">
      <c r="A69" s="273" t="s">
        <v>76</v>
      </c>
      <c r="B69" s="272"/>
      <c r="C69" s="272">
        <f>SUM(C70,C75:C77)</f>
        <v>0</v>
      </c>
    </row>
    <row r="70" spans="1:4" x14ac:dyDescent="0.25">
      <c r="A70" s="271" t="s">
        <v>77</v>
      </c>
      <c r="B70" s="272">
        <f ca="1">OFFSET('Tinh hinh tai chinh'!$BL55,0,'THTC in'!$D$7 - 1)</f>
        <v>0</v>
      </c>
      <c r="C70" s="272">
        <f>'Tinh hinh tai chinh'!BK55</f>
        <v>0</v>
      </c>
    </row>
    <row r="71" spans="1:4" x14ac:dyDescent="0.25">
      <c r="A71" s="293" t="s">
        <v>78</v>
      </c>
      <c r="B71" s="272">
        <f ca="1">OFFSET('Tinh hinh tai chinh'!$BL56,0,'THTC in'!$D$7 - 1)</f>
        <v>0</v>
      </c>
      <c r="C71" s="272">
        <f>'Tinh hinh tai chinh'!BK56</f>
        <v>0</v>
      </c>
    </row>
    <row r="72" spans="1:4" x14ac:dyDescent="0.25">
      <c r="A72" s="293" t="s">
        <v>79</v>
      </c>
      <c r="B72" s="272">
        <f ca="1">OFFSET('Tinh hinh tai chinh'!$BL57,0,'THTC in'!$D$7 - 1)</f>
        <v>0</v>
      </c>
      <c r="C72" s="272">
        <f>'Tinh hinh tai chinh'!BK57</f>
        <v>0</v>
      </c>
    </row>
    <row r="73" spans="1:4" x14ac:dyDescent="0.25">
      <c r="A73" s="294" t="s">
        <v>80</v>
      </c>
      <c r="B73" s="272">
        <f ca="1">OFFSET('Tinh hinh tai chinh'!$BL58,0,'THTC in'!$D$7 - 1)</f>
        <v>0</v>
      </c>
      <c r="C73" s="272">
        <f>'Tinh hinh tai chinh'!BK58</f>
        <v>0</v>
      </c>
    </row>
    <row r="74" spans="1:4" x14ac:dyDescent="0.25">
      <c r="A74" s="294" t="s">
        <v>81</v>
      </c>
      <c r="B74" s="272">
        <f ca="1">OFFSET('Tinh hinh tai chinh'!$BL59,0,'THTC in'!$D$7 - 1)</f>
        <v>0</v>
      </c>
      <c r="C74" s="272">
        <f>'Tinh hinh tai chinh'!BK59</f>
        <v>0</v>
      </c>
    </row>
    <row r="75" spans="1:4" x14ac:dyDescent="0.25">
      <c r="A75" s="271" t="s">
        <v>82</v>
      </c>
      <c r="B75" s="272">
        <f ca="1">OFFSET('Tinh hinh tai chinh'!$BL60,0,'THTC in'!$D$7 - 1)</f>
        <v>0</v>
      </c>
      <c r="C75" s="272">
        <f>'Tinh hinh tai chinh'!BK60</f>
        <v>0</v>
      </c>
    </row>
    <row r="76" spans="1:4" x14ac:dyDescent="0.25">
      <c r="A76" s="271" t="s">
        <v>83</v>
      </c>
      <c r="B76" s="272">
        <f ca="1">OFFSET('Tinh hinh tai chinh'!$BL61,0,'THTC in'!$D$7 - 1)</f>
        <v>0</v>
      </c>
      <c r="C76" s="272">
        <f>'Tinh hinh tai chinh'!BK61</f>
        <v>0</v>
      </c>
    </row>
    <row r="77" spans="1:4" x14ac:dyDescent="0.25">
      <c r="A77" s="271" t="s">
        <v>84</v>
      </c>
      <c r="B77" s="272">
        <f ca="1">OFFSET('Tinh hinh tai chinh'!$BL62,0,'THTC in'!$D$7 - 1)</f>
        <v>0</v>
      </c>
      <c r="C77" s="272">
        <f>'Tinh hinh tai chinh'!BK62</f>
        <v>0</v>
      </c>
    </row>
    <row r="78" spans="1:4" x14ac:dyDescent="0.25">
      <c r="A78" s="271"/>
      <c r="B78" s="272"/>
      <c r="C78" s="272"/>
    </row>
    <row r="79" spans="1:4" x14ac:dyDescent="0.25">
      <c r="A79" s="273" t="s">
        <v>85</v>
      </c>
      <c r="B79" s="274">
        <f ca="1">SUM(B80:B81)</f>
        <v>0</v>
      </c>
      <c r="C79" s="274">
        <f>SUM(C80:C81)</f>
        <v>0</v>
      </c>
    </row>
    <row r="80" spans="1:4" ht="18" customHeight="1" x14ac:dyDescent="0.25">
      <c r="A80" s="295" t="s">
        <v>80</v>
      </c>
      <c r="B80" s="290">
        <f ca="1">OFFSET('Tinh hinh tai chinh'!$BL64,0,'THTC in'!$D$7 - 1)</f>
        <v>0</v>
      </c>
      <c r="C80" s="272">
        <f>'Tinh hinh tai chinh'!BK64</f>
        <v>0</v>
      </c>
    </row>
    <row r="81" spans="1:4" s="258" customFormat="1" ht="18" customHeight="1" x14ac:dyDescent="0.25">
      <c r="A81" s="271" t="s">
        <v>86</v>
      </c>
      <c r="B81" s="290">
        <f ca="1">OFFSET('Tinh hinh tai chinh'!$BL65,0,'THTC in'!$D$7 - 1)</f>
        <v>0</v>
      </c>
      <c r="C81" s="272">
        <f>'Tinh hinh tai chinh'!BK65</f>
        <v>0</v>
      </c>
    </row>
    <row r="82" spans="1:4" s="258" customFormat="1" x14ac:dyDescent="0.25">
      <c r="A82" s="271"/>
      <c r="B82" s="272"/>
      <c r="C82" s="272"/>
    </row>
    <row r="83" spans="1:4" s="258" customFormat="1" x14ac:dyDescent="0.25">
      <c r="A83" s="273" t="s">
        <v>87</v>
      </c>
      <c r="B83" s="282">
        <f t="shared" ref="B83:C83" ca="1" si="6">SUM(B84:B85)</f>
        <v>148000000</v>
      </c>
      <c r="C83" s="282">
        <f t="shared" si="6"/>
        <v>310000000</v>
      </c>
    </row>
    <row r="84" spans="1:4" s="258" customFormat="1" ht="18" customHeight="1" x14ac:dyDescent="0.25">
      <c r="A84" s="295" t="s">
        <v>88</v>
      </c>
      <c r="B84" s="272">
        <f ca="1">OFFSET('Tinh hinh tai chinh'!$BL67,0,'THTC in'!$D$7 - 1)</f>
        <v>0</v>
      </c>
      <c r="C84" s="272">
        <f>'Tinh hinh tai chinh'!BK67</f>
        <v>0</v>
      </c>
    </row>
    <row r="85" spans="1:4" s="258" customFormat="1" ht="18" customHeight="1" x14ac:dyDescent="0.25">
      <c r="A85" s="271" t="s">
        <v>89</v>
      </c>
      <c r="B85" s="272">
        <f ca="1">OFFSET('Tinh hinh tai chinh'!$BL68,0,'THTC in'!$D$7 - 1)</f>
        <v>148000000</v>
      </c>
      <c r="C85" s="272">
        <f>'Tinh hinh tai chinh'!BL68</f>
        <v>310000000</v>
      </c>
      <c r="D85" s="257"/>
    </row>
    <row r="86" spans="1:4" x14ac:dyDescent="0.25">
      <c r="A86" s="271"/>
      <c r="B86" s="272"/>
      <c r="C86" s="272"/>
    </row>
    <row r="87" spans="1:4" x14ac:dyDescent="0.25">
      <c r="A87" s="273" t="s">
        <v>90</v>
      </c>
      <c r="B87" s="274">
        <f t="shared" ref="B87" ca="1" si="7">SUM(B88:B92)</f>
        <v>0</v>
      </c>
      <c r="C87" s="274">
        <f>SUM(C88:C93)</f>
        <v>0</v>
      </c>
    </row>
    <row r="88" spans="1:4" ht="18" customHeight="1" x14ac:dyDescent="0.25">
      <c r="A88" s="271" t="s">
        <v>91</v>
      </c>
      <c r="B88" s="272">
        <f ca="1">OFFSET('Tinh hinh tai chinh'!$BL70,0,'THTC in'!$D$7 - 1)</f>
        <v>0</v>
      </c>
      <c r="C88" s="272">
        <f>'Tinh hinh tai chinh'!BK70</f>
        <v>0</v>
      </c>
    </row>
    <row r="89" spans="1:4" s="258" customFormat="1" ht="18" customHeight="1" x14ac:dyDescent="0.25">
      <c r="A89" s="271" t="s">
        <v>92</v>
      </c>
      <c r="B89" s="272">
        <f ca="1">OFFSET('Tinh hinh tai chinh'!$BL71,0,'THTC in'!$D$7 - 1)</f>
        <v>0</v>
      </c>
      <c r="C89" s="272">
        <f>'Tinh hinh tai chinh'!BK71</f>
        <v>0</v>
      </c>
    </row>
    <row r="90" spans="1:4" ht="18" customHeight="1" x14ac:dyDescent="0.25">
      <c r="A90" s="271" t="s">
        <v>93</v>
      </c>
      <c r="B90" s="272">
        <f ca="1">OFFSET('Tinh hinh tai chinh'!$BL72,0,'THTC in'!$D$7 - 1)</f>
        <v>0</v>
      </c>
      <c r="C90" s="272">
        <f>'Tinh hinh tai chinh'!BK72</f>
        <v>0</v>
      </c>
    </row>
    <row r="91" spans="1:4" ht="18" customHeight="1" x14ac:dyDescent="0.25">
      <c r="A91" s="276" t="s">
        <v>94</v>
      </c>
      <c r="B91" s="272">
        <f ca="1">OFFSET('Tinh hinh tai chinh'!$BL73,0,'THTC in'!$D$7 - 1)</f>
        <v>0</v>
      </c>
      <c r="C91" s="272">
        <f>'Tinh hinh tai chinh'!BK73</f>
        <v>0</v>
      </c>
    </row>
    <row r="92" spans="1:4" ht="18" customHeight="1" x14ac:dyDescent="0.25">
      <c r="A92" s="276" t="s">
        <v>95</v>
      </c>
      <c r="B92" s="272">
        <f ca="1">OFFSET('Tinh hinh tai chinh'!$BL74,0,'THTC in'!$D$7 - 1)</f>
        <v>0</v>
      </c>
      <c r="C92" s="272">
        <f>'Tinh hinh tai chinh'!BK74</f>
        <v>0</v>
      </c>
    </row>
    <row r="93" spans="1:4" ht="18" customHeight="1" x14ac:dyDescent="0.25">
      <c r="A93" s="276" t="s">
        <v>96</v>
      </c>
      <c r="B93" s="272">
        <f ca="1">OFFSET('Tinh hinh tai chinh'!$BL75,0,'THTC in'!$D$7 - 1)</f>
        <v>0</v>
      </c>
      <c r="C93" s="272">
        <f>'Tinh hinh tai chinh'!BK75</f>
        <v>0</v>
      </c>
    </row>
    <row r="94" spans="1:4" x14ac:dyDescent="0.25">
      <c r="A94" s="276"/>
      <c r="B94" s="272"/>
      <c r="C94" s="272"/>
    </row>
    <row r="95" spans="1:4" x14ac:dyDescent="0.25">
      <c r="A95" s="273" t="s">
        <v>97</v>
      </c>
      <c r="B95" s="274">
        <f t="shared" ref="B95:C95" ca="1" si="8">SUM(B96:B99)</f>
        <v>590922495</v>
      </c>
      <c r="C95" s="274">
        <f t="shared" si="8"/>
        <v>361126460</v>
      </c>
    </row>
    <row r="96" spans="1:4" ht="18" customHeight="1" x14ac:dyDescent="0.25">
      <c r="A96" s="271" t="s">
        <v>98</v>
      </c>
      <c r="B96" s="272">
        <f ca="1">OFFSET('Tinh hinh tai chinh'!$BL77,0,'THTC in'!$D$7 - 1)</f>
        <v>590922495</v>
      </c>
      <c r="C96" s="272">
        <f>'Tinh hinh tai chinh'!BL77</f>
        <v>361126460</v>
      </c>
    </row>
    <row r="97" spans="1:5" s="258" customFormat="1" ht="18" customHeight="1" x14ac:dyDescent="0.25">
      <c r="A97" s="271" t="s">
        <v>99</v>
      </c>
      <c r="B97" s="272">
        <f ca="1">OFFSET('Tinh hinh tai chinh'!$BL78,0,'THTC in'!$D$7 - 1)</f>
        <v>0</v>
      </c>
      <c r="C97" s="272">
        <f>'Tinh hinh tai chinh'!BK78</f>
        <v>0</v>
      </c>
    </row>
    <row r="98" spans="1:5" ht="18" customHeight="1" x14ac:dyDescent="0.25">
      <c r="A98" s="271" t="s">
        <v>100</v>
      </c>
      <c r="B98" s="272">
        <f ca="1">OFFSET('Tinh hinh tai chinh'!$BL79,0,'THTC in'!$D$7 - 1)</f>
        <v>0</v>
      </c>
      <c r="C98" s="272">
        <f>'Tinh hinh tai chinh'!BK79</f>
        <v>0</v>
      </c>
    </row>
    <row r="99" spans="1:5" ht="18" customHeight="1" x14ac:dyDescent="0.25">
      <c r="A99" s="296" t="s">
        <v>101</v>
      </c>
      <c r="B99" s="272">
        <f ca="1">OFFSET('Tinh hinh tai chinh'!$BL80,0,'THTC in'!$D$7 - 1)</f>
        <v>0</v>
      </c>
      <c r="C99" s="272">
        <f>'Tinh hinh tai chinh'!BK80</f>
        <v>0</v>
      </c>
    </row>
    <row r="100" spans="1:5" ht="21.75" customHeight="1" x14ac:dyDescent="0.25">
      <c r="A100" s="563" t="s">
        <v>102</v>
      </c>
      <c r="B100" s="564">
        <f ca="1">B8+B47</f>
        <v>26159337989</v>
      </c>
      <c r="C100" s="564">
        <f>C8+C47</f>
        <v>23802859474</v>
      </c>
      <c r="E100" s="292"/>
    </row>
    <row r="101" spans="1:5" ht="16.5" customHeight="1" x14ac:dyDescent="0.25">
      <c r="B101" s="297"/>
      <c r="C101" s="297"/>
    </row>
    <row r="102" spans="1:5" s="258" customFormat="1" ht="30" customHeight="1" x14ac:dyDescent="0.25">
      <c r="A102" s="559" t="s">
        <v>103</v>
      </c>
      <c r="B102" s="562" t="str">
        <f>B7</f>
        <v>Số cuối tháng 5</v>
      </c>
      <c r="C102" s="562" t="str">
        <f>C7</f>
        <v>Số dư đầu năm 2026</v>
      </c>
    </row>
    <row r="103" spans="1:5" s="270" customFormat="1" x14ac:dyDescent="0.25">
      <c r="A103" s="298" t="s">
        <v>104</v>
      </c>
      <c r="B103" s="299">
        <f t="shared" ref="B103:C103" ca="1" si="9">B104+B121</f>
        <v>8769863882</v>
      </c>
      <c r="C103" s="299">
        <f t="shared" si="9"/>
        <v>8570720339</v>
      </c>
    </row>
    <row r="104" spans="1:5" s="258" customFormat="1" ht="18" customHeight="1" x14ac:dyDescent="0.25">
      <c r="A104" s="273" t="s">
        <v>105</v>
      </c>
      <c r="B104" s="274">
        <f t="shared" ref="B104:C104" ca="1" si="10">SUM(B105:B119)</f>
        <v>8769863882</v>
      </c>
      <c r="C104" s="274">
        <f t="shared" si="10"/>
        <v>8570720339</v>
      </c>
    </row>
    <row r="105" spans="1:5" ht="18" customHeight="1" x14ac:dyDescent="0.25">
      <c r="A105" s="271" t="s">
        <v>106</v>
      </c>
      <c r="B105" s="272">
        <f ca="1">OFFSET('Tinh hinh tai chinh'!$BL84,0,'THTC in'!$D$7 - 1)</f>
        <v>1970324701</v>
      </c>
      <c r="C105" s="272">
        <f>'Tinh hinh tai chinh'!BL84</f>
        <v>1960781996</v>
      </c>
      <c r="D105" s="278"/>
    </row>
    <row r="106" spans="1:5" ht="18" customHeight="1" x14ac:dyDescent="0.25">
      <c r="A106" s="271" t="s">
        <v>107</v>
      </c>
      <c r="B106" s="272">
        <f ca="1">OFFSET('Tinh hinh tai chinh'!$BL85,0,'THTC in'!$D$7 - 1)</f>
        <v>0</v>
      </c>
      <c r="C106" s="272">
        <f>'Tinh hinh tai chinh'!BK85</f>
        <v>0</v>
      </c>
    </row>
    <row r="107" spans="1:5" ht="18" customHeight="1" x14ac:dyDescent="0.25">
      <c r="A107" s="271" t="s">
        <v>108</v>
      </c>
      <c r="B107" s="272">
        <f ca="1">OFFSET('Tinh hinh tai chinh'!$BL86,0,'THTC in'!$D$7 - 1)</f>
        <v>0</v>
      </c>
      <c r="C107" s="272">
        <f>'Tinh hinh tai chinh'!BK86</f>
        <v>0</v>
      </c>
    </row>
    <row r="108" spans="1:5" ht="18" customHeight="1" x14ac:dyDescent="0.25">
      <c r="A108" s="271" t="s">
        <v>109</v>
      </c>
      <c r="B108" s="272">
        <f ca="1">OFFSET('Tinh hinh tai chinh'!$BL87,0,'THTC in'!$D$7 - 1)</f>
        <v>1203808105</v>
      </c>
      <c r="C108" s="272">
        <f>'Tinh hinh tai chinh'!BL87</f>
        <v>731600993</v>
      </c>
    </row>
    <row r="109" spans="1:5" ht="18" customHeight="1" x14ac:dyDescent="0.25">
      <c r="A109" s="271" t="s">
        <v>110</v>
      </c>
      <c r="B109" s="272">
        <f ca="1">OFFSET('Tinh hinh tai chinh'!$BL88,0,'THTC in'!$D$7 - 1)</f>
        <v>410842768</v>
      </c>
      <c r="C109" s="272">
        <f>'Tinh hinh tai chinh'!BL88</f>
        <v>417180841</v>
      </c>
    </row>
    <row r="110" spans="1:5" ht="18" customHeight="1" x14ac:dyDescent="0.25">
      <c r="A110" s="271" t="s">
        <v>111</v>
      </c>
      <c r="B110" s="272">
        <f ca="1">OFFSET('Tinh hinh tai chinh'!$BL89,0,'THTC in'!$D$7 - 1)</f>
        <v>170215348</v>
      </c>
      <c r="C110" s="272">
        <f>'Tinh hinh tai chinh'!BL89</f>
        <v>453413289</v>
      </c>
    </row>
    <row r="111" spans="1:5" ht="18" customHeight="1" x14ac:dyDescent="0.25">
      <c r="A111" s="271" t="s">
        <v>112</v>
      </c>
      <c r="B111" s="272">
        <f ca="1">OFFSET('Tinh hinh tai chinh'!$BL90,0,'THTC in'!$D$7 - 1)</f>
        <v>0</v>
      </c>
      <c r="C111" s="272">
        <f>'Tinh hinh tai chinh'!BK90</f>
        <v>0</v>
      </c>
    </row>
    <row r="112" spans="1:5" ht="18" customHeight="1" x14ac:dyDescent="0.25">
      <c r="A112" s="271" t="s">
        <v>113</v>
      </c>
      <c r="B112" s="272">
        <f ca="1">OFFSET('Tinh hinh tai chinh'!$BL91,0,'THTC in'!$D$7 - 1)</f>
        <v>0</v>
      </c>
      <c r="C112" s="272">
        <f>'Tinh hinh tai chinh'!BK91</f>
        <v>0</v>
      </c>
    </row>
    <row r="113" spans="1:3" ht="18" customHeight="1" x14ac:dyDescent="0.25">
      <c r="A113" s="276" t="s">
        <v>114</v>
      </c>
      <c r="B113" s="272">
        <f ca="1">OFFSET('Tinh hinh tai chinh'!$BL92,0,'THTC in'!$D$7 - 1)</f>
        <v>0</v>
      </c>
      <c r="C113" s="272">
        <f>'Tinh hinh tai chinh'!BK92</f>
        <v>0</v>
      </c>
    </row>
    <row r="114" spans="1:3" ht="18" customHeight="1" x14ac:dyDescent="0.25">
      <c r="A114" s="271" t="s">
        <v>115</v>
      </c>
      <c r="B114" s="272">
        <f ca="1">OFFSET('Tinh hinh tai chinh'!$BL93,0,'THTC in'!$D$7 - 1)</f>
        <v>5014672960</v>
      </c>
      <c r="C114" s="272">
        <f>'Tinh hinh tai chinh'!BL93</f>
        <v>5007743220</v>
      </c>
    </row>
    <row r="115" spans="1:3" ht="18" customHeight="1" x14ac:dyDescent="0.25">
      <c r="A115" s="271" t="s">
        <v>116</v>
      </c>
      <c r="B115" s="272">
        <f ca="1">OFFSET('Tinh hinh tai chinh'!$BL94,0,'THTC in'!$D$7 - 1)</f>
        <v>0</v>
      </c>
      <c r="C115" s="272">
        <f>'Tinh hinh tai chinh'!BK94</f>
        <v>0</v>
      </c>
    </row>
    <row r="116" spans="1:3" ht="18" customHeight="1" x14ac:dyDescent="0.25">
      <c r="A116" s="271" t="s">
        <v>117</v>
      </c>
      <c r="B116" s="272">
        <f ca="1">OFFSET('Tinh hinh tai chinh'!$BL95,0,'THTC in'!$D$7 - 1)</f>
        <v>0</v>
      </c>
      <c r="C116" s="272">
        <f>'Tinh hinh tai chinh'!BK95</f>
        <v>0</v>
      </c>
    </row>
    <row r="117" spans="1:3" ht="18" customHeight="1" x14ac:dyDescent="0.25">
      <c r="A117" s="271" t="s">
        <v>118</v>
      </c>
      <c r="B117" s="272">
        <f ca="1">OFFSET('Tinh hinh tai chinh'!$BL96,0,'THTC in'!$D$7 - 1)</f>
        <v>0</v>
      </c>
      <c r="C117" s="272">
        <f>'Tinh hinh tai chinh'!BK96</f>
        <v>0</v>
      </c>
    </row>
    <row r="118" spans="1:3" ht="18" customHeight="1" x14ac:dyDescent="0.25">
      <c r="A118" s="271" t="s">
        <v>119</v>
      </c>
      <c r="B118" s="272">
        <f ca="1">OFFSET('Tinh hinh tai chinh'!$BL97,0,'THTC in'!$D$7 - 1)</f>
        <v>0</v>
      </c>
      <c r="C118" s="272">
        <f>'Tinh hinh tai chinh'!BK97</f>
        <v>0</v>
      </c>
    </row>
    <row r="119" spans="1:3" ht="18" customHeight="1" x14ac:dyDescent="0.25">
      <c r="A119" s="271" t="s">
        <v>120</v>
      </c>
      <c r="B119" s="272">
        <f ca="1">OFFSET('Tinh hinh tai chinh'!$BL98,0,'THTC in'!$D$7 - 1)</f>
        <v>0</v>
      </c>
      <c r="C119" s="272">
        <f>'Tinh hinh tai chinh'!BK98</f>
        <v>0</v>
      </c>
    </row>
    <row r="120" spans="1:3" ht="9.75" customHeight="1" x14ac:dyDescent="0.25">
      <c r="A120" s="271"/>
      <c r="B120" s="272"/>
      <c r="C120" s="272"/>
    </row>
    <row r="121" spans="1:3" s="258" customFormat="1" ht="14.25" customHeight="1" x14ac:dyDescent="0.25">
      <c r="A121" s="273" t="s">
        <v>121</v>
      </c>
      <c r="B121" s="274">
        <f t="shared" ref="B121:C121" ca="1" si="11">SUM(B122:B135)</f>
        <v>0</v>
      </c>
      <c r="C121" s="274">
        <f t="shared" si="11"/>
        <v>0</v>
      </c>
    </row>
    <row r="122" spans="1:3" ht="18.75" customHeight="1" x14ac:dyDescent="0.25">
      <c r="A122" s="271" t="s">
        <v>122</v>
      </c>
      <c r="B122" s="272">
        <f ca="1">OFFSET('Tinh hinh tai chinh'!$BL100,0,'THTC in'!$D$7 - 1)</f>
        <v>0</v>
      </c>
      <c r="C122" s="272">
        <f>'Tinh hinh tai chinh'!BK100</f>
        <v>0</v>
      </c>
    </row>
    <row r="123" spans="1:3" ht="18" customHeight="1" x14ac:dyDescent="0.25">
      <c r="A123" s="271" t="s">
        <v>123</v>
      </c>
      <c r="B123" s="272">
        <f ca="1">OFFSET('Tinh hinh tai chinh'!$BL101,0,'THTC in'!$D$7 - 1)</f>
        <v>0</v>
      </c>
      <c r="C123" s="272">
        <f>'Tinh hinh tai chinh'!BK101</f>
        <v>0</v>
      </c>
    </row>
    <row r="124" spans="1:3" ht="18" customHeight="1" x14ac:dyDescent="0.25">
      <c r="A124" s="271" t="s">
        <v>124</v>
      </c>
      <c r="B124" s="272">
        <f ca="1">OFFSET('Tinh hinh tai chinh'!$BL102,0,'THTC in'!$D$7 - 1)</f>
        <v>0</v>
      </c>
      <c r="C124" s="272">
        <f>'Tinh hinh tai chinh'!BK102</f>
        <v>0</v>
      </c>
    </row>
    <row r="125" spans="1:3" ht="18" customHeight="1" x14ac:dyDescent="0.25">
      <c r="A125" s="271" t="s">
        <v>125</v>
      </c>
      <c r="B125" s="272">
        <f ca="1">OFFSET('Tinh hinh tai chinh'!$BL103,0,'THTC in'!$D$7 - 1)</f>
        <v>0</v>
      </c>
      <c r="C125" s="272">
        <f>'Tinh hinh tai chinh'!BK103</f>
        <v>0</v>
      </c>
    </row>
    <row r="126" spans="1:3" ht="18" customHeight="1" x14ac:dyDescent="0.25">
      <c r="A126" s="271" t="s">
        <v>126</v>
      </c>
      <c r="B126" s="272">
        <f ca="1">OFFSET('Tinh hinh tai chinh'!$BL104,0,'THTC in'!$D$7 - 1)</f>
        <v>0</v>
      </c>
      <c r="C126" s="272">
        <f>'Tinh hinh tai chinh'!BK104</f>
        <v>0</v>
      </c>
    </row>
    <row r="127" spans="1:3" ht="18" customHeight="1" x14ac:dyDescent="0.25">
      <c r="A127" s="271" t="s">
        <v>127</v>
      </c>
      <c r="B127" s="272">
        <f ca="1">OFFSET('Tinh hinh tai chinh'!$BL105,0,'THTC in'!$D$7 - 1)</f>
        <v>0</v>
      </c>
      <c r="C127" s="272">
        <f>'Tinh hinh tai chinh'!BK105</f>
        <v>0</v>
      </c>
    </row>
    <row r="128" spans="1:3" ht="18" customHeight="1" x14ac:dyDescent="0.25">
      <c r="A128" s="271" t="s">
        <v>128</v>
      </c>
      <c r="B128" s="272">
        <f ca="1">OFFSET('Tinh hinh tai chinh'!$BL106,0,'THTC in'!$D$7 - 1)</f>
        <v>0</v>
      </c>
      <c r="C128" s="272">
        <f>'Tinh hinh tai chinh'!BK106</f>
        <v>0</v>
      </c>
    </row>
    <row r="129" spans="1:3" ht="18" customHeight="1" x14ac:dyDescent="0.25">
      <c r="A129" s="271" t="s">
        <v>129</v>
      </c>
      <c r="B129" s="272">
        <f ca="1">OFFSET('Tinh hinh tai chinh'!$BL107,0,'THTC in'!$D$7 - 1)</f>
        <v>0</v>
      </c>
      <c r="C129" s="272">
        <f>'Tinh hinh tai chinh'!BK107</f>
        <v>0</v>
      </c>
    </row>
    <row r="130" spans="1:3" ht="18" customHeight="1" x14ac:dyDescent="0.25">
      <c r="A130" s="271" t="s">
        <v>130</v>
      </c>
      <c r="B130" s="272">
        <f ca="1">OFFSET('Tinh hinh tai chinh'!$BL108,0,'THTC in'!$D$7 - 1)</f>
        <v>0</v>
      </c>
      <c r="C130" s="272">
        <f>'Tinh hinh tai chinh'!BK108</f>
        <v>0</v>
      </c>
    </row>
    <row r="131" spans="1:3" ht="18" customHeight="1" x14ac:dyDescent="0.25">
      <c r="A131" s="271" t="s">
        <v>131</v>
      </c>
      <c r="B131" s="272">
        <f ca="1">OFFSET('Tinh hinh tai chinh'!$BL109,0,'THTC in'!$D$7 - 1)</f>
        <v>0</v>
      </c>
      <c r="C131" s="272">
        <f>'Tinh hinh tai chinh'!BK109</f>
        <v>0</v>
      </c>
    </row>
    <row r="132" spans="1:3" ht="18" customHeight="1" x14ac:dyDescent="0.25">
      <c r="A132" s="271" t="s">
        <v>132</v>
      </c>
      <c r="B132" s="272">
        <f ca="1">OFFSET('Tinh hinh tai chinh'!$BL110,0,'THTC in'!$D$7 - 1)</f>
        <v>0</v>
      </c>
      <c r="C132" s="272">
        <f>'Tinh hinh tai chinh'!BK110</f>
        <v>0</v>
      </c>
    </row>
    <row r="133" spans="1:3" ht="18" customHeight="1" x14ac:dyDescent="0.25">
      <c r="A133" s="271" t="s">
        <v>133</v>
      </c>
      <c r="B133" s="272">
        <f ca="1">OFFSET('Tinh hinh tai chinh'!$BL111,0,'THTC in'!$D$7 - 1)</f>
        <v>0</v>
      </c>
      <c r="C133" s="272">
        <f>'Tinh hinh tai chinh'!BK111</f>
        <v>0</v>
      </c>
    </row>
    <row r="134" spans="1:3" ht="18" customHeight="1" x14ac:dyDescent="0.25">
      <c r="A134" s="271" t="s">
        <v>134</v>
      </c>
      <c r="B134" s="272">
        <f ca="1">OFFSET('Tinh hinh tai chinh'!$BL112,0,'THTC in'!$D$7 - 1)</f>
        <v>0</v>
      </c>
      <c r="C134" s="272">
        <f>'Tinh hinh tai chinh'!BK112</f>
        <v>0</v>
      </c>
    </row>
    <row r="135" spans="1:3" ht="18" customHeight="1" x14ac:dyDescent="0.25">
      <c r="A135" s="296" t="s">
        <v>135</v>
      </c>
      <c r="B135" s="284">
        <f ca="1">OFFSET('Tinh hinh tai chinh'!$BL113,0,'THTC in'!$D$7 - 1)</f>
        <v>0</v>
      </c>
      <c r="C135" s="284">
        <f>'Tinh hinh tai chinh'!BK113</f>
        <v>0</v>
      </c>
    </row>
    <row r="136" spans="1:3" x14ac:dyDescent="0.25">
      <c r="A136" s="285"/>
      <c r="B136" s="300"/>
      <c r="C136" s="301"/>
    </row>
    <row r="137" spans="1:3" s="258" customFormat="1" ht="30" customHeight="1" x14ac:dyDescent="0.25">
      <c r="A137" s="559" t="s">
        <v>103</v>
      </c>
      <c r="B137" s="562" t="str">
        <f>B7</f>
        <v>Số cuối tháng 5</v>
      </c>
      <c r="C137" s="562" t="str">
        <f>C7</f>
        <v>Số dư đầu năm 2026</v>
      </c>
    </row>
    <row r="138" spans="1:3" s="270" customFormat="1" x14ac:dyDescent="0.25">
      <c r="A138" s="298" t="s">
        <v>136</v>
      </c>
      <c r="B138" s="299">
        <f ca="1">B139+SUM(B142:B150)</f>
        <v>17389474107</v>
      </c>
      <c r="C138" s="299">
        <f>C139+SUM(C142:C150)</f>
        <v>15232139135</v>
      </c>
    </row>
    <row r="139" spans="1:3" ht="18" customHeight="1" x14ac:dyDescent="0.25">
      <c r="A139" s="271" t="s">
        <v>137</v>
      </c>
      <c r="B139" s="302">
        <f ca="1">B140</f>
        <v>15000000000</v>
      </c>
      <c r="C139" s="302">
        <f>SUM(C140:C141)</f>
        <v>15000000000</v>
      </c>
    </row>
    <row r="140" spans="1:3" ht="18" customHeight="1" x14ac:dyDescent="0.25">
      <c r="A140" s="271" t="s">
        <v>138</v>
      </c>
      <c r="B140" s="302">
        <f ca="1">OFFSET('Tinh hinh tai chinh'!$BL116,0,'THTC in'!$D$7 - 1)</f>
        <v>15000000000</v>
      </c>
      <c r="C140" s="302">
        <f>'Tinh hinh tai chinh'!BL116</f>
        <v>15000000000</v>
      </c>
    </row>
    <row r="141" spans="1:3" ht="18" customHeight="1" x14ac:dyDescent="0.25">
      <c r="A141" s="271" t="s">
        <v>139</v>
      </c>
      <c r="B141" s="302">
        <f ca="1">OFFSET('Tinh hinh tai chinh'!$BL117,0,'THTC in'!$D$7 - 1)</f>
        <v>0</v>
      </c>
      <c r="C141" s="302">
        <f>'Tinh hinh tai chinh'!BK117</f>
        <v>0</v>
      </c>
    </row>
    <row r="142" spans="1:3" ht="18" customHeight="1" x14ac:dyDescent="0.25">
      <c r="A142" s="271" t="s">
        <v>140</v>
      </c>
      <c r="B142" s="302">
        <f ca="1">OFFSET('Tinh hinh tai chinh'!$BL118,0,'THTC in'!$D$7 - 1)</f>
        <v>0</v>
      </c>
      <c r="C142" s="302">
        <f>'Tinh hinh tai chinh'!BK118</f>
        <v>0</v>
      </c>
    </row>
    <row r="143" spans="1:3" ht="18" customHeight="1" x14ac:dyDescent="0.25">
      <c r="A143" s="271" t="s">
        <v>141</v>
      </c>
      <c r="B143" s="302">
        <f ca="1">OFFSET('Tinh hinh tai chinh'!$BL119,0,'THTC in'!$D$7 - 1)</f>
        <v>0</v>
      </c>
      <c r="C143" s="302">
        <f>'Tinh hinh tai chinh'!BK119</f>
        <v>0</v>
      </c>
    </row>
    <row r="144" spans="1:3" ht="18" customHeight="1" x14ac:dyDescent="0.25">
      <c r="A144" s="271" t="s">
        <v>142</v>
      </c>
      <c r="B144" s="302">
        <f ca="1">OFFSET('Tinh hinh tai chinh'!$BL120,0,'THTC in'!$D$7 - 1)</f>
        <v>0</v>
      </c>
      <c r="C144" s="302">
        <f>'Tinh hinh tai chinh'!BK120</f>
        <v>0</v>
      </c>
    </row>
    <row r="145" spans="1:5" ht="18" customHeight="1" x14ac:dyDescent="0.25">
      <c r="A145" s="271" t="s">
        <v>143</v>
      </c>
      <c r="B145" s="302">
        <f ca="1">OFFSET('Tinh hinh tai chinh'!$BL121,0,'THTC in'!$D$7 - 1)</f>
        <v>0</v>
      </c>
      <c r="C145" s="302">
        <f>'Tinh hinh tai chinh'!BK121</f>
        <v>0</v>
      </c>
    </row>
    <row r="146" spans="1:5" ht="18" customHeight="1" x14ac:dyDescent="0.25">
      <c r="A146" s="271" t="s">
        <v>144</v>
      </c>
      <c r="B146" s="302">
        <f ca="1">OFFSET('Tinh hinh tai chinh'!$BL122,0,'THTC in'!$D$7 - 1)</f>
        <v>0</v>
      </c>
      <c r="C146" s="302">
        <f>'Tinh hinh tai chinh'!BK122</f>
        <v>0</v>
      </c>
    </row>
    <row r="147" spans="1:5" ht="18" customHeight="1" x14ac:dyDescent="0.25">
      <c r="A147" s="271" t="s">
        <v>145</v>
      </c>
      <c r="B147" s="302">
        <f ca="1">OFFSET('Tinh hinh tai chinh'!$BL123,0,'THTC in'!$D$7 - 1)</f>
        <v>0</v>
      </c>
      <c r="C147" s="302">
        <f>'Tinh hinh tai chinh'!BK123</f>
        <v>0</v>
      </c>
    </row>
    <row r="148" spans="1:5" ht="18" customHeight="1" x14ac:dyDescent="0.25">
      <c r="A148" s="271" t="s">
        <v>146</v>
      </c>
      <c r="B148" s="302">
        <f ca="1">OFFSET('Tinh hinh tai chinh'!$BL124,0,'THTC in'!$D$7 - 1)</f>
        <v>0</v>
      </c>
      <c r="C148" s="302">
        <f>'Tinh hinh tai chinh'!BK124</f>
        <v>0</v>
      </c>
    </row>
    <row r="149" spans="1:5" ht="18" customHeight="1" x14ac:dyDescent="0.25">
      <c r="A149" s="271" t="s">
        <v>147</v>
      </c>
      <c r="B149" s="302">
        <f ca="1">OFFSET('Tinh hinh tai chinh'!$BL125,0,'THTC in'!$D$7 - 1)</f>
        <v>0</v>
      </c>
      <c r="C149" s="302">
        <f>'Tinh hinh tai chinh'!BK125</f>
        <v>0</v>
      </c>
    </row>
    <row r="150" spans="1:5" ht="18" customHeight="1" x14ac:dyDescent="0.25">
      <c r="A150" s="271" t="s">
        <v>148</v>
      </c>
      <c r="B150" s="303">
        <f t="shared" ref="B150" ca="1" si="12">B151+B152</f>
        <v>2389474107</v>
      </c>
      <c r="C150" s="303">
        <f>C151+C152</f>
        <v>232139135</v>
      </c>
      <c r="D150" s="304"/>
      <c r="E150" s="292"/>
    </row>
    <row r="151" spans="1:5" ht="18" customHeight="1" x14ac:dyDescent="0.25">
      <c r="A151" s="305" t="s">
        <v>149</v>
      </c>
      <c r="B151" s="306">
        <f ca="1">OFFSET('Tinh hinh tai chinh'!$BL127,0,'THTC in'!$D$7 - 1)</f>
        <v>1431211214</v>
      </c>
      <c r="C151" s="306">
        <f>'Tinh hinh tai chinh'!BL127</f>
        <v>-582669861</v>
      </c>
      <c r="D151" s="304"/>
    </row>
    <row r="152" spans="1:5" ht="18" customHeight="1" x14ac:dyDescent="0.25">
      <c r="A152" s="305" t="s">
        <v>150</v>
      </c>
      <c r="B152" s="306">
        <f ca="1">OFFSET('Tinh hinh tai chinh'!$BL128,0,'THTC in'!$D$7 - 1)</f>
        <v>958262893</v>
      </c>
      <c r="C152" s="306">
        <f>'Tinh hinh tai chinh'!BL128</f>
        <v>814808996</v>
      </c>
      <c r="D152" s="304"/>
    </row>
    <row r="153" spans="1:5" x14ac:dyDescent="0.25">
      <c r="A153" s="307"/>
      <c r="B153" s="289"/>
      <c r="C153" s="289"/>
    </row>
    <row r="154" spans="1:5" ht="22.5" customHeight="1" x14ac:dyDescent="0.25">
      <c r="A154" s="563" t="s">
        <v>151</v>
      </c>
      <c r="B154" s="564">
        <f ca="1">B138+B103</f>
        <v>26159337989</v>
      </c>
      <c r="C154" s="564">
        <f>C103+C138</f>
        <v>23802859474</v>
      </c>
      <c r="E154" s="292"/>
    </row>
    <row r="155" spans="1:5" x14ac:dyDescent="0.25">
      <c r="B155" s="308">
        <f ca="1">+B154-B100</f>
        <v>0</v>
      </c>
      <c r="C155" s="308">
        <f>+C154-C100</f>
        <v>0</v>
      </c>
    </row>
    <row r="156" spans="1:5" x14ac:dyDescent="0.25">
      <c r="B156" s="308">
        <v>0</v>
      </c>
      <c r="C156" s="308"/>
    </row>
    <row r="157" spans="1:5" x14ac:dyDescent="0.25">
      <c r="B157" s="661" t="str">
        <f>'KQKD in'!F32</f>
        <v>Lập, ngày 28 tháng 02 năm 2026</v>
      </c>
      <c r="C157" s="661"/>
    </row>
    <row r="158" spans="1:5" ht="6.75" customHeight="1" x14ac:dyDescent="0.25">
      <c r="B158" s="309"/>
      <c r="C158" s="309"/>
    </row>
    <row r="159" spans="1:5" x14ac:dyDescent="0.25">
      <c r="A159" s="310" t="s">
        <v>8</v>
      </c>
      <c r="B159" s="662" t="str">
        <f>'Thong tin'!B18</f>
        <v>GIÁM ĐỐC TÀI CHÍNH</v>
      </c>
      <c r="C159" s="662"/>
    </row>
    <row r="160" spans="1:5" x14ac:dyDescent="0.25">
      <c r="A160" s="309"/>
      <c r="B160" s="261"/>
      <c r="C160" s="261"/>
    </row>
    <row r="161" spans="1:3" x14ac:dyDescent="0.25">
      <c r="A161" s="309"/>
      <c r="B161" s="304"/>
      <c r="C161" s="261"/>
    </row>
    <row r="162" spans="1:3" x14ac:dyDescent="0.25">
      <c r="A162" s="309"/>
      <c r="B162" s="261"/>
      <c r="C162" s="261"/>
    </row>
    <row r="163" spans="1:3" x14ac:dyDescent="0.25">
      <c r="A163" s="309"/>
      <c r="B163" s="261"/>
      <c r="C163" s="261"/>
    </row>
    <row r="164" spans="1:3" x14ac:dyDescent="0.25">
      <c r="A164" s="309"/>
      <c r="B164" s="261"/>
      <c r="C164" s="261"/>
    </row>
    <row r="165" spans="1:3" ht="15.75" x14ac:dyDescent="0.25">
      <c r="A165" s="311"/>
      <c r="B165" s="261"/>
      <c r="C165" s="261"/>
    </row>
    <row r="166" spans="1:3" x14ac:dyDescent="0.25">
      <c r="A166" s="309">
        <f>'Thong tin'!B13</f>
        <v>0</v>
      </c>
      <c r="B166" s="661" t="s">
        <v>152</v>
      </c>
      <c r="C166" s="661"/>
    </row>
    <row r="167" spans="1:3" x14ac:dyDescent="0.25">
      <c r="B167" s="261"/>
      <c r="C167" s="261"/>
    </row>
    <row r="168" spans="1:3" x14ac:dyDescent="0.25">
      <c r="B168" s="261"/>
      <c r="C168" s="261"/>
    </row>
  </sheetData>
  <mergeCells count="5">
    <mergeCell ref="A4:C4"/>
    <mergeCell ref="A5:C5"/>
    <mergeCell ref="B157:C157"/>
    <mergeCell ref="B159:C159"/>
    <mergeCell ref="B166:C166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orientation="portrait" useFirstPageNumber="1" r:id="rId1"/>
  <headerFooter>
    <oddFooter>&amp;CTrang &amp;P</oddFooter>
  </headerFooter>
  <rowBreaks count="3" manualBreakCount="3">
    <brk id="55" max="16383" man="1"/>
    <brk id="101" max="16383" man="1"/>
    <brk id="1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7123-76F2-4B77-ADF8-D2E9237E237E}">
  <sheetPr>
    <tabColor theme="8" tint="0.59999389629810485"/>
  </sheetPr>
  <dimension ref="A1:G48"/>
  <sheetViews>
    <sheetView showGridLines="0" showZeros="0" zoomScaleNormal="100" workbookViewId="0">
      <pane xSplit="3" ySplit="9" topLeftCell="D10" activePane="bottomRight" state="frozen"/>
      <selection pane="topRight" activeCell="D8" sqref="D8:E8"/>
      <selection pane="bottomLeft" activeCell="D8" sqref="D8:E8"/>
      <selection pane="bottomRight" activeCell="J12" sqref="J12"/>
    </sheetView>
  </sheetViews>
  <sheetFormatPr defaultColWidth="9.140625" defaultRowHeight="15" x14ac:dyDescent="0.25"/>
  <cols>
    <col min="1" max="1" width="3.5703125" style="261" customWidth="1"/>
    <col min="2" max="2" width="21.7109375" style="261" customWidth="1"/>
    <col min="3" max="3" width="18.42578125" style="261" customWidth="1"/>
    <col min="4" max="4" width="14.28515625" style="292" customWidth="1"/>
    <col min="5" max="5" width="14.28515625" style="261" customWidth="1"/>
    <col min="6" max="6" width="15.140625" style="292" customWidth="1"/>
    <col min="7" max="7" width="15.140625" style="261" customWidth="1"/>
    <col min="8" max="8" width="5.85546875" style="261" customWidth="1"/>
    <col min="9" max="16384" width="9.140625" style="261"/>
  </cols>
  <sheetData>
    <row r="1" spans="1:7" ht="15.75" x14ac:dyDescent="0.25">
      <c r="A1" s="312" t="str">
        <f>'Thong tin'!$A$1</f>
        <v>CÔNG TY TNHH THU MUA PHẾ LIỆU KHÁNH NGA</v>
      </c>
      <c r="B1" s="313"/>
      <c r="D1" s="261"/>
      <c r="E1" s="215"/>
      <c r="F1" s="261"/>
      <c r="G1" s="215"/>
    </row>
    <row r="2" spans="1:7" ht="16.5" thickBot="1" x14ac:dyDescent="0.3">
      <c r="A2" s="259" t="str">
        <f>'Thong tin'!$A$2</f>
        <v>Địa chỉ:</v>
      </c>
      <c r="B2" s="314"/>
      <c r="C2" s="314"/>
      <c r="D2" s="314"/>
      <c r="E2" s="218"/>
      <c r="F2" s="314"/>
      <c r="G2" s="218"/>
    </row>
    <row r="3" spans="1:7" ht="15.75" x14ac:dyDescent="0.25">
      <c r="D3" s="261"/>
      <c r="E3" s="220"/>
      <c r="F3" s="261"/>
      <c r="G3" s="220"/>
    </row>
    <row r="4" spans="1:7" ht="18.75" customHeight="1" x14ac:dyDescent="0.3">
      <c r="A4" s="664" t="s">
        <v>153</v>
      </c>
      <c r="B4" s="664"/>
      <c r="C4" s="664"/>
      <c r="D4" s="664"/>
      <c r="E4" s="664"/>
      <c r="F4" s="664"/>
      <c r="G4" s="664"/>
    </row>
    <row r="5" spans="1:7" ht="15.75" x14ac:dyDescent="0.25">
      <c r="A5" s="665" t="str">
        <f>"Năm " &amp; 'Thong tin'!$C$6</f>
        <v>Năm 2026</v>
      </c>
      <c r="B5" s="665"/>
      <c r="C5" s="665"/>
      <c r="D5" s="665"/>
      <c r="E5" s="665"/>
      <c r="F5" s="665"/>
      <c r="G5" s="665"/>
    </row>
    <row r="6" spans="1:7" x14ac:dyDescent="0.25">
      <c r="E6" s="315"/>
      <c r="G6" s="316" t="s">
        <v>154</v>
      </c>
    </row>
    <row r="7" spans="1:7" ht="5.0999999999999996" customHeight="1" x14ac:dyDescent="0.25"/>
    <row r="8" spans="1:7" ht="18.75" customHeight="1" x14ac:dyDescent="0.25">
      <c r="A8" s="666" t="s">
        <v>155</v>
      </c>
      <c r="B8" s="667"/>
      <c r="C8" s="668"/>
      <c r="D8" s="672" t="str">
        <f>"Tháng "&amp;'Thong tin'!$C$9</f>
        <v>Tháng 5</v>
      </c>
      <c r="E8" s="673"/>
      <c r="F8" s="674" t="str">
        <f>"Lũy kế"&amp;" "&amp;'Thong tin'!$C$9 &amp;" "&amp;"tháng"</f>
        <v>Lũy kế 5 tháng</v>
      </c>
      <c r="G8" s="675"/>
    </row>
    <row r="9" spans="1:7" ht="18.75" customHeight="1" x14ac:dyDescent="0.25">
      <c r="A9" s="669"/>
      <c r="B9" s="670"/>
      <c r="C9" s="671"/>
      <c r="D9" s="565" t="str">
        <f>"Năm " &amp; 'Thong tin'!$C$6</f>
        <v>Năm 2026</v>
      </c>
      <c r="E9" s="565" t="str">
        <f>"Năm " &amp; 'Thong tin'!$C$7</f>
        <v>Năm 2025</v>
      </c>
      <c r="F9" s="565" t="str">
        <f>"Năm " &amp; 'Thong tin'!$C$6</f>
        <v>Năm 2026</v>
      </c>
      <c r="G9" s="565" t="str">
        <f>"Năm " &amp; 'Thong tin'!$C$7</f>
        <v>Năm 2025</v>
      </c>
    </row>
    <row r="10" spans="1:7" ht="28.5" customHeight="1" x14ac:dyDescent="0.25">
      <c r="A10" s="317" t="s">
        <v>156</v>
      </c>
      <c r="B10" s="676" t="s">
        <v>157</v>
      </c>
      <c r="C10" s="677"/>
      <c r="D10" s="318">
        <f ca="1">OFFSET('Ket qua kinh doanh'!$BL5,0,'Thong tin'!$C$9 - 1)</f>
        <v>12123223250</v>
      </c>
      <c r="E10" s="318">
        <f ca="1">OFFSET('Ket qua kinh doanh'!$AZ5,0,'Thong tin'!$C$9 - 1)</f>
        <v>8388349104</v>
      </c>
      <c r="F10" s="318" cm="1">
        <f t="array" aca="1" ref="F10" ca="1">_xlfn.SWITCH(TRUE(),
'Thong tin'!$C$6=2021, SUM(OFFSET('Ket qua kinh doanh'!$D5,0,0,1,'Thong tin'!$C$9)),
'Thong tin'!$C$6=2022, SUM(OFFSET('Ket qua kinh doanh'!$P5,0,0,1,'Thong tin'!$C$9)),
'Thong tin'!$C$6=2023, SUM(OFFSET('Ket qua kinh doanh'!$AB5,0,0,1,'Thong tin'!$C$9)),
'Thong tin'!$C$6=2024, SUM(OFFSET('Ket qua kinh doanh'!$AN5,0,0,1,'Thong tin'!$C$9)),
'Thong tin'!$C$6=2025, SUM(OFFSET('Ket qua kinh doanh'!$AZ5,0,0,1,'Thong tin'!$C$9)),
'Thong tin'!$C$6=2026, SUM(OFFSET('Ket qua kinh doanh'!$BL5,0,0,1,'Thong tin'!$C$9))
)</f>
        <v>45601638252</v>
      </c>
      <c r="G10" s="318" cm="1">
        <f t="array" aca="1" ref="G10" ca="1">_xlfn.SWITCH(TRUE(),
'Thong tin'!$C$7=2021, SUM(OFFSET('Ket qua kinh doanh'!$D5,0,0,1,'Thong tin'!$C$9)),
'Thong tin'!$C$7=2022, SUM(OFFSET('Ket qua kinh doanh'!$P5,0,0,1,'Thong tin'!$C$9)),
'Thong tin'!$C$7=2023, SUM(OFFSET('Ket qua kinh doanh'!$AB5,0,0,1,'Thong tin'!$C$9)),
'Thong tin'!$C$7=2024, SUM(OFFSET('Ket qua kinh doanh'!$AN5,0,0,1,'Thong tin'!$C$9)),
'Thong tin'!$C$7=2025, SUM(OFFSET('Ket qua kinh doanh'!$AZ5,0,0,1,'Thong tin'!$C$9)),
'Thong tin'!$C$7=2026, SUM(OFFSET('Ket qua kinh doanh'!$BL5,0,0,1,'Thong tin'!$C$9))
)</f>
        <v>34979057663</v>
      </c>
    </row>
    <row r="11" spans="1:7" ht="18" customHeight="1" x14ac:dyDescent="0.25">
      <c r="A11" s="319" t="s">
        <v>158</v>
      </c>
      <c r="B11" s="320" t="s">
        <v>159</v>
      </c>
      <c r="C11" s="321"/>
      <c r="D11" s="322">
        <f ca="1">OFFSET('Ket qua kinh doanh'!$BL6,0,'Thong tin'!$C$9 - 1)</f>
        <v>0</v>
      </c>
      <c r="E11" s="322">
        <f ca="1">OFFSET('Ket qua kinh doanh'!$AZ6,0,'Thong tin'!$C$9 - 1)</f>
        <v>0</v>
      </c>
      <c r="F11" s="322" cm="1">
        <f t="array" aca="1" ref="F11" ca="1">_xlfn.SWITCH(TRUE(),
'Thong tin'!$C$6=2021, SUM(OFFSET('Ket qua kinh doanh'!$D6,0,0,1,'Thong tin'!$C$9)),
'Thong tin'!$C$6=2022, SUM(OFFSET('Ket qua kinh doanh'!$P6,0,0,1,'Thong tin'!$C$9)),
'Thong tin'!$C$6=2023, SUM(OFFSET('Ket qua kinh doanh'!$AB6,0,0,1,'Thong tin'!$C$9)),
'Thong tin'!$C$6=2024, SUM(OFFSET('Ket qua kinh doanh'!$AN6,0,0,1,'Thong tin'!$C$9)),
'Thong tin'!$C$6=2025, SUM(OFFSET('Ket qua kinh doanh'!$AZ6,0,0,1,'Thong tin'!$C$9)),
'Thong tin'!$C$6=2026, SUM(OFFSET('Ket qua kinh doanh'!$BL6,0,0,1,'Thong tin'!$C$9))
)</f>
        <v>0</v>
      </c>
      <c r="G11" s="322" cm="1">
        <f t="array" aca="1" ref="G11" ca="1">_xlfn.SWITCH(TRUE(),
'Thong tin'!$C$7=2021, SUM(OFFSET('Ket qua kinh doanh'!$D6,0,0,1,'Thong tin'!$C$9)),
'Thong tin'!$C$7=2022, SUM(OFFSET('Ket qua kinh doanh'!$P6,0,0,1,'Thong tin'!$C$9)),
'Thong tin'!$C$7=2023, SUM(OFFSET('Ket qua kinh doanh'!$AB6,0,0,1,'Thong tin'!$C$9)),
'Thong tin'!$C$7=2024, SUM(OFFSET('Ket qua kinh doanh'!$AN6,0,0,1,'Thong tin'!$C$9)),
'Thong tin'!$C$7=2025, SUM(OFFSET('Ket qua kinh doanh'!$AZ6,0,0,1,'Thong tin'!$C$9)),
'Thong tin'!$C$7=2026, SUM(OFFSET('Ket qua kinh doanh'!$BL6,0,0,1,'Thong tin'!$C$9))
)</f>
        <v>0</v>
      </c>
    </row>
    <row r="12" spans="1:7" s="325" customFormat="1" ht="29.25" customHeight="1" x14ac:dyDescent="0.25">
      <c r="A12" s="323" t="s">
        <v>160</v>
      </c>
      <c r="B12" s="678" t="s">
        <v>161</v>
      </c>
      <c r="C12" s="679"/>
      <c r="D12" s="324">
        <f ca="1">OFFSET('Ket qua kinh doanh'!$BL7,0,'Thong tin'!$C$9 - 1)</f>
        <v>12123223250</v>
      </c>
      <c r="E12" s="324">
        <f ca="1">OFFSET('Ket qua kinh doanh'!$AZ7,0,'Thong tin'!$C$9 - 1)</f>
        <v>8388349104</v>
      </c>
      <c r="F12" s="324" cm="1">
        <f t="array" aca="1" ref="F12" ca="1">_xlfn.SWITCH(TRUE(),
'Thong tin'!$C$6=2021, SUM(OFFSET('Ket qua kinh doanh'!$D7,0,0,1,'Thong tin'!$C$9)),
'Thong tin'!$C$6=2022, SUM(OFFSET('Ket qua kinh doanh'!$P7,0,0,1,'Thong tin'!$C$9)),
'Thong tin'!$C$6=2023, SUM(OFFSET('Ket qua kinh doanh'!$AB7,0,0,1,'Thong tin'!$C$9)),
'Thong tin'!$C$6=2024, SUM(OFFSET('Ket qua kinh doanh'!$AN7,0,0,1,'Thong tin'!$C$9)),
'Thong tin'!$C$6=2025, SUM(OFFSET('Ket qua kinh doanh'!$AZ7,0,0,1,'Thong tin'!$C$9)),
'Thong tin'!$C$6=2026, SUM(OFFSET('Ket qua kinh doanh'!$BL7,0,0,1,'Thong tin'!$C$9))
)</f>
        <v>45601638252</v>
      </c>
      <c r="G12" s="324" cm="1">
        <f t="array" aca="1" ref="G12" ca="1">_xlfn.SWITCH(TRUE(),
'Thong tin'!$C$7=2021, SUM(OFFSET('Ket qua kinh doanh'!$D7,0,0,1,'Thong tin'!$C$9)),
'Thong tin'!$C$7=2022, SUM(OFFSET('Ket qua kinh doanh'!$P7,0,0,1,'Thong tin'!$C$9)),
'Thong tin'!$C$7=2023, SUM(OFFSET('Ket qua kinh doanh'!$AB7,0,0,1,'Thong tin'!$C$9)),
'Thong tin'!$C$7=2024, SUM(OFFSET('Ket qua kinh doanh'!$AN7,0,0,1,'Thong tin'!$C$9)),
'Thong tin'!$C$7=2025, SUM(OFFSET('Ket qua kinh doanh'!$AZ7,0,0,1,'Thong tin'!$C$9)),
'Thong tin'!$C$7=2026, SUM(OFFSET('Ket qua kinh doanh'!$BL7,0,0,1,'Thong tin'!$C$9))
)</f>
        <v>34979057663</v>
      </c>
    </row>
    <row r="13" spans="1:7" ht="18" customHeight="1" x14ac:dyDescent="0.25">
      <c r="A13" s="326" t="s">
        <v>162</v>
      </c>
      <c r="B13" s="327" t="s">
        <v>163</v>
      </c>
      <c r="C13" s="328"/>
      <c r="D13" s="329">
        <f ca="1">OFFSET('Ket qua kinh doanh'!$BL8,0,'Thong tin'!$C$9 - 1)</f>
        <v>10499325346</v>
      </c>
      <c r="E13" s="329">
        <f ca="1">OFFSET('Ket qua kinh doanh'!$AZ8,0,'Thong tin'!$C$9 - 1)</f>
        <v>7739685565</v>
      </c>
      <c r="F13" s="329" cm="1">
        <f t="array" aca="1" ref="F13" ca="1">_xlfn.SWITCH(TRUE(),
'Thong tin'!$C$6=2021, SUM(OFFSET('Ket qua kinh doanh'!$D8,0,0,1,'Thong tin'!$C$9)),
'Thong tin'!$C$6=2022, SUM(OFFSET('Ket qua kinh doanh'!$P8,0,0,1,'Thong tin'!$C$9)),
'Thong tin'!$C$6=2023, SUM(OFFSET('Ket qua kinh doanh'!$AB8,0,0,1,'Thong tin'!$C$9)),
'Thong tin'!$C$6=2024, SUM(OFFSET('Ket qua kinh doanh'!$AN8,0,0,1,'Thong tin'!$C$9)),
'Thong tin'!$C$6=2025, SUM(OFFSET('Ket qua kinh doanh'!$AZ8,0,0,1,'Thong tin'!$C$9)),
'Thong tin'!$C$6=2026, SUM(OFFSET('Ket qua kinh doanh'!$BL8,0,0,1,'Thong tin'!$C$9))
)</f>
        <v>39700166595</v>
      </c>
      <c r="G13" s="318" cm="1">
        <f t="array" aca="1" ref="G13" ca="1">_xlfn.SWITCH(TRUE(),
'Thong tin'!$C$7=2021, SUM(OFFSET('Ket qua kinh doanh'!$D8,0,0,1,'Thong tin'!$C$9)),
'Thong tin'!$C$7=2022, SUM(OFFSET('Ket qua kinh doanh'!$P8,0,0,1,'Thong tin'!$C$9)),
'Thong tin'!$C$7=2023, SUM(OFFSET('Ket qua kinh doanh'!$AB8,0,0,1,'Thong tin'!$C$9)),
'Thong tin'!$C$7=2024, SUM(OFFSET('Ket qua kinh doanh'!$AN8,0,0,1,'Thong tin'!$C$9)),
'Thong tin'!$C$7=2025, SUM(OFFSET('Ket qua kinh doanh'!$AZ8,0,0,1,'Thong tin'!$C$9)),
'Thong tin'!$C$7=2026, SUM(OFFSET('Ket qua kinh doanh'!$BL8,0,0,1,'Thong tin'!$C$9))
)</f>
        <v>33684313417</v>
      </c>
    </row>
    <row r="14" spans="1:7" s="325" customFormat="1" ht="28.5" customHeight="1" x14ac:dyDescent="0.25">
      <c r="A14" s="323" t="s">
        <v>164</v>
      </c>
      <c r="B14" s="678" t="s">
        <v>165</v>
      </c>
      <c r="C14" s="679"/>
      <c r="D14" s="330">
        <f ca="1">OFFSET('Ket qua kinh doanh'!$BL9,0,'Thong tin'!$C$9 - 1)</f>
        <v>1623897904</v>
      </c>
      <c r="E14" s="330">
        <f ca="1">OFFSET('Ket qua kinh doanh'!$AZ9,0,'Thong tin'!$C$9 - 1)</f>
        <v>648663539</v>
      </c>
      <c r="F14" s="330" cm="1">
        <f t="array" aca="1" ref="F14" ca="1">_xlfn.SWITCH(TRUE(),
'Thong tin'!$C$6=2021, SUM(OFFSET('Ket qua kinh doanh'!$D9,0,0,1,'Thong tin'!$C$9)),
'Thong tin'!$C$6=2022, SUM(OFFSET('Ket qua kinh doanh'!$P9,0,0,1,'Thong tin'!$C$9)),
'Thong tin'!$C$6=2023, SUM(OFFSET('Ket qua kinh doanh'!$AB9,0,0,1,'Thong tin'!$C$9)),
'Thong tin'!$C$6=2024, SUM(OFFSET('Ket qua kinh doanh'!$AN9,0,0,1,'Thong tin'!$C$9)),
'Thong tin'!$C$6=2025, SUM(OFFSET('Ket qua kinh doanh'!$AZ9,0,0,1,'Thong tin'!$C$9)),
'Thong tin'!$C$6=2026, SUM(OFFSET('Ket qua kinh doanh'!$BL9,0,0,1,'Thong tin'!$C$9))
)</f>
        <v>5901471657</v>
      </c>
      <c r="G14" s="330" cm="1">
        <f t="array" aca="1" ref="G14" ca="1">_xlfn.SWITCH(TRUE(),
'Thong tin'!$C$7=2021, SUM(OFFSET('Ket qua kinh doanh'!$D9,0,0,1,'Thong tin'!$C$9)),
'Thong tin'!$C$7=2022, SUM(OFFSET('Ket qua kinh doanh'!$P9,0,0,1,'Thong tin'!$C$9)),
'Thong tin'!$C$7=2023, SUM(OFFSET('Ket qua kinh doanh'!$AB9,0,0,1,'Thong tin'!$C$9)),
'Thong tin'!$C$7=2024, SUM(OFFSET('Ket qua kinh doanh'!$AN9,0,0,1,'Thong tin'!$C$9)),
'Thong tin'!$C$7=2025, SUM(OFFSET('Ket qua kinh doanh'!$AZ9,0,0,1,'Thong tin'!$C$9)),
'Thong tin'!$C$7=2026, SUM(OFFSET('Ket qua kinh doanh'!$BL9,0,0,1,'Thong tin'!$C$9))
)</f>
        <v>1294744246</v>
      </c>
    </row>
    <row r="15" spans="1:7" s="325" customFormat="1" ht="28.5" customHeight="1" x14ac:dyDescent="0.25">
      <c r="A15" s="323" t="s">
        <v>166</v>
      </c>
      <c r="B15" s="678" t="s">
        <v>167</v>
      </c>
      <c r="C15" s="679"/>
      <c r="D15" s="330">
        <f ca="1">OFFSET('Ket qua kinh doanh'!$BL10,0,'Thong tin'!$C$9 - 1)</f>
        <v>0</v>
      </c>
      <c r="E15" s="330">
        <f ca="1">OFFSET('Ket qua kinh doanh'!$AZ10,0,'Thong tin'!$C$9 - 1)</f>
        <v>0</v>
      </c>
      <c r="F15" s="330" cm="1">
        <f t="array" aca="1" ref="F15" ca="1">_xlfn.SWITCH(TRUE(),
'Thong tin'!$C$6=2021, SUM(OFFSET('Ket qua kinh doanh'!$D10,0,0,1,'Thong tin'!$C$9)),
'Thong tin'!$C$6=2022, SUM(OFFSET('Ket qua kinh doanh'!$P10,0,0,1,'Thong tin'!$C$9)),
'Thong tin'!$C$6=2023, SUM(OFFSET('Ket qua kinh doanh'!$AB10,0,0,1,'Thong tin'!$C$9)),
'Thong tin'!$C$6=2024, SUM(OFFSET('Ket qua kinh doanh'!$AN10,0,0,1,'Thong tin'!$C$9)),
'Thong tin'!$C$6=2025, SUM(OFFSET('Ket qua kinh doanh'!$AZ10,0,0,1,'Thong tin'!$C$9)),
'Thong tin'!$C$6=2026, SUM(OFFSET('Ket qua kinh doanh'!$BL10,0,0,1,'Thong tin'!$C$9))
)</f>
        <v>0</v>
      </c>
      <c r="G15" s="330" cm="1">
        <f t="array" aca="1" ref="G15" ca="1">_xlfn.SWITCH(TRUE(),
'Thong tin'!$C$7=2021, SUM(OFFSET('Ket qua kinh doanh'!$D10,0,0,1,'Thong tin'!$C$9)),
'Thong tin'!$C$7=2022, SUM(OFFSET('Ket qua kinh doanh'!$P10,0,0,1,'Thong tin'!$C$9)),
'Thong tin'!$C$7=2023, SUM(OFFSET('Ket qua kinh doanh'!$AB10,0,0,1,'Thong tin'!$C$9)),
'Thong tin'!$C$7=2024, SUM(OFFSET('Ket qua kinh doanh'!$AN10,0,0,1,'Thong tin'!$C$9)),
'Thong tin'!$C$7=2025, SUM(OFFSET('Ket qua kinh doanh'!$AZ10,0,0,1,'Thong tin'!$C$9)),
'Thong tin'!$C$7=2026, SUM(OFFSET('Ket qua kinh doanh'!$BL10,0,0,1,'Thong tin'!$C$9))
)</f>
        <v>0</v>
      </c>
    </row>
    <row r="16" spans="1:7" ht="18" customHeight="1" x14ac:dyDescent="0.25">
      <c r="A16" s="319" t="s">
        <v>168</v>
      </c>
      <c r="B16" s="320" t="s">
        <v>169</v>
      </c>
      <c r="C16" s="321"/>
      <c r="D16" s="331">
        <f ca="1">OFFSET('Ket qua kinh doanh'!$BL11,0,'Thong tin'!$C$9 - 1)</f>
        <v>17033</v>
      </c>
      <c r="E16" s="331">
        <f ca="1">OFFSET('Ket qua kinh doanh'!$AZ11,0,'Thong tin'!$C$9 - 1)</f>
        <v>29738</v>
      </c>
      <c r="F16" s="322" cm="1">
        <f t="array" aca="1" ref="F16" ca="1">_xlfn.SWITCH(TRUE(),
'Thong tin'!$C$6=2021, SUM(OFFSET('Ket qua kinh doanh'!$D11,0,0,1,'Thong tin'!$C$9)),
'Thong tin'!$C$6=2022, SUM(OFFSET('Ket qua kinh doanh'!$P11,0,0,1,'Thong tin'!$C$9)),
'Thong tin'!$C$6=2023, SUM(OFFSET('Ket qua kinh doanh'!$AB11,0,0,1,'Thong tin'!$C$9)),
'Thong tin'!$C$6=2024, SUM(OFFSET('Ket qua kinh doanh'!$AN11,0,0,1,'Thong tin'!$C$9)),
'Thong tin'!$C$6=2025, SUM(OFFSET('Ket qua kinh doanh'!$AZ11,0,0,1,'Thong tin'!$C$9)),
'Thong tin'!$C$6=2026, SUM(OFFSET('Ket qua kinh doanh'!$BL11,0,0,1,'Thong tin'!$C$9))
)</f>
        <v>49682461</v>
      </c>
      <c r="G16" s="322" cm="1">
        <f t="array" aca="1" ref="G16" ca="1">_xlfn.SWITCH(TRUE(),
'Thong tin'!$C$7=2021, SUM(OFFSET('Ket qua kinh doanh'!$D11,0,0,1,'Thong tin'!$C$9)),
'Thong tin'!$C$7=2022, SUM(OFFSET('Ket qua kinh doanh'!$P11,0,0,1,'Thong tin'!$C$9)),
'Thong tin'!$C$7=2023, SUM(OFFSET('Ket qua kinh doanh'!$AB11,0,0,1,'Thong tin'!$C$9)),
'Thong tin'!$C$7=2024, SUM(OFFSET('Ket qua kinh doanh'!$AN11,0,0,1,'Thong tin'!$C$9)),
'Thong tin'!$C$7=2025, SUM(OFFSET('Ket qua kinh doanh'!$AZ11,0,0,1,'Thong tin'!$C$9)),
'Thong tin'!$C$7=2026, SUM(OFFSET('Ket qua kinh doanh'!$BL11,0,0,1,'Thong tin'!$C$9))
)</f>
        <v>5638207</v>
      </c>
    </row>
    <row r="17" spans="1:7" ht="18" customHeight="1" x14ac:dyDescent="0.25">
      <c r="A17" s="319" t="s">
        <v>170</v>
      </c>
      <c r="B17" s="320" t="s">
        <v>171</v>
      </c>
      <c r="C17" s="321"/>
      <c r="D17" s="331">
        <f ca="1">OFFSET('Ket qua kinh doanh'!$BL12,0,'Thong tin'!$C$9 - 1)</f>
        <v>0</v>
      </c>
      <c r="E17" s="322">
        <f ca="1">OFFSET('Ket qua kinh doanh'!$AZ12,0,'Thong tin'!$C$9 - 1)</f>
        <v>0</v>
      </c>
      <c r="F17" s="322" cm="1">
        <f t="array" aca="1" ref="F17" ca="1">_xlfn.SWITCH(TRUE(),
'Thong tin'!$C$6=2021, SUM(OFFSET('Ket qua kinh doanh'!$D12,0,0,1,'Thong tin'!$C$9)),
'Thong tin'!$C$6=2022, SUM(OFFSET('Ket qua kinh doanh'!$P12,0,0,1,'Thong tin'!$C$9)),
'Thong tin'!$C$6=2023, SUM(OFFSET('Ket qua kinh doanh'!$AB12,0,0,1,'Thong tin'!$C$9)),
'Thong tin'!$C$6=2024, SUM(OFFSET('Ket qua kinh doanh'!$AN12,0,0,1,'Thong tin'!$C$9)),
'Thong tin'!$C$6=2025, SUM(OFFSET('Ket qua kinh doanh'!$AZ12,0,0,1,'Thong tin'!$C$9)),
'Thong tin'!$C$6=2026, SUM(OFFSET('Ket qua kinh doanh'!$BL12,0,0,1,'Thong tin'!$C$9))
)</f>
        <v>0</v>
      </c>
      <c r="G17" s="322" cm="1">
        <f t="array" aca="1" ref="G17" ca="1">_xlfn.SWITCH(TRUE(),
'Thong tin'!$C$7=2021, SUM(OFFSET('Ket qua kinh doanh'!$D12,0,0,1,'Thong tin'!$C$9)),
'Thong tin'!$C$7=2022, SUM(OFFSET('Ket qua kinh doanh'!$P12,0,0,1,'Thong tin'!$C$9)),
'Thong tin'!$C$7=2023, SUM(OFFSET('Ket qua kinh doanh'!$AB12,0,0,1,'Thong tin'!$C$9)),
'Thong tin'!$C$7=2024, SUM(OFFSET('Ket qua kinh doanh'!$AN12,0,0,1,'Thong tin'!$C$9)),
'Thong tin'!$C$7=2025, SUM(OFFSET('Ket qua kinh doanh'!$AZ12,0,0,1,'Thong tin'!$C$9)),
'Thong tin'!$C$7=2026, SUM(OFFSET('Ket qua kinh doanh'!$BL12,0,0,1,'Thong tin'!$C$9))
)</f>
        <v>0</v>
      </c>
    </row>
    <row r="18" spans="1:7" s="335" customFormat="1" ht="18" customHeight="1" x14ac:dyDescent="0.25">
      <c r="A18" s="332"/>
      <c r="B18" s="333" t="s">
        <v>172</v>
      </c>
      <c r="C18" s="334"/>
      <c r="D18" s="322">
        <f ca="1">OFFSET('Ket qua kinh doanh'!$BL13,0,'Thong tin'!$C$9 - 1)</f>
        <v>0</v>
      </c>
      <c r="E18" s="322">
        <f ca="1">OFFSET('Ket qua kinh doanh'!$AZ13,0,'Thong tin'!$C$9 - 1)</f>
        <v>0</v>
      </c>
      <c r="F18" s="322" cm="1">
        <f t="array" aca="1" ref="F18" ca="1">_xlfn.SWITCH(TRUE(),
'Thong tin'!$C$6=2021, SUM(OFFSET('Ket qua kinh doanh'!$D13,0,0,1,'Thong tin'!$C$9)),
'Thong tin'!$C$6=2022, SUM(OFFSET('Ket qua kinh doanh'!$P13,0,0,1,'Thong tin'!$C$9)),
'Thong tin'!$C$6=2023, SUM(OFFSET('Ket qua kinh doanh'!$AB13,0,0,1,'Thong tin'!$C$9)),
'Thong tin'!$C$6=2024, SUM(OFFSET('Ket qua kinh doanh'!$AN13,0,0,1,'Thong tin'!$C$9)),
'Thong tin'!$C$6=2025, SUM(OFFSET('Ket qua kinh doanh'!$AZ13,0,0,1,'Thong tin'!$C$9)),
'Thong tin'!$C$6=2026, SUM(OFFSET('Ket qua kinh doanh'!$BL13,0,0,1,'Thong tin'!$C$9))
)</f>
        <v>0</v>
      </c>
      <c r="G18" s="322" cm="1">
        <f t="array" aca="1" ref="G18" ca="1">_xlfn.SWITCH(TRUE(),
'Thong tin'!$C$7=2021, SUM(OFFSET('Ket qua kinh doanh'!$D13,0,0,1,'Thong tin'!$C$9)),
'Thong tin'!$C$7=2022, SUM(OFFSET('Ket qua kinh doanh'!$P13,0,0,1,'Thong tin'!$C$9)),
'Thong tin'!$C$7=2023, SUM(OFFSET('Ket qua kinh doanh'!$AB13,0,0,1,'Thong tin'!$C$9)),
'Thong tin'!$C$7=2024, SUM(OFFSET('Ket qua kinh doanh'!$AN13,0,0,1,'Thong tin'!$C$9)),
'Thong tin'!$C$7=2025, SUM(OFFSET('Ket qua kinh doanh'!$AZ13,0,0,1,'Thong tin'!$C$9)),
'Thong tin'!$C$7=2026, SUM(OFFSET('Ket qua kinh doanh'!$BL13,0,0,1,'Thong tin'!$C$9))
)</f>
        <v>0</v>
      </c>
    </row>
    <row r="19" spans="1:7" ht="18" customHeight="1" x14ac:dyDescent="0.25">
      <c r="A19" s="319" t="s">
        <v>173</v>
      </c>
      <c r="B19" s="320" t="s">
        <v>174</v>
      </c>
      <c r="C19" s="321"/>
      <c r="D19" s="331">
        <f ca="1">OFFSET('Ket qua kinh doanh'!$BL14,0,'Thong tin'!$C$9 - 1)</f>
        <v>152200000</v>
      </c>
      <c r="E19" s="331">
        <f ca="1">OFFSET('Ket qua kinh doanh'!$AZ14,0,'Thong tin'!$C$9 - 1)</f>
        <v>111000000</v>
      </c>
      <c r="F19" s="322" cm="1">
        <f t="array" aca="1" ref="F19" ca="1">_xlfn.SWITCH(TRUE(),
'Thong tin'!$C$6=2021, SUM(OFFSET('Ket qua kinh doanh'!$D14,0,0,1,'Thong tin'!$C$9)),
'Thong tin'!$C$6=2022, SUM(OFFSET('Ket qua kinh doanh'!$P14,0,0,1,'Thong tin'!$C$9)),
'Thong tin'!$C$6=2023, SUM(OFFSET('Ket qua kinh doanh'!$AB14,0,0,1,'Thong tin'!$C$9)),
'Thong tin'!$C$6=2024, SUM(OFFSET('Ket qua kinh doanh'!$AN14,0,0,1,'Thong tin'!$C$9)),
'Thong tin'!$C$6=2025, SUM(OFFSET('Ket qua kinh doanh'!$AZ14,0,0,1,'Thong tin'!$C$9)),
'Thong tin'!$C$6=2026, SUM(OFFSET('Ket qua kinh doanh'!$BL14,0,0,1,'Thong tin'!$C$9))
)</f>
        <v>643600000</v>
      </c>
      <c r="G19" s="322" cm="1">
        <f t="array" aca="1" ref="G19" ca="1">_xlfn.SWITCH(TRUE(),
'Thong tin'!$C$7=2021, SUM(OFFSET('Ket qua kinh doanh'!$D14,0,0,1,'Thong tin'!$C$9)),
'Thong tin'!$C$7=2022, SUM(OFFSET('Ket qua kinh doanh'!$P14,0,0,1,'Thong tin'!$C$9)),
'Thong tin'!$C$7=2023, SUM(OFFSET('Ket qua kinh doanh'!$AB14,0,0,1,'Thong tin'!$C$9)),
'Thong tin'!$C$7=2024, SUM(OFFSET('Ket qua kinh doanh'!$AN14,0,0,1,'Thong tin'!$C$9)),
'Thong tin'!$C$7=2025, SUM(OFFSET('Ket qua kinh doanh'!$AZ14,0,0,1,'Thong tin'!$C$9)),
'Thong tin'!$C$7=2026, SUM(OFFSET('Ket qua kinh doanh'!$BL14,0,0,1,'Thong tin'!$C$9))
)</f>
        <v>451500000</v>
      </c>
    </row>
    <row r="20" spans="1:7" ht="18" customHeight="1" x14ac:dyDescent="0.25">
      <c r="A20" s="319" t="s">
        <v>175</v>
      </c>
      <c r="B20" s="320" t="s">
        <v>176</v>
      </c>
      <c r="C20" s="321"/>
      <c r="D20" s="322">
        <f ca="1">OFFSET('Ket qua kinh doanh'!$BL15,0,'Thong tin'!$C$9 - 1)</f>
        <v>462618957</v>
      </c>
      <c r="E20" s="322">
        <f ca="1">OFFSET('Ket qua kinh doanh'!$AZ15,0,'Thong tin'!$C$9 - 1)</f>
        <v>312964157</v>
      </c>
      <c r="F20" s="322" cm="1">
        <f t="array" aca="1" ref="F20" ca="1">_xlfn.SWITCH(TRUE(),
'Thong tin'!$C$6=2021, SUM(OFFSET('Ket qua kinh doanh'!$D15,0,0,1,'Thong tin'!$C$9)),
'Thong tin'!$C$6=2022, SUM(OFFSET('Ket qua kinh doanh'!$P15,0,0,1,'Thong tin'!$C$9)),
'Thong tin'!$C$6=2023, SUM(OFFSET('Ket qua kinh doanh'!$AB15,0,0,1,'Thong tin'!$C$9)),
'Thong tin'!$C$6=2024, SUM(OFFSET('Ket qua kinh doanh'!$AN15,0,0,1,'Thong tin'!$C$9)),
'Thong tin'!$C$6=2025, SUM(OFFSET('Ket qua kinh doanh'!$AZ15,0,0,1,'Thong tin'!$C$9)),
'Thong tin'!$C$6=2026, SUM(OFFSET('Ket qua kinh doanh'!$BL15,0,0,1,'Thong tin'!$C$9))
)</f>
        <v>1987578782</v>
      </c>
      <c r="G20" s="322" cm="1">
        <f t="array" aca="1" ref="G20" ca="1">_xlfn.SWITCH(TRUE(),
'Thong tin'!$C$7=2021, SUM(OFFSET('Ket qua kinh doanh'!$D15,0,0,1,'Thong tin'!$C$9)),
'Thong tin'!$C$7=2022, SUM(OFFSET('Ket qua kinh doanh'!$P15,0,0,1,'Thong tin'!$C$9)),
'Thong tin'!$C$7=2023, SUM(OFFSET('Ket qua kinh doanh'!$AB15,0,0,1,'Thong tin'!$C$9)),
'Thong tin'!$C$7=2024, SUM(OFFSET('Ket qua kinh doanh'!$AN15,0,0,1,'Thong tin'!$C$9)),
'Thong tin'!$C$7=2025, SUM(OFFSET('Ket qua kinh doanh'!$AZ15,0,0,1,'Thong tin'!$C$9)),
'Thong tin'!$C$7=2026, SUM(OFFSET('Ket qua kinh doanh'!$BL15,0,0,1,'Thong tin'!$C$9))
)</f>
        <v>1545350395</v>
      </c>
    </row>
    <row r="21" spans="1:7" s="325" customFormat="1" ht="18" customHeight="1" x14ac:dyDescent="0.25">
      <c r="A21" s="336" t="s">
        <v>177</v>
      </c>
      <c r="B21" s="678" t="s">
        <v>178</v>
      </c>
      <c r="C21" s="679"/>
      <c r="D21" s="330">
        <f ca="1">OFFSET('Ket qua kinh doanh'!$BL16,0,'Thong tin'!$C$9 - 1)</f>
        <v>1009095980</v>
      </c>
      <c r="E21" s="330">
        <f ca="1">OFFSET('Ket qua kinh doanh'!$AZ16,0,'Thong tin'!$C$9 - 1)</f>
        <v>224729120</v>
      </c>
      <c r="F21" s="330" cm="1">
        <f t="array" aca="1" ref="F21" ca="1">_xlfn.SWITCH(TRUE(),
'Thong tin'!$C$6=2021, SUM(OFFSET('Ket qua kinh doanh'!$D16,0,0,1,'Thong tin'!$C$9)),
'Thong tin'!$C$6=2022, SUM(OFFSET('Ket qua kinh doanh'!$P16,0,0,1,'Thong tin'!$C$9)),
'Thong tin'!$C$6=2023, SUM(OFFSET('Ket qua kinh doanh'!$AB16,0,0,1,'Thong tin'!$C$9)),
'Thong tin'!$C$6=2024, SUM(OFFSET('Ket qua kinh doanh'!$AN16,0,0,1,'Thong tin'!$C$9)),
'Thong tin'!$C$6=2025, SUM(OFFSET('Ket qua kinh doanh'!$AZ16,0,0,1,'Thong tin'!$C$9)),
'Thong tin'!$C$6=2026, SUM(OFFSET('Ket qua kinh doanh'!$BL16,0,0,1,'Thong tin'!$C$9))
)</f>
        <v>3319975336</v>
      </c>
      <c r="G21" s="330" cm="1">
        <f t="array" aca="1" ref="G21" ca="1">_xlfn.SWITCH(TRUE(),
'Thong tin'!$C$7=2021, SUM(OFFSET('Ket qua kinh doanh'!$D16,0,0,1,'Thong tin'!$C$9)),
'Thong tin'!$C$7=2022, SUM(OFFSET('Ket qua kinh doanh'!$P16,0,0,1,'Thong tin'!$C$9)),
'Thong tin'!$C$7=2023, SUM(OFFSET('Ket qua kinh doanh'!$AB16,0,0,1,'Thong tin'!$C$9)),
'Thong tin'!$C$7=2024, SUM(OFFSET('Ket qua kinh doanh'!$AN16,0,0,1,'Thong tin'!$C$9)),
'Thong tin'!$C$7=2025, SUM(OFFSET('Ket qua kinh doanh'!$AZ16,0,0,1,'Thong tin'!$C$9)),
'Thong tin'!$C$7=2026, SUM(OFFSET('Ket qua kinh doanh'!$BL16,0,0,1,'Thong tin'!$C$9))
)</f>
        <v>-696467942</v>
      </c>
    </row>
    <row r="22" spans="1:7" ht="18" customHeight="1" x14ac:dyDescent="0.25">
      <c r="A22" s="319" t="s">
        <v>179</v>
      </c>
      <c r="B22" s="320" t="s">
        <v>180</v>
      </c>
      <c r="C22" s="321"/>
      <c r="D22" s="322">
        <f ca="1">OFFSET('Ket qua kinh doanh'!$BL17,0,'Thong tin'!$C$9 - 1)</f>
        <v>145437626</v>
      </c>
      <c r="E22" s="322">
        <f ca="1">OFFSET('Ket qua kinh doanh'!$AZ17,0,'Thong tin'!$C$9 - 1)</f>
        <v>0</v>
      </c>
      <c r="F22" s="322" cm="1">
        <f t="array" aca="1" ref="F22" ca="1">_xlfn.SWITCH(TRUE(),
'Thong tin'!$C$6=2021, SUM(OFFSET('Ket qua kinh doanh'!$D17,0,0,1,'Thong tin'!$C$9)),
'Thong tin'!$C$6=2022, SUM(OFFSET('Ket qua kinh doanh'!$P17,0,0,1,'Thong tin'!$C$9)),
'Thong tin'!$C$6=2023, SUM(OFFSET('Ket qua kinh doanh'!$AB17,0,0,1,'Thong tin'!$C$9)),
'Thong tin'!$C$6=2024, SUM(OFFSET('Ket qua kinh doanh'!$AN17,0,0,1,'Thong tin'!$C$9)),
'Thong tin'!$C$6=2025, SUM(OFFSET('Ket qua kinh doanh'!$AZ17,0,0,1,'Thong tin'!$C$9)),
'Thong tin'!$C$6=2026, SUM(OFFSET('Ket qua kinh doanh'!$BL17,0,0,1,'Thong tin'!$C$9))
)</f>
        <v>261493407</v>
      </c>
      <c r="G22" s="322" cm="1">
        <f t="array" aca="1" ref="G22" ca="1">_xlfn.SWITCH(TRUE(),
'Thong tin'!$C$7=2021, SUM(OFFSET('Ket qua kinh doanh'!$D17,0,0,1,'Thong tin'!$C$9)),
'Thong tin'!$C$7=2022, SUM(OFFSET('Ket qua kinh doanh'!$P17,0,0,1,'Thong tin'!$C$9)),
'Thong tin'!$C$7=2023, SUM(OFFSET('Ket qua kinh doanh'!$AB17,0,0,1,'Thong tin'!$C$9)),
'Thong tin'!$C$7=2024, SUM(OFFSET('Ket qua kinh doanh'!$AN17,0,0,1,'Thong tin'!$C$9)),
'Thong tin'!$C$7=2025, SUM(OFFSET('Ket qua kinh doanh'!$AZ17,0,0,1,'Thong tin'!$C$9)),
'Thong tin'!$C$7=2026, SUM(OFFSET('Ket qua kinh doanh'!$BL17,0,0,1,'Thong tin'!$C$9))
)</f>
        <v>26584470</v>
      </c>
    </row>
    <row r="23" spans="1:7" ht="18" customHeight="1" x14ac:dyDescent="0.25">
      <c r="A23" s="319" t="s">
        <v>181</v>
      </c>
      <c r="B23" s="320" t="s">
        <v>182</v>
      </c>
      <c r="C23" s="321"/>
      <c r="D23" s="322">
        <f ca="1">OFFSET('Ket qua kinh doanh'!$BL18,0,'Thong tin'!$C$9 - 1)</f>
        <v>0</v>
      </c>
      <c r="E23" s="322">
        <f ca="1">OFFSET('Ket qua kinh doanh'!$AZ18,0,'Thong tin'!$C$9 - 1)</f>
        <v>0</v>
      </c>
      <c r="F23" s="322" cm="1">
        <f t="array" aca="1" ref="F23" ca="1">_xlfn.SWITCH(TRUE(),
'Thong tin'!$C$6=2021, SUM(OFFSET('Ket qua kinh doanh'!$D18,0,0,1,'Thong tin'!$C$9)),
'Thong tin'!$C$6=2022, SUM(OFFSET('Ket qua kinh doanh'!$P18,0,0,1,'Thong tin'!$C$9)),
'Thong tin'!$C$6=2023, SUM(OFFSET('Ket qua kinh doanh'!$AB18,0,0,1,'Thong tin'!$C$9)),
'Thong tin'!$C$6=2024, SUM(OFFSET('Ket qua kinh doanh'!$AN18,0,0,1,'Thong tin'!$C$9)),
'Thong tin'!$C$6=2025, SUM(OFFSET('Ket qua kinh doanh'!$AZ18,0,0,1,'Thong tin'!$C$9)),
'Thong tin'!$C$6=2026, SUM(OFFSET('Ket qua kinh doanh'!$BL18,0,0,1,'Thong tin'!$C$9))
)</f>
        <v>572396</v>
      </c>
      <c r="G23" s="322" cm="1">
        <f t="array" aca="1" ref="G23" ca="1">_xlfn.SWITCH(TRUE(),
'Thong tin'!$C$7=2021, SUM(OFFSET('Ket qua kinh doanh'!$D18,0,0,1,'Thong tin'!$C$9)),
'Thong tin'!$C$7=2022, SUM(OFFSET('Ket qua kinh doanh'!$P18,0,0,1,'Thong tin'!$C$9)),
'Thong tin'!$C$7=2023, SUM(OFFSET('Ket qua kinh doanh'!$AB18,0,0,1,'Thong tin'!$C$9)),
'Thong tin'!$C$7=2024, SUM(OFFSET('Ket qua kinh doanh'!$AN18,0,0,1,'Thong tin'!$C$9)),
'Thong tin'!$C$7=2025, SUM(OFFSET('Ket qua kinh doanh'!$AZ18,0,0,1,'Thong tin'!$C$9)),
'Thong tin'!$C$7=2026, SUM(OFFSET('Ket qua kinh doanh'!$BL18,0,0,1,'Thong tin'!$C$9))
)</f>
        <v>21650012</v>
      </c>
    </row>
    <row r="24" spans="1:7" ht="18" customHeight="1" x14ac:dyDescent="0.25">
      <c r="A24" s="326" t="s">
        <v>183</v>
      </c>
      <c r="B24" s="327" t="s">
        <v>184</v>
      </c>
      <c r="C24" s="328"/>
      <c r="D24" s="337">
        <f ca="1">OFFSET('Ket qua kinh doanh'!$BL19,0,'Thong tin'!$C$9 - 1)</f>
        <v>145437626</v>
      </c>
      <c r="E24" s="337">
        <f ca="1">OFFSET('Ket qua kinh doanh'!$AZ19,0,'Thong tin'!$C$9 - 1)</f>
        <v>0</v>
      </c>
      <c r="F24" s="337" cm="1">
        <f t="array" aca="1" ref="F24" ca="1">_xlfn.SWITCH(TRUE(),
'Thong tin'!$C$6=2021, SUM(OFFSET('Ket qua kinh doanh'!$D19,0,0,1,'Thong tin'!$C$9)),
'Thong tin'!$C$6=2022, SUM(OFFSET('Ket qua kinh doanh'!$P19,0,0,1,'Thong tin'!$C$9)),
'Thong tin'!$C$6=2023, SUM(OFFSET('Ket qua kinh doanh'!$AB19,0,0,1,'Thong tin'!$C$9)),
'Thong tin'!$C$6=2024, SUM(OFFSET('Ket qua kinh doanh'!$AN19,0,0,1,'Thong tin'!$C$9)),
'Thong tin'!$C$6=2025, SUM(OFFSET('Ket qua kinh doanh'!$AZ19,0,0,1,'Thong tin'!$C$9)),
'Thong tin'!$C$6=2026, SUM(OFFSET('Ket qua kinh doanh'!$BL19,0,0,1,'Thong tin'!$C$9))
)</f>
        <v>260921011</v>
      </c>
      <c r="G24" s="337" cm="1">
        <f t="array" aca="1" ref="G24" ca="1">_xlfn.SWITCH(TRUE(),
'Thong tin'!$C$7=2021, SUM(OFFSET('Ket qua kinh doanh'!$D19,0,0,1,'Thong tin'!$C$9)),
'Thong tin'!$C$7=2022, SUM(OFFSET('Ket qua kinh doanh'!$P19,0,0,1,'Thong tin'!$C$9)),
'Thong tin'!$C$7=2023, SUM(OFFSET('Ket qua kinh doanh'!$AB19,0,0,1,'Thong tin'!$C$9)),
'Thong tin'!$C$7=2024, SUM(OFFSET('Ket qua kinh doanh'!$AN19,0,0,1,'Thong tin'!$C$9)),
'Thong tin'!$C$7=2025, SUM(OFFSET('Ket qua kinh doanh'!$AZ19,0,0,1,'Thong tin'!$C$9)),
'Thong tin'!$C$7=2026, SUM(OFFSET('Ket qua kinh doanh'!$BL19,0,0,1,'Thong tin'!$C$9))
)</f>
        <v>4934458</v>
      </c>
    </row>
    <row r="25" spans="1:7" s="325" customFormat="1" ht="18" customHeight="1" x14ac:dyDescent="0.25">
      <c r="A25" s="323" t="s">
        <v>185</v>
      </c>
      <c r="B25" s="338" t="s">
        <v>186</v>
      </c>
      <c r="C25" s="339"/>
      <c r="D25" s="340">
        <f ca="1">OFFSET('Ket qua kinh doanh'!$BL20,0,'Thong tin'!$C$9 - 1)</f>
        <v>1154533606</v>
      </c>
      <c r="E25" s="340">
        <f ca="1">OFFSET('Ket qua kinh doanh'!$AZ20,0,'Thong tin'!$C$9 - 1)</f>
        <v>224729120</v>
      </c>
      <c r="F25" s="340" cm="1">
        <f t="array" aca="1" ref="F25" ca="1">_xlfn.SWITCH(TRUE(),
'Thong tin'!$C$6=2021, SUM(OFFSET('Ket qua kinh doanh'!$D20,0,0,1,'Thong tin'!$C$9)),
'Thong tin'!$C$6=2022, SUM(OFFSET('Ket qua kinh doanh'!$P20,0,0,1,'Thong tin'!$C$9)),
'Thong tin'!$C$6=2023, SUM(OFFSET('Ket qua kinh doanh'!$AB20,0,0,1,'Thong tin'!$C$9)),
'Thong tin'!$C$6=2024, SUM(OFFSET('Ket qua kinh doanh'!$AN20,0,0,1,'Thong tin'!$C$9)),
'Thong tin'!$C$6=2025, SUM(OFFSET('Ket qua kinh doanh'!$AZ20,0,0,1,'Thong tin'!$C$9)),
'Thong tin'!$C$6=2026, SUM(OFFSET('Ket qua kinh doanh'!$BL20,0,0,1,'Thong tin'!$C$9))
)</f>
        <v>3580896347</v>
      </c>
      <c r="G25" s="340" cm="1">
        <f t="array" aca="1" ref="G25" ca="1">_xlfn.SWITCH(TRUE(),
'Thong tin'!$C$7=2021, SUM(OFFSET('Ket qua kinh doanh'!$D20,0,0,1,'Thong tin'!$C$9)),
'Thong tin'!$C$7=2022, SUM(OFFSET('Ket qua kinh doanh'!$P20,0,0,1,'Thong tin'!$C$9)),
'Thong tin'!$C$7=2023, SUM(OFFSET('Ket qua kinh doanh'!$AB20,0,0,1,'Thong tin'!$C$9)),
'Thong tin'!$C$7=2024, SUM(OFFSET('Ket qua kinh doanh'!$AN20,0,0,1,'Thong tin'!$C$9)),
'Thong tin'!$C$7=2025, SUM(OFFSET('Ket qua kinh doanh'!$AZ20,0,0,1,'Thong tin'!$C$9)),
'Thong tin'!$C$7=2026, SUM(OFFSET('Ket qua kinh doanh'!$BL20,0,0,1,'Thong tin'!$C$9))
)</f>
        <v>-691533484</v>
      </c>
    </row>
    <row r="26" spans="1:7" ht="18" customHeight="1" x14ac:dyDescent="0.25">
      <c r="A26" s="319" t="s">
        <v>187</v>
      </c>
      <c r="B26" s="320" t="s">
        <v>188</v>
      </c>
      <c r="C26" s="321"/>
      <c r="D26" s="341">
        <f ca="1">OFFSET('Ket qua kinh doanh'!$BL21,0,'Thong tin'!$C$9 - 1)</f>
        <v>196270713</v>
      </c>
      <c r="E26" s="331">
        <f ca="1">OFFSET('Ket qua kinh doanh'!$AZ21,0,'Thong tin'!$C$9 - 1)</f>
        <v>0</v>
      </c>
      <c r="F26" s="322" cm="1">
        <f t="array" aca="1" ref="F26" ca="1">_xlfn.SWITCH(TRUE(),
'Thong tin'!$C$6=2021, SUM(OFFSET('Ket qua kinh doanh'!$D21,0,0,1,'Thong tin'!$C$9)),
'Thong tin'!$C$6=2022, SUM(OFFSET('Ket qua kinh doanh'!$P21,0,0,1,'Thong tin'!$C$9)),
'Thong tin'!$C$6=2023, SUM(OFFSET('Ket qua kinh doanh'!$AB21,0,0,1,'Thong tin'!$C$9)),
'Thong tin'!$C$6=2024, SUM(OFFSET('Ket qua kinh doanh'!$AN21,0,0,1,'Thong tin'!$C$9)),
'Thong tin'!$C$6=2025, SUM(OFFSET('Ket qua kinh doanh'!$AZ21,0,0,1,'Thong tin'!$C$9)),
'Thong tin'!$C$6=2026, SUM(OFFSET('Ket qua kinh doanh'!$BL21,0,0,1,'Thong tin'!$C$9))
)</f>
        <v>608752379</v>
      </c>
      <c r="G26" s="322" cm="1">
        <f t="array" aca="1" ref="G26" ca="1">_xlfn.SWITCH(TRUE(),
'Thong tin'!$C$7=2021, SUM(OFFSET('Ket qua kinh doanh'!$D21,0,0,1,'Thong tin'!$C$9)),
'Thong tin'!$C$7=2022, SUM(OFFSET('Ket qua kinh doanh'!$P21,0,0,1,'Thong tin'!$C$9)),
'Thong tin'!$C$7=2023, SUM(OFFSET('Ket qua kinh doanh'!$AB21,0,0,1,'Thong tin'!$C$9)),
'Thong tin'!$C$7=2024, SUM(OFFSET('Ket qua kinh doanh'!$AN21,0,0,1,'Thong tin'!$C$9)),
'Thong tin'!$C$7=2025, SUM(OFFSET('Ket qua kinh doanh'!$AZ21,0,0,1,'Thong tin'!$C$9)),
'Thong tin'!$C$7=2026, SUM(OFFSET('Ket qua kinh doanh'!$BL21,0,0,1,'Thong tin'!$C$9))
)</f>
        <v>0</v>
      </c>
    </row>
    <row r="27" spans="1:7" ht="18" customHeight="1" x14ac:dyDescent="0.25">
      <c r="A27" s="319" t="s">
        <v>189</v>
      </c>
      <c r="B27" s="320" t="s">
        <v>190</v>
      </c>
      <c r="C27" s="321"/>
      <c r="D27" s="341">
        <f ca="1">OFFSET('Ket qua kinh doanh'!$BL22,0,'Thong tin'!$C$9 - 1)</f>
        <v>0</v>
      </c>
      <c r="E27" s="331">
        <f ca="1">OFFSET('Ket qua kinh doanh'!$AZ22,0,'Thong tin'!$C$9 - 1)</f>
        <v>0</v>
      </c>
      <c r="F27" s="341" cm="1">
        <f t="array" aca="1" ref="F27" ca="1">_xlfn.SWITCH(TRUE(),
'Thong tin'!$C$6=2021, SUM(OFFSET('Ket qua kinh doanh'!$D22,0,0,1,'Thong tin'!$C$9)),
'Thong tin'!$C$6=2022, SUM(OFFSET('Ket qua kinh doanh'!$P22,0,0,1,'Thong tin'!$C$9)),
'Thong tin'!$C$6=2023, SUM(OFFSET('Ket qua kinh doanh'!$AB22,0,0,1,'Thong tin'!$C$9)),
'Thong tin'!$C$6=2024, SUM(OFFSET('Ket qua kinh doanh'!$AN22,0,0,1,'Thong tin'!$C$9)),
'Thong tin'!$C$6=2025, SUM(OFFSET('Ket qua kinh doanh'!$AZ22,0,0,1,'Thong tin'!$C$9)),
'Thong tin'!$C$6=2026, SUM(OFFSET('Ket qua kinh doanh'!$BL22,0,0,1,'Thong tin'!$C$9))
)</f>
        <v>0</v>
      </c>
      <c r="G27" s="322" cm="1">
        <f t="array" aca="1" ref="G27" ca="1">_xlfn.SWITCH(TRUE(),
'Thong tin'!$C$7=2021, SUM(OFFSET('Ket qua kinh doanh'!$D22,0,0,1,'Thong tin'!$C$9)),
'Thong tin'!$C$7=2022, SUM(OFFSET('Ket qua kinh doanh'!$P22,0,0,1,'Thong tin'!$C$9)),
'Thong tin'!$C$7=2023, SUM(OFFSET('Ket qua kinh doanh'!$AB22,0,0,1,'Thong tin'!$C$9)),
'Thong tin'!$C$7=2024, SUM(OFFSET('Ket qua kinh doanh'!$AN22,0,0,1,'Thong tin'!$C$9)),
'Thong tin'!$C$7=2025, SUM(OFFSET('Ket qua kinh doanh'!$AZ22,0,0,1,'Thong tin'!$C$9)),
'Thong tin'!$C$7=2026, SUM(OFFSET('Ket qua kinh doanh'!$BL22,0,0,1,'Thong tin'!$C$9))
)</f>
        <v>0</v>
      </c>
    </row>
    <row r="28" spans="1:7" s="325" customFormat="1" ht="18" customHeight="1" x14ac:dyDescent="0.25">
      <c r="A28" s="342" t="s">
        <v>191</v>
      </c>
      <c r="B28" s="343" t="s">
        <v>192</v>
      </c>
      <c r="C28" s="344"/>
      <c r="D28" s="345">
        <f ca="1">OFFSET('Ket qua kinh doanh'!$BL23,0,'Thong tin'!$C$9 - 1)</f>
        <v>958262893</v>
      </c>
      <c r="E28" s="345">
        <f ca="1">OFFSET('Ket qua kinh doanh'!$AZ23,0,'Thong tin'!$C$9 - 1)</f>
        <v>224729120</v>
      </c>
      <c r="F28" s="345" cm="1">
        <f t="array" aca="1" ref="F28" ca="1">_xlfn.SWITCH(TRUE(),
'Thong tin'!$C$6=2021, SUM(OFFSET('Ket qua kinh doanh'!$D23,0,0,1,'Thong tin'!$C$9)),
'Thong tin'!$C$6=2022, SUM(OFFSET('Ket qua kinh doanh'!$P23,0,0,1,'Thong tin'!$C$9)),
'Thong tin'!$C$6=2023, SUM(OFFSET('Ket qua kinh doanh'!$AB23,0,0,1,'Thong tin'!$C$9)),
'Thong tin'!$C$6=2024, SUM(OFFSET('Ket qua kinh doanh'!$AN23,0,0,1,'Thong tin'!$C$9)),
'Thong tin'!$C$6=2025, SUM(OFFSET('Ket qua kinh doanh'!$AZ23,0,0,1,'Thong tin'!$C$9)),
'Thong tin'!$C$6=2026, SUM(OFFSET('Ket qua kinh doanh'!$BL23,0,0,1,'Thong tin'!$C$9))
)</f>
        <v>2972143968</v>
      </c>
      <c r="G28" s="345" cm="1">
        <f t="array" aca="1" ref="G28" ca="1">_xlfn.SWITCH(TRUE(),
'Thong tin'!$C$7=2021, SUM(OFFSET('Ket qua kinh doanh'!$D23,0,0,1,'Thong tin'!$C$9)),
'Thong tin'!$C$7=2022, SUM(OFFSET('Ket qua kinh doanh'!$P23,0,0,1,'Thong tin'!$C$9)),
'Thong tin'!$C$7=2023, SUM(OFFSET('Ket qua kinh doanh'!$AB23,0,0,1,'Thong tin'!$C$9)),
'Thong tin'!$C$7=2024, SUM(OFFSET('Ket qua kinh doanh'!$AN23,0,0,1,'Thong tin'!$C$9)),
'Thong tin'!$C$7=2025, SUM(OFFSET('Ket qua kinh doanh'!$AZ23,0,0,1,'Thong tin'!$C$9)),
'Thong tin'!$C$7=2026, SUM(OFFSET('Ket qua kinh doanh'!$BL23,0,0,1,'Thong tin'!$C$9))
)</f>
        <v>-691533484</v>
      </c>
    </row>
    <row r="29" spans="1:7" hidden="1" x14ac:dyDescent="0.25">
      <c r="A29" s="346" t="s">
        <v>193</v>
      </c>
      <c r="B29" s="313" t="s">
        <v>194</v>
      </c>
      <c r="C29" s="347"/>
      <c r="D29" s="348"/>
      <c r="E29" s="349"/>
      <c r="F29" s="350" t="e">
        <f>#REF!+#REF!+#REF!+#REF!+#REF!+#REF!+#REF!+#REF!+#REF!+#REF!+#REF!+D29</f>
        <v>#REF!</v>
      </c>
      <c r="G29" s="350" t="e">
        <f>#REF!+#REF!+#REF!+#REF!+#REF!+#REF!+#REF!+#REF!+#REF!+#REF!+#REF!+E29</f>
        <v>#REF!</v>
      </c>
    </row>
    <row r="30" spans="1:7" ht="6" customHeight="1" x14ac:dyDescent="0.25">
      <c r="A30" s="351"/>
      <c r="B30" s="352"/>
      <c r="C30" s="353"/>
      <c r="D30" s="354"/>
      <c r="E30" s="355"/>
      <c r="F30" s="354"/>
      <c r="G30" s="355"/>
    </row>
    <row r="31" spans="1:7" ht="11.25" customHeight="1" x14ac:dyDescent="0.25">
      <c r="D31" s="308">
        <v>0</v>
      </c>
      <c r="E31" s="308">
        <v>0</v>
      </c>
      <c r="F31" s="308">
        <v>0</v>
      </c>
      <c r="G31" s="308">
        <v>0</v>
      </c>
    </row>
    <row r="32" spans="1:7" x14ac:dyDescent="0.25">
      <c r="D32" s="680"/>
      <c r="E32" s="680"/>
      <c r="F32" s="663" t="s">
        <v>195</v>
      </c>
      <c r="G32" s="663"/>
    </row>
    <row r="33" spans="2:7" x14ac:dyDescent="0.25">
      <c r="D33" s="356"/>
      <c r="E33" s="356"/>
      <c r="F33" s="356"/>
      <c r="G33" s="356"/>
    </row>
    <row r="34" spans="2:7" x14ac:dyDescent="0.25">
      <c r="B34" s="681" t="s">
        <v>8</v>
      </c>
      <c r="C34" s="681"/>
      <c r="D34" s="681"/>
      <c r="E34" s="681"/>
      <c r="F34" s="662" t="str">
        <f>'Thong tin'!B18</f>
        <v>GIÁM ĐỐC TÀI CHÍNH</v>
      </c>
      <c r="G34" s="662"/>
    </row>
    <row r="35" spans="2:7" ht="15" customHeight="1" x14ac:dyDescent="0.25">
      <c r="B35" s="357"/>
      <c r="D35" s="358"/>
    </row>
    <row r="36" spans="2:7" ht="15" customHeight="1" x14ac:dyDescent="0.25">
      <c r="B36" s="357"/>
      <c r="D36" s="358"/>
    </row>
    <row r="37" spans="2:7" ht="15" customHeight="1" x14ac:dyDescent="0.25">
      <c r="B37" s="357"/>
      <c r="D37" s="358"/>
    </row>
    <row r="38" spans="2:7" ht="15" customHeight="1" x14ac:dyDescent="0.25">
      <c r="B38" s="357"/>
      <c r="D38" s="358"/>
    </row>
    <row r="39" spans="2:7" ht="15" customHeight="1" x14ac:dyDescent="0.25">
      <c r="B39" s="357"/>
      <c r="D39" s="358"/>
    </row>
    <row r="40" spans="2:7" ht="15" customHeight="1" x14ac:dyDescent="0.25">
      <c r="B40" s="357"/>
      <c r="D40" s="358"/>
    </row>
    <row r="41" spans="2:7" ht="15" customHeight="1" x14ac:dyDescent="0.25">
      <c r="B41" s="682">
        <f>'Thong tin'!B13</f>
        <v>0</v>
      </c>
      <c r="C41" s="682"/>
      <c r="D41" s="682"/>
      <c r="E41" s="682"/>
      <c r="F41" s="661" t="s">
        <v>152</v>
      </c>
      <c r="G41" s="661"/>
    </row>
    <row r="42" spans="2:7" ht="15" customHeight="1" x14ac:dyDescent="0.25"/>
    <row r="43" spans="2:7" ht="15" customHeight="1" x14ac:dyDescent="0.25"/>
    <row r="44" spans="2:7" ht="15" customHeight="1" x14ac:dyDescent="0.25"/>
    <row r="45" spans="2:7" ht="15" customHeight="1" x14ac:dyDescent="0.25"/>
    <row r="46" spans="2:7" ht="15" customHeight="1" x14ac:dyDescent="0.25"/>
    <row r="48" spans="2:7" ht="15" customHeight="1" x14ac:dyDescent="0.25"/>
  </sheetData>
  <mergeCells count="18">
    <mergeCell ref="B34:C34"/>
    <mergeCell ref="D34:E34"/>
    <mergeCell ref="F34:G34"/>
    <mergeCell ref="B41:C41"/>
    <mergeCell ref="D41:E41"/>
    <mergeCell ref="F41:G41"/>
    <mergeCell ref="F32:G32"/>
    <mergeCell ref="A4:G4"/>
    <mergeCell ref="A5:G5"/>
    <mergeCell ref="A8:C9"/>
    <mergeCell ref="D8:E8"/>
    <mergeCell ref="F8:G8"/>
    <mergeCell ref="B10:C10"/>
    <mergeCell ref="B12:C12"/>
    <mergeCell ref="B14:C14"/>
    <mergeCell ref="B15:C15"/>
    <mergeCell ref="B21:C21"/>
    <mergeCell ref="D32:E32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5" orientation="portrait" useFirstPageNumber="1" r:id="rId1"/>
  <headerFooter>
    <oddFooter>&amp;CTrang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61AD-224F-48E3-B447-004BCDDB26B1}">
  <sheetPr>
    <tabColor theme="8" tint="0.59999389629810485"/>
  </sheetPr>
  <dimension ref="A1:G59"/>
  <sheetViews>
    <sheetView showGridLines="0" showZeros="0" zoomScaleNormal="100" workbookViewId="0">
      <pane xSplit="1" ySplit="9" topLeftCell="B10" activePane="bottomRight" state="frozen"/>
      <selection pane="topRight" activeCell="D8" sqref="D8:E8"/>
      <selection pane="bottomLeft" activeCell="D8" sqref="D8:E8"/>
      <selection pane="bottomRight" activeCell="C22" sqref="C22"/>
    </sheetView>
  </sheetViews>
  <sheetFormatPr defaultColWidth="9.140625" defaultRowHeight="15" x14ac:dyDescent="0.25"/>
  <cols>
    <col min="1" max="1" width="38.5703125" style="359" customWidth="1"/>
    <col min="2" max="2" width="16.28515625" style="359" customWidth="1"/>
    <col min="3" max="3" width="16.28515625" style="392" customWidth="1"/>
    <col min="4" max="4" width="16.42578125" style="359" customWidth="1"/>
    <col min="5" max="5" width="16.42578125" style="392" customWidth="1"/>
    <col min="6" max="6" width="12" style="359" bestFit="1" customWidth="1"/>
    <col min="7" max="7" width="17.85546875" style="359" bestFit="1" customWidth="1"/>
    <col min="8" max="16384" width="9.140625" style="359"/>
  </cols>
  <sheetData>
    <row r="1" spans="1:7" ht="15.75" x14ac:dyDescent="0.25">
      <c r="A1" s="312" t="str">
        <f>'Thong tin'!$A$1</f>
        <v>CÔNG TY TNHH THU MUA PHẾ LIỆU KHÁNH NGA</v>
      </c>
      <c r="B1" s="261"/>
      <c r="C1" s="215"/>
      <c r="D1" s="261"/>
      <c r="E1" s="215"/>
    </row>
    <row r="2" spans="1:7" ht="16.5" thickBot="1" x14ac:dyDescent="0.3">
      <c r="A2" s="259" t="str">
        <f>'Thong tin'!$A$2</f>
        <v>Địa chỉ:</v>
      </c>
      <c r="B2" s="314"/>
      <c r="C2" s="218"/>
      <c r="D2" s="314"/>
      <c r="E2" s="218"/>
    </row>
    <row r="3" spans="1:7" ht="27" customHeight="1" x14ac:dyDescent="0.25">
      <c r="A3" s="261"/>
      <c r="B3" s="261"/>
      <c r="C3" s="220"/>
      <c r="D3" s="261"/>
      <c r="E3" s="220"/>
    </row>
    <row r="4" spans="1:7" ht="20.25" x14ac:dyDescent="0.3">
      <c r="A4" s="664" t="s">
        <v>196</v>
      </c>
      <c r="B4" s="664"/>
      <c r="C4" s="664"/>
      <c r="D4" s="664"/>
      <c r="E4" s="664"/>
    </row>
    <row r="5" spans="1:7" ht="12" customHeight="1" x14ac:dyDescent="0.25">
      <c r="A5" s="683" t="s">
        <v>197</v>
      </c>
      <c r="B5" s="683"/>
      <c r="C5" s="683"/>
      <c r="D5" s="683"/>
      <c r="E5" s="683"/>
    </row>
    <row r="6" spans="1:7" ht="12.75" customHeight="1" x14ac:dyDescent="0.25">
      <c r="A6" s="684" t="str">
        <f>"Năm " &amp; 'Thong tin'!$C$6</f>
        <v>Năm 2026</v>
      </c>
      <c r="B6" s="684"/>
      <c r="C6" s="684"/>
      <c r="D6" s="684"/>
      <c r="E6" s="684"/>
    </row>
    <row r="7" spans="1:7" ht="12" customHeight="1" x14ac:dyDescent="0.25">
      <c r="B7" s="360"/>
      <c r="C7" s="315"/>
      <c r="D7" s="360"/>
      <c r="E7" s="361" t="str">
        <f>'KQKD in'!G6</f>
        <v>ĐVT: VNĐ</v>
      </c>
    </row>
    <row r="8" spans="1:7" s="362" customFormat="1" ht="14.25" customHeight="1" x14ac:dyDescent="0.25">
      <c r="A8" s="685" t="s">
        <v>155</v>
      </c>
      <c r="B8" s="672" t="str">
        <f>"Tháng " &amp; 'Thong tin'!$C$9</f>
        <v>Tháng 5</v>
      </c>
      <c r="C8" s="673"/>
      <c r="D8" s="674" t="str">
        <f>"Lũy kế"&amp;" "&amp; 'Thong tin'!$C$9 &amp;" "&amp;"tháng"</f>
        <v>Lũy kế 5 tháng</v>
      </c>
      <c r="E8" s="675"/>
    </row>
    <row r="9" spans="1:7" x14ac:dyDescent="0.25">
      <c r="A9" s="686"/>
      <c r="B9" s="566" t="str">
        <f>"Năm " &amp; 'Thong tin'!$C$6</f>
        <v>Năm 2026</v>
      </c>
      <c r="C9" s="566" t="str">
        <f>"Năm " &amp; 'Thong tin'!$C$7</f>
        <v>Năm 2025</v>
      </c>
      <c r="D9" s="566" t="str">
        <f>"Năm " &amp; 'Thong tin'!$C$6</f>
        <v>Năm 2026</v>
      </c>
      <c r="E9" s="566" t="str">
        <f>"Năm " &amp; 'Thong tin'!$C$7</f>
        <v>Năm 2025</v>
      </c>
    </row>
    <row r="10" spans="1:7" ht="18" customHeight="1" x14ac:dyDescent="0.25">
      <c r="A10" s="363" t="s">
        <v>198</v>
      </c>
      <c r="B10" s="364"/>
      <c r="C10" s="364"/>
      <c r="D10" s="364"/>
      <c r="E10" s="364"/>
    </row>
    <row r="11" spans="1:7" s="367" customFormat="1" ht="17.100000000000001" customHeight="1" x14ac:dyDescent="0.25">
      <c r="A11" s="365" t="s">
        <v>199</v>
      </c>
      <c r="B11" s="366">
        <f ca="1">OFFSET('Luu chuyen tien te'!$BL5,0,'Thong tin'!$C$9 - 1)</f>
        <v>1154533606</v>
      </c>
      <c r="C11" s="366">
        <f ca="1">OFFSET('Luu chuyen tien te'!$AZ5,0,'Thong tin'!$C$9 - 1)</f>
        <v>224729120</v>
      </c>
      <c r="D11" s="366">
        <f ca="1">SUM(OFFSET('Luu chuyen tien te'!$BL5,0,0,1,'Thong tin'!$C$9))</f>
        <v>3580896347</v>
      </c>
      <c r="E11" s="366">
        <f ca="1">SUM(OFFSET('Luu chuyen tien te'!$AZ5,0,0,1,'Thong tin'!$C$9))</f>
        <v>-691533484</v>
      </c>
    </row>
    <row r="12" spans="1:7" s="367" customFormat="1" ht="17.100000000000001" customHeight="1" x14ac:dyDescent="0.25">
      <c r="A12" s="365" t="s">
        <v>200</v>
      </c>
      <c r="B12" s="366"/>
      <c r="C12" s="366"/>
      <c r="D12" s="366"/>
      <c r="E12" s="366"/>
    </row>
    <row r="13" spans="1:7" x14ac:dyDescent="0.25">
      <c r="A13" s="368" t="s">
        <v>201</v>
      </c>
      <c r="B13" s="369">
        <f ca="1">OFFSET('Luu chuyen tien te'!$BL7,0,'Thong tin'!$C$9 - 1)</f>
        <v>128899640</v>
      </c>
      <c r="C13" s="369">
        <f ca="1">OFFSET('Luu chuyen tien te'!$AZ7,0,'Thong tin'!$C$9 - 1)</f>
        <v>161644174</v>
      </c>
      <c r="D13" s="369">
        <f ca="1">SUM(OFFSET('Luu chuyen tien te'!$BL7,0,0,1,'Thong tin'!$C$9))</f>
        <v>868937321</v>
      </c>
      <c r="E13" s="369">
        <f ca="1">SUM(OFFSET('Luu chuyen tien te'!$AZ7,0,0,1,'Thong tin'!$C$9))</f>
        <v>809475797</v>
      </c>
    </row>
    <row r="14" spans="1:7" x14ac:dyDescent="0.25">
      <c r="A14" s="368" t="s">
        <v>202</v>
      </c>
      <c r="B14" s="369">
        <f ca="1">OFFSET('Luu chuyen tien te'!$BL8,0,'Thong tin'!$C$9 - 1)</f>
        <v>0</v>
      </c>
      <c r="C14" s="369">
        <f ca="1">OFFSET('Luu chuyen tien te'!$AZ8,0,'Thong tin'!$C$9 - 1)</f>
        <v>0</v>
      </c>
      <c r="D14" s="369">
        <f ca="1">SUM(OFFSET('Luu chuyen tien te'!$BL8,0,0,1,'Thong tin'!$C$9))</f>
        <v>0</v>
      </c>
      <c r="E14" s="369">
        <f ca="1">SUM(OFFSET('Luu chuyen tien te'!$AZ8,0,0,1,'Thong tin'!$C$9))</f>
        <v>0</v>
      </c>
      <c r="G14" s="370"/>
    </row>
    <row r="15" spans="1:7" ht="29.25" customHeight="1" x14ac:dyDescent="0.25">
      <c r="A15" s="371" t="s">
        <v>203</v>
      </c>
      <c r="B15" s="369">
        <f ca="1">OFFSET('Luu chuyen tien te'!$BL9,0,'Thong tin'!$C$9 - 1)</f>
        <v>0</v>
      </c>
      <c r="C15" s="369">
        <f ca="1">OFFSET('Luu chuyen tien te'!$AZ9,0,'Thong tin'!$C$9 - 1)</f>
        <v>0</v>
      </c>
      <c r="D15" s="369">
        <f ca="1">SUM(OFFSET('Luu chuyen tien te'!$BL9,0,0,1,'Thong tin'!$C$9))</f>
        <v>0</v>
      </c>
      <c r="E15" s="369">
        <f ca="1">SUM(OFFSET('Luu chuyen tien te'!$AZ9,0,0,1,'Thong tin'!$C$9))</f>
        <v>0</v>
      </c>
    </row>
    <row r="16" spans="1:7" x14ac:dyDescent="0.25">
      <c r="A16" s="368" t="s">
        <v>204</v>
      </c>
      <c r="B16" s="369">
        <f ca="1">OFFSET('Luu chuyen tien te'!$BL10,0,'Thong tin'!$C$9 - 1)</f>
        <v>-17033</v>
      </c>
      <c r="C16" s="369">
        <f ca="1">OFFSET('Luu chuyen tien te'!$AZ10,0,'Thong tin'!$C$9 - 1)</f>
        <v>-29738</v>
      </c>
      <c r="D16" s="369">
        <f ca="1">SUM(OFFSET('Luu chuyen tien te'!$BL10,0,0,1,'Thong tin'!$C$9))</f>
        <v>-49682461</v>
      </c>
      <c r="E16" s="369">
        <f ca="1">SUM(OFFSET('Luu chuyen tien te'!$AZ10,0,0,1,'Thong tin'!$C$9))</f>
        <v>-5638207</v>
      </c>
    </row>
    <row r="17" spans="1:5" x14ac:dyDescent="0.25">
      <c r="A17" s="368" t="s">
        <v>205</v>
      </c>
      <c r="B17" s="369">
        <f ca="1">OFFSET('Luu chuyen tien te'!$BL11,0,'Thong tin'!$C$9 - 1)</f>
        <v>0</v>
      </c>
      <c r="C17" s="369">
        <f ca="1">OFFSET('Luu chuyen tien te'!$AZ11,0,'Thong tin'!$C$9 - 1)</f>
        <v>0</v>
      </c>
      <c r="D17" s="369">
        <f ca="1">SUM(OFFSET('Luu chuyen tien te'!$BL11,0,0,1,'Thong tin'!$C$9))</f>
        <v>0</v>
      </c>
      <c r="E17" s="369">
        <f ca="1">SUM(OFFSET('Luu chuyen tien te'!$AZ11,0,0,1,'Thong tin'!$C$9))</f>
        <v>0</v>
      </c>
    </row>
    <row r="18" spans="1:5" x14ac:dyDescent="0.25">
      <c r="A18" s="368" t="s">
        <v>206</v>
      </c>
      <c r="B18" s="369">
        <f ca="1">OFFSET('Luu chuyen tien te'!$BL12,0,'Thong tin'!$C$9 - 1)</f>
        <v>-196270713</v>
      </c>
      <c r="C18" s="369">
        <f ca="1">OFFSET('Luu chuyen tien te'!$AZ12,0,'Thong tin'!$C$9 - 1)</f>
        <v>0</v>
      </c>
      <c r="D18" s="369">
        <f ca="1">SUM(OFFSET('Luu chuyen tien te'!$BL12,0,0,1,'Thong tin'!$C$9))</f>
        <v>-608752379</v>
      </c>
      <c r="E18" s="369">
        <f ca="1">SUM(OFFSET('Luu chuyen tien te'!$AZ12,0,0,1,'Thong tin'!$C$9))</f>
        <v>0</v>
      </c>
    </row>
    <row r="19" spans="1:5" s="374" customFormat="1" ht="32.25" customHeight="1" x14ac:dyDescent="0.25">
      <c r="A19" s="372" t="s">
        <v>207</v>
      </c>
      <c r="B19" s="373">
        <f t="shared" ref="B19:D19" ca="1" si="0">SUM(B11:B18)</f>
        <v>1087145500</v>
      </c>
      <c r="C19" s="373">
        <f t="shared" ref="C19" ca="1" si="1">SUM(C11:C18)</f>
        <v>386343556</v>
      </c>
      <c r="D19" s="373">
        <f t="shared" ca="1" si="0"/>
        <v>3791398828</v>
      </c>
      <c r="E19" s="373">
        <f t="shared" ref="E19" ca="1" si="2">SUM(E11:E18)</f>
        <v>112304106</v>
      </c>
    </row>
    <row r="20" spans="1:5" s="374" customFormat="1" x14ac:dyDescent="0.25">
      <c r="A20" s="375" t="s">
        <v>208</v>
      </c>
      <c r="B20" s="369">
        <f ca="1">OFFSET('Luu chuyen tien te'!$BL14,0,'Thong tin'!$C$9 - 1)</f>
        <v>-768010979</v>
      </c>
      <c r="C20" s="369">
        <f ca="1">OFFSET('Luu chuyen tien te'!$AZ14,0,'Thong tin'!$C$9 - 1)</f>
        <v>-1364332338</v>
      </c>
      <c r="D20" s="369">
        <f ca="1">SUM(OFFSET('Luu chuyen tien te'!$BL14,0,0,1,'Thong tin'!$C$9))</f>
        <v>-905171257</v>
      </c>
      <c r="E20" s="369">
        <f ca="1">SUM(OFFSET('Luu chuyen tien te'!$AZ14,0,0,1,'Thong tin'!$C$9))</f>
        <v>-192705692.51800013</v>
      </c>
    </row>
    <row r="21" spans="1:5" s="374" customFormat="1" x14ac:dyDescent="0.25">
      <c r="A21" s="375" t="s">
        <v>209</v>
      </c>
      <c r="B21" s="369">
        <f ca="1">OFFSET('Luu chuyen tien te'!$BL15,0,'Thong tin'!$C$9 - 1)</f>
        <v>-3406913583</v>
      </c>
      <c r="C21" s="369">
        <f ca="1">OFFSET('Luu chuyen tien te'!$AZ15,0,'Thong tin'!$C$9 - 1)</f>
        <v>480844042</v>
      </c>
      <c r="D21" s="369">
        <f ca="1">SUM(OFFSET('Luu chuyen tien te'!$BL15,0,0,1,'Thong tin'!$C$9))</f>
        <v>-6248922631</v>
      </c>
      <c r="E21" s="369">
        <f ca="1">SUM(OFFSET('Luu chuyen tien te'!$AZ15,0,0,1,'Thong tin'!$C$9))</f>
        <v>-1795105983.9999995</v>
      </c>
    </row>
    <row r="22" spans="1:5" s="374" customFormat="1" ht="30" customHeight="1" x14ac:dyDescent="0.25">
      <c r="A22" s="376" t="s">
        <v>210</v>
      </c>
      <c r="B22" s="369">
        <f ca="1">OFFSET('Luu chuyen tien te'!$BL16,0,'Thong tin'!$C$9 - 1)</f>
        <v>1488747957</v>
      </c>
      <c r="C22" s="369">
        <f ca="1">OFFSET('Luu chuyen tien te'!$AZ16,0,'Thong tin'!$C$9 - 1)</f>
        <v>-91919914</v>
      </c>
      <c r="D22" s="369">
        <f ca="1">SUM(OFFSET('Luu chuyen tien te'!$BL16,0,0,1,'Thong tin'!$C$9))</f>
        <v>812695040</v>
      </c>
      <c r="E22" s="369">
        <f ca="1">SUM(OFFSET('Luu chuyen tien te'!$AZ16,0,0,1,'Thong tin'!$C$9))</f>
        <v>-207447089.48200035</v>
      </c>
    </row>
    <row r="23" spans="1:5" s="374" customFormat="1" x14ac:dyDescent="0.25">
      <c r="A23" s="375" t="s">
        <v>211</v>
      </c>
      <c r="B23" s="369">
        <f ca="1">OFFSET('Luu chuyen tien te'!$BL17,0,'Thong tin'!$C$9 - 1)</f>
        <v>175092383</v>
      </c>
      <c r="C23" s="369">
        <f ca="1">OFFSET('Luu chuyen tien te'!$AZ17,0,'Thong tin'!$C$9 - 1)</f>
        <v>-131767933</v>
      </c>
      <c r="D23" s="369">
        <f ca="1">SUM(OFFSET('Luu chuyen tien te'!$BL17,0,0,1,'Thong tin'!$C$9))</f>
        <v>387883253</v>
      </c>
      <c r="E23" s="369">
        <f ca="1">SUM(OFFSET('Luu chuyen tien te'!$AZ17,0,0,1,'Thong tin'!$C$9))</f>
        <v>237142574</v>
      </c>
    </row>
    <row r="24" spans="1:5" s="374" customFormat="1" x14ac:dyDescent="0.25">
      <c r="A24" s="375" t="s">
        <v>212</v>
      </c>
      <c r="B24" s="369">
        <f ca="1">OFFSET('Luu chuyen tien te'!$BL18,0,'Thong tin'!$C$9 - 1)</f>
        <v>0</v>
      </c>
      <c r="C24" s="369">
        <f ca="1">OFFSET('Luu chuyen tien te'!$AZ18,0,'Thong tin'!$C$9 - 1)</f>
        <v>0</v>
      </c>
      <c r="D24" s="369">
        <f ca="1">SUM(OFFSET('Luu chuyen tien te'!$BL18,0,0,1,'Thong tin'!$C$9))</f>
        <v>0</v>
      </c>
      <c r="E24" s="369">
        <f ca="1">SUM(OFFSET('Luu chuyen tien te'!$AZ18,0,0,1,'Thong tin'!$C$9))</f>
        <v>0</v>
      </c>
    </row>
    <row r="25" spans="1:5" s="374" customFormat="1" x14ac:dyDescent="0.25">
      <c r="A25" s="375" t="s">
        <v>213</v>
      </c>
      <c r="B25" s="369">
        <f ca="1">OFFSET('Luu chuyen tien te'!$BL19,0,'Thong tin'!$C$9 - 1)</f>
        <v>0</v>
      </c>
      <c r="C25" s="369">
        <f ca="1">OFFSET('Luu chuyen tien te'!$AZ19,0,'Thong tin'!$C$9 - 1)</f>
        <v>0</v>
      </c>
      <c r="D25" s="369">
        <f ca="1">SUM(OFFSET('Luu chuyen tien te'!$BL19,0,0,1,'Thong tin'!$C$9))</f>
        <v>0</v>
      </c>
      <c r="E25" s="369">
        <f ca="1">SUM(OFFSET('Luu chuyen tien te'!$AZ19,0,0,1,'Thong tin'!$C$9))</f>
        <v>0</v>
      </c>
    </row>
    <row r="26" spans="1:5" s="374" customFormat="1" x14ac:dyDescent="0.25">
      <c r="A26" s="375" t="s">
        <v>214</v>
      </c>
      <c r="B26" s="369">
        <f ca="1">OFFSET('Luu chuyen tien te'!$BL20,0,'Thong tin'!$C$9 - 1)</f>
        <v>0</v>
      </c>
      <c r="C26" s="369">
        <f ca="1">OFFSET('Luu chuyen tien te'!$AZ20,0,'Thong tin'!$C$9 - 1)</f>
        <v>0</v>
      </c>
      <c r="D26" s="369">
        <f ca="1">SUM(OFFSET('Luu chuyen tien te'!$BL20,0,0,1,'Thong tin'!$C$9))</f>
        <v>0</v>
      </c>
      <c r="E26" s="369">
        <f ca="1">SUM(OFFSET('Luu chuyen tien te'!$AZ20,0,0,1,'Thong tin'!$C$9))</f>
        <v>0</v>
      </c>
    </row>
    <row r="27" spans="1:5" s="374" customFormat="1" x14ac:dyDescent="0.25">
      <c r="A27" s="375" t="s">
        <v>215</v>
      </c>
      <c r="B27" s="369">
        <f ca="1">OFFSET('Luu chuyen tien te'!$BL21,0,'Thong tin'!$C$9 - 1)</f>
        <v>0</v>
      </c>
      <c r="C27" s="369">
        <f ca="1">OFFSET('Luu chuyen tien te'!$AZ21,0,'Thong tin'!$C$9 - 1)</f>
        <v>0</v>
      </c>
      <c r="D27" s="369">
        <f ca="1">SUM(OFFSET('Luu chuyen tien te'!$BL21,0,0,1,'Thong tin'!$C$9))</f>
        <v>0</v>
      </c>
      <c r="E27" s="369">
        <f ca="1">SUM(OFFSET('Luu chuyen tien te'!$AZ21,0,0,1,'Thong tin'!$C$9))</f>
        <v>0</v>
      </c>
    </row>
    <row r="28" spans="1:5" s="374" customFormat="1" x14ac:dyDescent="0.25">
      <c r="A28" s="375" t="s">
        <v>216</v>
      </c>
      <c r="B28" s="369">
        <f ca="1">OFFSET('Luu chuyen tien te'!$BL22,0,'Thong tin'!$C$9 - 1)</f>
        <v>0</v>
      </c>
      <c r="C28" s="369">
        <f ca="1">OFFSET('Luu chuyen tien te'!$AZ22,0,'Thong tin'!$C$9 - 1)</f>
        <v>0</v>
      </c>
      <c r="D28" s="369">
        <f ca="1">SUM(OFFSET('Luu chuyen tien te'!$BL22,0,0,1,'Thong tin'!$C$9))</f>
        <v>0</v>
      </c>
      <c r="E28" s="369">
        <f ca="1">SUM(OFFSET('Luu chuyen tien te'!$AZ22,0,0,1,'Thong tin'!$C$9))</f>
        <v>0</v>
      </c>
    </row>
    <row r="29" spans="1:5" s="374" customFormat="1" ht="29.25" customHeight="1" x14ac:dyDescent="0.25">
      <c r="A29" s="372" t="s">
        <v>217</v>
      </c>
      <c r="B29" s="366">
        <f ca="1">SUM(B19:B28)</f>
        <v>-1423938722</v>
      </c>
      <c r="C29" s="366">
        <f t="shared" ref="C29:E29" ca="1" si="3">SUM(C19:C28)</f>
        <v>-720832587</v>
      </c>
      <c r="D29" s="366">
        <f t="shared" ca="1" si="3"/>
        <v>-2162116767</v>
      </c>
      <c r="E29" s="366">
        <f t="shared" ca="1" si="3"/>
        <v>-1845812086</v>
      </c>
    </row>
    <row r="30" spans="1:5" ht="18.75" customHeight="1" x14ac:dyDescent="0.25">
      <c r="A30" s="377" t="s">
        <v>218</v>
      </c>
      <c r="B30" s="378"/>
      <c r="C30" s="378"/>
      <c r="D30" s="378"/>
      <c r="E30" s="378"/>
    </row>
    <row r="31" spans="1:5" s="380" customFormat="1" ht="30" customHeight="1" x14ac:dyDescent="0.25">
      <c r="A31" s="379" t="s">
        <v>219</v>
      </c>
      <c r="B31" s="369">
        <f ca="1">OFFSET('Luu chuyen tien te'!$BL25,0,'Thong tin'!$C$9 - 1)</f>
        <v>-85130340</v>
      </c>
      <c r="C31" s="369">
        <f ca="1">OFFSET('Luu chuyen tien te'!$AZ25,0,'Thong tin'!$C$9 - 1)</f>
        <v>77500000</v>
      </c>
      <c r="D31" s="369">
        <f ca="1">SUM(OFFSET('Luu chuyen tien te'!$BL25,0,0,1,'Thong tin'!$C$9))</f>
        <v>-1361625590</v>
      </c>
      <c r="E31" s="369">
        <f ca="1">SUM(OFFSET('Luu chuyen tien te'!$AZ25,0,0,1,'Thong tin'!$C$9))</f>
        <v>-1273595672</v>
      </c>
    </row>
    <row r="32" spans="1:5" s="380" customFormat="1" ht="30" customHeight="1" x14ac:dyDescent="0.25">
      <c r="A32" s="379" t="s">
        <v>220</v>
      </c>
      <c r="B32" s="369">
        <f ca="1">OFFSET('Luu chuyen tien te'!$BL26,0,'Thong tin'!$C$9 - 1)</f>
        <v>0</v>
      </c>
      <c r="C32" s="369">
        <f ca="1">OFFSET('Luu chuyen tien te'!$AZ26,0,'Thong tin'!$C$9 - 1)</f>
        <v>0</v>
      </c>
      <c r="D32" s="369">
        <f ca="1">SUM(OFFSET('Luu chuyen tien te'!$BL26,0,0,1,'Thong tin'!$C$9))</f>
        <v>0</v>
      </c>
      <c r="E32" s="369">
        <f ca="1">SUM(OFFSET('Luu chuyen tien te'!$AZ26,0,0,1,'Thong tin'!$C$9))</f>
        <v>0</v>
      </c>
    </row>
    <row r="33" spans="1:5" ht="30" customHeight="1" x14ac:dyDescent="0.25">
      <c r="A33" s="379" t="s">
        <v>221</v>
      </c>
      <c r="B33" s="369">
        <f ca="1">OFFSET('Luu chuyen tien te'!$BL27,0,'Thong tin'!$C$9 - 1)</f>
        <v>0</v>
      </c>
      <c r="C33" s="369">
        <f ca="1">OFFSET('Luu chuyen tien te'!$AZ27,0,'Thong tin'!$C$9 - 1)</f>
        <v>0</v>
      </c>
      <c r="D33" s="369">
        <f ca="1">SUM(OFFSET('Luu chuyen tien te'!$BL27,0,0,1,'Thong tin'!$C$9))</f>
        <v>-1000000000</v>
      </c>
      <c r="E33" s="369">
        <f ca="1">SUM(OFFSET('Luu chuyen tien te'!$AZ27,0,0,1,'Thong tin'!$C$9))</f>
        <v>0</v>
      </c>
    </row>
    <row r="34" spans="1:5" ht="29.25" customHeight="1" x14ac:dyDescent="0.25">
      <c r="A34" s="379" t="s">
        <v>222</v>
      </c>
      <c r="B34" s="369">
        <f ca="1">OFFSET('Luu chuyen tien te'!$BL28,0,'Thong tin'!$C$9 - 1)</f>
        <v>0</v>
      </c>
      <c r="C34" s="369">
        <f ca="1">OFFSET('Luu chuyen tien te'!$AZ28,0,'Thong tin'!$C$9 - 1)</f>
        <v>0</v>
      </c>
      <c r="D34" s="369">
        <f ca="1">SUM(OFFSET('Luu chuyen tien te'!$BL28,0,0,1,'Thong tin'!$C$9))</f>
        <v>0</v>
      </c>
      <c r="E34" s="369">
        <f ca="1">SUM(OFFSET('Luu chuyen tien te'!$AZ28,0,0,1,'Thong tin'!$C$9))</f>
        <v>0</v>
      </c>
    </row>
    <row r="35" spans="1:5" ht="18" customHeight="1" x14ac:dyDescent="0.25">
      <c r="A35" s="381" t="s">
        <v>223</v>
      </c>
      <c r="B35" s="369">
        <f ca="1">OFFSET('Luu chuyen tien te'!$BL29,0,'Thong tin'!$C$9 - 1)</f>
        <v>0</v>
      </c>
      <c r="C35" s="369">
        <f ca="1">OFFSET('Luu chuyen tien te'!$AZ29,0,'Thong tin'!$C$9 - 1)</f>
        <v>0</v>
      </c>
      <c r="D35" s="369">
        <f ca="1">SUM(OFFSET('Luu chuyen tien te'!$BL29,0,0,1,'Thong tin'!$C$9))</f>
        <v>0</v>
      </c>
      <c r="E35" s="369">
        <f ca="1">SUM(OFFSET('Luu chuyen tien te'!$AZ29,0,0,1,'Thong tin'!$C$9))</f>
        <v>0</v>
      </c>
    </row>
    <row r="36" spans="1:5" ht="18" customHeight="1" x14ac:dyDescent="0.25">
      <c r="A36" s="381" t="s">
        <v>224</v>
      </c>
      <c r="B36" s="369">
        <f ca="1">OFFSET('Luu chuyen tien te'!$BL30,0,'Thong tin'!$C$9 - 1)</f>
        <v>0</v>
      </c>
      <c r="C36" s="369">
        <f ca="1">OFFSET('Luu chuyen tien te'!$AZ30,0,'Thong tin'!$C$9 - 1)</f>
        <v>0</v>
      </c>
      <c r="D36" s="369">
        <f ca="1">SUM(OFFSET('Luu chuyen tien te'!$BL30,0,0,1,'Thong tin'!$C$9))</f>
        <v>0</v>
      </c>
      <c r="E36" s="369">
        <f ca="1">SUM(OFFSET('Luu chuyen tien te'!$AZ30,0,0,1,'Thong tin'!$C$9))</f>
        <v>0</v>
      </c>
    </row>
    <row r="37" spans="1:5" s="380" customFormat="1" ht="30" customHeight="1" x14ac:dyDescent="0.25">
      <c r="A37" s="379" t="s">
        <v>225</v>
      </c>
      <c r="B37" s="369">
        <f ca="1">OFFSET('Luu chuyen tien te'!$BL31,0,'Thong tin'!$C$9 - 1)</f>
        <v>17033</v>
      </c>
      <c r="C37" s="369">
        <f ca="1">OFFSET('Luu chuyen tien te'!$AZ31,0,'Thong tin'!$C$9 - 1)</f>
        <v>29738</v>
      </c>
      <c r="D37" s="369">
        <f ca="1">SUM(OFFSET('Luu chuyen tien te'!$BL31,0,0,1,'Thong tin'!$C$9))</f>
        <v>49682461</v>
      </c>
      <c r="E37" s="369">
        <f ca="1">SUM(OFFSET('Luu chuyen tien te'!$AZ31,0,0,1,'Thong tin'!$C$9))</f>
        <v>5638207</v>
      </c>
    </row>
    <row r="38" spans="1:5" s="374" customFormat="1" ht="18" customHeight="1" x14ac:dyDescent="0.25">
      <c r="A38" s="365" t="s">
        <v>226</v>
      </c>
      <c r="B38" s="382">
        <f t="shared" ref="B38:D38" ca="1" si="4">SUM(B31:B37)</f>
        <v>-85113307</v>
      </c>
      <c r="C38" s="382">
        <f t="shared" ca="1" si="4"/>
        <v>77529738</v>
      </c>
      <c r="D38" s="382">
        <f t="shared" ca="1" si="4"/>
        <v>-2311943129</v>
      </c>
      <c r="E38" s="382">
        <f t="shared" ref="E38" ca="1" si="5">SUM(E31:E37)</f>
        <v>-1267957465</v>
      </c>
    </row>
    <row r="39" spans="1:5" ht="20.25" customHeight="1" x14ac:dyDescent="0.25">
      <c r="A39" s="377" t="s">
        <v>227</v>
      </c>
      <c r="B39" s="378"/>
      <c r="C39" s="378"/>
      <c r="D39" s="378"/>
      <c r="E39" s="378"/>
    </row>
    <row r="40" spans="1:5" ht="30" customHeight="1" x14ac:dyDescent="0.25">
      <c r="A40" s="383" t="s">
        <v>228</v>
      </c>
      <c r="B40" s="369">
        <f ca="1">OFFSET('Luu chuyen tien te'!$BL34,0,'Thong tin'!$C$9 - 1)</f>
        <v>0</v>
      </c>
      <c r="C40" s="369">
        <f ca="1">OFFSET('Luu chuyen tien te'!$AZ34,0,'Thong tin'!$C$9 - 1)</f>
        <v>0</v>
      </c>
      <c r="D40" s="369">
        <f ca="1">SUM(OFFSET('Luu chuyen tien te'!$BL34,0,0,1,'Thong tin'!$C$9))</f>
        <v>0</v>
      </c>
      <c r="E40" s="369">
        <f ca="1">SUM(OFFSET('Luu chuyen tien te'!$AZ34,0,0,1,'Thong tin'!$C$9))</f>
        <v>0</v>
      </c>
    </row>
    <row r="41" spans="1:5" s="380" customFormat="1" ht="30" customHeight="1" x14ac:dyDescent="0.25">
      <c r="A41" s="383" t="s">
        <v>229</v>
      </c>
      <c r="B41" s="369">
        <f ca="1">OFFSET('Luu chuyen tien te'!$BL35,0,'Thong tin'!$C$9 - 1)</f>
        <v>0</v>
      </c>
      <c r="C41" s="369">
        <f ca="1">OFFSET('Luu chuyen tien te'!$AZ35,0,'Thong tin'!$C$9 - 1)</f>
        <v>0</v>
      </c>
      <c r="D41" s="369">
        <f ca="1">SUM(OFFSET('Luu chuyen tien te'!$BL35,0,0,1,'Thong tin'!$C$9))</f>
        <v>0</v>
      </c>
      <c r="E41" s="369">
        <f ca="1">SUM(OFFSET('Luu chuyen tien te'!$AZ35,0,0,1,'Thong tin'!$C$9))</f>
        <v>0</v>
      </c>
    </row>
    <row r="42" spans="1:5" x14ac:dyDescent="0.25">
      <c r="A42" s="384" t="s">
        <v>230</v>
      </c>
      <c r="B42" s="369">
        <f ca="1">OFFSET('Luu chuyen tien te'!$BL36,0,'Thong tin'!$C$9 - 1)</f>
        <v>0</v>
      </c>
      <c r="C42" s="369">
        <f ca="1">OFFSET('Luu chuyen tien te'!$AZ36,0,'Thong tin'!$C$9 - 1)</f>
        <v>0</v>
      </c>
      <c r="D42" s="369">
        <f ca="1">SUM(OFFSET('Luu chuyen tien te'!$BL36,0,0,1,'Thong tin'!$C$9))</f>
        <v>0</v>
      </c>
      <c r="E42" s="369">
        <f ca="1">SUM(OFFSET('Luu chuyen tien te'!$AZ36,0,0,1,'Thong tin'!$C$9))</f>
        <v>0</v>
      </c>
    </row>
    <row r="43" spans="1:5" x14ac:dyDescent="0.25">
      <c r="A43" s="384" t="s">
        <v>231</v>
      </c>
      <c r="B43" s="369">
        <f ca="1">OFFSET('Luu chuyen tien te'!$BL37,0,'Thong tin'!$C$9 - 1)</f>
        <v>0</v>
      </c>
      <c r="C43" s="369">
        <f ca="1">OFFSET('Luu chuyen tien te'!$AZ37,0,'Thong tin'!$C$9 - 1)</f>
        <v>0</v>
      </c>
      <c r="D43" s="369">
        <f ca="1">SUM(OFFSET('Luu chuyen tien te'!$BL37,0,0,1,'Thong tin'!$C$9))</f>
        <v>0</v>
      </c>
      <c r="E43" s="369">
        <f ca="1">SUM(OFFSET('Luu chuyen tien te'!$AZ37,0,0,1,'Thong tin'!$C$9))</f>
        <v>0</v>
      </c>
    </row>
    <row r="44" spans="1:5" x14ac:dyDescent="0.25">
      <c r="A44" s="384" t="s">
        <v>232</v>
      </c>
      <c r="B44" s="369">
        <f ca="1">OFFSET('Luu chuyen tien te'!$BL38,0,'Thong tin'!$C$9 - 1)</f>
        <v>0</v>
      </c>
      <c r="C44" s="369">
        <f ca="1">OFFSET('Luu chuyen tien te'!$AZ38,0,'Thong tin'!$C$9 - 1)</f>
        <v>0</v>
      </c>
      <c r="D44" s="369">
        <f ca="1">SUM(OFFSET('Luu chuyen tien te'!$BL38,0,0,1,'Thong tin'!$C$9))</f>
        <v>0</v>
      </c>
      <c r="E44" s="369">
        <f ca="1">SUM(OFFSET('Luu chuyen tien te'!$AZ38,0,0,1,'Thong tin'!$C$9))</f>
        <v>0</v>
      </c>
    </row>
    <row r="45" spans="1:5" x14ac:dyDescent="0.25">
      <c r="A45" s="384" t="s">
        <v>233</v>
      </c>
      <c r="B45" s="369">
        <f ca="1">OFFSET('Luu chuyen tien te'!$BL39,0,'Thong tin'!$C$9 - 1)</f>
        <v>0</v>
      </c>
      <c r="C45" s="369">
        <f ca="1">OFFSET('Luu chuyen tien te'!$AZ39,0,'Thong tin'!$C$9 - 1)</f>
        <v>0</v>
      </c>
      <c r="D45" s="369">
        <f ca="1">SUM(OFFSET('Luu chuyen tien te'!$BL39,0,0,1,'Thong tin'!$C$9))</f>
        <v>0</v>
      </c>
      <c r="E45" s="369">
        <f ca="1">SUM(OFFSET('Luu chuyen tien te'!$AZ39,0,0,1,'Thong tin'!$C$9))</f>
        <v>0</v>
      </c>
    </row>
    <row r="46" spans="1:5" s="374" customFormat="1" ht="18" customHeight="1" x14ac:dyDescent="0.25">
      <c r="A46" s="385" t="s">
        <v>234</v>
      </c>
      <c r="B46" s="366">
        <f t="shared" ref="B46:E46" ca="1" si="6">SUM(B40:B45)</f>
        <v>0</v>
      </c>
      <c r="C46" s="366">
        <f t="shared" ca="1" si="6"/>
        <v>0</v>
      </c>
      <c r="D46" s="366">
        <f t="shared" ca="1" si="6"/>
        <v>0</v>
      </c>
      <c r="E46" s="366">
        <f t="shared" ca="1" si="6"/>
        <v>0</v>
      </c>
    </row>
    <row r="47" spans="1:5" s="374" customFormat="1" ht="18" customHeight="1" x14ac:dyDescent="0.25">
      <c r="A47" s="385" t="s">
        <v>235</v>
      </c>
      <c r="B47" s="366">
        <f ca="1">SUM(B29,B38,B46)</f>
        <v>-1509052029</v>
      </c>
      <c r="C47" s="366">
        <f t="shared" ref="C47:E47" ca="1" si="7">SUM(C29,C38,C46)</f>
        <v>-643302849</v>
      </c>
      <c r="D47" s="366">
        <f t="shared" ca="1" si="7"/>
        <v>-4474059896</v>
      </c>
      <c r="E47" s="366">
        <f t="shared" ca="1" si="7"/>
        <v>-3113769551</v>
      </c>
    </row>
    <row r="48" spans="1:5" s="374" customFormat="1" ht="18" customHeight="1" x14ac:dyDescent="0.25">
      <c r="A48" s="385" t="s">
        <v>236</v>
      </c>
      <c r="B48" s="386">
        <f ca="1">OFFSET('Luu chuyen tien te'!$BL42,0,'Thong tin'!$C$9 - 1)</f>
        <v>5775046942</v>
      </c>
      <c r="C48" s="386">
        <f ca="1">OFFSET('Luu chuyen tien te'!$AZ42,0,'Thong tin'!$C$9 - 1)</f>
        <v>3533396638</v>
      </c>
      <c r="D48" s="366">
        <f>'Luu chuyen tien te'!BL42</f>
        <v>8740054809</v>
      </c>
      <c r="E48" s="386">
        <f>'Luu chuyen tien te'!AZ42</f>
        <v>6003863340</v>
      </c>
    </row>
    <row r="49" spans="1:6" ht="30" customHeight="1" x14ac:dyDescent="0.25">
      <c r="A49" s="383" t="s">
        <v>237</v>
      </c>
      <c r="B49" s="369">
        <f ca="1">OFFSET('Luu chuyen tien te'!$BL43,0,'Thong tin'!$C$9 - 1)</f>
        <v>0</v>
      </c>
      <c r="C49" s="369">
        <f ca="1">OFFSET('Luu chuyen tien te'!$AZ43,0,'Thong tin'!$C$9 - 1)</f>
        <v>0</v>
      </c>
      <c r="D49" s="369">
        <f ca="1">SUM(OFFSET('Luu chuyen tien te'!$BL43,0,0,1,'Thong tin'!$C$9))</f>
        <v>0</v>
      </c>
      <c r="E49" s="369">
        <f ca="1">SUM(OFFSET('Luu chuyen tien te'!$AZ43,0,0,1,'Thong tin'!$C$9))</f>
        <v>0</v>
      </c>
    </row>
    <row r="50" spans="1:6" s="325" customFormat="1" ht="18" customHeight="1" x14ac:dyDescent="0.25">
      <c r="A50" s="387" t="s">
        <v>238</v>
      </c>
      <c r="B50" s="388">
        <f ca="1">SUM(B47:B49)</f>
        <v>4265994913</v>
      </c>
      <c r="C50" s="388">
        <f t="shared" ref="C50:E50" ca="1" si="8">SUM(C47:C49)</f>
        <v>2890093789</v>
      </c>
      <c r="D50" s="388">
        <f t="shared" ca="1" si="8"/>
        <v>4265994913</v>
      </c>
      <c r="E50" s="388">
        <f t="shared" ca="1" si="8"/>
        <v>2890093789</v>
      </c>
      <c r="F50" s="389"/>
    </row>
    <row r="51" spans="1:6" ht="17.25" customHeight="1" x14ac:dyDescent="0.25">
      <c r="A51" s="390"/>
      <c r="B51" s="391">
        <v>0</v>
      </c>
      <c r="C51" s="391">
        <v>0</v>
      </c>
      <c r="D51" s="391">
        <v>0</v>
      </c>
      <c r="E51" s="391">
        <v>0</v>
      </c>
    </row>
    <row r="52" spans="1:6" x14ac:dyDescent="0.25">
      <c r="B52" s="687"/>
      <c r="C52" s="687"/>
      <c r="D52" s="687" t="str">
        <f>'KQKD in'!F32</f>
        <v>Lập, ngày 28 tháng 02 năm 2026</v>
      </c>
      <c r="E52" s="687"/>
    </row>
    <row r="53" spans="1:6" ht="22.5" customHeight="1" x14ac:dyDescent="0.25">
      <c r="A53" s="310" t="s">
        <v>8</v>
      </c>
      <c r="D53" s="688" t="s">
        <v>239</v>
      </c>
      <c r="E53" s="688"/>
    </row>
    <row r="54" spans="1:6" x14ac:dyDescent="0.25">
      <c r="C54" s="359"/>
    </row>
    <row r="55" spans="1:6" x14ac:dyDescent="0.25">
      <c r="C55" s="359"/>
    </row>
    <row r="56" spans="1:6" x14ac:dyDescent="0.25">
      <c r="C56" s="359"/>
    </row>
    <row r="57" spans="1:6" x14ac:dyDescent="0.25">
      <c r="C57" s="359"/>
    </row>
    <row r="58" spans="1:6" x14ac:dyDescent="0.25">
      <c r="C58" s="359"/>
    </row>
    <row r="59" spans="1:6" s="261" customFormat="1" x14ac:dyDescent="0.25">
      <c r="A59" s="309">
        <f>'Thong tin'!B13</f>
        <v>0</v>
      </c>
      <c r="B59" s="661"/>
      <c r="C59" s="661"/>
      <c r="D59" s="661" t="s">
        <v>152</v>
      </c>
      <c r="E59" s="661"/>
    </row>
  </sheetData>
  <mergeCells count="11">
    <mergeCell ref="B52:C52"/>
    <mergeCell ref="D52:E52"/>
    <mergeCell ref="D53:E53"/>
    <mergeCell ref="B59:C59"/>
    <mergeCell ref="D59:E59"/>
    <mergeCell ref="A4:E4"/>
    <mergeCell ref="A5:E5"/>
    <mergeCell ref="A6:E6"/>
    <mergeCell ref="A8:A9"/>
    <mergeCell ref="B8:C8"/>
    <mergeCell ref="D8:E8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6" orientation="portrait" useFirstPageNumber="1" r:id="rId1"/>
  <headerFooter>
    <oddFooter>&amp;CTrang &amp;P</oddFooter>
  </headerFooter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D6A7-5E96-43AC-A0F9-D0CEB6C83FA9}">
  <sheetPr>
    <tabColor theme="9" tint="0.59999389629810485"/>
    <outlinePr summaryBelow="0" summaryRight="0"/>
  </sheetPr>
  <dimension ref="A1:BW250"/>
  <sheetViews>
    <sheetView showGridLines="0" showZeros="0" zoomScale="80" zoomScaleNormal="80" workbookViewId="0">
      <pane xSplit="2" ySplit="3" topLeftCell="BL121" activePane="bottomRight" state="frozenSplit"/>
      <selection pane="topRight" activeCell="D8" sqref="D8:E8"/>
      <selection pane="bottomLeft" activeCell="D8" sqref="D8:E8"/>
      <selection pane="bottomRight" activeCell="BQ4" sqref="BQ4:BQ129"/>
    </sheetView>
  </sheetViews>
  <sheetFormatPr defaultColWidth="9.28515625" defaultRowHeight="15" customHeight="1" x14ac:dyDescent="0.25"/>
  <cols>
    <col min="1" max="1" width="7.140625" style="93" hidden="1" customWidth="1"/>
    <col min="2" max="2" width="49.85546875" style="94" customWidth="1"/>
    <col min="3" max="3" width="8.28515625" style="93" hidden="1" customWidth="1"/>
    <col min="4" max="51" width="18.28515625" style="94" customWidth="1"/>
    <col min="52" max="75" width="18.28515625" style="94" bestFit="1" customWidth="1"/>
    <col min="76" max="16384" width="9.28515625" style="46"/>
  </cols>
  <sheetData>
    <row r="1" spans="1:75" ht="19.5" customHeight="1" x14ac:dyDescent="0.3">
      <c r="A1" s="42"/>
      <c r="B1" s="43" t="s">
        <v>0</v>
      </c>
      <c r="C1" s="42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</row>
    <row r="2" spans="1:75" ht="19.5" customHeight="1" x14ac:dyDescent="0.25">
      <c r="A2" s="47"/>
      <c r="B2" s="48" t="s">
        <v>240</v>
      </c>
      <c r="C2" s="47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5"/>
      <c r="AO2" s="44"/>
      <c r="AP2" s="44"/>
      <c r="AQ2" s="44"/>
      <c r="AR2" s="44"/>
      <c r="AS2" s="44"/>
      <c r="AT2" s="44"/>
      <c r="AU2" s="44"/>
      <c r="AV2" s="49"/>
      <c r="AW2" s="44"/>
      <c r="AX2" s="44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</row>
    <row r="3" spans="1:75" ht="28.5" x14ac:dyDescent="0.25">
      <c r="A3" s="51" t="s">
        <v>241</v>
      </c>
      <c r="B3" s="52" t="s">
        <v>242</v>
      </c>
      <c r="C3" s="51" t="s">
        <v>243</v>
      </c>
      <c r="D3" s="53" t="s">
        <v>244</v>
      </c>
      <c r="E3" s="53" t="s">
        <v>245</v>
      </c>
      <c r="F3" s="53" t="s">
        <v>246</v>
      </c>
      <c r="G3" s="53" t="s">
        <v>247</v>
      </c>
      <c r="H3" s="53" t="s">
        <v>248</v>
      </c>
      <c r="I3" s="53" t="s">
        <v>249</v>
      </c>
      <c r="J3" s="53" t="s">
        <v>250</v>
      </c>
      <c r="K3" s="53" t="s">
        <v>251</v>
      </c>
      <c r="L3" s="53" t="s">
        <v>252</v>
      </c>
      <c r="M3" s="53" t="s">
        <v>253</v>
      </c>
      <c r="N3" s="53" t="s">
        <v>254</v>
      </c>
      <c r="O3" s="53" t="s">
        <v>255</v>
      </c>
      <c r="P3" s="53" t="s">
        <v>256</v>
      </c>
      <c r="Q3" s="53" t="s">
        <v>257</v>
      </c>
      <c r="R3" s="53" t="s">
        <v>258</v>
      </c>
      <c r="S3" s="53" t="s">
        <v>259</v>
      </c>
      <c r="T3" s="53" t="s">
        <v>260</v>
      </c>
      <c r="U3" s="53" t="s">
        <v>261</v>
      </c>
      <c r="V3" s="53" t="s">
        <v>262</v>
      </c>
      <c r="W3" s="53" t="s">
        <v>263</v>
      </c>
      <c r="X3" s="53" t="s">
        <v>264</v>
      </c>
      <c r="Y3" s="53" t="s">
        <v>265</v>
      </c>
      <c r="Z3" s="53" t="s">
        <v>266</v>
      </c>
      <c r="AA3" s="53" t="s">
        <v>267</v>
      </c>
      <c r="AB3" s="53" t="s">
        <v>268</v>
      </c>
      <c r="AC3" s="53" t="s">
        <v>269</v>
      </c>
      <c r="AD3" s="53" t="s">
        <v>270</v>
      </c>
      <c r="AE3" s="53" t="s">
        <v>271</v>
      </c>
      <c r="AF3" s="53" t="s">
        <v>272</v>
      </c>
      <c r="AG3" s="53" t="s">
        <v>273</v>
      </c>
      <c r="AH3" s="53" t="s">
        <v>274</v>
      </c>
      <c r="AI3" s="53" t="s">
        <v>275</v>
      </c>
      <c r="AJ3" s="53" t="s">
        <v>276</v>
      </c>
      <c r="AK3" s="53" t="s">
        <v>277</v>
      </c>
      <c r="AL3" s="53" t="s">
        <v>278</v>
      </c>
      <c r="AM3" s="53" t="s">
        <v>279</v>
      </c>
      <c r="AN3" s="51" t="s">
        <v>280</v>
      </c>
      <c r="AO3" s="53" t="s">
        <v>281</v>
      </c>
      <c r="AP3" s="51" t="s">
        <v>282</v>
      </c>
      <c r="AQ3" s="51" t="s">
        <v>283</v>
      </c>
      <c r="AR3" s="51" t="s">
        <v>284</v>
      </c>
      <c r="AS3" s="51" t="s">
        <v>285</v>
      </c>
      <c r="AT3" s="51" t="s">
        <v>286</v>
      </c>
      <c r="AU3" s="53" t="s">
        <v>287</v>
      </c>
      <c r="AV3" s="51" t="s">
        <v>288</v>
      </c>
      <c r="AW3" s="51" t="s">
        <v>289</v>
      </c>
      <c r="AX3" s="51" t="s">
        <v>290</v>
      </c>
      <c r="AY3" s="51" t="s">
        <v>291</v>
      </c>
      <c r="AZ3" s="51" t="s">
        <v>292</v>
      </c>
      <c r="BA3" s="51" t="s">
        <v>293</v>
      </c>
      <c r="BB3" s="51" t="s">
        <v>294</v>
      </c>
      <c r="BC3" s="51" t="s">
        <v>295</v>
      </c>
      <c r="BD3" s="51" t="s">
        <v>296</v>
      </c>
      <c r="BE3" s="51" t="s">
        <v>297</v>
      </c>
      <c r="BF3" s="51" t="s">
        <v>298</v>
      </c>
      <c r="BG3" s="51" t="s">
        <v>299</v>
      </c>
      <c r="BH3" s="51" t="s">
        <v>300</v>
      </c>
      <c r="BI3" s="51" t="s">
        <v>301</v>
      </c>
      <c r="BJ3" s="51" t="s">
        <v>302</v>
      </c>
      <c r="BK3" s="51" t="s">
        <v>303</v>
      </c>
      <c r="BL3" s="51" t="s">
        <v>304</v>
      </c>
      <c r="BM3" s="51" t="s">
        <v>305</v>
      </c>
      <c r="BN3" s="51" t="s">
        <v>306</v>
      </c>
      <c r="BO3" s="51" t="s">
        <v>307</v>
      </c>
      <c r="BP3" s="51" t="s">
        <v>308</v>
      </c>
      <c r="BQ3" s="51" t="s">
        <v>309</v>
      </c>
      <c r="BR3" s="51" t="s">
        <v>310</v>
      </c>
      <c r="BS3" s="51" t="s">
        <v>311</v>
      </c>
      <c r="BT3" s="51" t="s">
        <v>312</v>
      </c>
      <c r="BU3" s="51" t="s">
        <v>313</v>
      </c>
      <c r="BV3" s="51" t="s">
        <v>314</v>
      </c>
      <c r="BW3" s="51" t="s">
        <v>315</v>
      </c>
    </row>
    <row r="4" spans="1:75" ht="15" customHeight="1" x14ac:dyDescent="0.25">
      <c r="A4" s="54">
        <v>1</v>
      </c>
      <c r="B4" s="55" t="s">
        <v>316</v>
      </c>
      <c r="C4" s="54">
        <v>7</v>
      </c>
      <c r="D4" s="1">
        <v>10331196663</v>
      </c>
      <c r="E4" s="1">
        <v>10408146462</v>
      </c>
      <c r="F4" s="1">
        <v>9933109431</v>
      </c>
      <c r="G4" s="1">
        <v>9393790120</v>
      </c>
      <c r="H4" s="1">
        <v>9397232004</v>
      </c>
      <c r="I4" s="1">
        <v>9631832066</v>
      </c>
      <c r="J4" s="1">
        <v>9485676743</v>
      </c>
      <c r="K4" s="1">
        <v>9401825682</v>
      </c>
      <c r="L4" s="1">
        <v>8768034496</v>
      </c>
      <c r="M4" s="1">
        <v>8768334207</v>
      </c>
      <c r="N4" s="1">
        <v>8526023049</v>
      </c>
      <c r="O4" s="1">
        <v>7781530470</v>
      </c>
      <c r="P4" s="1">
        <v>12936730647</v>
      </c>
      <c r="Q4" s="1">
        <v>12704314802</v>
      </c>
      <c r="R4" s="1">
        <v>13104100005</v>
      </c>
      <c r="S4" s="1">
        <v>13362177273</v>
      </c>
      <c r="T4" s="1">
        <v>12480060798</v>
      </c>
      <c r="U4" s="1">
        <v>13837074882.299999</v>
      </c>
      <c r="V4" s="1">
        <v>13365189105</v>
      </c>
      <c r="W4" s="1">
        <v>13693731095</v>
      </c>
      <c r="X4" s="1">
        <v>14259364412</v>
      </c>
      <c r="Y4" s="1">
        <v>13957162337.796152</v>
      </c>
      <c r="Z4" s="1">
        <v>14315990601</v>
      </c>
      <c r="AA4" s="1">
        <v>12791999434</v>
      </c>
      <c r="AB4" s="1">
        <v>11516724529</v>
      </c>
      <c r="AC4" s="1">
        <v>9693441950</v>
      </c>
      <c r="AD4" s="1">
        <v>9407542517</v>
      </c>
      <c r="AE4" s="1">
        <v>10692963222</v>
      </c>
      <c r="AF4" s="1">
        <v>11998132858</v>
      </c>
      <c r="AG4" s="1">
        <v>12533847305</v>
      </c>
      <c r="AH4" s="1">
        <v>10605902581</v>
      </c>
      <c r="AI4" s="1">
        <v>8517882127</v>
      </c>
      <c r="AJ4" s="1">
        <v>8649733870.8600006</v>
      </c>
      <c r="AK4" s="1">
        <v>8577324494.8599997</v>
      </c>
      <c r="AL4" s="1">
        <v>9945655773.8600006</v>
      </c>
      <c r="AM4" s="1">
        <v>10956540449.860001</v>
      </c>
      <c r="AN4" s="1">
        <v>10103114315</v>
      </c>
      <c r="AO4" s="1">
        <v>10135163319</v>
      </c>
      <c r="AP4" s="1">
        <v>10184981130.860001</v>
      </c>
      <c r="AQ4" s="1">
        <v>9555348922.882</v>
      </c>
      <c r="AR4" s="1">
        <v>9196060410</v>
      </c>
      <c r="AS4" s="1">
        <v>8684994866</v>
      </c>
      <c r="AT4" s="1">
        <v>8245968607</v>
      </c>
      <c r="AU4" s="1">
        <v>10545495550</v>
      </c>
      <c r="AV4" s="522">
        <v>11220415620</v>
      </c>
      <c r="AW4" s="522">
        <v>12143594996</v>
      </c>
      <c r="AX4" s="522">
        <v>11303945554</v>
      </c>
      <c r="AY4" s="522">
        <v>10918507176.482</v>
      </c>
      <c r="AZ4" s="522">
        <v>9622462298.9999008</v>
      </c>
      <c r="BA4" s="522">
        <v>10781416982</v>
      </c>
      <c r="BB4" s="522">
        <v>9989155997.4820004</v>
      </c>
      <c r="BC4" s="522">
        <v>9470285625</v>
      </c>
      <c r="BD4" s="522">
        <v>9847590487</v>
      </c>
      <c r="BE4" s="522">
        <v>10640908397.482</v>
      </c>
      <c r="BF4" s="522">
        <v>12177668470.482</v>
      </c>
      <c r="BG4" s="522">
        <v>14816286163.482</v>
      </c>
      <c r="BH4" s="522">
        <f>+BH5+BH8+BH15+BH23+BH30</f>
        <v>12964527031.482</v>
      </c>
      <c r="BI4" s="522">
        <v>13237895817.482</v>
      </c>
      <c r="BJ4" s="522">
        <v>14247961697.482</v>
      </c>
      <c r="BK4" s="522">
        <v>16160112648</v>
      </c>
      <c r="BL4" s="522">
        <v>17398509917</v>
      </c>
      <c r="BM4" s="523">
        <v>17027930081</v>
      </c>
      <c r="BN4" s="523">
        <v>18865367170</v>
      </c>
      <c r="BO4" s="523">
        <v>16681174388</v>
      </c>
      <c r="BP4" s="522">
        <v>19257599078</v>
      </c>
      <c r="BQ4" s="522">
        <v>21403899174</v>
      </c>
      <c r="BR4" s="522"/>
      <c r="BS4" s="522"/>
      <c r="BT4" s="522"/>
      <c r="BU4" s="522"/>
      <c r="BV4" s="522"/>
      <c r="BW4" s="522"/>
    </row>
    <row r="5" spans="1:75" ht="15" customHeight="1" x14ac:dyDescent="0.25">
      <c r="A5" s="56">
        <v>2</v>
      </c>
      <c r="B5" s="57" t="s">
        <v>317</v>
      </c>
      <c r="C5" s="56">
        <v>7</v>
      </c>
      <c r="D5" s="2">
        <v>2040300880</v>
      </c>
      <c r="E5" s="2">
        <v>1772054295</v>
      </c>
      <c r="F5" s="2">
        <v>915131285</v>
      </c>
      <c r="G5" s="2">
        <v>314235407</v>
      </c>
      <c r="H5" s="2">
        <v>469036465</v>
      </c>
      <c r="I5" s="2">
        <v>419531256</v>
      </c>
      <c r="J5" s="2">
        <v>26249780</v>
      </c>
      <c r="K5" s="2">
        <v>1152403903</v>
      </c>
      <c r="L5" s="2">
        <v>525218020</v>
      </c>
      <c r="M5" s="2">
        <v>214337661</v>
      </c>
      <c r="N5" s="2">
        <v>4074278128</v>
      </c>
      <c r="O5" s="2">
        <v>1960932082</v>
      </c>
      <c r="P5" s="2">
        <v>6316401318</v>
      </c>
      <c r="Q5" s="2">
        <v>6401164043</v>
      </c>
      <c r="R5" s="2">
        <v>7032350604</v>
      </c>
      <c r="S5" s="2">
        <v>5409143818</v>
      </c>
      <c r="T5" s="2">
        <v>4843606260</v>
      </c>
      <c r="U5" s="2">
        <v>4366742904</v>
      </c>
      <c r="V5" s="2">
        <v>1255875252</v>
      </c>
      <c r="W5" s="2">
        <v>2620787064</v>
      </c>
      <c r="X5" s="2">
        <v>3639542113</v>
      </c>
      <c r="Y5" s="2">
        <v>3359878672</v>
      </c>
      <c r="Z5" s="2">
        <v>707164873</v>
      </c>
      <c r="AA5" s="2">
        <v>3956178628</v>
      </c>
      <c r="AB5" s="2">
        <v>3421434172</v>
      </c>
      <c r="AC5" s="2">
        <v>1064642852</v>
      </c>
      <c r="AD5" s="2">
        <v>800358520</v>
      </c>
      <c r="AE5" s="2">
        <v>2573587564</v>
      </c>
      <c r="AF5" s="2">
        <v>4046655921</v>
      </c>
      <c r="AG5" s="2">
        <v>6913231953</v>
      </c>
      <c r="AH5" s="2">
        <v>5998240929</v>
      </c>
      <c r="AI5" s="2">
        <v>5522125303</v>
      </c>
      <c r="AJ5" s="2">
        <v>4466969439</v>
      </c>
      <c r="AK5" s="2">
        <v>1119051582</v>
      </c>
      <c r="AL5" s="2">
        <v>862954977</v>
      </c>
      <c r="AM5" s="2">
        <v>2116625281</v>
      </c>
      <c r="AN5" s="2">
        <v>2558802474</v>
      </c>
      <c r="AO5" s="2">
        <v>1393898918</v>
      </c>
      <c r="AP5" s="2">
        <v>4499399789</v>
      </c>
      <c r="AQ5" s="2">
        <v>4431257417</v>
      </c>
      <c r="AR5" s="2">
        <v>2753755390</v>
      </c>
      <c r="AS5" s="2">
        <v>3803839418</v>
      </c>
      <c r="AT5" s="2">
        <v>5122409452</v>
      </c>
      <c r="AU5" s="2">
        <v>6603237668</v>
      </c>
      <c r="AV5" s="2">
        <v>4901151740</v>
      </c>
      <c r="AW5" s="2">
        <v>7217320341</v>
      </c>
      <c r="AX5" s="2">
        <v>6076881148</v>
      </c>
      <c r="AY5" s="2">
        <v>6003863340</v>
      </c>
      <c r="AZ5" s="2">
        <v>1083666234</v>
      </c>
      <c r="BA5" s="2">
        <v>1893084896</v>
      </c>
      <c r="BB5" s="2">
        <v>3882973993</v>
      </c>
      <c r="BC5" s="2">
        <v>3533396638</v>
      </c>
      <c r="BD5" s="2">
        <v>2890093789</v>
      </c>
      <c r="BE5" s="2">
        <v>4170404441</v>
      </c>
      <c r="BF5" s="2">
        <v>6295754488</v>
      </c>
      <c r="BG5" s="2">
        <v>9081751086</v>
      </c>
      <c r="BH5" s="2">
        <f>+SUM(BH6:BH7)</f>
        <v>8696224125</v>
      </c>
      <c r="BI5" s="2">
        <v>8789877445</v>
      </c>
      <c r="BJ5" s="2">
        <v>8971843955</v>
      </c>
      <c r="BK5" s="2">
        <v>8740054809</v>
      </c>
      <c r="BL5" s="2">
        <v>8999449324</v>
      </c>
      <c r="BM5" s="524">
        <v>6189741551</v>
      </c>
      <c r="BN5" s="524">
        <v>3726004700</v>
      </c>
      <c r="BO5" s="524">
        <v>5775046942</v>
      </c>
      <c r="BP5" s="2">
        <v>4265994913</v>
      </c>
      <c r="BQ5" s="2">
        <v>2577057383</v>
      </c>
      <c r="BR5" s="2"/>
      <c r="BS5" s="2"/>
      <c r="BT5" s="2"/>
      <c r="BU5" s="2"/>
      <c r="BV5" s="2"/>
      <c r="BW5" s="2"/>
    </row>
    <row r="6" spans="1:75" ht="15" customHeight="1" x14ac:dyDescent="0.25">
      <c r="A6" s="58">
        <v>3</v>
      </c>
      <c r="B6" s="59" t="s">
        <v>318</v>
      </c>
      <c r="C6" s="58">
        <v>7</v>
      </c>
      <c r="D6" s="3">
        <v>2040300880</v>
      </c>
      <c r="E6" s="3">
        <v>1772054295</v>
      </c>
      <c r="F6" s="3">
        <v>915131285</v>
      </c>
      <c r="G6" s="3">
        <v>314235407</v>
      </c>
      <c r="H6" s="3">
        <v>469036465</v>
      </c>
      <c r="I6" s="3">
        <v>419531256</v>
      </c>
      <c r="J6" s="3">
        <v>26249780</v>
      </c>
      <c r="K6" s="3">
        <v>1152403903</v>
      </c>
      <c r="L6" s="3">
        <v>525218020</v>
      </c>
      <c r="M6" s="3">
        <v>214337661</v>
      </c>
      <c r="N6" s="3">
        <v>4074278128</v>
      </c>
      <c r="O6" s="3">
        <v>1960932082</v>
      </c>
      <c r="P6" s="3">
        <v>6316401318</v>
      </c>
      <c r="Q6" s="3">
        <v>6401164043</v>
      </c>
      <c r="R6" s="3">
        <v>7032350604</v>
      </c>
      <c r="S6" s="3">
        <v>5409143818</v>
      </c>
      <c r="T6" s="3">
        <v>4843606260</v>
      </c>
      <c r="U6" s="3">
        <v>4366742904</v>
      </c>
      <c r="V6" s="3">
        <v>1255875252</v>
      </c>
      <c r="W6" s="3">
        <v>2620787064</v>
      </c>
      <c r="X6" s="3">
        <v>3639542113</v>
      </c>
      <c r="Y6" s="3">
        <v>3359878672</v>
      </c>
      <c r="Z6" s="3">
        <v>707164873</v>
      </c>
      <c r="AA6" s="3">
        <v>3956178628</v>
      </c>
      <c r="AB6" s="3">
        <v>3421434172</v>
      </c>
      <c r="AC6" s="3">
        <v>1064642852</v>
      </c>
      <c r="AD6" s="3">
        <v>800358520</v>
      </c>
      <c r="AE6" s="3">
        <v>2573587564</v>
      </c>
      <c r="AF6" s="3">
        <v>4046655921</v>
      </c>
      <c r="AG6" s="3">
        <v>6913231953</v>
      </c>
      <c r="AH6" s="3">
        <v>5998240929</v>
      </c>
      <c r="AI6" s="3">
        <v>5522125303</v>
      </c>
      <c r="AJ6" s="3">
        <v>4466969439</v>
      </c>
      <c r="AK6" s="3">
        <v>1119051582</v>
      </c>
      <c r="AL6" s="3">
        <v>862954977</v>
      </c>
      <c r="AM6" s="3">
        <v>2116625281</v>
      </c>
      <c r="AN6" s="3">
        <v>2558802474</v>
      </c>
      <c r="AO6" s="3">
        <v>1393898918</v>
      </c>
      <c r="AP6" s="3">
        <v>4499399789</v>
      </c>
      <c r="AQ6" s="3">
        <v>4431257417</v>
      </c>
      <c r="AR6" s="3">
        <v>2753755390</v>
      </c>
      <c r="AS6" s="3">
        <v>3803839418</v>
      </c>
      <c r="AT6" s="3">
        <v>5122409452</v>
      </c>
      <c r="AU6" s="3">
        <v>6603237668</v>
      </c>
      <c r="AV6" s="3">
        <v>4901151740</v>
      </c>
      <c r="AW6" s="3">
        <v>7217320341</v>
      </c>
      <c r="AX6" s="3">
        <v>6076881148</v>
      </c>
      <c r="AY6" s="3">
        <v>6003863340</v>
      </c>
      <c r="AZ6" s="3">
        <v>1083666234</v>
      </c>
      <c r="BA6" s="3">
        <v>1893084896</v>
      </c>
      <c r="BB6" s="3">
        <v>3882973993</v>
      </c>
      <c r="BC6" s="3">
        <v>3533396638</v>
      </c>
      <c r="BD6" s="3">
        <v>2890093789</v>
      </c>
      <c r="BE6" s="3">
        <v>4170404441</v>
      </c>
      <c r="BF6" s="3">
        <v>6295754488</v>
      </c>
      <c r="BG6" s="3">
        <v>9081751086</v>
      </c>
      <c r="BH6" s="3">
        <v>8696224125</v>
      </c>
      <c r="BI6" s="3">
        <v>8789877445</v>
      </c>
      <c r="BJ6" s="3">
        <v>8971843955</v>
      </c>
      <c r="BK6" s="3">
        <v>2740054809</v>
      </c>
      <c r="BL6" s="515">
        <v>2999449324</v>
      </c>
      <c r="BM6" s="525">
        <v>3189741551</v>
      </c>
      <c r="BN6" s="525">
        <v>726004700</v>
      </c>
      <c r="BO6" s="525">
        <v>2775046942</v>
      </c>
      <c r="BP6" s="3">
        <v>1265994913</v>
      </c>
      <c r="BQ6" s="3">
        <v>2577057383</v>
      </c>
      <c r="BR6" s="3"/>
      <c r="BS6" s="3"/>
      <c r="BT6" s="3"/>
      <c r="BU6" s="3"/>
      <c r="BV6" s="3"/>
      <c r="BW6" s="3"/>
    </row>
    <row r="7" spans="1:75" ht="15" customHeight="1" x14ac:dyDescent="0.25">
      <c r="A7" s="58">
        <v>4</v>
      </c>
      <c r="B7" s="59" t="s">
        <v>319</v>
      </c>
      <c r="C7" s="58">
        <v>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/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/>
      <c r="BI7" s="3">
        <v>0</v>
      </c>
      <c r="BJ7" s="3"/>
      <c r="BK7" s="3">
        <v>6000000000</v>
      </c>
      <c r="BL7" s="3">
        <v>6000000000</v>
      </c>
      <c r="BM7" s="525">
        <v>3000000000</v>
      </c>
      <c r="BN7" s="525">
        <v>3000000000</v>
      </c>
      <c r="BO7" s="525">
        <v>3000000000</v>
      </c>
      <c r="BP7" s="3">
        <v>3000000000</v>
      </c>
      <c r="BQ7" s="3">
        <v>0</v>
      </c>
      <c r="BR7" s="3"/>
      <c r="BS7" s="3"/>
      <c r="BT7" s="3"/>
      <c r="BU7" s="3"/>
      <c r="BV7" s="3"/>
      <c r="BW7" s="3"/>
    </row>
    <row r="8" spans="1:75" ht="15" customHeight="1" x14ac:dyDescent="0.25">
      <c r="A8" s="60">
        <v>5</v>
      </c>
      <c r="B8" s="57" t="s">
        <v>320</v>
      </c>
      <c r="C8" s="60">
        <v>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/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/>
      <c r="AZ8" s="4">
        <v>2000000000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f>SUM(BH9:BH11)</f>
        <v>0</v>
      </c>
      <c r="BI8" s="4">
        <v>0</v>
      </c>
      <c r="BJ8" s="4">
        <v>0</v>
      </c>
      <c r="BK8" s="4"/>
      <c r="BL8" s="4">
        <v>0</v>
      </c>
      <c r="BM8" s="526">
        <v>0</v>
      </c>
      <c r="BN8" s="526">
        <v>0</v>
      </c>
      <c r="BO8" s="526">
        <v>1000000000</v>
      </c>
      <c r="BP8" s="4">
        <v>1000000000</v>
      </c>
      <c r="BQ8" s="4">
        <v>1000000000</v>
      </c>
      <c r="BR8" s="4"/>
      <c r="BS8" s="4"/>
      <c r="BT8" s="4"/>
      <c r="BU8" s="4"/>
      <c r="BV8" s="4"/>
      <c r="BW8" s="4"/>
    </row>
    <row r="9" spans="1:75" ht="15" customHeight="1" x14ac:dyDescent="0.25">
      <c r="A9" s="58">
        <v>6</v>
      </c>
      <c r="B9" s="59" t="s">
        <v>35</v>
      </c>
      <c r="C9" s="58">
        <v>7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/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/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/>
      <c r="BI9" s="3">
        <v>0</v>
      </c>
      <c r="BJ9" s="3"/>
      <c r="BK9" s="3"/>
      <c r="BL9" s="3">
        <v>0</v>
      </c>
      <c r="BM9" s="525">
        <v>0</v>
      </c>
      <c r="BN9" s="525">
        <v>0</v>
      </c>
      <c r="BO9" s="525">
        <v>0</v>
      </c>
      <c r="BP9" s="3">
        <v>0</v>
      </c>
      <c r="BQ9" s="3">
        <v>0</v>
      </c>
      <c r="BR9" s="3"/>
      <c r="BS9" s="3"/>
      <c r="BT9" s="3"/>
      <c r="BU9" s="3"/>
      <c r="BV9" s="3"/>
      <c r="BW9" s="3"/>
    </row>
    <row r="10" spans="1:75" ht="15" customHeight="1" x14ac:dyDescent="0.25">
      <c r="A10" s="58">
        <v>7</v>
      </c>
      <c r="B10" s="59" t="s">
        <v>36</v>
      </c>
      <c r="C10" s="58">
        <v>7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/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/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/>
      <c r="BI10" s="3">
        <v>0</v>
      </c>
      <c r="BJ10" s="3"/>
      <c r="BK10" s="3"/>
      <c r="BL10" s="3">
        <v>0</v>
      </c>
      <c r="BM10" s="525">
        <v>0</v>
      </c>
      <c r="BN10" s="525">
        <v>0</v>
      </c>
      <c r="BO10" s="525">
        <v>0</v>
      </c>
      <c r="BP10" s="3">
        <v>0</v>
      </c>
      <c r="BQ10" s="3">
        <v>0</v>
      </c>
      <c r="BR10" s="3"/>
      <c r="BS10" s="3"/>
      <c r="BT10" s="3"/>
      <c r="BU10" s="3"/>
      <c r="BV10" s="3"/>
      <c r="BW10" s="3"/>
    </row>
    <row r="11" spans="1:75" ht="15" customHeight="1" x14ac:dyDescent="0.25">
      <c r="A11" s="58">
        <v>8</v>
      </c>
      <c r="B11" s="61" t="s">
        <v>37</v>
      </c>
      <c r="C11" s="58">
        <v>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/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/>
      <c r="AZ11" s="3">
        <v>2000000000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/>
      <c r="BI11" s="3">
        <v>0</v>
      </c>
      <c r="BJ11" s="3"/>
      <c r="BK11" s="3"/>
      <c r="BL11" s="3">
        <v>0</v>
      </c>
      <c r="BM11" s="525">
        <v>0</v>
      </c>
      <c r="BN11" s="525">
        <v>0</v>
      </c>
      <c r="BO11" s="525">
        <v>1000000000</v>
      </c>
      <c r="BP11" s="3">
        <v>1000000000</v>
      </c>
      <c r="BQ11" s="3">
        <v>1000000000</v>
      </c>
      <c r="BR11" s="3"/>
      <c r="BS11" s="3"/>
      <c r="BT11" s="3"/>
      <c r="BU11" s="3"/>
      <c r="BV11" s="3"/>
      <c r="BW11" s="3"/>
    </row>
    <row r="12" spans="1:75" ht="15" customHeight="1" x14ac:dyDescent="0.25">
      <c r="A12" s="58">
        <v>9</v>
      </c>
      <c r="B12" s="61" t="s">
        <v>38</v>
      </c>
      <c r="C12" s="58">
        <v>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>
        <v>0</v>
      </c>
      <c r="BM12" s="525">
        <v>0</v>
      </c>
      <c r="BN12" s="525">
        <v>0</v>
      </c>
      <c r="BO12" s="525">
        <v>0</v>
      </c>
      <c r="BP12" s="3">
        <v>0</v>
      </c>
      <c r="BQ12" s="3">
        <v>0</v>
      </c>
      <c r="BR12" s="3"/>
      <c r="BS12" s="3"/>
      <c r="BT12" s="3"/>
      <c r="BU12" s="3"/>
      <c r="BV12" s="3"/>
      <c r="BW12" s="3"/>
    </row>
    <row r="13" spans="1:75" ht="15" customHeight="1" x14ac:dyDescent="0.25">
      <c r="A13" s="58">
        <v>10</v>
      </c>
      <c r="B13" s="61" t="s">
        <v>39</v>
      </c>
      <c r="C13" s="58">
        <v>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>
        <v>0</v>
      </c>
      <c r="BM13" s="525">
        <v>0</v>
      </c>
      <c r="BN13" s="525">
        <v>0</v>
      </c>
      <c r="BO13" s="525">
        <v>0</v>
      </c>
      <c r="BP13" s="3">
        <v>0</v>
      </c>
      <c r="BQ13" s="3">
        <v>0</v>
      </c>
      <c r="BR13" s="3"/>
      <c r="BS13" s="3"/>
      <c r="BT13" s="3"/>
      <c r="BU13" s="3"/>
      <c r="BV13" s="3"/>
      <c r="BW13" s="3"/>
    </row>
    <row r="14" spans="1:75" ht="15" customHeight="1" x14ac:dyDescent="0.25">
      <c r="A14" s="58">
        <v>11</v>
      </c>
      <c r="B14" s="61" t="s">
        <v>40</v>
      </c>
      <c r="C14" s="58">
        <v>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>
        <v>0</v>
      </c>
      <c r="BM14" s="525">
        <v>0</v>
      </c>
      <c r="BN14" s="525">
        <v>0</v>
      </c>
      <c r="BO14" s="525">
        <v>0</v>
      </c>
      <c r="BP14" s="3">
        <v>0</v>
      </c>
      <c r="BQ14" s="3">
        <v>0</v>
      </c>
      <c r="BR14" s="3"/>
      <c r="BS14" s="3"/>
      <c r="BT14" s="3"/>
      <c r="BU14" s="3"/>
      <c r="BV14" s="3"/>
      <c r="BW14" s="3"/>
    </row>
    <row r="15" spans="1:75" ht="15" customHeight="1" x14ac:dyDescent="0.25">
      <c r="A15" s="62">
        <v>12</v>
      </c>
      <c r="B15" s="57" t="s">
        <v>321</v>
      </c>
      <c r="C15" s="62">
        <v>7</v>
      </c>
      <c r="D15" s="5">
        <v>6418261360</v>
      </c>
      <c r="E15" s="5">
        <v>7085738478</v>
      </c>
      <c r="F15" s="5">
        <v>7811565598</v>
      </c>
      <c r="G15" s="5">
        <v>7728424999</v>
      </c>
      <c r="H15" s="5">
        <v>7150302539</v>
      </c>
      <c r="I15" s="5">
        <v>7268584100</v>
      </c>
      <c r="J15" s="5">
        <v>7464531500</v>
      </c>
      <c r="K15" s="5">
        <v>6261919420</v>
      </c>
      <c r="L15" s="5">
        <v>6261919420</v>
      </c>
      <c r="M15" s="5">
        <v>6272783240</v>
      </c>
      <c r="N15" s="5">
        <v>1356583240</v>
      </c>
      <c r="O15" s="5">
        <v>2405011920</v>
      </c>
      <c r="P15" s="5">
        <v>2897390721</v>
      </c>
      <c r="Q15" s="5">
        <v>2733117759</v>
      </c>
      <c r="R15" s="5">
        <v>2421717459</v>
      </c>
      <c r="S15" s="5">
        <v>5117557533</v>
      </c>
      <c r="T15" s="5">
        <v>4033482617</v>
      </c>
      <c r="U15" s="5">
        <v>5262423761.3000002</v>
      </c>
      <c r="V15" s="5">
        <v>5706417699</v>
      </c>
      <c r="W15" s="5">
        <v>3500485569</v>
      </c>
      <c r="X15" s="5">
        <v>4309771340</v>
      </c>
      <c r="Y15" s="5">
        <v>4747660795.3600006</v>
      </c>
      <c r="Z15" s="5">
        <v>7236434213</v>
      </c>
      <c r="AA15" s="5">
        <v>6025955556</v>
      </c>
      <c r="AB15" s="5">
        <v>4596579715</v>
      </c>
      <c r="AC15" s="5">
        <v>5387401759</v>
      </c>
      <c r="AD15" s="5">
        <v>4977074327</v>
      </c>
      <c r="AE15" s="5">
        <v>4238692638</v>
      </c>
      <c r="AF15" s="5">
        <v>4612410641</v>
      </c>
      <c r="AG15" s="5">
        <v>3192840369.1399999</v>
      </c>
      <c r="AH15" s="5">
        <v>3054716486.1399999</v>
      </c>
      <c r="AI15" s="5">
        <v>1293208021.1400001</v>
      </c>
      <c r="AJ15" s="5">
        <v>2129814214</v>
      </c>
      <c r="AK15" s="5">
        <v>3466073332</v>
      </c>
      <c r="AL15" s="5">
        <v>3788411208</v>
      </c>
      <c r="AM15" s="5">
        <v>3875250574</v>
      </c>
      <c r="AN15" s="5">
        <v>2275247566.1399999</v>
      </c>
      <c r="AO15" s="5">
        <v>4066918298.1399999</v>
      </c>
      <c r="AP15" s="5">
        <v>2253017086</v>
      </c>
      <c r="AQ15" s="5">
        <v>1844506187</v>
      </c>
      <c r="AR15" s="5">
        <v>4226313594.7480001</v>
      </c>
      <c r="AS15" s="5">
        <v>3115881874.7480001</v>
      </c>
      <c r="AT15" s="5">
        <v>1649763475.5179999</v>
      </c>
      <c r="AU15" s="5">
        <v>2331678873.5180001</v>
      </c>
      <c r="AV15" s="5">
        <v>3687830193.5180001</v>
      </c>
      <c r="AW15" s="5">
        <v>2589220427.5180001</v>
      </c>
      <c r="AX15" s="5">
        <v>3060947819.5180001</v>
      </c>
      <c r="AY15" s="6">
        <v>1609307950</v>
      </c>
      <c r="AZ15" s="6">
        <v>1515600838.5179</v>
      </c>
      <c r="BA15" s="6">
        <v>1512818951.5179999</v>
      </c>
      <c r="BB15" s="6">
        <v>317284604</v>
      </c>
      <c r="BC15" s="6">
        <v>437681304.51800001</v>
      </c>
      <c r="BD15" s="6">
        <v>1802013642.5179999</v>
      </c>
      <c r="BE15" s="6">
        <v>382567548</v>
      </c>
      <c r="BF15" s="6">
        <v>446674724</v>
      </c>
      <c r="BG15" s="6">
        <v>290037774</v>
      </c>
      <c r="BH15" s="6">
        <f>+SUM(BH16:BH22)</f>
        <v>804314929</v>
      </c>
      <c r="BI15" s="6">
        <v>1748706129</v>
      </c>
      <c r="BJ15" s="6">
        <v>1996141214</v>
      </c>
      <c r="BK15" s="6">
        <v>3204443278</v>
      </c>
      <c r="BL15" s="6">
        <v>2027514130</v>
      </c>
      <c r="BM15" s="527">
        <v>4308077225</v>
      </c>
      <c r="BN15" s="527">
        <v>7618117739</v>
      </c>
      <c r="BO15" s="527">
        <v>3341603556</v>
      </c>
      <c r="BP15" s="6">
        <v>4109614535</v>
      </c>
      <c r="BQ15" s="6">
        <v>3600631002</v>
      </c>
      <c r="BR15" s="6"/>
      <c r="BS15" s="6"/>
      <c r="BT15" s="6"/>
      <c r="BU15" s="6"/>
      <c r="BV15" s="6"/>
      <c r="BW15" s="6"/>
    </row>
    <row r="16" spans="1:75" ht="15" customHeight="1" x14ac:dyDescent="0.25">
      <c r="A16" s="58">
        <v>13</v>
      </c>
      <c r="B16" s="63" t="s">
        <v>42</v>
      </c>
      <c r="C16" s="58">
        <v>7</v>
      </c>
      <c r="D16" s="3">
        <v>344011360</v>
      </c>
      <c r="E16" s="3">
        <v>1011488478</v>
      </c>
      <c r="F16" s="3">
        <v>1661565598</v>
      </c>
      <c r="G16" s="3">
        <v>1637020440</v>
      </c>
      <c r="H16" s="3">
        <v>938231440</v>
      </c>
      <c r="I16" s="3">
        <v>1235584100</v>
      </c>
      <c r="J16" s="3">
        <v>1431531500</v>
      </c>
      <c r="K16" s="3">
        <v>1228919420</v>
      </c>
      <c r="L16" s="3">
        <v>1228919420</v>
      </c>
      <c r="M16" s="3">
        <v>1228919420</v>
      </c>
      <c r="N16" s="3">
        <v>1228919420</v>
      </c>
      <c r="O16" s="3">
        <v>2344852370</v>
      </c>
      <c r="P16" s="3">
        <v>2472853829</v>
      </c>
      <c r="Q16" s="3">
        <v>2348117759</v>
      </c>
      <c r="R16" s="3">
        <v>1199186719</v>
      </c>
      <c r="S16" s="3">
        <v>3801691879</v>
      </c>
      <c r="T16" s="3">
        <v>2672275521</v>
      </c>
      <c r="U16" s="3">
        <v>3863277381.3000002</v>
      </c>
      <c r="V16" s="3">
        <v>3130365079</v>
      </c>
      <c r="W16" s="3">
        <v>1716678559</v>
      </c>
      <c r="X16" s="3">
        <v>2609977880</v>
      </c>
      <c r="Y16" s="3">
        <v>2228084280</v>
      </c>
      <c r="Z16" s="3">
        <v>4863373867</v>
      </c>
      <c r="AA16" s="3">
        <v>3581636705</v>
      </c>
      <c r="AB16" s="3">
        <v>2282361831</v>
      </c>
      <c r="AC16" s="3">
        <v>2948239023</v>
      </c>
      <c r="AD16" s="3">
        <v>4217858654</v>
      </c>
      <c r="AE16" s="3">
        <v>3784872141</v>
      </c>
      <c r="AF16" s="3">
        <v>4527127000</v>
      </c>
      <c r="AG16" s="3">
        <v>3124385351</v>
      </c>
      <c r="AH16" s="3">
        <v>3053615978</v>
      </c>
      <c r="AI16" s="3">
        <v>1279974690</v>
      </c>
      <c r="AJ16" s="3">
        <v>2122982583</v>
      </c>
      <c r="AK16" s="3">
        <v>3170480400</v>
      </c>
      <c r="AL16" s="3">
        <v>3776201100</v>
      </c>
      <c r="AM16" s="3">
        <v>3868305821</v>
      </c>
      <c r="AN16" s="3">
        <v>1972488980</v>
      </c>
      <c r="AO16" s="3">
        <v>3763782920</v>
      </c>
      <c r="AP16" s="3">
        <v>1950558500</v>
      </c>
      <c r="AQ16" s="3">
        <v>1840484700</v>
      </c>
      <c r="AR16" s="3">
        <v>3956416380</v>
      </c>
      <c r="AS16" s="3">
        <v>2885016420</v>
      </c>
      <c r="AT16" s="3">
        <v>1190366820</v>
      </c>
      <c r="AU16" s="3">
        <v>1386246420</v>
      </c>
      <c r="AV16" s="3">
        <v>2371792180</v>
      </c>
      <c r="AW16" s="3">
        <v>1875305520</v>
      </c>
      <c r="AX16" s="3">
        <v>2497110264</v>
      </c>
      <c r="AY16" s="3">
        <v>1498339440</v>
      </c>
      <c r="AZ16" s="3">
        <v>1367557573</v>
      </c>
      <c r="BA16" s="3">
        <v>1270506828</v>
      </c>
      <c r="BB16" s="3">
        <v>147204</v>
      </c>
      <c r="BC16" s="3">
        <v>147204</v>
      </c>
      <c r="BD16" s="3">
        <v>874243583</v>
      </c>
      <c r="BE16" s="3"/>
      <c r="BF16" s="3">
        <v>0</v>
      </c>
      <c r="BG16" s="3">
        <v>0</v>
      </c>
      <c r="BH16" s="3">
        <v>502553255</v>
      </c>
      <c r="BI16" s="3">
        <v>1440037055</v>
      </c>
      <c r="BJ16" s="3">
        <v>1712124540</v>
      </c>
      <c r="BK16" s="3">
        <v>1967294520</v>
      </c>
      <c r="BL16" s="515">
        <v>130705920</v>
      </c>
      <c r="BM16" s="525">
        <v>2136557371</v>
      </c>
      <c r="BN16" s="525">
        <v>4506468999</v>
      </c>
      <c r="BO16" s="525">
        <v>1945280816</v>
      </c>
      <c r="BP16" s="3">
        <v>1482666995</v>
      </c>
      <c r="BQ16" s="3">
        <v>1943875984</v>
      </c>
      <c r="BR16" s="3"/>
      <c r="BS16" s="3"/>
      <c r="BT16" s="3"/>
      <c r="BU16" s="3"/>
      <c r="BV16" s="3"/>
      <c r="BW16" s="3"/>
    </row>
    <row r="17" spans="1:75" ht="15" customHeight="1" x14ac:dyDescent="0.25">
      <c r="A17" s="58">
        <v>14</v>
      </c>
      <c r="B17" s="63" t="s">
        <v>43</v>
      </c>
      <c r="C17" s="58">
        <v>7</v>
      </c>
      <c r="D17" s="3">
        <v>74250000</v>
      </c>
      <c r="E17" s="3">
        <v>74250000</v>
      </c>
      <c r="F17" s="3">
        <v>0</v>
      </c>
      <c r="G17" s="3">
        <v>33000580</v>
      </c>
      <c r="H17" s="3">
        <v>33000580</v>
      </c>
      <c r="I17" s="3">
        <v>33000000</v>
      </c>
      <c r="J17" s="3">
        <v>33000000</v>
      </c>
      <c r="K17" s="3">
        <v>33000000</v>
      </c>
      <c r="L17" s="3">
        <v>33000000</v>
      </c>
      <c r="M17" s="3">
        <v>43863820</v>
      </c>
      <c r="N17" s="3">
        <v>127663820</v>
      </c>
      <c r="O17" s="3">
        <v>60159550</v>
      </c>
      <c r="P17" s="3">
        <v>422696450</v>
      </c>
      <c r="Q17" s="3">
        <v>385000000</v>
      </c>
      <c r="R17" s="3">
        <v>1222530740</v>
      </c>
      <c r="S17" s="3">
        <v>1309805211</v>
      </c>
      <c r="T17" s="3">
        <v>1349086211</v>
      </c>
      <c r="U17" s="3">
        <v>1399146380</v>
      </c>
      <c r="V17" s="3">
        <v>2576052620</v>
      </c>
      <c r="W17" s="3">
        <v>1783807010</v>
      </c>
      <c r="X17" s="3">
        <v>1699793460</v>
      </c>
      <c r="Y17" s="3">
        <v>1895680620</v>
      </c>
      <c r="Z17" s="3">
        <v>1389243160</v>
      </c>
      <c r="AA17" s="3">
        <v>2272134750</v>
      </c>
      <c r="AB17" s="3">
        <v>1469107250</v>
      </c>
      <c r="AC17" s="3">
        <v>1191538660</v>
      </c>
      <c r="AD17" s="3">
        <v>247971564</v>
      </c>
      <c r="AE17" s="3">
        <v>268906042</v>
      </c>
      <c r="AF17" s="3">
        <v>64090456</v>
      </c>
      <c r="AG17" s="3">
        <v>3070676</v>
      </c>
      <c r="AH17" s="3">
        <v>1100508</v>
      </c>
      <c r="AI17" s="3">
        <v>13233331</v>
      </c>
      <c r="AJ17" s="3">
        <v>6831631</v>
      </c>
      <c r="AK17" s="3">
        <v>295592932</v>
      </c>
      <c r="AL17" s="3">
        <v>12210108</v>
      </c>
      <c r="AM17" s="3">
        <v>6944753</v>
      </c>
      <c r="AN17" s="3">
        <v>302758586</v>
      </c>
      <c r="AO17" s="3">
        <v>303135378</v>
      </c>
      <c r="AP17" s="3">
        <v>302458586</v>
      </c>
      <c r="AQ17" s="3">
        <v>4021487</v>
      </c>
      <c r="AR17" s="3">
        <v>4429387</v>
      </c>
      <c r="AS17" s="3">
        <v>3351603</v>
      </c>
      <c r="AT17" s="3">
        <v>141882804</v>
      </c>
      <c r="AU17" s="3">
        <v>726490043</v>
      </c>
      <c r="AV17" s="3">
        <v>1187095603</v>
      </c>
      <c r="AW17" s="3">
        <v>713914907</v>
      </c>
      <c r="AX17" s="3">
        <v>485203444</v>
      </c>
      <c r="AY17" s="3">
        <v>25968510</v>
      </c>
      <c r="AZ17" s="3">
        <v>63043266</v>
      </c>
      <c r="BA17" s="3">
        <v>151512123</v>
      </c>
      <c r="BB17" s="3">
        <v>226337400</v>
      </c>
      <c r="BC17" s="3">
        <v>150994100</v>
      </c>
      <c r="BD17" s="3">
        <v>631128494</v>
      </c>
      <c r="BE17" s="3">
        <v>94918290</v>
      </c>
      <c r="BF17" s="3">
        <v>159925466</v>
      </c>
      <c r="BG17" s="3">
        <v>2388516</v>
      </c>
      <c r="BH17" s="3">
        <v>18112416</v>
      </c>
      <c r="BI17" s="3">
        <v>25019816</v>
      </c>
      <c r="BJ17" s="3">
        <v>367416</v>
      </c>
      <c r="BK17" s="3">
        <v>202767973</v>
      </c>
      <c r="BL17" s="3">
        <v>874147973</v>
      </c>
      <c r="BM17" s="525">
        <v>1145197973</v>
      </c>
      <c r="BN17" s="525">
        <v>2097017973</v>
      </c>
      <c r="BO17" s="525">
        <v>369817973</v>
      </c>
      <c r="BP17" s="3">
        <v>284717973</v>
      </c>
      <c r="BQ17" s="3">
        <v>263317973</v>
      </c>
      <c r="BR17" s="3"/>
      <c r="BS17" s="3"/>
      <c r="BT17" s="3"/>
      <c r="BU17" s="3"/>
      <c r="BV17" s="3"/>
      <c r="BW17" s="3"/>
    </row>
    <row r="18" spans="1:75" ht="15" customHeight="1" x14ac:dyDescent="0.25">
      <c r="A18" s="58">
        <v>15</v>
      </c>
      <c r="B18" s="63" t="s">
        <v>44</v>
      </c>
      <c r="C18" s="58">
        <v>7</v>
      </c>
      <c r="D18" s="3">
        <v>0</v>
      </c>
      <c r="E18" s="3">
        <v>0</v>
      </c>
      <c r="F18" s="3">
        <v>150000000</v>
      </c>
      <c r="G18" s="3">
        <v>58403979</v>
      </c>
      <c r="H18" s="3">
        <v>179070519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1840442</v>
      </c>
      <c r="Q18" s="3">
        <v>0</v>
      </c>
      <c r="R18" s="3">
        <v>0</v>
      </c>
      <c r="S18" s="3">
        <v>6060443</v>
      </c>
      <c r="T18" s="3">
        <v>12120885</v>
      </c>
      <c r="U18" s="3">
        <v>0</v>
      </c>
      <c r="V18" s="3">
        <v>0</v>
      </c>
      <c r="W18" s="3">
        <v>0</v>
      </c>
      <c r="X18" s="3">
        <v>0</v>
      </c>
      <c r="Y18" s="3">
        <v>623895895.36000013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/>
      <c r="BK18" s="3"/>
      <c r="BL18" s="3">
        <v>0</v>
      </c>
      <c r="BM18" s="525">
        <v>0</v>
      </c>
      <c r="BN18" s="525">
        <v>0</v>
      </c>
      <c r="BO18" s="525">
        <v>0</v>
      </c>
      <c r="BP18" s="3">
        <v>0</v>
      </c>
      <c r="BQ18" s="3">
        <v>0</v>
      </c>
      <c r="BR18" s="3"/>
      <c r="BS18" s="3"/>
      <c r="BT18" s="3"/>
      <c r="BU18" s="3"/>
      <c r="BV18" s="3"/>
      <c r="BW18" s="3"/>
    </row>
    <row r="19" spans="1:75" ht="15" customHeight="1" x14ac:dyDescent="0.25">
      <c r="A19" s="58">
        <v>16</v>
      </c>
      <c r="B19" s="63" t="s">
        <v>45</v>
      </c>
      <c r="C19" s="58">
        <v>7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/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/>
      <c r="BK19" s="3"/>
      <c r="BL19" s="3">
        <v>0</v>
      </c>
      <c r="BM19" s="525">
        <v>0</v>
      </c>
      <c r="BN19" s="525">
        <v>0</v>
      </c>
      <c r="BO19" s="525">
        <v>0</v>
      </c>
      <c r="BP19" s="3">
        <v>0</v>
      </c>
      <c r="BQ19" s="3">
        <v>0</v>
      </c>
      <c r="BR19" s="3"/>
      <c r="BS19" s="3"/>
      <c r="BT19" s="3"/>
      <c r="BU19" s="3"/>
      <c r="BV19" s="3"/>
      <c r="BW19" s="3"/>
    </row>
    <row r="20" spans="1:75" ht="15" customHeight="1" x14ac:dyDescent="0.25">
      <c r="A20" s="58">
        <v>17</v>
      </c>
      <c r="B20" s="63" t="s">
        <v>46</v>
      </c>
      <c r="C20" s="58">
        <v>7</v>
      </c>
      <c r="D20" s="3">
        <v>6000000000</v>
      </c>
      <c r="E20" s="3">
        <v>6000000000</v>
      </c>
      <c r="F20" s="3">
        <v>6000000000</v>
      </c>
      <c r="G20" s="3">
        <v>6000000000</v>
      </c>
      <c r="H20" s="3">
        <v>6000000000</v>
      </c>
      <c r="I20" s="3">
        <v>6000000000</v>
      </c>
      <c r="J20" s="3">
        <v>6000000000</v>
      </c>
      <c r="K20" s="3">
        <v>5000000000</v>
      </c>
      <c r="L20" s="3">
        <v>5000000000</v>
      </c>
      <c r="M20" s="3">
        <v>5000000000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/>
      <c r="Z20" s="3">
        <v>983817186</v>
      </c>
      <c r="AA20" s="3">
        <v>172184101</v>
      </c>
      <c r="AB20" s="3">
        <v>845110634</v>
      </c>
      <c r="AC20" s="3">
        <v>1247624076</v>
      </c>
      <c r="AD20" s="3">
        <v>511244109</v>
      </c>
      <c r="AE20" s="3">
        <v>184914455</v>
      </c>
      <c r="AF20" s="3">
        <v>21193185</v>
      </c>
      <c r="AG20" s="3">
        <v>65384342.140000001</v>
      </c>
      <c r="AH20" s="3">
        <v>0.14000000000000001</v>
      </c>
      <c r="AI20" s="3">
        <v>0.14000000000000001</v>
      </c>
      <c r="AJ20" s="3">
        <v>0</v>
      </c>
      <c r="AK20" s="3">
        <v>0</v>
      </c>
      <c r="AL20" s="3">
        <v>0</v>
      </c>
      <c r="AM20" s="3">
        <v>0</v>
      </c>
      <c r="AN20" s="3">
        <v>0.14000000000000001</v>
      </c>
      <c r="AO20" s="3">
        <v>0.14000000000000001</v>
      </c>
      <c r="AP20" s="3">
        <v>0</v>
      </c>
      <c r="AQ20" s="3">
        <v>0</v>
      </c>
      <c r="AR20" s="3">
        <v>265467827.748</v>
      </c>
      <c r="AS20" s="3">
        <v>227513851.748</v>
      </c>
      <c r="AT20" s="3">
        <v>317513851.51800001</v>
      </c>
      <c r="AU20" s="3">
        <v>218942410.51800001</v>
      </c>
      <c r="AV20" s="3">
        <v>128942410.51800001</v>
      </c>
      <c r="AW20" s="3">
        <v>0.51800000000000002</v>
      </c>
      <c r="AX20" s="3">
        <v>78634111.518000007</v>
      </c>
      <c r="AY20" s="3">
        <v>85000000</v>
      </c>
      <c r="AZ20" s="3">
        <v>85000000</v>
      </c>
      <c r="BA20" s="3">
        <v>90800000.518000007</v>
      </c>
      <c r="BB20" s="3">
        <v>90800000</v>
      </c>
      <c r="BC20" s="3">
        <v>286540000.51800001</v>
      </c>
      <c r="BD20" s="3">
        <v>296641565.51800001</v>
      </c>
      <c r="BE20" s="3">
        <v>287649258</v>
      </c>
      <c r="BF20" s="3">
        <v>286749258</v>
      </c>
      <c r="BG20" s="3">
        <v>287649258</v>
      </c>
      <c r="BH20" s="3">
        <v>283649258</v>
      </c>
      <c r="BI20" s="3">
        <v>283649258</v>
      </c>
      <c r="BJ20" s="3">
        <v>283649258</v>
      </c>
      <c r="BK20" s="3">
        <v>1034380785</v>
      </c>
      <c r="BL20" s="3">
        <v>1022660237</v>
      </c>
      <c r="BM20" s="525">
        <v>1026321881</v>
      </c>
      <c r="BN20" s="525">
        <v>1014630767</v>
      </c>
      <c r="BO20" s="525">
        <v>1026504767</v>
      </c>
      <c r="BP20" s="3">
        <v>2342229567</v>
      </c>
      <c r="BQ20" s="3">
        <v>1393437045</v>
      </c>
      <c r="BR20" s="3"/>
      <c r="BS20" s="3"/>
      <c r="BT20" s="3"/>
      <c r="BU20" s="3"/>
      <c r="BV20" s="3"/>
      <c r="BW20" s="3"/>
    </row>
    <row r="21" spans="1:75" ht="15" customHeight="1" x14ac:dyDescent="0.25">
      <c r="A21" s="58">
        <v>18</v>
      </c>
      <c r="B21" s="63" t="s">
        <v>47</v>
      </c>
      <c r="C21" s="58">
        <v>7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/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/>
      <c r="BI21" s="3">
        <v>0</v>
      </c>
      <c r="BJ21" s="3"/>
      <c r="BK21" s="3"/>
      <c r="BL21" s="3">
        <v>0</v>
      </c>
      <c r="BM21" s="525">
        <v>0</v>
      </c>
      <c r="BN21" s="525">
        <v>0</v>
      </c>
      <c r="BO21" s="525">
        <v>0</v>
      </c>
      <c r="BP21" s="3">
        <v>0</v>
      </c>
      <c r="BQ21" s="3">
        <v>0</v>
      </c>
      <c r="BR21" s="3"/>
      <c r="BS21" s="3"/>
      <c r="BT21" s="3"/>
      <c r="BU21" s="3"/>
      <c r="BV21" s="3"/>
      <c r="BW21" s="3"/>
    </row>
    <row r="22" spans="1:75" ht="15" customHeight="1" x14ac:dyDescent="0.25">
      <c r="A22" s="58">
        <v>19</v>
      </c>
      <c r="B22" s="64" t="s">
        <v>48</v>
      </c>
      <c r="C22" s="58">
        <v>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/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/>
      <c r="BI22" s="3">
        <v>0</v>
      </c>
      <c r="BJ22" s="3"/>
      <c r="BK22" s="3"/>
      <c r="BL22" s="3">
        <v>0</v>
      </c>
      <c r="BM22" s="525">
        <v>0</v>
      </c>
      <c r="BN22" s="525">
        <v>0</v>
      </c>
      <c r="BO22" s="525">
        <v>0</v>
      </c>
      <c r="BP22" s="3">
        <v>0</v>
      </c>
      <c r="BQ22" s="3">
        <v>0</v>
      </c>
      <c r="BR22" s="3"/>
      <c r="BS22" s="3"/>
      <c r="BT22" s="3"/>
      <c r="BU22" s="3"/>
      <c r="BV22" s="3"/>
      <c r="BW22" s="3"/>
    </row>
    <row r="23" spans="1:75" ht="15" customHeight="1" x14ac:dyDescent="0.25">
      <c r="A23" s="62">
        <v>20</v>
      </c>
      <c r="B23" s="57" t="s">
        <v>49</v>
      </c>
      <c r="C23" s="62">
        <v>7</v>
      </c>
      <c r="D23" s="5">
        <v>1439314423</v>
      </c>
      <c r="E23" s="5">
        <v>1190057917</v>
      </c>
      <c r="F23" s="5">
        <v>952867547</v>
      </c>
      <c r="G23" s="5">
        <v>943357214</v>
      </c>
      <c r="H23" s="5">
        <v>1323737900</v>
      </c>
      <c r="I23" s="5">
        <v>1572336611</v>
      </c>
      <c r="J23" s="5">
        <v>1636087329</v>
      </c>
      <c r="K23" s="5">
        <v>1636087329</v>
      </c>
      <c r="L23" s="5">
        <v>1636087329</v>
      </c>
      <c r="M23" s="5">
        <v>1857609129</v>
      </c>
      <c r="N23" s="5">
        <v>2653243743</v>
      </c>
      <c r="O23" s="5">
        <v>2384125121</v>
      </c>
      <c r="P23" s="5">
        <v>2615356218</v>
      </c>
      <c r="Q23" s="5">
        <v>2116457578</v>
      </c>
      <c r="R23" s="5">
        <v>1788771350</v>
      </c>
      <c r="S23" s="5">
        <v>1707318288</v>
      </c>
      <c r="T23" s="5">
        <v>2378742457</v>
      </c>
      <c r="U23" s="5">
        <v>2745266923</v>
      </c>
      <c r="V23" s="5">
        <v>5140735927</v>
      </c>
      <c r="W23" s="5">
        <v>5555463714</v>
      </c>
      <c r="X23" s="5">
        <v>4847168750</v>
      </c>
      <c r="Y23" s="5">
        <v>4783994436.6028166</v>
      </c>
      <c r="Z23" s="5">
        <v>5886004288</v>
      </c>
      <c r="AA23" s="5">
        <v>2514638300</v>
      </c>
      <c r="AB23" s="5">
        <v>3244492840</v>
      </c>
      <c r="AC23" s="5">
        <v>2793559288</v>
      </c>
      <c r="AD23" s="5">
        <v>3222752503</v>
      </c>
      <c r="AE23" s="5">
        <v>3446179520</v>
      </c>
      <c r="AF23" s="5">
        <v>2994433471</v>
      </c>
      <c r="AG23" s="5">
        <v>2181404588.8600001</v>
      </c>
      <c r="AH23" s="5">
        <v>1306645252.8599999</v>
      </c>
      <c r="AI23" s="5">
        <v>1430328054.8599999</v>
      </c>
      <c r="AJ23" s="5">
        <v>1885182762.8599999</v>
      </c>
      <c r="AK23" s="5">
        <v>3480456448.8600001</v>
      </c>
      <c r="AL23" s="5">
        <v>4748562400.8599997</v>
      </c>
      <c r="AM23" s="5">
        <v>4604306616.8599997</v>
      </c>
      <c r="AN23" s="5">
        <v>4969670757.8599997</v>
      </c>
      <c r="AO23" s="5">
        <v>4483113089.8599997</v>
      </c>
      <c r="AP23" s="5">
        <v>3342082436.8600001</v>
      </c>
      <c r="AQ23" s="5">
        <v>3207557289.882</v>
      </c>
      <c r="AR23" s="5">
        <v>1938187597.2520001</v>
      </c>
      <c r="AS23" s="5">
        <v>1606663091.2520001</v>
      </c>
      <c r="AT23" s="5">
        <v>1341187734.4820001</v>
      </c>
      <c r="AU23" s="5">
        <v>1123441746.4820001</v>
      </c>
      <c r="AV23" s="5">
        <v>2162328881.4819999</v>
      </c>
      <c r="AW23" s="5">
        <v>1806164367.4820001</v>
      </c>
      <c r="AX23" s="5">
        <v>1580750604.4820001</v>
      </c>
      <c r="AY23" s="6">
        <v>1582545526.4820001</v>
      </c>
      <c r="AZ23" s="6">
        <v>3331592584.4819999</v>
      </c>
      <c r="BA23" s="6">
        <v>5777204809.4820004</v>
      </c>
      <c r="BB23" s="6">
        <v>4210249772.4819999</v>
      </c>
      <c r="BC23" s="6">
        <v>3858495552.4819999</v>
      </c>
      <c r="BD23" s="6">
        <v>3377651510.4819999</v>
      </c>
      <c r="BE23" s="6">
        <v>4300173808.4820004</v>
      </c>
      <c r="BF23" s="6">
        <v>3756030085.4819999</v>
      </c>
      <c r="BG23" s="6">
        <v>3884529326.4819999</v>
      </c>
      <c r="BH23" s="6">
        <v>2009834444.4820001</v>
      </c>
      <c r="BI23" s="6">
        <v>1284373153.4820001</v>
      </c>
      <c r="BJ23" s="6">
        <v>1896233144.4820001</v>
      </c>
      <c r="BK23" s="6">
        <v>2740108395</v>
      </c>
      <c r="BL23" s="6">
        <v>5045758048</v>
      </c>
      <c r="BM23" s="527">
        <v>5339692894</v>
      </c>
      <c r="BN23" s="527">
        <v>6443059216</v>
      </c>
      <c r="BO23" s="527">
        <v>5582117443</v>
      </c>
      <c r="BP23" s="6">
        <v>8989031026</v>
      </c>
      <c r="BQ23" s="6">
        <v>13491156975</v>
      </c>
      <c r="BR23" s="6"/>
      <c r="BS23" s="6"/>
      <c r="BT23" s="6"/>
      <c r="BU23" s="6"/>
      <c r="BV23" s="6"/>
      <c r="BW23" s="6"/>
    </row>
    <row r="24" spans="1:75" ht="15" customHeight="1" x14ac:dyDescent="0.25">
      <c r="A24" s="58">
        <v>21</v>
      </c>
      <c r="B24" s="59" t="s">
        <v>322</v>
      </c>
      <c r="C24" s="58">
        <v>7</v>
      </c>
      <c r="D24" s="3">
        <v>1439314423</v>
      </c>
      <c r="E24" s="3">
        <v>1190057917</v>
      </c>
      <c r="F24" s="3">
        <v>952867547</v>
      </c>
      <c r="G24" s="3">
        <v>943357214</v>
      </c>
      <c r="H24" s="3">
        <v>1323737900</v>
      </c>
      <c r="I24" s="3">
        <v>1572336611</v>
      </c>
      <c r="J24" s="3">
        <v>1636087329</v>
      </c>
      <c r="K24" s="3">
        <v>1636087329</v>
      </c>
      <c r="L24" s="3">
        <v>1636087329</v>
      </c>
      <c r="M24" s="3">
        <v>1857609129</v>
      </c>
      <c r="N24" s="3">
        <v>2653243743</v>
      </c>
      <c r="O24" s="3">
        <v>2384125121</v>
      </c>
      <c r="P24" s="3">
        <v>2615356218</v>
      </c>
      <c r="Q24" s="3">
        <v>2116457578</v>
      </c>
      <c r="R24" s="3">
        <v>1788771350</v>
      </c>
      <c r="S24" s="3">
        <v>1707318288</v>
      </c>
      <c r="T24" s="3">
        <v>2378742457</v>
      </c>
      <c r="U24" s="3">
        <v>2745266923</v>
      </c>
      <c r="V24" s="3">
        <v>5140735927</v>
      </c>
      <c r="W24" s="3">
        <v>5555463714</v>
      </c>
      <c r="X24" s="3">
        <v>4847168750</v>
      </c>
      <c r="Y24" s="3">
        <v>4783994436.6028166</v>
      </c>
      <c r="Z24" s="3">
        <v>5886004288</v>
      </c>
      <c r="AA24" s="3">
        <v>2514638300</v>
      </c>
      <c r="AB24" s="3">
        <v>3244492840</v>
      </c>
      <c r="AC24" s="3">
        <v>2793559288</v>
      </c>
      <c r="AD24" s="3">
        <v>3222752503</v>
      </c>
      <c r="AE24" s="3">
        <v>3446179520</v>
      </c>
      <c r="AF24" s="3">
        <v>2994433471</v>
      </c>
      <c r="AG24" s="3">
        <v>2181404588.8600001</v>
      </c>
      <c r="AH24" s="3">
        <v>1306645252.8599999</v>
      </c>
      <c r="AI24" s="3">
        <v>1430328054.8599999</v>
      </c>
      <c r="AJ24" s="3">
        <v>1885182762.8599999</v>
      </c>
      <c r="AK24" s="3">
        <v>3480456448.8600001</v>
      </c>
      <c r="AL24" s="3">
        <v>4748562400.8599997</v>
      </c>
      <c r="AM24" s="3">
        <v>4604306616.8599997</v>
      </c>
      <c r="AN24" s="3">
        <v>4969670757.8599997</v>
      </c>
      <c r="AO24" s="3">
        <v>4483113089.8599997</v>
      </c>
      <c r="AP24" s="3">
        <v>3342082436.8600001</v>
      </c>
      <c r="AQ24" s="3">
        <v>3207557289.882</v>
      </c>
      <c r="AR24" s="3">
        <v>1938187597.2520001</v>
      </c>
      <c r="AS24" s="3">
        <v>1606663091.2520001</v>
      </c>
      <c r="AT24" s="3">
        <v>1341187734.4820001</v>
      </c>
      <c r="AU24" s="3">
        <v>1123441746.4820001</v>
      </c>
      <c r="AV24" s="3">
        <v>2162328881.4819999</v>
      </c>
      <c r="AW24" s="3">
        <v>1806164367.4820001</v>
      </c>
      <c r="AX24" s="3">
        <v>1580750604.4820001</v>
      </c>
      <c r="AY24" s="3">
        <v>1582545526.4820001</v>
      </c>
      <c r="AZ24" s="3">
        <v>3331592584</v>
      </c>
      <c r="BA24" s="3">
        <v>5777204809.4820004</v>
      </c>
      <c r="BB24" s="3">
        <v>4210249772.4819999</v>
      </c>
      <c r="BC24" s="3">
        <v>3858495552.4819999</v>
      </c>
      <c r="BD24" s="3">
        <v>3377651510.4819999</v>
      </c>
      <c r="BE24" s="3">
        <v>4300173808.4820004</v>
      </c>
      <c r="BF24" s="3">
        <v>3756030085.4819999</v>
      </c>
      <c r="BG24" s="3">
        <v>3884529326.4819999</v>
      </c>
      <c r="BH24" s="3">
        <v>2009834444.4820001</v>
      </c>
      <c r="BI24" s="3">
        <v>1284373153.4820001</v>
      </c>
      <c r="BJ24" s="3">
        <v>1896233144.4820001</v>
      </c>
      <c r="BK24" s="3">
        <v>2740108395</v>
      </c>
      <c r="BL24" s="3">
        <v>5045758048</v>
      </c>
      <c r="BM24" s="525">
        <v>5339692894</v>
      </c>
      <c r="BN24" s="525">
        <v>6443059216</v>
      </c>
      <c r="BO24" s="525">
        <v>5582117443</v>
      </c>
      <c r="BP24" s="3">
        <v>8989031026</v>
      </c>
      <c r="BQ24" s="3">
        <v>13491156975</v>
      </c>
      <c r="BR24" s="3"/>
      <c r="BS24" s="3"/>
      <c r="BT24" s="3"/>
      <c r="BU24" s="3"/>
      <c r="BV24" s="3"/>
      <c r="BW24" s="3"/>
    </row>
    <row r="25" spans="1:75" ht="15" customHeight="1" x14ac:dyDescent="0.25">
      <c r="A25" s="58">
        <v>22</v>
      </c>
      <c r="B25" s="59" t="s">
        <v>323</v>
      </c>
      <c r="C25" s="58">
        <v>7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/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/>
      <c r="BI25" s="3">
        <v>0</v>
      </c>
      <c r="BJ25" s="3"/>
      <c r="BK25" s="3"/>
      <c r="BL25" s="3">
        <v>0</v>
      </c>
      <c r="BM25" s="525">
        <v>0</v>
      </c>
      <c r="BN25" s="525">
        <v>0</v>
      </c>
      <c r="BO25" s="525">
        <v>0</v>
      </c>
      <c r="BP25" s="3">
        <v>0</v>
      </c>
      <c r="BQ25" s="3">
        <v>0</v>
      </c>
      <c r="BR25" s="3"/>
      <c r="BS25" s="3"/>
      <c r="BT25" s="3"/>
      <c r="BU25" s="3"/>
      <c r="BV25" s="3"/>
      <c r="BW25" s="3"/>
    </row>
    <row r="26" spans="1:75" ht="15" customHeight="1" x14ac:dyDescent="0.25">
      <c r="A26" s="62">
        <v>23</v>
      </c>
      <c r="B26" s="57" t="s">
        <v>52</v>
      </c>
      <c r="C26" s="62">
        <v>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0</v>
      </c>
      <c r="BM26" s="525">
        <v>0</v>
      </c>
      <c r="BN26" s="525">
        <v>0</v>
      </c>
      <c r="BO26" s="525">
        <v>0</v>
      </c>
      <c r="BP26" s="3">
        <v>0</v>
      </c>
      <c r="BQ26" s="3">
        <v>0</v>
      </c>
      <c r="BR26" s="3"/>
      <c r="BS26" s="3"/>
      <c r="BT26" s="3"/>
      <c r="BU26" s="3"/>
      <c r="BV26" s="3"/>
      <c r="BW26" s="3"/>
    </row>
    <row r="27" spans="1:75" ht="15" customHeight="1" x14ac:dyDescent="0.25">
      <c r="A27" s="58">
        <v>24</v>
      </c>
      <c r="B27" s="59" t="s">
        <v>53</v>
      </c>
      <c r="C27" s="58">
        <v>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0</v>
      </c>
      <c r="BM27" s="525">
        <v>0</v>
      </c>
      <c r="BN27" s="525">
        <v>0</v>
      </c>
      <c r="BO27" s="525">
        <v>0</v>
      </c>
      <c r="BP27" s="3">
        <v>0</v>
      </c>
      <c r="BQ27" s="3">
        <v>0</v>
      </c>
      <c r="BR27" s="3"/>
      <c r="BS27" s="3"/>
      <c r="BT27" s="3"/>
      <c r="BU27" s="3"/>
      <c r="BV27" s="3"/>
      <c r="BW27" s="3"/>
    </row>
    <row r="28" spans="1:75" ht="15" customHeight="1" x14ac:dyDescent="0.25">
      <c r="A28" s="58">
        <v>25</v>
      </c>
      <c r="B28" s="59" t="s">
        <v>54</v>
      </c>
      <c r="C28" s="58">
        <v>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>
        <v>0</v>
      </c>
      <c r="BM28" s="525">
        <v>0</v>
      </c>
      <c r="BN28" s="525">
        <v>0</v>
      </c>
      <c r="BO28" s="525">
        <v>0</v>
      </c>
      <c r="BP28" s="3">
        <v>0</v>
      </c>
      <c r="BQ28" s="3">
        <v>0</v>
      </c>
      <c r="BR28" s="3"/>
      <c r="BS28" s="3"/>
      <c r="BT28" s="3"/>
      <c r="BU28" s="3"/>
      <c r="BV28" s="3"/>
      <c r="BW28" s="3"/>
    </row>
    <row r="29" spans="1:75" ht="15" customHeight="1" x14ac:dyDescent="0.25">
      <c r="A29" s="58">
        <v>26</v>
      </c>
      <c r="B29" s="59" t="s">
        <v>55</v>
      </c>
      <c r="C29" s="58">
        <v>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>
        <v>0</v>
      </c>
      <c r="BM29" s="525">
        <v>0</v>
      </c>
      <c r="BN29" s="525">
        <v>0</v>
      </c>
      <c r="BO29" s="525">
        <v>0</v>
      </c>
      <c r="BP29" s="3">
        <v>0</v>
      </c>
      <c r="BQ29" s="3">
        <v>0</v>
      </c>
      <c r="BR29" s="3"/>
      <c r="BS29" s="3"/>
      <c r="BT29" s="3"/>
      <c r="BU29" s="3"/>
      <c r="BV29" s="3"/>
      <c r="BW29" s="3"/>
    </row>
    <row r="30" spans="1:75" ht="15" customHeight="1" x14ac:dyDescent="0.25">
      <c r="A30" s="62">
        <v>27</v>
      </c>
      <c r="B30" s="57" t="s">
        <v>56</v>
      </c>
      <c r="C30" s="62">
        <v>7</v>
      </c>
      <c r="D30" s="5">
        <v>433320000</v>
      </c>
      <c r="E30" s="5">
        <v>360295772</v>
      </c>
      <c r="F30" s="5">
        <v>253545001</v>
      </c>
      <c r="G30" s="5">
        <v>407772500</v>
      </c>
      <c r="H30" s="5">
        <v>454155100</v>
      </c>
      <c r="I30" s="5">
        <v>371380099</v>
      </c>
      <c r="J30" s="5">
        <v>358808134</v>
      </c>
      <c r="K30" s="5">
        <v>351415030</v>
      </c>
      <c r="L30" s="5">
        <v>344809727</v>
      </c>
      <c r="M30" s="5">
        <v>423604177</v>
      </c>
      <c r="N30" s="5">
        <v>441917938</v>
      </c>
      <c r="O30" s="5">
        <v>1031461347</v>
      </c>
      <c r="P30" s="5">
        <v>1107582390</v>
      </c>
      <c r="Q30" s="5">
        <v>1453575422</v>
      </c>
      <c r="R30" s="5">
        <v>1861260592</v>
      </c>
      <c r="S30" s="5">
        <v>1128157634</v>
      </c>
      <c r="T30" s="5">
        <v>1224229464</v>
      </c>
      <c r="U30" s="5">
        <v>1462641294</v>
      </c>
      <c r="V30" s="5">
        <v>1262160227</v>
      </c>
      <c r="W30" s="5">
        <v>2016994748</v>
      </c>
      <c r="X30" s="5">
        <v>1462882209</v>
      </c>
      <c r="Y30" s="5">
        <v>1065628433.8333331</v>
      </c>
      <c r="Z30" s="5">
        <v>486387227</v>
      </c>
      <c r="AA30" s="5">
        <v>295226950</v>
      </c>
      <c r="AB30" s="5">
        <v>254217802</v>
      </c>
      <c r="AC30" s="5">
        <v>447838051</v>
      </c>
      <c r="AD30" s="5">
        <v>407357167</v>
      </c>
      <c r="AE30" s="5">
        <v>434503500</v>
      </c>
      <c r="AF30" s="5">
        <v>344632825</v>
      </c>
      <c r="AG30" s="5">
        <v>246370394</v>
      </c>
      <c r="AH30" s="5">
        <v>246299913</v>
      </c>
      <c r="AI30" s="5">
        <v>272220748</v>
      </c>
      <c r="AJ30" s="5">
        <v>167767455</v>
      </c>
      <c r="AK30" s="5">
        <v>511743132</v>
      </c>
      <c r="AL30" s="5">
        <v>545727188</v>
      </c>
      <c r="AM30" s="5">
        <v>360357978</v>
      </c>
      <c r="AN30" s="5">
        <v>299393517</v>
      </c>
      <c r="AO30" s="5">
        <v>191233013</v>
      </c>
      <c r="AP30" s="5">
        <v>90481819</v>
      </c>
      <c r="AQ30" s="5">
        <v>72028029</v>
      </c>
      <c r="AR30" s="5">
        <v>277803828</v>
      </c>
      <c r="AS30" s="5">
        <v>158610482</v>
      </c>
      <c r="AT30" s="5">
        <v>132607945</v>
      </c>
      <c r="AU30" s="5">
        <v>487137262</v>
      </c>
      <c r="AV30" s="5">
        <v>469104805</v>
      </c>
      <c r="AW30" s="5">
        <v>530889860</v>
      </c>
      <c r="AX30" s="5">
        <v>585365982</v>
      </c>
      <c r="AY30" s="6">
        <v>1722790360</v>
      </c>
      <c r="AZ30" s="6">
        <v>1691602642</v>
      </c>
      <c r="BA30" s="6">
        <v>1598308325</v>
      </c>
      <c r="BB30" s="6">
        <v>1578647628</v>
      </c>
      <c r="BC30" s="6">
        <v>1640712130</v>
      </c>
      <c r="BD30" s="6">
        <v>1777831545</v>
      </c>
      <c r="BE30" s="6">
        <v>1787762600</v>
      </c>
      <c r="BF30" s="6">
        <v>1679209173</v>
      </c>
      <c r="BG30" s="6">
        <v>1559967977</v>
      </c>
      <c r="BH30" s="6">
        <v>1454153533</v>
      </c>
      <c r="BI30" s="6">
        <v>1414939090</v>
      </c>
      <c r="BJ30" s="6">
        <v>1383743384</v>
      </c>
      <c r="BK30" s="6">
        <v>1475506166</v>
      </c>
      <c r="BL30" s="6">
        <v>1325788415</v>
      </c>
      <c r="BM30" s="527">
        <v>1190418411</v>
      </c>
      <c r="BN30" s="527">
        <v>1078185515</v>
      </c>
      <c r="BO30" s="527">
        <v>982406447</v>
      </c>
      <c r="BP30" s="6">
        <v>892958604</v>
      </c>
      <c r="BQ30" s="6">
        <v>735053814</v>
      </c>
      <c r="BR30" s="6">
        <f t="shared" ref="BR30" si="0">+SUM(BR31:BR35)</f>
        <v>0</v>
      </c>
      <c r="BS30" s="6"/>
      <c r="BT30" s="6"/>
      <c r="BU30" s="6"/>
      <c r="BV30" s="6"/>
      <c r="BW30" s="6"/>
    </row>
    <row r="31" spans="1:75" ht="15" customHeight="1" x14ac:dyDescent="0.25">
      <c r="A31" s="58">
        <v>28</v>
      </c>
      <c r="B31" s="63" t="s">
        <v>57</v>
      </c>
      <c r="C31" s="58">
        <v>7</v>
      </c>
      <c r="D31" s="3">
        <v>187090000</v>
      </c>
      <c r="E31" s="3">
        <v>100317501</v>
      </c>
      <c r="F31" s="3">
        <v>13545001</v>
      </c>
      <c r="G31" s="3">
        <v>166772500</v>
      </c>
      <c r="H31" s="3">
        <v>145375000</v>
      </c>
      <c r="I31" s="3">
        <v>62599999</v>
      </c>
      <c r="J31" s="3">
        <v>55528034</v>
      </c>
      <c r="K31" s="3">
        <v>48922730</v>
      </c>
      <c r="L31" s="3">
        <v>42317427</v>
      </c>
      <c r="M31" s="3">
        <v>69459260</v>
      </c>
      <c r="N31" s="3">
        <v>61342408</v>
      </c>
      <c r="O31" s="3">
        <v>52220253</v>
      </c>
      <c r="P31" s="3">
        <v>216053250</v>
      </c>
      <c r="Q31" s="3">
        <v>219942333</v>
      </c>
      <c r="R31" s="3">
        <v>722198034</v>
      </c>
      <c r="S31" s="3">
        <v>639499909</v>
      </c>
      <c r="T31" s="3">
        <v>581264804</v>
      </c>
      <c r="U31" s="3">
        <v>570778148</v>
      </c>
      <c r="V31" s="3">
        <v>607674433</v>
      </c>
      <c r="W31" s="3">
        <v>598091010</v>
      </c>
      <c r="X31" s="3">
        <v>650499087</v>
      </c>
      <c r="Y31" s="3">
        <v>817419233.83333313</v>
      </c>
      <c r="Z31" s="3">
        <v>363378659</v>
      </c>
      <c r="AA31" s="3">
        <v>295226950</v>
      </c>
      <c r="AB31" s="3">
        <v>238600783</v>
      </c>
      <c r="AC31" s="3">
        <v>288177737</v>
      </c>
      <c r="AD31" s="3">
        <v>407357167</v>
      </c>
      <c r="AE31" s="3">
        <v>421151845</v>
      </c>
      <c r="AF31" s="3">
        <v>309244442</v>
      </c>
      <c r="AG31" s="3">
        <v>246370394</v>
      </c>
      <c r="AH31" s="3">
        <v>200982884</v>
      </c>
      <c r="AI31" s="3">
        <v>192391627</v>
      </c>
      <c r="AJ31" s="3">
        <v>167767455</v>
      </c>
      <c r="AK31" s="3">
        <v>457888290</v>
      </c>
      <c r="AL31" s="3">
        <v>479189801</v>
      </c>
      <c r="AM31" s="3">
        <v>360357978</v>
      </c>
      <c r="AN31" s="3">
        <v>299393517</v>
      </c>
      <c r="AO31" s="3">
        <v>191233013</v>
      </c>
      <c r="AP31" s="3">
        <v>90481819</v>
      </c>
      <c r="AQ31" s="3">
        <v>69458278</v>
      </c>
      <c r="AR31" s="3">
        <v>277803828</v>
      </c>
      <c r="AS31" s="3">
        <v>154935453</v>
      </c>
      <c r="AT31" s="3">
        <v>128927801</v>
      </c>
      <c r="AU31" s="3">
        <v>483512118</v>
      </c>
      <c r="AV31" s="3">
        <v>468668881</v>
      </c>
      <c r="AW31" s="3">
        <v>526861755</v>
      </c>
      <c r="AX31" s="3">
        <v>492490196</v>
      </c>
      <c r="AY31" s="3">
        <v>1722790360</v>
      </c>
      <c r="AZ31" s="3">
        <v>1691602642</v>
      </c>
      <c r="BA31" s="3">
        <v>1598308325</v>
      </c>
      <c r="BB31" s="3">
        <v>1578647628</v>
      </c>
      <c r="BC31" s="3">
        <v>1640712130</v>
      </c>
      <c r="BD31" s="3">
        <v>1777831545</v>
      </c>
      <c r="BE31" s="3">
        <v>1787762600</v>
      </c>
      <c r="BF31" s="3">
        <v>1667546915</v>
      </c>
      <c r="BG31" s="3">
        <v>1559967977</v>
      </c>
      <c r="BH31" s="3">
        <v>1454153533</v>
      </c>
      <c r="BI31" s="3">
        <v>1414939090</v>
      </c>
      <c r="BJ31" s="3">
        <v>1383743384</v>
      </c>
      <c r="BK31" s="3">
        <v>1475506166</v>
      </c>
      <c r="BL31" s="515">
        <v>1325788415</v>
      </c>
      <c r="BM31" s="525">
        <v>1190418411</v>
      </c>
      <c r="BN31" s="525">
        <v>1078185515</v>
      </c>
      <c r="BO31" s="525">
        <v>982406447</v>
      </c>
      <c r="BP31" s="3">
        <v>892958604</v>
      </c>
      <c r="BQ31" s="3">
        <v>735053814</v>
      </c>
      <c r="BR31" s="3"/>
      <c r="BS31" s="3"/>
      <c r="BT31" s="3"/>
      <c r="BU31" s="3"/>
      <c r="BV31" s="3"/>
      <c r="BW31" s="3"/>
    </row>
    <row r="32" spans="1:75" ht="15" customHeight="1" x14ac:dyDescent="0.25">
      <c r="A32" s="58">
        <v>29</v>
      </c>
      <c r="B32" s="63" t="s">
        <v>58</v>
      </c>
      <c r="C32" s="58">
        <v>7</v>
      </c>
      <c r="D32" s="3">
        <v>6230000</v>
      </c>
      <c r="E32" s="3">
        <v>19978271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16698517</v>
      </c>
      <c r="N32" s="3">
        <v>19561559</v>
      </c>
      <c r="O32" s="3">
        <v>0</v>
      </c>
      <c r="P32" s="3">
        <v>5677483</v>
      </c>
      <c r="Q32" s="3">
        <v>38333259</v>
      </c>
      <c r="R32" s="3">
        <v>33464148</v>
      </c>
      <c r="S32" s="3">
        <v>0</v>
      </c>
      <c r="T32" s="3">
        <v>9072710</v>
      </c>
      <c r="U32" s="3">
        <v>0</v>
      </c>
      <c r="V32" s="3">
        <v>8134367</v>
      </c>
      <c r="W32" s="3">
        <v>0</v>
      </c>
      <c r="X32" s="3">
        <v>0</v>
      </c>
      <c r="Y32" s="3">
        <v>8209200</v>
      </c>
      <c r="Z32" s="3">
        <v>123008568</v>
      </c>
      <c r="AA32" s="3">
        <v>0</v>
      </c>
      <c r="AB32" s="3">
        <v>15617019</v>
      </c>
      <c r="AC32" s="3">
        <v>159660314</v>
      </c>
      <c r="AD32" s="3">
        <v>0</v>
      </c>
      <c r="AE32" s="3">
        <v>13351655</v>
      </c>
      <c r="AF32" s="3">
        <v>35388383</v>
      </c>
      <c r="AG32" s="3">
        <v>0</v>
      </c>
      <c r="AH32" s="3">
        <v>45317029</v>
      </c>
      <c r="AI32" s="3">
        <v>79829121</v>
      </c>
      <c r="AJ32" s="3">
        <v>0</v>
      </c>
      <c r="AK32" s="3">
        <v>53854842</v>
      </c>
      <c r="AL32" s="3">
        <v>66537387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92875786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/>
      <c r="BI32" s="3">
        <v>0</v>
      </c>
      <c r="BJ32" s="3"/>
      <c r="BK32" s="3"/>
      <c r="BL32" s="3">
        <v>0</v>
      </c>
      <c r="BM32" s="525">
        <v>0</v>
      </c>
      <c r="BN32" s="525">
        <v>0</v>
      </c>
      <c r="BO32" s="525">
        <v>0</v>
      </c>
      <c r="BP32" s="3">
        <v>0</v>
      </c>
      <c r="BQ32" s="3">
        <v>0</v>
      </c>
      <c r="BR32" s="3"/>
      <c r="BS32" s="3"/>
      <c r="BT32" s="3"/>
      <c r="BU32" s="3"/>
      <c r="BV32" s="3"/>
      <c r="BW32" s="3"/>
    </row>
    <row r="33" spans="1:75" ht="15" customHeight="1" x14ac:dyDescent="0.25">
      <c r="A33" s="58">
        <v>30</v>
      </c>
      <c r="B33" s="63" t="s">
        <v>59</v>
      </c>
      <c r="C33" s="58">
        <v>7</v>
      </c>
      <c r="D33" s="3">
        <v>0</v>
      </c>
      <c r="E33" s="3">
        <v>0</v>
      </c>
      <c r="F33" s="3">
        <v>0</v>
      </c>
      <c r="G33" s="3">
        <v>1000000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/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2569751</v>
      </c>
      <c r="AR33" s="3">
        <v>0</v>
      </c>
      <c r="AS33" s="3">
        <v>3675029</v>
      </c>
      <c r="AT33" s="3">
        <v>3680144</v>
      </c>
      <c r="AU33" s="3">
        <v>3625144</v>
      </c>
      <c r="AV33" s="3">
        <v>435924</v>
      </c>
      <c r="AW33" s="3">
        <v>4028105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11662258</v>
      </c>
      <c r="BG33" s="3">
        <v>0</v>
      </c>
      <c r="BH33" s="3"/>
      <c r="BI33" s="3">
        <v>0</v>
      </c>
      <c r="BJ33" s="3"/>
      <c r="BK33" s="3"/>
      <c r="BL33" s="3">
        <v>0</v>
      </c>
      <c r="BM33" s="525">
        <v>0</v>
      </c>
      <c r="BN33" s="525">
        <v>0</v>
      </c>
      <c r="BO33" s="525">
        <v>0</v>
      </c>
      <c r="BP33" s="3">
        <v>0</v>
      </c>
      <c r="BQ33" s="3">
        <v>0</v>
      </c>
      <c r="BR33" s="3"/>
      <c r="BS33" s="3"/>
      <c r="BT33" s="3"/>
      <c r="BU33" s="3"/>
      <c r="BV33" s="3"/>
      <c r="BW33" s="3"/>
    </row>
    <row r="34" spans="1:75" ht="15" customHeight="1" x14ac:dyDescent="0.25">
      <c r="A34" s="58">
        <v>31</v>
      </c>
      <c r="B34" s="63" t="s">
        <v>60</v>
      </c>
      <c r="C34" s="58">
        <v>7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/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/>
      <c r="BI34" s="3">
        <v>0</v>
      </c>
      <c r="BJ34" s="3"/>
      <c r="BK34" s="3"/>
      <c r="BL34" s="3">
        <v>0</v>
      </c>
      <c r="BM34" s="525">
        <v>0</v>
      </c>
      <c r="BN34" s="525">
        <v>0</v>
      </c>
      <c r="BO34" s="525">
        <v>0</v>
      </c>
      <c r="BP34" s="3">
        <v>0</v>
      </c>
      <c r="BQ34" s="3">
        <v>0</v>
      </c>
      <c r="BR34" s="3"/>
      <c r="BS34" s="3"/>
      <c r="BT34" s="3"/>
      <c r="BU34" s="3"/>
      <c r="BV34" s="3"/>
      <c r="BW34" s="3"/>
    </row>
    <row r="35" spans="1:75" ht="15" customHeight="1" x14ac:dyDescent="0.25">
      <c r="A35" s="58">
        <v>32</v>
      </c>
      <c r="B35" s="63" t="s">
        <v>61</v>
      </c>
      <c r="C35" s="58">
        <v>7</v>
      </c>
      <c r="D35" s="3">
        <v>240000000</v>
      </c>
      <c r="E35" s="3">
        <v>240000000</v>
      </c>
      <c r="F35" s="3">
        <v>240000000</v>
      </c>
      <c r="G35" s="3">
        <v>240000000</v>
      </c>
      <c r="H35" s="3">
        <v>308780100</v>
      </c>
      <c r="I35" s="3">
        <v>308780100</v>
      </c>
      <c r="J35" s="3">
        <v>303280100</v>
      </c>
      <c r="K35" s="3">
        <v>302492300</v>
      </c>
      <c r="L35" s="3">
        <v>302492300</v>
      </c>
      <c r="M35" s="3">
        <v>337446400</v>
      </c>
      <c r="N35" s="3">
        <v>361013971</v>
      </c>
      <c r="O35" s="3">
        <v>979241094</v>
      </c>
      <c r="P35" s="3">
        <v>885851657</v>
      </c>
      <c r="Q35" s="3">
        <v>1195299830</v>
      </c>
      <c r="R35" s="3">
        <v>1105598410</v>
      </c>
      <c r="S35" s="3">
        <v>488657725</v>
      </c>
      <c r="T35" s="3">
        <v>633891950</v>
      </c>
      <c r="U35" s="3">
        <v>891863146</v>
      </c>
      <c r="V35" s="3">
        <v>646351427</v>
      </c>
      <c r="W35" s="3">
        <v>1418903738</v>
      </c>
      <c r="X35" s="3">
        <v>812383122</v>
      </c>
      <c r="Y35" s="3">
        <v>240000000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/>
      <c r="BI35" s="3">
        <v>0</v>
      </c>
      <c r="BJ35" s="3"/>
      <c r="BK35" s="3"/>
      <c r="BL35" s="3">
        <v>0</v>
      </c>
      <c r="BM35" s="525">
        <v>0</v>
      </c>
      <c r="BN35" s="525">
        <v>0</v>
      </c>
      <c r="BO35" s="525">
        <v>0</v>
      </c>
      <c r="BP35" s="3">
        <v>0</v>
      </c>
      <c r="BQ35" s="3">
        <v>0</v>
      </c>
      <c r="BR35" s="3"/>
      <c r="BS35" s="3"/>
      <c r="BT35" s="3"/>
      <c r="BU35" s="3"/>
      <c r="BV35" s="3"/>
      <c r="BW35" s="3"/>
    </row>
    <row r="36" spans="1:75" ht="14.25" x14ac:dyDescent="0.25">
      <c r="A36" s="65">
        <v>33</v>
      </c>
      <c r="B36" s="66" t="s">
        <v>324</v>
      </c>
      <c r="C36" s="65">
        <v>7</v>
      </c>
      <c r="D36" s="7">
        <v>0</v>
      </c>
      <c r="E36" s="7">
        <v>0</v>
      </c>
      <c r="F36" s="7">
        <v>265000000</v>
      </c>
      <c r="G36" s="7">
        <v>265000000</v>
      </c>
      <c r="H36" s="7">
        <v>265000000</v>
      </c>
      <c r="I36" s="7">
        <v>265000000</v>
      </c>
      <c r="J36" s="7">
        <v>265000000</v>
      </c>
      <c r="K36" s="7">
        <v>265000000</v>
      </c>
      <c r="L36" s="7">
        <v>265000000</v>
      </c>
      <c r="M36" s="7">
        <v>659237900</v>
      </c>
      <c r="N36" s="7">
        <v>719387901</v>
      </c>
      <c r="O36" s="7">
        <v>1717562001</v>
      </c>
      <c r="P36" s="7">
        <v>1452562001</v>
      </c>
      <c r="Q36" s="7">
        <v>1687751807</v>
      </c>
      <c r="R36" s="7">
        <v>2011777502</v>
      </c>
      <c r="S36" s="7">
        <v>1985803196</v>
      </c>
      <c r="T36" s="7">
        <v>1959828891</v>
      </c>
      <c r="U36" s="7">
        <v>3129285827</v>
      </c>
      <c r="V36" s="7">
        <v>3137466508</v>
      </c>
      <c r="W36" s="7">
        <v>4176912837</v>
      </c>
      <c r="X36" s="7">
        <v>4021529164</v>
      </c>
      <c r="Y36" s="7">
        <v>3971095493.2418628</v>
      </c>
      <c r="Z36" s="7">
        <v>4678853075</v>
      </c>
      <c r="AA36" s="7">
        <v>5086409190</v>
      </c>
      <c r="AB36" s="7">
        <v>5176534092</v>
      </c>
      <c r="AC36" s="7">
        <v>6266921548</v>
      </c>
      <c r="AD36" s="7">
        <v>6076230849</v>
      </c>
      <c r="AE36" s="7">
        <v>6086560150</v>
      </c>
      <c r="AF36" s="7">
        <v>5897143429</v>
      </c>
      <c r="AG36" s="7">
        <v>5761100199</v>
      </c>
      <c r="AH36" s="7">
        <v>5841880970</v>
      </c>
      <c r="AI36" s="7">
        <v>5659488576</v>
      </c>
      <c r="AJ36" s="7">
        <v>5466411547</v>
      </c>
      <c r="AK36" s="7">
        <v>5313699643</v>
      </c>
      <c r="AL36" s="7">
        <v>5401395448</v>
      </c>
      <c r="AM36" s="7">
        <v>5270307875</v>
      </c>
      <c r="AN36" s="7">
        <v>5404864897</v>
      </c>
      <c r="AO36" s="7">
        <v>5282551212</v>
      </c>
      <c r="AP36" s="7">
        <v>5160237527</v>
      </c>
      <c r="AQ36" s="7">
        <v>5331923842</v>
      </c>
      <c r="AR36" s="7">
        <v>5012929409</v>
      </c>
      <c r="AS36" s="7">
        <v>5784407447</v>
      </c>
      <c r="AT36" s="7">
        <v>5643479688</v>
      </c>
      <c r="AU36" s="7">
        <v>5419127516</v>
      </c>
      <c r="AV36" s="7">
        <v>5196017498</v>
      </c>
      <c r="AW36" s="7">
        <v>6384979984</v>
      </c>
      <c r="AX36" s="7">
        <v>7107420521</v>
      </c>
      <c r="AY36" s="8">
        <v>6850924337</v>
      </c>
      <c r="AZ36" s="8">
        <v>7267465926</v>
      </c>
      <c r="BA36" s="8">
        <v>7105911843</v>
      </c>
      <c r="BB36" s="8">
        <v>6944357760</v>
      </c>
      <c r="BC36" s="8">
        <v>7528970344</v>
      </c>
      <c r="BD36" s="8">
        <v>7284093676</v>
      </c>
      <c r="BE36" s="8">
        <v>7622529710</v>
      </c>
      <c r="BF36" s="8">
        <v>7598139347</v>
      </c>
      <c r="BG36" s="8">
        <v>7788793798</v>
      </c>
      <c r="BH36" s="8">
        <f>+BH37+BH44+BH63+BH69+BH76+BH66</f>
        <v>7672122570</v>
      </c>
      <c r="BI36" s="8">
        <v>7475390719</v>
      </c>
      <c r="BJ36" s="8">
        <f>+BJ37+BJ44+BJ63+BJ69+BJ76+BJ66+BJ54</f>
        <v>7334159795</v>
      </c>
      <c r="BK36" s="8">
        <v>6214386333</v>
      </c>
      <c r="BL36" s="8">
        <v>6404349557</v>
      </c>
      <c r="BM36" s="528">
        <v>6736765669</v>
      </c>
      <c r="BN36" s="528">
        <v>6487036178</v>
      </c>
      <c r="BO36" s="528">
        <v>7031152751</v>
      </c>
      <c r="BP36" s="8">
        <v>6901738911</v>
      </c>
      <c r="BQ36" s="8">
        <v>6680705635</v>
      </c>
      <c r="BR36" s="8"/>
      <c r="BS36" s="8"/>
      <c r="BT36" s="8"/>
      <c r="BU36" s="8"/>
      <c r="BV36" s="8"/>
      <c r="BW36" s="8"/>
    </row>
    <row r="37" spans="1:75" ht="15" customHeight="1" x14ac:dyDescent="0.25">
      <c r="A37" s="62">
        <v>34</v>
      </c>
      <c r="B37" s="57" t="s">
        <v>63</v>
      </c>
      <c r="C37" s="62">
        <v>7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240000000</v>
      </c>
      <c r="AA37" s="5">
        <v>240000000</v>
      </c>
      <c r="AB37" s="5">
        <v>240000000</v>
      </c>
      <c r="AC37" s="5">
        <v>240000000</v>
      </c>
      <c r="AD37" s="5">
        <v>240000000</v>
      </c>
      <c r="AE37" s="5">
        <v>240000000</v>
      </c>
      <c r="AF37" s="5">
        <v>240000000</v>
      </c>
      <c r="AG37" s="5">
        <v>240000000</v>
      </c>
      <c r="AH37" s="5">
        <v>240000000</v>
      </c>
      <c r="AI37" s="5">
        <v>240000000</v>
      </c>
      <c r="AJ37" s="5">
        <v>240000000</v>
      </c>
      <c r="AK37" s="5">
        <v>240000000</v>
      </c>
      <c r="AL37" s="5">
        <v>240000000</v>
      </c>
      <c r="AM37" s="5">
        <v>240000000</v>
      </c>
      <c r="AN37" s="5">
        <v>240000000</v>
      </c>
      <c r="AO37" s="5">
        <v>240000000</v>
      </c>
      <c r="AP37" s="5">
        <v>240000000</v>
      </c>
      <c r="AQ37" s="5">
        <v>240000000</v>
      </c>
      <c r="AR37" s="5">
        <v>240000000</v>
      </c>
      <c r="AS37" s="5">
        <v>1140000000</v>
      </c>
      <c r="AT37" s="5">
        <v>930823092</v>
      </c>
      <c r="AU37" s="5">
        <v>930823092</v>
      </c>
      <c r="AV37" s="5">
        <v>930823092</v>
      </c>
      <c r="AW37" s="5">
        <v>930823092</v>
      </c>
      <c r="AX37" s="5">
        <v>930823092</v>
      </c>
      <c r="AY37" s="6">
        <v>930823092</v>
      </c>
      <c r="AZ37" s="6">
        <v>930823092</v>
      </c>
      <c r="BA37" s="6">
        <v>930823092</v>
      </c>
      <c r="BB37" s="6">
        <v>930823092</v>
      </c>
      <c r="BC37" s="6">
        <v>930823092</v>
      </c>
      <c r="BD37" s="6">
        <v>930823092</v>
      </c>
      <c r="BE37" s="6">
        <v>930823092</v>
      </c>
      <c r="BF37" s="6">
        <v>930823092</v>
      </c>
      <c r="BG37" s="6">
        <v>930823092</v>
      </c>
      <c r="BH37" s="6">
        <v>930823092</v>
      </c>
      <c r="BI37" s="6">
        <v>930823092</v>
      </c>
      <c r="BJ37" s="6">
        <v>930823092</v>
      </c>
      <c r="BK37" s="6"/>
      <c r="BL37" s="6">
        <v>0</v>
      </c>
      <c r="BM37" s="527">
        <v>0</v>
      </c>
      <c r="BN37" s="527">
        <v>0</v>
      </c>
      <c r="BO37" s="527">
        <v>0</v>
      </c>
      <c r="BP37" s="6">
        <v>0</v>
      </c>
      <c r="BQ37" s="6">
        <v>0</v>
      </c>
      <c r="BR37" s="6"/>
      <c r="BS37" s="6"/>
      <c r="BT37" s="6"/>
      <c r="BU37" s="6"/>
      <c r="BV37" s="6"/>
      <c r="BW37" s="6"/>
    </row>
    <row r="38" spans="1:75" ht="15" customHeight="1" x14ac:dyDescent="0.25">
      <c r="A38" s="58">
        <v>35</v>
      </c>
      <c r="B38" s="59" t="s">
        <v>64</v>
      </c>
      <c r="C38" s="58">
        <v>7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/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/>
      <c r="BI38" s="3">
        <v>0</v>
      </c>
      <c r="BJ38" s="3"/>
      <c r="BK38" s="3"/>
      <c r="BL38" s="3">
        <v>0</v>
      </c>
      <c r="BM38" s="525">
        <v>0</v>
      </c>
      <c r="BN38" s="525">
        <v>0</v>
      </c>
      <c r="BO38" s="525">
        <v>0</v>
      </c>
      <c r="BP38" s="3">
        <v>0</v>
      </c>
      <c r="BQ38" s="3">
        <v>0</v>
      </c>
      <c r="BR38" s="3"/>
      <c r="BS38" s="3"/>
      <c r="BT38" s="3"/>
      <c r="BU38" s="3"/>
      <c r="BV38" s="3"/>
      <c r="BW38" s="3"/>
    </row>
    <row r="39" spans="1:75" ht="15" customHeight="1" x14ac:dyDescent="0.25">
      <c r="A39" s="58">
        <v>36</v>
      </c>
      <c r="B39" s="59" t="s">
        <v>65</v>
      </c>
      <c r="C39" s="58">
        <v>7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/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/>
      <c r="BI39" s="3">
        <v>0</v>
      </c>
      <c r="BJ39" s="3"/>
      <c r="BK39" s="3"/>
      <c r="BL39" s="3">
        <v>0</v>
      </c>
      <c r="BM39" s="525">
        <v>0</v>
      </c>
      <c r="BN39" s="525">
        <v>0</v>
      </c>
      <c r="BO39" s="525">
        <v>0</v>
      </c>
      <c r="BP39" s="3">
        <v>0</v>
      </c>
      <c r="BQ39" s="3">
        <v>0</v>
      </c>
      <c r="BR39" s="3"/>
      <c r="BS39" s="3"/>
      <c r="BT39" s="3"/>
      <c r="BU39" s="3"/>
      <c r="BV39" s="3"/>
      <c r="BW39" s="3"/>
    </row>
    <row r="40" spans="1:75" ht="15" customHeight="1" x14ac:dyDescent="0.25">
      <c r="A40" s="58">
        <v>37</v>
      </c>
      <c r="B40" s="59" t="s">
        <v>66</v>
      </c>
      <c r="C40" s="58">
        <v>7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/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/>
      <c r="BI40" s="3">
        <v>0</v>
      </c>
      <c r="BJ40" s="3"/>
      <c r="BK40" s="3"/>
      <c r="BL40" s="3">
        <v>0</v>
      </c>
      <c r="BM40" s="525">
        <v>0</v>
      </c>
      <c r="BN40" s="525">
        <v>0</v>
      </c>
      <c r="BO40" s="525">
        <v>0</v>
      </c>
      <c r="BP40" s="3">
        <v>0</v>
      </c>
      <c r="BQ40" s="3">
        <v>0</v>
      </c>
      <c r="BR40" s="3"/>
      <c r="BS40" s="3"/>
      <c r="BT40" s="3"/>
      <c r="BU40" s="3"/>
      <c r="BV40" s="3"/>
      <c r="BW40" s="3"/>
    </row>
    <row r="41" spans="1:75" ht="15" customHeight="1" x14ac:dyDescent="0.25">
      <c r="A41" s="58">
        <v>38</v>
      </c>
      <c r="B41" s="59" t="s">
        <v>67</v>
      </c>
      <c r="C41" s="58">
        <v>7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/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/>
      <c r="BI41" s="3">
        <v>0</v>
      </c>
      <c r="BJ41" s="3"/>
      <c r="BK41" s="3"/>
      <c r="BL41" s="3">
        <v>0</v>
      </c>
      <c r="BM41" s="525">
        <v>0</v>
      </c>
      <c r="BN41" s="525">
        <v>0</v>
      </c>
      <c r="BO41" s="525">
        <v>0</v>
      </c>
      <c r="BP41" s="3">
        <v>0</v>
      </c>
      <c r="BQ41" s="3">
        <v>0</v>
      </c>
      <c r="BR41" s="3"/>
      <c r="BS41" s="3"/>
      <c r="BT41" s="3"/>
      <c r="BU41" s="3"/>
      <c r="BV41" s="3"/>
      <c r="BW41" s="3"/>
    </row>
    <row r="42" spans="1:75" ht="15" customHeight="1" x14ac:dyDescent="0.25">
      <c r="A42" s="58">
        <v>39</v>
      </c>
      <c r="B42" s="59" t="s">
        <v>68</v>
      </c>
      <c r="C42" s="58">
        <v>7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/>
      <c r="Z42" s="3">
        <v>240000000</v>
      </c>
      <c r="AA42" s="3">
        <v>240000000</v>
      </c>
      <c r="AB42" s="3">
        <v>240000000</v>
      </c>
      <c r="AC42" s="3">
        <v>240000000</v>
      </c>
      <c r="AD42" s="3">
        <v>240000000</v>
      </c>
      <c r="AE42" s="3">
        <v>240000000</v>
      </c>
      <c r="AF42" s="3">
        <v>240000000</v>
      </c>
      <c r="AG42" s="3">
        <v>240000000</v>
      </c>
      <c r="AH42" s="3">
        <v>240000000</v>
      </c>
      <c r="AI42" s="3">
        <v>240000000</v>
      </c>
      <c r="AJ42" s="3">
        <v>240000000</v>
      </c>
      <c r="AK42" s="3">
        <v>240000000</v>
      </c>
      <c r="AL42" s="3">
        <v>240000000</v>
      </c>
      <c r="AM42" s="3">
        <v>240000000</v>
      </c>
      <c r="AN42" s="3">
        <v>240000000</v>
      </c>
      <c r="AO42" s="3">
        <v>240000000</v>
      </c>
      <c r="AP42" s="3">
        <v>240000000</v>
      </c>
      <c r="AQ42" s="3">
        <v>240000000</v>
      </c>
      <c r="AR42" s="3">
        <v>240000000</v>
      </c>
      <c r="AS42" s="3">
        <v>1140000000</v>
      </c>
      <c r="AT42" s="3">
        <v>930823092</v>
      </c>
      <c r="AU42" s="3">
        <v>930823092</v>
      </c>
      <c r="AV42" s="3">
        <v>930823092</v>
      </c>
      <c r="AW42" s="3">
        <v>930823092</v>
      </c>
      <c r="AX42" s="3">
        <v>930823092</v>
      </c>
      <c r="AY42" s="3">
        <v>930823092</v>
      </c>
      <c r="AZ42" s="3">
        <v>930823092</v>
      </c>
      <c r="BA42" s="3">
        <v>930823092</v>
      </c>
      <c r="BB42" s="3">
        <v>930823092</v>
      </c>
      <c r="BC42" s="3">
        <v>930823092</v>
      </c>
      <c r="BD42" s="3">
        <v>930823092</v>
      </c>
      <c r="BE42" s="3">
        <v>930823092</v>
      </c>
      <c r="BF42" s="3">
        <v>930823092</v>
      </c>
      <c r="BG42" s="3">
        <v>930823092</v>
      </c>
      <c r="BH42" s="3">
        <v>930823092</v>
      </c>
      <c r="BI42" s="3">
        <v>930823092</v>
      </c>
      <c r="BJ42" s="3">
        <v>930823092</v>
      </c>
      <c r="BK42" s="3"/>
      <c r="BL42" s="3">
        <v>0</v>
      </c>
      <c r="BM42" s="525">
        <v>0</v>
      </c>
      <c r="BN42" s="525">
        <v>0</v>
      </c>
      <c r="BO42" s="525">
        <v>0</v>
      </c>
      <c r="BP42" s="3">
        <v>0</v>
      </c>
      <c r="BQ42" s="3">
        <v>0</v>
      </c>
      <c r="BR42" s="3"/>
      <c r="BS42" s="3"/>
      <c r="BT42" s="3"/>
      <c r="BU42" s="3"/>
      <c r="BV42" s="3"/>
      <c r="BW42" s="3"/>
    </row>
    <row r="43" spans="1:75" ht="15" customHeight="1" x14ac:dyDescent="0.25">
      <c r="A43" s="58">
        <v>40</v>
      </c>
      <c r="B43" s="59" t="s">
        <v>69</v>
      </c>
      <c r="C43" s="58">
        <v>7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/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/>
      <c r="BI43" s="3">
        <v>0</v>
      </c>
      <c r="BJ43" s="3"/>
      <c r="BK43" s="3"/>
      <c r="BL43" s="3">
        <v>0</v>
      </c>
      <c r="BM43" s="525">
        <v>0</v>
      </c>
      <c r="BN43" s="525">
        <v>0</v>
      </c>
      <c r="BO43" s="525">
        <v>0</v>
      </c>
      <c r="BP43" s="3">
        <v>0</v>
      </c>
      <c r="BQ43" s="3">
        <v>0</v>
      </c>
      <c r="BR43" s="3"/>
      <c r="BS43" s="3"/>
      <c r="BT43" s="3"/>
      <c r="BU43" s="3"/>
      <c r="BV43" s="3"/>
      <c r="BW43" s="3"/>
    </row>
    <row r="44" spans="1:75" ht="15" customHeight="1" x14ac:dyDescent="0.25">
      <c r="A44" s="62">
        <v>41</v>
      </c>
      <c r="B44" s="67" t="s">
        <v>325</v>
      </c>
      <c r="C44" s="62">
        <v>7</v>
      </c>
      <c r="D44" s="5">
        <v>0</v>
      </c>
      <c r="E44" s="5">
        <v>0</v>
      </c>
      <c r="F44" s="5">
        <v>265000000</v>
      </c>
      <c r="G44" s="5">
        <v>265000000</v>
      </c>
      <c r="H44" s="5">
        <v>265000000</v>
      </c>
      <c r="I44" s="5">
        <v>265000000</v>
      </c>
      <c r="J44" s="5">
        <v>265000000</v>
      </c>
      <c r="K44" s="5">
        <v>265000000</v>
      </c>
      <c r="L44" s="5">
        <v>265000000</v>
      </c>
      <c r="M44" s="5">
        <v>659237900</v>
      </c>
      <c r="N44" s="5">
        <v>719387901</v>
      </c>
      <c r="O44" s="5">
        <v>1717562001</v>
      </c>
      <c r="P44" s="5">
        <v>1452562001</v>
      </c>
      <c r="Q44" s="5">
        <v>1687751807</v>
      </c>
      <c r="R44" s="5">
        <v>2011777502</v>
      </c>
      <c r="S44" s="5">
        <v>1985803196</v>
      </c>
      <c r="T44" s="5">
        <v>1959828891</v>
      </c>
      <c r="U44" s="5">
        <v>3129285827</v>
      </c>
      <c r="V44" s="5">
        <v>3137466508</v>
      </c>
      <c r="W44" s="5">
        <v>4176912837</v>
      </c>
      <c r="X44" s="5">
        <v>4021529164</v>
      </c>
      <c r="Y44" s="5">
        <v>3971095493.2418628</v>
      </c>
      <c r="Z44" s="5">
        <v>4109899318</v>
      </c>
      <c r="AA44" s="5">
        <v>4729330416</v>
      </c>
      <c r="AB44" s="5">
        <v>4657670605</v>
      </c>
      <c r="AC44" s="5">
        <v>5847499794</v>
      </c>
      <c r="AD44" s="5">
        <v>5756250828</v>
      </c>
      <c r="AE44" s="5">
        <v>5591251862</v>
      </c>
      <c r="AF44" s="5">
        <v>5501252896</v>
      </c>
      <c r="AG44" s="5">
        <v>5411253930</v>
      </c>
      <c r="AH44" s="5">
        <v>5321254964</v>
      </c>
      <c r="AI44" s="5">
        <v>5231255998</v>
      </c>
      <c r="AJ44" s="5">
        <v>5141257032</v>
      </c>
      <c r="AK44" s="5">
        <v>5051258066</v>
      </c>
      <c r="AL44" s="5">
        <v>4961259100</v>
      </c>
      <c r="AM44" s="5">
        <v>4871260134</v>
      </c>
      <c r="AN44" s="5">
        <v>5024373398</v>
      </c>
      <c r="AO44" s="5">
        <v>4918203199</v>
      </c>
      <c r="AP44" s="5">
        <v>4812033000</v>
      </c>
      <c r="AQ44" s="5">
        <v>4705862801</v>
      </c>
      <c r="AR44" s="5">
        <v>4676181850</v>
      </c>
      <c r="AS44" s="5">
        <v>4563178318</v>
      </c>
      <c r="AT44" s="5">
        <v>4450174786</v>
      </c>
      <c r="AU44" s="5">
        <v>4337171254</v>
      </c>
      <c r="AV44" s="5">
        <v>4224167722</v>
      </c>
      <c r="AW44" s="5">
        <v>5409491509</v>
      </c>
      <c r="AX44" s="5">
        <v>6103258009</v>
      </c>
      <c r="AY44" s="6">
        <v>5789559137</v>
      </c>
      <c r="AZ44" s="6">
        <v>6214483511</v>
      </c>
      <c r="BA44" s="6">
        <v>6061312213</v>
      </c>
      <c r="BB44" s="6">
        <v>5908140915</v>
      </c>
      <c r="BC44" s="6">
        <v>6501136284</v>
      </c>
      <c r="BD44" s="6">
        <v>6264642401</v>
      </c>
      <c r="BE44" s="6">
        <v>6611423434</v>
      </c>
      <c r="BF44" s="6">
        <v>6433204467</v>
      </c>
      <c r="BG44" s="6">
        <v>6523318834</v>
      </c>
      <c r="BH44" s="6">
        <f>+BH45+BH51+BH48</f>
        <v>6346099867</v>
      </c>
      <c r="BI44" s="6">
        <v>6168880900</v>
      </c>
      <c r="BJ44" s="6">
        <v>5993504522</v>
      </c>
      <c r="BK44" s="6">
        <v>5818128147</v>
      </c>
      <c r="BL44" s="6">
        <v>5733223097</v>
      </c>
      <c r="BM44" s="527">
        <v>5549755860</v>
      </c>
      <c r="BN44" s="527">
        <v>5717544601</v>
      </c>
      <c r="BO44" s="527">
        <v>6235585716</v>
      </c>
      <c r="BP44" s="6">
        <v>6162816416</v>
      </c>
      <c r="BQ44" s="6">
        <v>6150391526</v>
      </c>
      <c r="BR44" s="6"/>
      <c r="BS44" s="6"/>
      <c r="BT44" s="6"/>
      <c r="BU44" s="6"/>
      <c r="BV44" s="6"/>
      <c r="BW44" s="6"/>
    </row>
    <row r="45" spans="1:75" ht="15" customHeight="1" x14ac:dyDescent="0.25">
      <c r="A45" s="62">
        <v>42</v>
      </c>
      <c r="B45" s="68" t="s">
        <v>326</v>
      </c>
      <c r="C45" s="62">
        <v>7</v>
      </c>
      <c r="D45" s="5">
        <v>0</v>
      </c>
      <c r="E45" s="5">
        <v>0</v>
      </c>
      <c r="F45" s="5">
        <v>265000000</v>
      </c>
      <c r="G45" s="5">
        <v>265000000</v>
      </c>
      <c r="H45" s="5">
        <v>265000000</v>
      </c>
      <c r="I45" s="5">
        <v>265000000</v>
      </c>
      <c r="J45" s="5">
        <v>265000000</v>
      </c>
      <c r="K45" s="5">
        <v>265000000</v>
      </c>
      <c r="L45" s="5">
        <v>265000000</v>
      </c>
      <c r="M45" s="5">
        <v>659237900</v>
      </c>
      <c r="N45" s="5">
        <v>719387901</v>
      </c>
      <c r="O45" s="5">
        <v>1717562001</v>
      </c>
      <c r="P45" s="5">
        <v>1452562001</v>
      </c>
      <c r="Q45" s="5">
        <v>1687751807</v>
      </c>
      <c r="R45" s="5">
        <v>2011777502</v>
      </c>
      <c r="S45" s="5">
        <v>1985803196</v>
      </c>
      <c r="T45" s="5">
        <v>1959828891</v>
      </c>
      <c r="U45" s="5">
        <v>2929285827</v>
      </c>
      <c r="V45" s="5">
        <v>2891132508</v>
      </c>
      <c r="W45" s="5">
        <v>3956912837</v>
      </c>
      <c r="X45" s="5">
        <v>4021529164</v>
      </c>
      <c r="Y45" s="5">
        <v>3971095493.2418628</v>
      </c>
      <c r="Z45" s="5">
        <v>4427649992</v>
      </c>
      <c r="AA45" s="5">
        <v>5111020912</v>
      </c>
      <c r="AB45" s="5">
        <v>5103300923</v>
      </c>
      <c r="AC45" s="5">
        <v>6357069934</v>
      </c>
      <c r="AD45" s="5">
        <v>6349349945</v>
      </c>
      <c r="AE45" s="5">
        <v>6266629956</v>
      </c>
      <c r="AF45" s="5">
        <v>6258909967</v>
      </c>
      <c r="AG45" s="5">
        <v>6251189978</v>
      </c>
      <c r="AH45" s="5">
        <v>6243469989</v>
      </c>
      <c r="AI45" s="5">
        <v>6235750000</v>
      </c>
      <c r="AJ45" s="5">
        <v>6228030011</v>
      </c>
      <c r="AK45" s="5">
        <v>5432948562</v>
      </c>
      <c r="AL45" s="5">
        <v>5342949596</v>
      </c>
      <c r="AM45" s="5">
        <v>4871260134</v>
      </c>
      <c r="AN45" s="5">
        <v>5024373398</v>
      </c>
      <c r="AO45" s="5">
        <v>4918203199</v>
      </c>
      <c r="AP45" s="5">
        <v>4812033000</v>
      </c>
      <c r="AQ45" s="5">
        <v>4705862801</v>
      </c>
      <c r="AR45" s="5">
        <v>4676181850</v>
      </c>
      <c r="AS45" s="5">
        <v>4563178318</v>
      </c>
      <c r="AT45" s="5">
        <v>4450174786</v>
      </c>
      <c r="AU45" s="5">
        <v>4337171254</v>
      </c>
      <c r="AV45" s="5">
        <v>4224167722</v>
      </c>
      <c r="AW45" s="5">
        <v>5409491509</v>
      </c>
      <c r="AX45" s="5">
        <v>6103258009</v>
      </c>
      <c r="AY45" s="6">
        <v>5789559137</v>
      </c>
      <c r="AZ45" s="6">
        <v>6214483511</v>
      </c>
      <c r="BA45" s="6">
        <v>6061312213</v>
      </c>
      <c r="BB45" s="6">
        <v>5908140915</v>
      </c>
      <c r="BC45" s="6">
        <v>6501136284</v>
      </c>
      <c r="BD45" s="6">
        <v>6264642401</v>
      </c>
      <c r="BE45" s="6">
        <v>6611423434</v>
      </c>
      <c r="BF45" s="6">
        <v>6433204467</v>
      </c>
      <c r="BG45" s="6">
        <v>6523318834</v>
      </c>
      <c r="BH45" s="6">
        <f>+SUM(BH46:BH47)</f>
        <v>6346099867</v>
      </c>
      <c r="BI45" s="6">
        <v>6168880900</v>
      </c>
      <c r="BJ45" s="6">
        <v>5993504522</v>
      </c>
      <c r="BK45" s="6">
        <v>5818128147</v>
      </c>
      <c r="BL45" s="6">
        <v>5733223097</v>
      </c>
      <c r="BM45" s="527">
        <v>5549755860</v>
      </c>
      <c r="BN45" s="527">
        <v>5463221684</v>
      </c>
      <c r="BO45" s="527">
        <v>5983939883</v>
      </c>
      <c r="BP45" s="6">
        <v>5913847666</v>
      </c>
      <c r="BQ45" s="6">
        <v>5904099859</v>
      </c>
      <c r="BR45" s="6"/>
      <c r="BS45" s="6"/>
      <c r="BT45" s="6"/>
      <c r="BU45" s="6"/>
      <c r="BV45" s="6"/>
      <c r="BW45" s="6"/>
    </row>
    <row r="46" spans="1:75" ht="15" customHeight="1" x14ac:dyDescent="0.25">
      <c r="A46" s="58">
        <v>43</v>
      </c>
      <c r="B46" s="69" t="s">
        <v>327</v>
      </c>
      <c r="C46" s="58">
        <v>7</v>
      </c>
      <c r="D46" s="3">
        <v>0</v>
      </c>
      <c r="E46" s="3">
        <v>0</v>
      </c>
      <c r="F46" s="3">
        <v>265000000</v>
      </c>
      <c r="G46" s="3">
        <v>265000000</v>
      </c>
      <c r="H46" s="3">
        <v>265000000</v>
      </c>
      <c r="I46" s="3">
        <v>265000000</v>
      </c>
      <c r="J46" s="3">
        <v>265000000</v>
      </c>
      <c r="K46" s="3">
        <v>265000000</v>
      </c>
      <c r="L46" s="3">
        <v>265000000</v>
      </c>
      <c r="M46" s="3">
        <v>659237900</v>
      </c>
      <c r="N46" s="3">
        <v>719387901</v>
      </c>
      <c r="O46" s="3">
        <v>1717562001</v>
      </c>
      <c r="P46" s="3">
        <v>1452562001</v>
      </c>
      <c r="Q46" s="3">
        <v>1708865001</v>
      </c>
      <c r="R46" s="3">
        <v>2058865001</v>
      </c>
      <c r="S46" s="3">
        <v>2058865001</v>
      </c>
      <c r="T46" s="3">
        <v>2058865001</v>
      </c>
      <c r="U46" s="3">
        <v>3054296242</v>
      </c>
      <c r="V46" s="3">
        <v>3054296242</v>
      </c>
      <c r="W46" s="3">
        <v>4170510242</v>
      </c>
      <c r="X46" s="3">
        <v>4287510241</v>
      </c>
      <c r="Y46" s="3">
        <v>4287510241.6498318</v>
      </c>
      <c r="Z46" s="3">
        <v>4484160241</v>
      </c>
      <c r="AA46" s="3">
        <v>5150251150</v>
      </c>
      <c r="AB46" s="3">
        <v>5150251150</v>
      </c>
      <c r="AC46" s="3">
        <v>6411740150</v>
      </c>
      <c r="AD46" s="3">
        <v>6411740150</v>
      </c>
      <c r="AE46" s="3">
        <v>6336740150</v>
      </c>
      <c r="AF46" s="3">
        <v>6336740150</v>
      </c>
      <c r="AG46" s="3">
        <v>6336740150</v>
      </c>
      <c r="AH46" s="3">
        <v>6336740150</v>
      </c>
      <c r="AI46" s="3">
        <v>6336740150</v>
      </c>
      <c r="AJ46" s="3">
        <v>6336740150</v>
      </c>
      <c r="AK46" s="3">
        <v>6336740150</v>
      </c>
      <c r="AL46" s="3">
        <v>6336740150</v>
      </c>
      <c r="AM46" s="3">
        <v>6336740150</v>
      </c>
      <c r="AN46" s="3">
        <v>6596023613</v>
      </c>
      <c r="AO46" s="3">
        <v>6596023613</v>
      </c>
      <c r="AP46" s="3">
        <v>6596023613</v>
      </c>
      <c r="AQ46" s="3">
        <v>6596023613</v>
      </c>
      <c r="AR46" s="3">
        <v>6678023613</v>
      </c>
      <c r="AS46" s="3">
        <v>6678023613</v>
      </c>
      <c r="AT46" s="3">
        <v>6678023613</v>
      </c>
      <c r="AU46" s="3">
        <v>6678023613</v>
      </c>
      <c r="AV46" s="3">
        <v>6678023613</v>
      </c>
      <c r="AW46" s="3">
        <v>7991779896</v>
      </c>
      <c r="AX46" s="3">
        <v>8833316586</v>
      </c>
      <c r="AY46" s="3">
        <v>8663154084</v>
      </c>
      <c r="AZ46" s="3">
        <v>9241249756</v>
      </c>
      <c r="BA46" s="3">
        <v>9241249756</v>
      </c>
      <c r="BB46" s="3">
        <v>9241249756</v>
      </c>
      <c r="BC46" s="3">
        <v>10014249756</v>
      </c>
      <c r="BD46" s="3">
        <v>9936749756</v>
      </c>
      <c r="BE46" s="3">
        <v>10446249756</v>
      </c>
      <c r="BF46" s="3">
        <v>10446249756</v>
      </c>
      <c r="BG46" s="3">
        <v>10690249756</v>
      </c>
      <c r="BH46" s="3">
        <v>10690249756</v>
      </c>
      <c r="BI46" s="3">
        <v>10690249756</v>
      </c>
      <c r="BJ46" s="3">
        <v>10690249756</v>
      </c>
      <c r="BK46" s="3">
        <v>10690249756</v>
      </c>
      <c r="BL46" s="3">
        <v>10787997381</v>
      </c>
      <c r="BM46" s="525">
        <v>10787997381</v>
      </c>
      <c r="BN46" s="525">
        <v>10885745006</v>
      </c>
      <c r="BO46" s="525">
        <v>11590745006</v>
      </c>
      <c r="BP46" s="3">
        <v>11646875346</v>
      </c>
      <c r="BQ46" s="3">
        <v>11834875346</v>
      </c>
      <c r="BR46" s="3"/>
      <c r="BS46" s="3"/>
      <c r="BT46" s="3"/>
      <c r="BU46" s="3"/>
      <c r="BV46" s="3"/>
      <c r="BW46" s="3"/>
    </row>
    <row r="47" spans="1:75" ht="15" customHeight="1" x14ac:dyDescent="0.25">
      <c r="A47" s="58">
        <v>44</v>
      </c>
      <c r="B47" s="69" t="s">
        <v>328</v>
      </c>
      <c r="C47" s="58">
        <v>7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-21113194</v>
      </c>
      <c r="R47" s="3">
        <v>-47087499</v>
      </c>
      <c r="S47" s="3">
        <v>-73061805</v>
      </c>
      <c r="T47" s="3">
        <v>-99036110</v>
      </c>
      <c r="U47" s="3">
        <v>-125010415</v>
      </c>
      <c r="V47" s="3">
        <v>-163163734</v>
      </c>
      <c r="W47" s="3">
        <v>-213597405</v>
      </c>
      <c r="X47" s="3">
        <v>-265981077</v>
      </c>
      <c r="Y47" s="3">
        <v>-316414748.407969</v>
      </c>
      <c r="Z47" s="3">
        <v>-56510249</v>
      </c>
      <c r="AA47" s="3">
        <v>-39230238</v>
      </c>
      <c r="AB47" s="3">
        <v>-46950227</v>
      </c>
      <c r="AC47" s="3">
        <v>-54670216</v>
      </c>
      <c r="AD47" s="3">
        <v>-62390205</v>
      </c>
      <c r="AE47" s="3">
        <v>-70110194</v>
      </c>
      <c r="AF47" s="3">
        <v>-77830183</v>
      </c>
      <c r="AG47" s="3">
        <v>-85550172</v>
      </c>
      <c r="AH47" s="3">
        <v>-93270161</v>
      </c>
      <c r="AI47" s="3">
        <v>-100990150</v>
      </c>
      <c r="AJ47" s="3">
        <v>-108710139</v>
      </c>
      <c r="AK47" s="3">
        <v>-903791588</v>
      </c>
      <c r="AL47" s="3">
        <v>-993790554</v>
      </c>
      <c r="AM47" s="3">
        <v>-1465480016</v>
      </c>
      <c r="AN47" s="3">
        <v>-1571650215</v>
      </c>
      <c r="AO47" s="3">
        <v>-1677820414</v>
      </c>
      <c r="AP47" s="3">
        <v>-1783990613</v>
      </c>
      <c r="AQ47" s="3">
        <v>-1890160812</v>
      </c>
      <c r="AR47" s="3">
        <v>-2001841763</v>
      </c>
      <c r="AS47" s="3">
        <v>-2114845295</v>
      </c>
      <c r="AT47" s="3">
        <v>-2227848827</v>
      </c>
      <c r="AU47" s="3">
        <v>-2340852359</v>
      </c>
      <c r="AV47" s="3">
        <v>-2453855891</v>
      </c>
      <c r="AW47" s="3">
        <v>-2582288387</v>
      </c>
      <c r="AX47" s="3">
        <v>-2730058577</v>
      </c>
      <c r="AY47" s="3">
        <v>-2873594947</v>
      </c>
      <c r="AZ47" s="3">
        <v>-3026766245</v>
      </c>
      <c r="BA47" s="3">
        <v>-3179937543</v>
      </c>
      <c r="BB47" s="3">
        <v>-3333108841</v>
      </c>
      <c r="BC47" s="3">
        <v>-3513113472</v>
      </c>
      <c r="BD47" s="3">
        <v>-3672107355</v>
      </c>
      <c r="BE47" s="3">
        <v>-3834826322</v>
      </c>
      <c r="BF47" s="3">
        <v>-4013045289</v>
      </c>
      <c r="BG47" s="3">
        <v>-4166930922</v>
      </c>
      <c r="BH47" s="3">
        <v>-4344149889</v>
      </c>
      <c r="BI47" s="3">
        <v>-4521368856</v>
      </c>
      <c r="BJ47" s="3">
        <v>-4696745234</v>
      </c>
      <c r="BK47" s="3">
        <v>-4872121609</v>
      </c>
      <c r="BL47" s="3">
        <v>-5054774284</v>
      </c>
      <c r="BM47" s="529">
        <v>-5238241521</v>
      </c>
      <c r="BN47" s="529">
        <v>-5422523322</v>
      </c>
      <c r="BO47" s="529">
        <v>-5606805123</v>
      </c>
      <c r="BP47" s="3">
        <v>-5733027680</v>
      </c>
      <c r="BQ47" s="3">
        <v>-5930775487</v>
      </c>
      <c r="BR47" s="3"/>
      <c r="BS47" s="3"/>
      <c r="BT47" s="3"/>
      <c r="BU47" s="3"/>
      <c r="BV47" s="3"/>
      <c r="BW47" s="3"/>
    </row>
    <row r="48" spans="1:75" ht="15" customHeight="1" x14ac:dyDescent="0.25">
      <c r="A48" s="62">
        <v>45</v>
      </c>
      <c r="B48" s="68" t="s">
        <v>74</v>
      </c>
      <c r="C48" s="62">
        <v>7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/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6"/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/>
      <c r="BI48" s="6">
        <v>0</v>
      </c>
      <c r="BJ48" s="6"/>
      <c r="BK48" s="6"/>
      <c r="BL48" s="6">
        <v>0</v>
      </c>
      <c r="BM48" s="527">
        <v>0</v>
      </c>
      <c r="BN48" s="527">
        <v>0</v>
      </c>
      <c r="BO48" s="527">
        <v>0</v>
      </c>
      <c r="BP48" s="6">
        <v>0</v>
      </c>
      <c r="BQ48" s="6">
        <v>0</v>
      </c>
      <c r="BR48" s="6"/>
      <c r="BS48" s="6"/>
      <c r="BT48" s="6"/>
      <c r="BU48" s="6"/>
      <c r="BV48" s="6"/>
      <c r="BW48" s="6"/>
    </row>
    <row r="49" spans="1:75" ht="15" customHeight="1" x14ac:dyDescent="0.25">
      <c r="A49" s="58">
        <v>46</v>
      </c>
      <c r="B49" s="69" t="s">
        <v>329</v>
      </c>
      <c r="C49" s="58">
        <v>7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/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/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/>
      <c r="BG49" s="3">
        <v>0</v>
      </c>
      <c r="BH49" s="3"/>
      <c r="BI49" s="3">
        <v>0</v>
      </c>
      <c r="BJ49" s="3"/>
      <c r="BK49" s="3"/>
      <c r="BL49" s="3">
        <v>0</v>
      </c>
      <c r="BM49" s="525">
        <v>0</v>
      </c>
      <c r="BN49" s="525">
        <v>0</v>
      </c>
      <c r="BO49" s="525">
        <v>0</v>
      </c>
      <c r="BP49" s="3">
        <v>0</v>
      </c>
      <c r="BQ49" s="3">
        <v>0</v>
      </c>
      <c r="BR49" s="3"/>
      <c r="BS49" s="3"/>
      <c r="BT49" s="3"/>
      <c r="BU49" s="3"/>
      <c r="BV49" s="3"/>
      <c r="BW49" s="3"/>
    </row>
    <row r="50" spans="1:75" ht="15" customHeight="1" x14ac:dyDescent="0.25">
      <c r="A50" s="58">
        <v>47</v>
      </c>
      <c r="B50" s="69" t="s">
        <v>330</v>
      </c>
      <c r="C50" s="58">
        <v>7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/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/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/>
      <c r="BI50" s="3">
        <v>0</v>
      </c>
      <c r="BJ50" s="3"/>
      <c r="BK50" s="3"/>
      <c r="BL50" s="3">
        <v>0</v>
      </c>
      <c r="BM50" s="525">
        <v>0</v>
      </c>
      <c r="BN50" s="525">
        <v>0</v>
      </c>
      <c r="BO50" s="525">
        <v>0</v>
      </c>
      <c r="BP50" s="3">
        <v>0</v>
      </c>
      <c r="BQ50" s="3">
        <v>0</v>
      </c>
      <c r="BR50" s="3"/>
      <c r="BS50" s="3"/>
      <c r="BT50" s="3"/>
      <c r="BU50" s="3"/>
      <c r="BV50" s="3"/>
      <c r="BW50" s="3"/>
    </row>
    <row r="51" spans="1:75" ht="15" customHeight="1" x14ac:dyDescent="0.25">
      <c r="A51" s="62">
        <v>48</v>
      </c>
      <c r="B51" s="68" t="s">
        <v>75</v>
      </c>
      <c r="C51" s="62">
        <v>7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/>
      <c r="Z51" s="5">
        <v>-317750674</v>
      </c>
      <c r="AA51" s="5">
        <v>-381690496</v>
      </c>
      <c r="AB51" s="5">
        <v>-445630318</v>
      </c>
      <c r="AC51" s="5">
        <v>-509570140</v>
      </c>
      <c r="AD51" s="5">
        <v>-593099117</v>
      </c>
      <c r="AE51" s="5">
        <v>-675378094</v>
      </c>
      <c r="AF51" s="5">
        <v>-757657071</v>
      </c>
      <c r="AG51" s="5">
        <v>-839936048</v>
      </c>
      <c r="AH51" s="5">
        <v>-922215025</v>
      </c>
      <c r="AI51" s="5">
        <v>-1004494002</v>
      </c>
      <c r="AJ51" s="5">
        <v>-1086772979</v>
      </c>
      <c r="AK51" s="5">
        <v>-381690496</v>
      </c>
      <c r="AL51" s="5">
        <v>-381690496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6"/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f>+SUM(BH52:BH53)</f>
        <v>0</v>
      </c>
      <c r="BI51" s="6">
        <v>0</v>
      </c>
      <c r="BJ51" s="6">
        <v>0</v>
      </c>
      <c r="BK51" s="6">
        <v>0</v>
      </c>
      <c r="BL51" s="6">
        <v>0</v>
      </c>
      <c r="BM51" s="527">
        <v>0</v>
      </c>
      <c r="BN51" s="527">
        <v>254322917</v>
      </c>
      <c r="BO51" s="527">
        <v>251645833</v>
      </c>
      <c r="BP51" s="6">
        <v>248968750</v>
      </c>
      <c r="BQ51" s="6">
        <v>246291667</v>
      </c>
      <c r="BR51" s="6"/>
      <c r="BS51" s="6"/>
      <c r="BT51" s="6"/>
      <c r="BU51" s="6"/>
      <c r="BV51" s="6"/>
      <c r="BW51" s="6"/>
    </row>
    <row r="52" spans="1:75" ht="15" customHeight="1" x14ac:dyDescent="0.25">
      <c r="A52" s="58">
        <v>49</v>
      </c>
      <c r="B52" s="69" t="s">
        <v>331</v>
      </c>
      <c r="C52" s="58">
        <v>7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/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/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/>
      <c r="BI52" s="3">
        <v>0</v>
      </c>
      <c r="BJ52" s="3"/>
      <c r="BK52" s="3"/>
      <c r="BL52" s="3">
        <v>0</v>
      </c>
      <c r="BM52" s="525">
        <v>0</v>
      </c>
      <c r="BN52" s="525">
        <v>257000000</v>
      </c>
      <c r="BO52" s="525">
        <v>257000000</v>
      </c>
      <c r="BP52" s="3">
        <v>257000000</v>
      </c>
      <c r="BQ52" s="3">
        <v>257000000</v>
      </c>
      <c r="BR52" s="3"/>
      <c r="BS52" s="3"/>
      <c r="BT52" s="3"/>
      <c r="BU52" s="3"/>
      <c r="BV52" s="3"/>
      <c r="BW52" s="3"/>
    </row>
    <row r="53" spans="1:75" ht="15" customHeight="1" x14ac:dyDescent="0.25">
      <c r="A53" s="58">
        <v>50</v>
      </c>
      <c r="B53" s="69" t="s">
        <v>332</v>
      </c>
      <c r="C53" s="58">
        <v>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/>
      <c r="Z53" s="3">
        <v>-317750674</v>
      </c>
      <c r="AA53" s="3">
        <v>-381690496</v>
      </c>
      <c r="AB53" s="3">
        <v>-445630318</v>
      </c>
      <c r="AC53" s="3">
        <v>-509570140</v>
      </c>
      <c r="AD53" s="3">
        <v>-593099117</v>
      </c>
      <c r="AE53" s="3">
        <v>-675378094</v>
      </c>
      <c r="AF53" s="3">
        <v>-757657071</v>
      </c>
      <c r="AG53" s="3">
        <v>-839936048</v>
      </c>
      <c r="AH53" s="3">
        <v>-922215025</v>
      </c>
      <c r="AI53" s="3">
        <v>-1004494002</v>
      </c>
      <c r="AJ53" s="3">
        <v>-1086772979</v>
      </c>
      <c r="AK53" s="3">
        <v>-381690496</v>
      </c>
      <c r="AL53" s="3">
        <v>-381690496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/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/>
      <c r="BI53" s="3">
        <v>0</v>
      </c>
      <c r="BJ53" s="3"/>
      <c r="BK53" s="3"/>
      <c r="BL53" s="3">
        <v>0</v>
      </c>
      <c r="BM53" s="525">
        <v>0</v>
      </c>
      <c r="BN53" s="529">
        <v>-2677083</v>
      </c>
      <c r="BO53" s="529">
        <v>-5354167</v>
      </c>
      <c r="BP53" s="3">
        <v>-8031250</v>
      </c>
      <c r="BQ53" s="3">
        <v>-10708333</v>
      </c>
      <c r="BR53" s="3"/>
      <c r="BS53" s="3"/>
      <c r="BT53" s="3"/>
      <c r="BU53" s="3"/>
      <c r="BV53" s="3"/>
      <c r="BW53" s="3"/>
    </row>
    <row r="54" spans="1:75" ht="15" customHeight="1" x14ac:dyDescent="0.25">
      <c r="A54" s="62">
        <v>51</v>
      </c>
      <c r="B54" s="67" t="s">
        <v>333</v>
      </c>
      <c r="C54" s="62">
        <v>7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>
        <v>0</v>
      </c>
      <c r="BM54" s="525">
        <v>0</v>
      </c>
      <c r="BN54" s="525">
        <v>0</v>
      </c>
      <c r="BO54" s="525">
        <v>0</v>
      </c>
      <c r="BP54" s="3">
        <v>0</v>
      </c>
      <c r="BQ54" s="3">
        <v>0</v>
      </c>
      <c r="BR54" s="3"/>
      <c r="BS54" s="3"/>
      <c r="BT54" s="3"/>
      <c r="BU54" s="3"/>
      <c r="BV54" s="3"/>
      <c r="BW54" s="3"/>
    </row>
    <row r="55" spans="1:75" ht="15" customHeight="1" x14ac:dyDescent="0.25">
      <c r="A55" s="58">
        <v>52</v>
      </c>
      <c r="B55" s="70" t="s">
        <v>77</v>
      </c>
      <c r="C55" s="58">
        <v>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>
        <v>0</v>
      </c>
      <c r="BM55" s="525">
        <v>0</v>
      </c>
      <c r="BN55" s="525">
        <v>0</v>
      </c>
      <c r="BO55" s="525">
        <v>0</v>
      </c>
      <c r="BP55" s="3">
        <v>0</v>
      </c>
      <c r="BQ55" s="3">
        <v>0</v>
      </c>
      <c r="BR55" s="3"/>
      <c r="BS55" s="3"/>
      <c r="BT55" s="3"/>
      <c r="BU55" s="3"/>
      <c r="BV55" s="3"/>
      <c r="BW55" s="3"/>
    </row>
    <row r="56" spans="1:75" ht="15" customHeight="1" x14ac:dyDescent="0.25">
      <c r="A56" s="58">
        <v>53</v>
      </c>
      <c r="B56" s="69" t="s">
        <v>78</v>
      </c>
      <c r="C56" s="58">
        <v>7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>
        <v>0</v>
      </c>
      <c r="BM56" s="525">
        <v>0</v>
      </c>
      <c r="BN56" s="525">
        <v>0</v>
      </c>
      <c r="BO56" s="525">
        <v>0</v>
      </c>
      <c r="BP56" s="3">
        <v>0</v>
      </c>
      <c r="BQ56" s="3">
        <v>0</v>
      </c>
      <c r="BR56" s="3"/>
      <c r="BS56" s="3"/>
      <c r="BT56" s="3"/>
      <c r="BU56" s="3"/>
      <c r="BV56" s="3"/>
      <c r="BW56" s="3"/>
    </row>
    <row r="57" spans="1:75" ht="15" customHeight="1" x14ac:dyDescent="0.25">
      <c r="A57" s="58">
        <v>54</v>
      </c>
      <c r="B57" s="69" t="s">
        <v>79</v>
      </c>
      <c r="C57" s="58">
        <v>7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>
        <v>0</v>
      </c>
      <c r="BM57" s="525">
        <v>0</v>
      </c>
      <c r="BN57" s="525">
        <v>0</v>
      </c>
      <c r="BO57" s="525">
        <v>0</v>
      </c>
      <c r="BP57" s="3">
        <v>0</v>
      </c>
      <c r="BQ57" s="3">
        <v>0</v>
      </c>
      <c r="BR57" s="3"/>
      <c r="BS57" s="3"/>
      <c r="BT57" s="3"/>
      <c r="BU57" s="3"/>
      <c r="BV57" s="3"/>
      <c r="BW57" s="3"/>
    </row>
    <row r="58" spans="1:75" ht="15" customHeight="1" x14ac:dyDescent="0.25">
      <c r="A58" s="58">
        <v>55</v>
      </c>
      <c r="B58" s="71" t="s">
        <v>334</v>
      </c>
      <c r="C58" s="58">
        <v>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>
        <v>0</v>
      </c>
      <c r="BM58" s="525">
        <v>0</v>
      </c>
      <c r="BN58" s="525">
        <v>0</v>
      </c>
      <c r="BO58" s="525">
        <v>0</v>
      </c>
      <c r="BP58" s="3">
        <v>0</v>
      </c>
      <c r="BQ58" s="3">
        <v>0</v>
      </c>
      <c r="BR58" s="3"/>
      <c r="BS58" s="3"/>
      <c r="BT58" s="3"/>
      <c r="BU58" s="3"/>
      <c r="BV58" s="3"/>
      <c r="BW58" s="3"/>
    </row>
    <row r="59" spans="1:75" ht="15" customHeight="1" x14ac:dyDescent="0.25">
      <c r="A59" s="58">
        <v>56</v>
      </c>
      <c r="B59" s="71" t="s">
        <v>335</v>
      </c>
      <c r="C59" s="58">
        <v>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>
        <v>0</v>
      </c>
      <c r="BM59" s="525">
        <v>0</v>
      </c>
      <c r="BN59" s="525">
        <v>0</v>
      </c>
      <c r="BO59" s="525">
        <v>0</v>
      </c>
      <c r="BP59" s="3">
        <v>0</v>
      </c>
      <c r="BQ59" s="3">
        <v>0</v>
      </c>
      <c r="BR59" s="3"/>
      <c r="BS59" s="3"/>
      <c r="BT59" s="3"/>
      <c r="BU59" s="3"/>
      <c r="BV59" s="3"/>
      <c r="BW59" s="3"/>
    </row>
    <row r="60" spans="1:75" ht="15" customHeight="1" x14ac:dyDescent="0.25">
      <c r="A60" s="58">
        <v>57</v>
      </c>
      <c r="B60" s="70" t="s">
        <v>82</v>
      </c>
      <c r="C60" s="58">
        <v>7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>
        <v>0</v>
      </c>
      <c r="BM60" s="525">
        <v>0</v>
      </c>
      <c r="BN60" s="525">
        <v>0</v>
      </c>
      <c r="BO60" s="525">
        <v>0</v>
      </c>
      <c r="BP60" s="3">
        <v>0</v>
      </c>
      <c r="BQ60" s="3">
        <v>0</v>
      </c>
      <c r="BR60" s="3"/>
      <c r="BS60" s="3"/>
      <c r="BT60" s="3"/>
      <c r="BU60" s="3"/>
      <c r="BV60" s="3"/>
      <c r="BW60" s="3"/>
    </row>
    <row r="61" spans="1:75" ht="15" customHeight="1" x14ac:dyDescent="0.25">
      <c r="A61" s="58">
        <v>58</v>
      </c>
      <c r="B61" s="70" t="s">
        <v>83</v>
      </c>
      <c r="C61" s="58">
        <v>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>
        <v>0</v>
      </c>
      <c r="BM61" s="525">
        <v>0</v>
      </c>
      <c r="BN61" s="525">
        <v>0</v>
      </c>
      <c r="BO61" s="525">
        <v>0</v>
      </c>
      <c r="BP61" s="3">
        <v>0</v>
      </c>
      <c r="BQ61" s="3">
        <v>0</v>
      </c>
      <c r="BR61" s="3"/>
      <c r="BS61" s="3"/>
      <c r="BT61" s="3"/>
      <c r="BU61" s="3"/>
      <c r="BV61" s="3"/>
      <c r="BW61" s="3"/>
    </row>
    <row r="62" spans="1:75" ht="15" customHeight="1" x14ac:dyDescent="0.25">
      <c r="A62" s="58">
        <v>59</v>
      </c>
      <c r="B62" s="70" t="s">
        <v>84</v>
      </c>
      <c r="C62" s="58">
        <v>7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>
        <v>0</v>
      </c>
      <c r="BM62" s="525">
        <v>0</v>
      </c>
      <c r="BN62" s="525">
        <v>0</v>
      </c>
      <c r="BO62" s="525">
        <v>0</v>
      </c>
      <c r="BP62" s="3">
        <v>0</v>
      </c>
      <c r="BQ62" s="3">
        <v>0</v>
      </c>
      <c r="BR62" s="3"/>
      <c r="BS62" s="3"/>
      <c r="BT62" s="3"/>
      <c r="BU62" s="3"/>
      <c r="BV62" s="3"/>
      <c r="BW62" s="3"/>
    </row>
    <row r="63" spans="1:75" ht="15" customHeight="1" x14ac:dyDescent="0.25">
      <c r="A63" s="60">
        <v>60</v>
      </c>
      <c r="B63" s="67" t="s">
        <v>85</v>
      </c>
      <c r="C63" s="60">
        <v>7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/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/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/>
      <c r="BI63" s="4">
        <v>0</v>
      </c>
      <c r="BJ63" s="4"/>
      <c r="BK63" s="4"/>
      <c r="BL63" s="4">
        <v>0</v>
      </c>
      <c r="BM63" s="526">
        <v>0</v>
      </c>
      <c r="BN63" s="526">
        <v>0</v>
      </c>
      <c r="BO63" s="526">
        <v>0</v>
      </c>
      <c r="BP63" s="4">
        <v>0</v>
      </c>
      <c r="BQ63" s="4">
        <v>0</v>
      </c>
      <c r="BR63" s="4"/>
      <c r="BS63" s="4"/>
      <c r="BT63" s="4"/>
      <c r="BU63" s="4"/>
      <c r="BV63" s="4"/>
      <c r="BW63" s="4"/>
    </row>
    <row r="64" spans="1:75" ht="15" customHeight="1" x14ac:dyDescent="0.25">
      <c r="A64" s="58">
        <v>61</v>
      </c>
      <c r="B64" s="59" t="s">
        <v>336</v>
      </c>
      <c r="C64" s="58">
        <v>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/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/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/>
      <c r="BI64" s="3">
        <v>0</v>
      </c>
      <c r="BJ64" s="3"/>
      <c r="BK64" s="3"/>
      <c r="BL64" s="3">
        <v>0</v>
      </c>
      <c r="BM64" s="525">
        <v>0</v>
      </c>
      <c r="BN64" s="525">
        <v>0</v>
      </c>
      <c r="BO64" s="525">
        <v>0</v>
      </c>
      <c r="BP64" s="3">
        <v>0</v>
      </c>
      <c r="BQ64" s="3">
        <v>0</v>
      </c>
      <c r="BR64" s="3"/>
      <c r="BS64" s="3"/>
      <c r="BT64" s="3"/>
      <c r="BU64" s="3"/>
      <c r="BV64" s="3"/>
      <c r="BW64" s="3"/>
    </row>
    <row r="65" spans="1:75" ht="15" customHeight="1" x14ac:dyDescent="0.25">
      <c r="A65" s="58">
        <v>62</v>
      </c>
      <c r="B65" s="59" t="s">
        <v>337</v>
      </c>
      <c r="C65" s="58">
        <v>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/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/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/>
      <c r="BI65" s="3">
        <v>0</v>
      </c>
      <c r="BJ65" s="3"/>
      <c r="BK65" s="3"/>
      <c r="BL65" s="3">
        <v>0</v>
      </c>
      <c r="BM65" s="525">
        <v>0</v>
      </c>
      <c r="BN65" s="525">
        <v>0</v>
      </c>
      <c r="BO65" s="525">
        <v>0</v>
      </c>
      <c r="BP65" s="3">
        <v>0</v>
      </c>
      <c r="BQ65" s="3">
        <v>0</v>
      </c>
      <c r="BR65" s="3"/>
      <c r="BS65" s="3"/>
      <c r="BT65" s="3"/>
      <c r="BU65" s="3"/>
      <c r="BV65" s="3"/>
      <c r="BW65" s="3"/>
    </row>
    <row r="66" spans="1:75" ht="15" customHeight="1" x14ac:dyDescent="0.25">
      <c r="A66" s="62">
        <v>63</v>
      </c>
      <c r="B66" s="67" t="s">
        <v>338</v>
      </c>
      <c r="C66" s="62">
        <v>7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200000000</v>
      </c>
      <c r="V66" s="5">
        <v>246334000</v>
      </c>
      <c r="W66" s="5">
        <v>220000000</v>
      </c>
      <c r="X66" s="5">
        <v>0</v>
      </c>
      <c r="Y66" s="5"/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30781194</v>
      </c>
      <c r="AY66" s="6"/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/>
      <c r="BI66" s="6">
        <v>0</v>
      </c>
      <c r="BJ66" s="6"/>
      <c r="BK66" s="6"/>
      <c r="BL66" s="6">
        <v>310000000</v>
      </c>
      <c r="BM66" s="527">
        <v>455987297</v>
      </c>
      <c r="BN66" s="527">
        <v>101239672</v>
      </c>
      <c r="BO66" s="527">
        <v>119000000</v>
      </c>
      <c r="BP66" s="6">
        <v>148000000</v>
      </c>
      <c r="BQ66" s="6">
        <v>0</v>
      </c>
      <c r="BR66" s="6"/>
      <c r="BS66" s="6"/>
      <c r="BT66" s="6"/>
      <c r="BU66" s="6"/>
      <c r="BV66" s="6"/>
      <c r="BW66" s="6"/>
    </row>
    <row r="67" spans="1:75" ht="15" customHeight="1" x14ac:dyDescent="0.25">
      <c r="A67" s="58">
        <v>64</v>
      </c>
      <c r="B67" s="59" t="s">
        <v>88</v>
      </c>
      <c r="C67" s="58">
        <v>7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/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/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/>
      <c r="BI67" s="3">
        <v>0</v>
      </c>
      <c r="BJ67" s="3"/>
      <c r="BK67" s="3"/>
      <c r="BL67" s="3">
        <v>0</v>
      </c>
      <c r="BM67" s="525">
        <v>0</v>
      </c>
      <c r="BN67" s="525">
        <v>0</v>
      </c>
      <c r="BO67" s="525">
        <v>0</v>
      </c>
      <c r="BP67" s="3">
        <v>0</v>
      </c>
      <c r="BQ67" s="3">
        <v>0</v>
      </c>
      <c r="BR67" s="3"/>
      <c r="BS67" s="3"/>
      <c r="BT67" s="3"/>
      <c r="BU67" s="3"/>
      <c r="BV67" s="3"/>
      <c r="BW67" s="3"/>
    </row>
    <row r="68" spans="1:75" ht="15" customHeight="1" x14ac:dyDescent="0.25">
      <c r="A68" s="58">
        <v>65</v>
      </c>
      <c r="B68" s="59" t="s">
        <v>89</v>
      </c>
      <c r="C68" s="58">
        <v>7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200000000</v>
      </c>
      <c r="V68" s="3">
        <v>246334000</v>
      </c>
      <c r="W68" s="3">
        <v>220000000</v>
      </c>
      <c r="X68" s="3">
        <v>0</v>
      </c>
      <c r="Y68" s="3"/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30781194</v>
      </c>
      <c r="AY68" s="3"/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/>
      <c r="BI68" s="3">
        <v>0</v>
      </c>
      <c r="BJ68" s="3"/>
      <c r="BK68" s="3"/>
      <c r="BL68" s="3">
        <v>310000000</v>
      </c>
      <c r="BM68" s="525">
        <v>455987297</v>
      </c>
      <c r="BN68" s="525">
        <v>101239672</v>
      </c>
      <c r="BO68" s="525">
        <v>119000000</v>
      </c>
      <c r="BP68" s="3">
        <v>148000000</v>
      </c>
      <c r="BQ68" s="3">
        <v>0</v>
      </c>
      <c r="BR68" s="3"/>
      <c r="BS68" s="3"/>
      <c r="BT68" s="3"/>
      <c r="BU68" s="3"/>
      <c r="BV68" s="3"/>
      <c r="BW68" s="3"/>
    </row>
    <row r="69" spans="1:75" ht="15" customHeight="1" x14ac:dyDescent="0.25">
      <c r="A69" s="62">
        <v>66</v>
      </c>
      <c r="B69" s="72" t="s">
        <v>339</v>
      </c>
      <c r="C69" s="62">
        <v>7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/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/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/>
      <c r="BI69" s="5">
        <v>0</v>
      </c>
      <c r="BJ69" s="5"/>
      <c r="BK69" s="5"/>
      <c r="BL69" s="5">
        <v>0</v>
      </c>
      <c r="BM69" s="530">
        <v>0</v>
      </c>
      <c r="BN69" s="530">
        <v>0</v>
      </c>
      <c r="BO69" s="530">
        <v>0</v>
      </c>
      <c r="BP69" s="5">
        <v>0</v>
      </c>
      <c r="BQ69" s="5">
        <v>0</v>
      </c>
      <c r="BR69" s="5"/>
      <c r="BS69" s="5"/>
      <c r="BT69" s="5"/>
      <c r="BU69" s="5"/>
      <c r="BV69" s="5"/>
      <c r="BW69" s="5"/>
    </row>
    <row r="70" spans="1:75" ht="15" customHeight="1" x14ac:dyDescent="0.25">
      <c r="A70" s="58">
        <v>67</v>
      </c>
      <c r="B70" s="59" t="s">
        <v>91</v>
      </c>
      <c r="C70" s="58">
        <v>7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/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/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/>
      <c r="BI70" s="3">
        <v>0</v>
      </c>
      <c r="BJ70" s="3"/>
      <c r="BK70" s="3"/>
      <c r="BL70" s="3">
        <v>0</v>
      </c>
      <c r="BM70" s="525">
        <v>0</v>
      </c>
      <c r="BN70" s="525">
        <v>0</v>
      </c>
      <c r="BO70" s="525">
        <v>0</v>
      </c>
      <c r="BP70" s="3">
        <v>0</v>
      </c>
      <c r="BQ70" s="3">
        <v>0</v>
      </c>
      <c r="BR70" s="3"/>
      <c r="BS70" s="3"/>
      <c r="BT70" s="3"/>
      <c r="BU70" s="3"/>
      <c r="BV70" s="3"/>
      <c r="BW70" s="3"/>
    </row>
    <row r="71" spans="1:75" ht="15" customHeight="1" x14ac:dyDescent="0.25">
      <c r="A71" s="58">
        <v>68</v>
      </c>
      <c r="B71" s="59" t="s">
        <v>92</v>
      </c>
      <c r="C71" s="58">
        <v>7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/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/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/>
      <c r="BI71" s="3">
        <v>0</v>
      </c>
      <c r="BJ71" s="3"/>
      <c r="BK71" s="3"/>
      <c r="BL71" s="3">
        <v>0</v>
      </c>
      <c r="BM71" s="525">
        <v>0</v>
      </c>
      <c r="BN71" s="525">
        <v>0</v>
      </c>
      <c r="BO71" s="525">
        <v>0</v>
      </c>
      <c r="BP71" s="3">
        <v>0</v>
      </c>
      <c r="BQ71" s="3">
        <v>0</v>
      </c>
      <c r="BR71" s="3"/>
      <c r="BS71" s="3"/>
      <c r="BT71" s="3"/>
      <c r="BU71" s="3"/>
      <c r="BV71" s="3"/>
      <c r="BW71" s="3"/>
    </row>
    <row r="72" spans="1:75" ht="15" customHeight="1" x14ac:dyDescent="0.25">
      <c r="A72" s="58">
        <v>69</v>
      </c>
      <c r="B72" s="59" t="s">
        <v>93</v>
      </c>
      <c r="C72" s="58">
        <v>7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/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/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/>
      <c r="BI72" s="3">
        <v>0</v>
      </c>
      <c r="BJ72" s="3"/>
      <c r="BK72" s="3"/>
      <c r="BL72" s="3">
        <v>0</v>
      </c>
      <c r="BM72" s="525">
        <v>0</v>
      </c>
      <c r="BN72" s="525">
        <v>0</v>
      </c>
      <c r="BO72" s="525">
        <v>0</v>
      </c>
      <c r="BP72" s="3">
        <v>0</v>
      </c>
      <c r="BQ72" s="3">
        <v>0</v>
      </c>
      <c r="BR72" s="3"/>
      <c r="BS72" s="3"/>
      <c r="BT72" s="3"/>
      <c r="BU72" s="3"/>
      <c r="BV72" s="3"/>
      <c r="BW72" s="3"/>
    </row>
    <row r="73" spans="1:75" ht="15" customHeight="1" x14ac:dyDescent="0.25">
      <c r="A73" s="58">
        <v>70</v>
      </c>
      <c r="B73" s="59" t="s">
        <v>94</v>
      </c>
      <c r="C73" s="58">
        <v>7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/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/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/>
      <c r="BI73" s="3">
        <v>0</v>
      </c>
      <c r="BJ73" s="3"/>
      <c r="BK73" s="3"/>
      <c r="BL73" s="3">
        <v>0</v>
      </c>
      <c r="BM73" s="525">
        <v>0</v>
      </c>
      <c r="BN73" s="525">
        <v>0</v>
      </c>
      <c r="BO73" s="525">
        <v>0</v>
      </c>
      <c r="BP73" s="3">
        <v>0</v>
      </c>
      <c r="BQ73" s="3">
        <v>0</v>
      </c>
      <c r="BR73" s="3"/>
      <c r="BS73" s="3"/>
      <c r="BT73" s="3"/>
      <c r="BU73" s="3"/>
      <c r="BV73" s="3"/>
      <c r="BW73" s="3"/>
    </row>
    <row r="74" spans="1:75" ht="15" customHeight="1" x14ac:dyDescent="0.25">
      <c r="A74" s="58">
        <v>71</v>
      </c>
      <c r="B74" s="61" t="s">
        <v>95</v>
      </c>
      <c r="C74" s="58">
        <v>7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/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/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/>
      <c r="BI74" s="3">
        <v>0</v>
      </c>
      <c r="BJ74" s="3"/>
      <c r="BK74" s="3"/>
      <c r="BL74" s="3">
        <v>0</v>
      </c>
      <c r="BM74" s="525">
        <v>0</v>
      </c>
      <c r="BN74" s="525">
        <v>0</v>
      </c>
      <c r="BO74" s="525">
        <v>0</v>
      </c>
      <c r="BP74" s="3">
        <v>0</v>
      </c>
      <c r="BQ74" s="3">
        <v>0</v>
      </c>
      <c r="BR74" s="3"/>
      <c r="BS74" s="3"/>
      <c r="BT74" s="3"/>
      <c r="BU74" s="3"/>
      <c r="BV74" s="3"/>
      <c r="BW74" s="3"/>
    </row>
    <row r="75" spans="1:75" ht="15" customHeight="1" x14ac:dyDescent="0.25">
      <c r="A75" s="58">
        <v>72</v>
      </c>
      <c r="B75" s="61" t="s">
        <v>96</v>
      </c>
      <c r="C75" s="58">
        <v>7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>
        <v>0</v>
      </c>
      <c r="BM75" s="525">
        <v>0</v>
      </c>
      <c r="BN75" s="525">
        <v>0</v>
      </c>
      <c r="BO75" s="525">
        <v>0</v>
      </c>
      <c r="BP75" s="3">
        <v>0</v>
      </c>
      <c r="BQ75" s="3">
        <v>0</v>
      </c>
      <c r="BR75" s="3"/>
      <c r="BS75" s="3"/>
      <c r="BT75" s="3"/>
      <c r="BU75" s="3"/>
      <c r="BV75" s="3"/>
      <c r="BW75" s="3"/>
    </row>
    <row r="76" spans="1:75" s="74" customFormat="1" ht="15" customHeight="1" x14ac:dyDescent="0.3">
      <c r="A76" s="62">
        <v>73</v>
      </c>
      <c r="B76" s="73" t="s">
        <v>340</v>
      </c>
      <c r="C76" s="62">
        <v>7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/>
      <c r="Z76" s="5">
        <v>328953757</v>
      </c>
      <c r="AA76" s="5">
        <v>117078774</v>
      </c>
      <c r="AB76" s="5">
        <v>278863487</v>
      </c>
      <c r="AC76" s="5">
        <v>179421754</v>
      </c>
      <c r="AD76" s="5">
        <v>79980021</v>
      </c>
      <c r="AE76" s="5">
        <v>255308288</v>
      </c>
      <c r="AF76" s="5">
        <v>155890533</v>
      </c>
      <c r="AG76" s="5">
        <v>109846269</v>
      </c>
      <c r="AH76" s="5">
        <v>280626006</v>
      </c>
      <c r="AI76" s="5">
        <v>188232578</v>
      </c>
      <c r="AJ76" s="5">
        <v>85154515</v>
      </c>
      <c r="AK76" s="5">
        <v>22441577</v>
      </c>
      <c r="AL76" s="5">
        <v>200136348</v>
      </c>
      <c r="AM76" s="5">
        <v>159047741</v>
      </c>
      <c r="AN76" s="5">
        <v>140491499</v>
      </c>
      <c r="AO76" s="5">
        <v>124348013</v>
      </c>
      <c r="AP76" s="5">
        <v>108204527</v>
      </c>
      <c r="AQ76" s="5">
        <v>386061041</v>
      </c>
      <c r="AR76" s="5">
        <v>96747559</v>
      </c>
      <c r="AS76" s="5">
        <v>81229129</v>
      </c>
      <c r="AT76" s="5">
        <v>262481810</v>
      </c>
      <c r="AU76" s="5">
        <v>151133170</v>
      </c>
      <c r="AV76" s="5">
        <v>41026684</v>
      </c>
      <c r="AW76" s="5">
        <v>44665383</v>
      </c>
      <c r="AX76" s="5">
        <v>42558226</v>
      </c>
      <c r="AY76" s="6">
        <v>130542108</v>
      </c>
      <c r="AZ76" s="6">
        <v>122159323</v>
      </c>
      <c r="BA76" s="6">
        <v>113776538</v>
      </c>
      <c r="BB76" s="6">
        <v>105393753</v>
      </c>
      <c r="BC76" s="6">
        <v>97010968</v>
      </c>
      <c r="BD76" s="6">
        <v>88628183</v>
      </c>
      <c r="BE76" s="6">
        <v>80283184</v>
      </c>
      <c r="BF76" s="6">
        <v>234111788</v>
      </c>
      <c r="BG76" s="6">
        <v>334651872</v>
      </c>
      <c r="BH76" s="6">
        <v>395199611</v>
      </c>
      <c r="BI76" s="6">
        <v>375686727</v>
      </c>
      <c r="BJ76" s="6">
        <v>409832181</v>
      </c>
      <c r="BK76" s="6">
        <v>396258186</v>
      </c>
      <c r="BL76" s="6">
        <v>361126460</v>
      </c>
      <c r="BM76" s="527">
        <v>731022512</v>
      </c>
      <c r="BN76" s="527">
        <v>668251905</v>
      </c>
      <c r="BO76" s="527">
        <v>676567035</v>
      </c>
      <c r="BP76" s="6">
        <v>590922495</v>
      </c>
      <c r="BQ76" s="6">
        <v>530314109</v>
      </c>
      <c r="BR76" s="6"/>
      <c r="BS76" s="6"/>
      <c r="BT76" s="6"/>
      <c r="BU76" s="6"/>
      <c r="BV76" s="6"/>
      <c r="BW76" s="6"/>
    </row>
    <row r="77" spans="1:75" ht="15" customHeight="1" x14ac:dyDescent="0.25">
      <c r="A77" s="58">
        <v>74</v>
      </c>
      <c r="B77" s="63" t="s">
        <v>98</v>
      </c>
      <c r="C77" s="58">
        <v>7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/>
      <c r="Z77" s="3">
        <v>328953757</v>
      </c>
      <c r="AA77" s="3">
        <v>117078774</v>
      </c>
      <c r="AB77" s="3">
        <v>278863487</v>
      </c>
      <c r="AC77" s="3">
        <v>179421754</v>
      </c>
      <c r="AD77" s="3">
        <v>79980021</v>
      </c>
      <c r="AE77" s="3">
        <v>255308288</v>
      </c>
      <c r="AF77" s="3">
        <v>155890533</v>
      </c>
      <c r="AG77" s="3">
        <v>109846269</v>
      </c>
      <c r="AH77" s="3">
        <v>280626006</v>
      </c>
      <c r="AI77" s="3">
        <v>188232578</v>
      </c>
      <c r="AJ77" s="3">
        <v>85154515</v>
      </c>
      <c r="AK77" s="3">
        <v>22441577</v>
      </c>
      <c r="AL77" s="3">
        <v>200136348</v>
      </c>
      <c r="AM77" s="3">
        <v>159047741</v>
      </c>
      <c r="AN77" s="3">
        <v>140491499</v>
      </c>
      <c r="AO77" s="3">
        <v>124348013</v>
      </c>
      <c r="AP77" s="3">
        <v>108204527</v>
      </c>
      <c r="AQ77" s="3">
        <v>386061041</v>
      </c>
      <c r="AR77" s="3">
        <v>96747559</v>
      </c>
      <c r="AS77" s="3">
        <v>81229129</v>
      </c>
      <c r="AT77" s="3">
        <v>262481810</v>
      </c>
      <c r="AU77" s="3">
        <v>151133170</v>
      </c>
      <c r="AV77" s="3">
        <v>41026684</v>
      </c>
      <c r="AW77" s="3">
        <v>44665383</v>
      </c>
      <c r="AX77" s="3">
        <v>42558226</v>
      </c>
      <c r="AY77" s="3">
        <v>130542108</v>
      </c>
      <c r="AZ77" s="3">
        <v>122159323</v>
      </c>
      <c r="BA77" s="3">
        <v>113776538</v>
      </c>
      <c r="BB77" s="3">
        <v>105393753</v>
      </c>
      <c r="BC77" s="3">
        <v>97010968</v>
      </c>
      <c r="BD77" s="3">
        <v>88628183</v>
      </c>
      <c r="BE77" s="3">
        <v>80283184</v>
      </c>
      <c r="BF77" s="3">
        <v>234111788</v>
      </c>
      <c r="BG77" s="3">
        <v>334651872</v>
      </c>
      <c r="BH77" s="3">
        <v>395199611</v>
      </c>
      <c r="BI77" s="3">
        <v>375686727</v>
      </c>
      <c r="BJ77" s="3">
        <v>409832181</v>
      </c>
      <c r="BK77" s="3">
        <v>396258186</v>
      </c>
      <c r="BL77" s="3">
        <v>361126460</v>
      </c>
      <c r="BM77" s="525">
        <v>731022512</v>
      </c>
      <c r="BN77" s="525">
        <v>668251905</v>
      </c>
      <c r="BO77" s="525">
        <v>676567035</v>
      </c>
      <c r="BP77" s="3">
        <v>590922495</v>
      </c>
      <c r="BQ77" s="3">
        <v>530314109</v>
      </c>
      <c r="BR77" s="3"/>
      <c r="BS77" s="3"/>
      <c r="BT77" s="3"/>
      <c r="BU77" s="3"/>
      <c r="BV77" s="3"/>
      <c r="BW77" s="3"/>
    </row>
    <row r="78" spans="1:75" ht="15" customHeight="1" x14ac:dyDescent="0.25">
      <c r="A78" s="58">
        <v>75</v>
      </c>
      <c r="B78" s="63" t="s">
        <v>99</v>
      </c>
      <c r="C78" s="58">
        <v>7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/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/>
      <c r="BI78" s="3">
        <v>0</v>
      </c>
      <c r="BJ78" s="3"/>
      <c r="BK78" s="3"/>
      <c r="BL78" s="3">
        <v>0</v>
      </c>
      <c r="BM78" s="525">
        <v>0</v>
      </c>
      <c r="BN78" s="525">
        <v>0</v>
      </c>
      <c r="BO78" s="525">
        <v>0</v>
      </c>
      <c r="BP78" s="3">
        <v>0</v>
      </c>
      <c r="BQ78" s="3">
        <v>0</v>
      </c>
      <c r="BR78" s="3"/>
      <c r="BS78" s="3"/>
      <c r="BT78" s="3"/>
      <c r="BU78" s="3"/>
      <c r="BV78" s="3"/>
      <c r="BW78" s="3"/>
    </row>
    <row r="79" spans="1:75" ht="15" customHeight="1" x14ac:dyDescent="0.25">
      <c r="A79" s="58">
        <v>76</v>
      </c>
      <c r="B79" s="63" t="s">
        <v>100</v>
      </c>
      <c r="C79" s="58">
        <v>7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/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/>
      <c r="BI79" s="3">
        <v>0</v>
      </c>
      <c r="BJ79" s="3"/>
      <c r="BK79" s="3"/>
      <c r="BL79" s="3">
        <v>0</v>
      </c>
      <c r="BM79" s="525">
        <v>0</v>
      </c>
      <c r="BN79" s="525">
        <v>0</v>
      </c>
      <c r="BO79" s="525">
        <v>0</v>
      </c>
      <c r="BP79" s="3">
        <v>0</v>
      </c>
      <c r="BQ79" s="3">
        <v>0</v>
      </c>
      <c r="BR79" s="3"/>
      <c r="BS79" s="3"/>
      <c r="BT79" s="3"/>
      <c r="BU79" s="3"/>
      <c r="BV79" s="3"/>
      <c r="BW79" s="3"/>
    </row>
    <row r="80" spans="1:75" ht="15" customHeight="1" x14ac:dyDescent="0.25">
      <c r="A80" s="58">
        <v>77</v>
      </c>
      <c r="B80" s="63" t="s">
        <v>101</v>
      </c>
      <c r="C80" s="58">
        <v>7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/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/>
      <c r="BI80" s="3">
        <v>0</v>
      </c>
      <c r="BJ80" s="3"/>
      <c r="BK80" s="3"/>
      <c r="BL80" s="3">
        <v>0</v>
      </c>
      <c r="BM80" s="525">
        <v>0</v>
      </c>
      <c r="BN80" s="525">
        <v>0</v>
      </c>
      <c r="BO80" s="525">
        <v>0</v>
      </c>
      <c r="BP80" s="3">
        <v>0</v>
      </c>
      <c r="BQ80" s="3">
        <v>0</v>
      </c>
      <c r="BR80" s="3"/>
      <c r="BS80" s="3"/>
      <c r="BT80" s="3"/>
      <c r="BU80" s="3"/>
      <c r="BV80" s="3"/>
      <c r="BW80" s="3"/>
    </row>
    <row r="81" spans="1:75" s="77" customFormat="1" ht="15" customHeight="1" x14ac:dyDescent="0.25">
      <c r="A81" s="75">
        <v>78</v>
      </c>
      <c r="B81" s="76" t="s">
        <v>341</v>
      </c>
      <c r="C81" s="75">
        <v>7</v>
      </c>
      <c r="D81" s="10">
        <v>10331196663</v>
      </c>
      <c r="E81" s="10">
        <v>10408146462</v>
      </c>
      <c r="F81" s="10">
        <v>10198109431</v>
      </c>
      <c r="G81" s="10">
        <v>9658790120</v>
      </c>
      <c r="H81" s="10">
        <v>9662232004</v>
      </c>
      <c r="I81" s="10">
        <v>9896832066</v>
      </c>
      <c r="J81" s="10">
        <v>9750676743</v>
      </c>
      <c r="K81" s="10">
        <v>9666825682</v>
      </c>
      <c r="L81" s="10">
        <v>9033034496</v>
      </c>
      <c r="M81" s="10">
        <v>9427572107</v>
      </c>
      <c r="N81" s="10">
        <v>9245410950</v>
      </c>
      <c r="O81" s="10">
        <v>9499092471</v>
      </c>
      <c r="P81" s="10">
        <v>14389292648</v>
      </c>
      <c r="Q81" s="10">
        <v>14392066609</v>
      </c>
      <c r="R81" s="10">
        <v>15115877507</v>
      </c>
      <c r="S81" s="10">
        <v>15347980469</v>
      </c>
      <c r="T81" s="10">
        <v>14439889689</v>
      </c>
      <c r="U81" s="10">
        <v>16966360709.299999</v>
      </c>
      <c r="V81" s="10">
        <v>16502655613</v>
      </c>
      <c r="W81" s="10">
        <v>17870643932</v>
      </c>
      <c r="X81" s="10">
        <v>18280893576</v>
      </c>
      <c r="Y81" s="10">
        <v>17928257831.537998</v>
      </c>
      <c r="Z81" s="10">
        <v>18994843676</v>
      </c>
      <c r="AA81" s="10">
        <v>17878408624</v>
      </c>
      <c r="AB81" s="10">
        <v>16693258621</v>
      </c>
      <c r="AC81" s="10">
        <v>15960363498</v>
      </c>
      <c r="AD81" s="10">
        <v>15483773366</v>
      </c>
      <c r="AE81" s="10">
        <v>16779523372</v>
      </c>
      <c r="AF81" s="10">
        <v>17895276287</v>
      </c>
      <c r="AG81" s="10">
        <v>18294947504</v>
      </c>
      <c r="AH81" s="10">
        <v>16447783551</v>
      </c>
      <c r="AI81" s="10">
        <v>14177370703</v>
      </c>
      <c r="AJ81" s="10">
        <v>14116145417.860001</v>
      </c>
      <c r="AK81" s="10">
        <v>13891024137.860001</v>
      </c>
      <c r="AL81" s="10">
        <v>15347051221.860001</v>
      </c>
      <c r="AM81" s="10">
        <v>16226848324.860001</v>
      </c>
      <c r="AN81" s="10">
        <v>15507979212</v>
      </c>
      <c r="AO81" s="10">
        <v>15417714531</v>
      </c>
      <c r="AP81" s="10">
        <v>15345218657.860001</v>
      </c>
      <c r="AQ81" s="10">
        <v>14887272764.882</v>
      </c>
      <c r="AR81" s="10">
        <v>14208989819</v>
      </c>
      <c r="AS81" s="10">
        <v>14469402313</v>
      </c>
      <c r="AT81" s="10">
        <v>13889448295</v>
      </c>
      <c r="AU81" s="10">
        <v>15964623066</v>
      </c>
      <c r="AV81" s="10">
        <v>16416433118</v>
      </c>
      <c r="AW81" s="10">
        <v>18528574980</v>
      </c>
      <c r="AX81" s="10">
        <v>18411366075</v>
      </c>
      <c r="AY81" s="11">
        <v>17769431513.482002</v>
      </c>
      <c r="AZ81" s="11">
        <v>16889928225</v>
      </c>
      <c r="BA81" s="11">
        <v>17887328825</v>
      </c>
      <c r="BB81" s="11">
        <v>16933513757.482</v>
      </c>
      <c r="BC81" s="11">
        <v>16999255969</v>
      </c>
      <c r="BD81" s="11">
        <v>17131684163</v>
      </c>
      <c r="BE81" s="11">
        <v>18263438107.481998</v>
      </c>
      <c r="BF81" s="11">
        <v>19775807817.481998</v>
      </c>
      <c r="BG81" s="11">
        <v>22605079961.481998</v>
      </c>
      <c r="BH81" s="11">
        <f>+BH36+BH4</f>
        <v>20636649601.482002</v>
      </c>
      <c r="BI81" s="11">
        <v>20713286536.481998</v>
      </c>
      <c r="BJ81" s="11">
        <v>21582121492.482002</v>
      </c>
      <c r="BK81" s="11">
        <v>22374498981</v>
      </c>
      <c r="BL81" s="11">
        <v>23802859474</v>
      </c>
      <c r="BM81" s="531">
        <v>23764695750</v>
      </c>
      <c r="BN81" s="531">
        <v>25352403348</v>
      </c>
      <c r="BO81" s="531">
        <v>23712327139</v>
      </c>
      <c r="BP81" s="11">
        <v>26159337989</v>
      </c>
      <c r="BQ81" s="11">
        <v>28084604809</v>
      </c>
      <c r="BR81" s="11"/>
      <c r="BS81" s="11"/>
      <c r="BT81" s="11"/>
      <c r="BU81" s="11"/>
      <c r="BV81" s="11"/>
      <c r="BW81" s="11"/>
    </row>
    <row r="82" spans="1:75" ht="15" customHeight="1" x14ac:dyDescent="0.25">
      <c r="A82" s="65">
        <v>79</v>
      </c>
      <c r="B82" s="55" t="s">
        <v>342</v>
      </c>
      <c r="C82" s="65">
        <v>7</v>
      </c>
      <c r="D82" s="7">
        <v>743482317</v>
      </c>
      <c r="E82" s="7">
        <v>1076284424</v>
      </c>
      <c r="F82" s="7">
        <v>1155810139</v>
      </c>
      <c r="G82" s="7">
        <v>837648831</v>
      </c>
      <c r="H82" s="7">
        <v>999879599</v>
      </c>
      <c r="I82" s="7">
        <v>1397790990</v>
      </c>
      <c r="J82" s="7">
        <v>1380379688</v>
      </c>
      <c r="K82" s="7">
        <v>1397206162</v>
      </c>
      <c r="L82" s="7">
        <v>886301710</v>
      </c>
      <c r="M82" s="7">
        <v>1434999364</v>
      </c>
      <c r="N82" s="7">
        <v>1430920283</v>
      </c>
      <c r="O82" s="7">
        <v>1920225161</v>
      </c>
      <c r="P82" s="7">
        <v>1373819861</v>
      </c>
      <c r="Q82" s="7">
        <v>1626420791</v>
      </c>
      <c r="R82" s="7">
        <v>2097617753</v>
      </c>
      <c r="S82" s="7">
        <v>2240562997</v>
      </c>
      <c r="T82" s="7">
        <v>750379749</v>
      </c>
      <c r="U82" s="7">
        <v>1214555028</v>
      </c>
      <c r="V82" s="7">
        <v>505690570</v>
      </c>
      <c r="W82" s="7">
        <v>1086114221</v>
      </c>
      <c r="X82" s="7">
        <v>1044975136</v>
      </c>
      <c r="Y82" s="7">
        <v>672272423.58521605</v>
      </c>
      <c r="Z82" s="7">
        <v>1346246414</v>
      </c>
      <c r="AA82" s="7">
        <v>2496396983</v>
      </c>
      <c r="AB82" s="7">
        <v>2006637651</v>
      </c>
      <c r="AC82" s="7">
        <v>3683702066</v>
      </c>
      <c r="AD82" s="7">
        <v>3834805592</v>
      </c>
      <c r="AE82" s="7">
        <v>4853915637</v>
      </c>
      <c r="AF82" s="7">
        <v>4879554101</v>
      </c>
      <c r="AG82" s="7">
        <v>5240419252</v>
      </c>
      <c r="AH82" s="7">
        <v>4126147064</v>
      </c>
      <c r="AI82" s="7">
        <v>2155671465</v>
      </c>
      <c r="AJ82" s="7">
        <v>2339758990.8600001</v>
      </c>
      <c r="AK82" s="7">
        <v>1888667835.8599999</v>
      </c>
      <c r="AL82" s="7">
        <v>3063693009.8600001</v>
      </c>
      <c r="AM82" s="7">
        <v>3268414787.8600001</v>
      </c>
      <c r="AN82" s="7">
        <v>2556434092</v>
      </c>
      <c r="AO82" s="7">
        <v>2577854335</v>
      </c>
      <c r="AP82" s="7">
        <v>2259710246.8600001</v>
      </c>
      <c r="AQ82" s="7">
        <v>1897167666.882</v>
      </c>
      <c r="AR82" s="7">
        <v>1542734518</v>
      </c>
      <c r="AS82" s="7">
        <v>1914630683</v>
      </c>
      <c r="AT82" s="7">
        <v>1652974650</v>
      </c>
      <c r="AU82" s="7">
        <v>4156203795</v>
      </c>
      <c r="AV82" s="7">
        <v>5165309039</v>
      </c>
      <c r="AW82" s="7">
        <v>7367909599</v>
      </c>
      <c r="AX82" s="7">
        <v>7388025264</v>
      </c>
      <c r="AY82" s="8">
        <v>7095909098.4820004</v>
      </c>
      <c r="AZ82" s="8">
        <v>6926134439</v>
      </c>
      <c r="BA82" s="8">
        <v>8589719617</v>
      </c>
      <c r="BB82" s="8">
        <v>7887541516.4820004</v>
      </c>
      <c r="BC82" s="8">
        <v>7241996158</v>
      </c>
      <c r="BD82" s="8">
        <v>7149695232</v>
      </c>
      <c r="BE82" s="8">
        <v>7646262087.4820004</v>
      </c>
      <c r="BF82" s="8">
        <v>7836951141.4820995</v>
      </c>
      <c r="BG82" s="8">
        <v>9460318517.4820995</v>
      </c>
      <c r="BH82" s="8">
        <f>+BH83+BH99</f>
        <v>7152157174.4820004</v>
      </c>
      <c r="BI82" s="8">
        <v>6812390688.4820004</v>
      </c>
      <c r="BJ82" s="8">
        <v>7301310031.4820004</v>
      </c>
      <c r="BK82" s="8">
        <v>7957168842</v>
      </c>
      <c r="BL82" s="8">
        <v>8570720339</v>
      </c>
      <c r="BM82" s="528">
        <v>8380089046</v>
      </c>
      <c r="BN82" s="528">
        <v>9437099984</v>
      </c>
      <c r="BO82" s="528">
        <v>7281115925</v>
      </c>
      <c r="BP82" s="8">
        <v>8769863882</v>
      </c>
      <c r="BQ82" s="8">
        <v>9827482514</v>
      </c>
      <c r="BR82" s="8"/>
      <c r="BS82" s="8"/>
      <c r="BT82" s="8"/>
      <c r="BU82" s="8"/>
      <c r="BV82" s="8"/>
      <c r="BW82" s="8"/>
    </row>
    <row r="83" spans="1:75" ht="15" customHeight="1" x14ac:dyDescent="0.25">
      <c r="A83" s="62">
        <v>80</v>
      </c>
      <c r="B83" s="57" t="s">
        <v>343</v>
      </c>
      <c r="C83" s="62">
        <v>7</v>
      </c>
      <c r="D83" s="5">
        <v>743482317</v>
      </c>
      <c r="E83" s="5">
        <v>1076284424</v>
      </c>
      <c r="F83" s="5">
        <v>1155810139</v>
      </c>
      <c r="G83" s="5">
        <v>837648831</v>
      </c>
      <c r="H83" s="5">
        <v>999879599</v>
      </c>
      <c r="I83" s="5">
        <v>1397790990</v>
      </c>
      <c r="J83" s="5">
        <v>1380379688</v>
      </c>
      <c r="K83" s="5">
        <v>1397206162</v>
      </c>
      <c r="L83" s="5">
        <v>886301710</v>
      </c>
      <c r="M83" s="5">
        <v>1434999364</v>
      </c>
      <c r="N83" s="5">
        <v>1430920283</v>
      </c>
      <c r="O83" s="5">
        <v>1920225161</v>
      </c>
      <c r="P83" s="5">
        <v>1373819861</v>
      </c>
      <c r="Q83" s="5">
        <v>1626420791</v>
      </c>
      <c r="R83" s="5">
        <v>2097617753</v>
      </c>
      <c r="S83" s="5">
        <v>2240562997</v>
      </c>
      <c r="T83" s="5">
        <v>750379749</v>
      </c>
      <c r="U83" s="5">
        <v>1214555028</v>
      </c>
      <c r="V83" s="5">
        <v>505690570</v>
      </c>
      <c r="W83" s="5">
        <v>1086114221</v>
      </c>
      <c r="X83" s="5">
        <v>1044975136</v>
      </c>
      <c r="Y83" s="5">
        <v>672272423.38521636</v>
      </c>
      <c r="Z83" s="5">
        <v>1346246414</v>
      </c>
      <c r="AA83" s="5">
        <v>2496396983</v>
      </c>
      <c r="AB83" s="5">
        <v>2006637651</v>
      </c>
      <c r="AC83" s="5">
        <v>3683702066</v>
      </c>
      <c r="AD83" s="5">
        <v>3834805592</v>
      </c>
      <c r="AE83" s="5">
        <v>4853915637</v>
      </c>
      <c r="AF83" s="5">
        <v>4879554101</v>
      </c>
      <c r="AG83" s="5">
        <v>5240419252</v>
      </c>
      <c r="AH83" s="5">
        <v>4126147064</v>
      </c>
      <c r="AI83" s="5">
        <v>2155671465</v>
      </c>
      <c r="AJ83" s="5">
        <v>2339758990.8600001</v>
      </c>
      <c r="AK83" s="5">
        <v>1888667835.8599999</v>
      </c>
      <c r="AL83" s="5">
        <v>3063693009.8600001</v>
      </c>
      <c r="AM83" s="5">
        <v>3268414787.8600001</v>
      </c>
      <c r="AN83" s="5">
        <v>2556434092</v>
      </c>
      <c r="AO83" s="5">
        <v>2577854335</v>
      </c>
      <c r="AP83" s="5">
        <v>2259710246.8600001</v>
      </c>
      <c r="AQ83" s="5">
        <v>1897167666.882</v>
      </c>
      <c r="AR83" s="5">
        <v>1542734518</v>
      </c>
      <c r="AS83" s="5">
        <v>1914630683</v>
      </c>
      <c r="AT83" s="5">
        <v>1652974650</v>
      </c>
      <c r="AU83" s="5">
        <v>4156203795</v>
      </c>
      <c r="AV83" s="5">
        <v>5165309039</v>
      </c>
      <c r="AW83" s="5">
        <v>7367909599</v>
      </c>
      <c r="AX83" s="5">
        <v>7388025264</v>
      </c>
      <c r="AY83" s="6">
        <v>7095909098.4820004</v>
      </c>
      <c r="AZ83" s="6">
        <v>6926134439</v>
      </c>
      <c r="BA83" s="6">
        <v>8589719617</v>
      </c>
      <c r="BB83" s="6">
        <v>7887541516.4820004</v>
      </c>
      <c r="BC83" s="6">
        <v>7241996158</v>
      </c>
      <c r="BD83" s="6">
        <v>7149695232</v>
      </c>
      <c r="BE83" s="6">
        <v>7646262087.4820004</v>
      </c>
      <c r="BF83" s="6">
        <v>7836951141.4820995</v>
      </c>
      <c r="BG83" s="6">
        <v>9460318517.4820995</v>
      </c>
      <c r="BH83" s="6">
        <f>+SUM(BH84:BH98)</f>
        <v>7152157174.4820004</v>
      </c>
      <c r="BI83" s="6">
        <v>6812390688.4820004</v>
      </c>
      <c r="BJ83" s="6">
        <v>7301310031.4820004</v>
      </c>
      <c r="BK83" s="6">
        <v>7957168842</v>
      </c>
      <c r="BL83" s="6">
        <v>8570720339</v>
      </c>
      <c r="BM83" s="527">
        <v>8380089046</v>
      </c>
      <c r="BN83" s="527">
        <v>9437099984</v>
      </c>
      <c r="BO83" s="527">
        <v>7281115925</v>
      </c>
      <c r="BP83" s="6">
        <v>8769863882</v>
      </c>
      <c r="BQ83" s="6">
        <v>9827482514</v>
      </c>
      <c r="BR83" s="6"/>
      <c r="BS83" s="6"/>
      <c r="BT83" s="6"/>
      <c r="BU83" s="6"/>
      <c r="BV83" s="6"/>
      <c r="BW83" s="6"/>
    </row>
    <row r="84" spans="1:75" ht="15" customHeight="1" x14ac:dyDescent="0.25">
      <c r="A84" s="58">
        <v>81</v>
      </c>
      <c r="B84" s="78" t="s">
        <v>106</v>
      </c>
      <c r="C84" s="58">
        <v>7</v>
      </c>
      <c r="D84" s="3">
        <v>563660170</v>
      </c>
      <c r="E84" s="3">
        <v>938322241</v>
      </c>
      <c r="F84" s="3">
        <v>961578340</v>
      </c>
      <c r="G84" s="3">
        <v>371931010</v>
      </c>
      <c r="H84" s="3">
        <v>500406010</v>
      </c>
      <c r="I84" s="3">
        <v>501286010</v>
      </c>
      <c r="J84" s="3">
        <v>501286010</v>
      </c>
      <c r="K84" s="3">
        <v>504326010</v>
      </c>
      <c r="L84" s="3">
        <v>504326010</v>
      </c>
      <c r="M84" s="3">
        <v>971115919</v>
      </c>
      <c r="N84" s="3">
        <v>1024839916</v>
      </c>
      <c r="O84" s="3">
        <v>1433076010</v>
      </c>
      <c r="P84" s="3">
        <v>973037559</v>
      </c>
      <c r="Q84" s="3">
        <v>1041339411</v>
      </c>
      <c r="R84" s="3">
        <v>1360221560</v>
      </c>
      <c r="S84" s="3">
        <v>1360221558</v>
      </c>
      <c r="T84" s="3">
        <v>12224000</v>
      </c>
      <c r="U84" s="3">
        <v>270991894</v>
      </c>
      <c r="V84" s="3">
        <v>32039291</v>
      </c>
      <c r="W84" s="3">
        <v>389778437</v>
      </c>
      <c r="X84" s="3">
        <v>2400200</v>
      </c>
      <c r="Y84" s="3">
        <v>11500000</v>
      </c>
      <c r="Z84" s="3">
        <v>167945940</v>
      </c>
      <c r="AA84" s="3">
        <v>947342800</v>
      </c>
      <c r="AB84" s="3">
        <v>124957800</v>
      </c>
      <c r="AC84" s="3">
        <v>231417660</v>
      </c>
      <c r="AD84" s="3">
        <v>285937996</v>
      </c>
      <c r="AE84" s="3">
        <v>256476220</v>
      </c>
      <c r="AF84" s="3">
        <v>479544078</v>
      </c>
      <c r="AG84" s="3">
        <v>186324483</v>
      </c>
      <c r="AH84" s="3">
        <v>822952131</v>
      </c>
      <c r="AI84" s="3">
        <v>346761949</v>
      </c>
      <c r="AJ84" s="3">
        <v>358665912</v>
      </c>
      <c r="AK84" s="3">
        <v>543503834</v>
      </c>
      <c r="AL84" s="3">
        <v>809405453</v>
      </c>
      <c r="AM84" s="3">
        <v>533825855</v>
      </c>
      <c r="AN84" s="3">
        <v>1070901562</v>
      </c>
      <c r="AO84" s="3">
        <v>861055427</v>
      </c>
      <c r="AP84" s="3">
        <v>990894728</v>
      </c>
      <c r="AQ84" s="3">
        <v>774349943</v>
      </c>
      <c r="AR84" s="3">
        <v>315685573</v>
      </c>
      <c r="AS84" s="3">
        <v>618910107</v>
      </c>
      <c r="AT84" s="3">
        <v>477447541</v>
      </c>
      <c r="AU84" s="3">
        <v>506153906</v>
      </c>
      <c r="AV84" s="3">
        <v>706853161</v>
      </c>
      <c r="AW84" s="3">
        <v>1093861672</v>
      </c>
      <c r="AX84" s="3">
        <v>976365294</v>
      </c>
      <c r="AY84" s="3">
        <v>769690713</v>
      </c>
      <c r="AZ84" s="3">
        <v>1328770757</v>
      </c>
      <c r="BA84" s="3">
        <v>1782507597</v>
      </c>
      <c r="BB84" s="3">
        <v>1035365592</v>
      </c>
      <c r="BC84" s="3">
        <v>764560324</v>
      </c>
      <c r="BD84" s="3">
        <v>650480649</v>
      </c>
      <c r="BE84" s="3">
        <v>796115187</v>
      </c>
      <c r="BF84" s="3">
        <v>563159702</v>
      </c>
      <c r="BG84" s="3">
        <v>1070381192</v>
      </c>
      <c r="BH84" s="3">
        <v>463035812</v>
      </c>
      <c r="BI84" s="3">
        <v>359756979</v>
      </c>
      <c r="BJ84" s="3">
        <v>696620900</v>
      </c>
      <c r="BK84" s="3">
        <v>586652262</v>
      </c>
      <c r="BL84" s="3">
        <v>1960781996</v>
      </c>
      <c r="BM84" s="525">
        <v>2110646045</v>
      </c>
      <c r="BN84" s="525">
        <v>2915055763</v>
      </c>
      <c r="BO84" s="525">
        <v>973744791</v>
      </c>
      <c r="BP84" s="3">
        <v>1970324701</v>
      </c>
      <c r="BQ84" s="3">
        <v>2524416817</v>
      </c>
      <c r="BR84" s="3"/>
      <c r="BS84" s="3"/>
      <c r="BT84" s="3"/>
      <c r="BU84" s="3"/>
      <c r="BV84" s="3"/>
      <c r="BW84" s="3"/>
    </row>
    <row r="85" spans="1:75" ht="15" customHeight="1" x14ac:dyDescent="0.25">
      <c r="A85" s="58">
        <v>82</v>
      </c>
      <c r="B85" s="78" t="s">
        <v>107</v>
      </c>
      <c r="C85" s="58">
        <v>7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/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3931200</v>
      </c>
      <c r="AS85" s="3">
        <v>0</v>
      </c>
      <c r="AT85" s="3">
        <v>0</v>
      </c>
      <c r="AU85" s="3">
        <v>0</v>
      </c>
      <c r="AV85" s="3">
        <v>0</v>
      </c>
      <c r="AW85" s="3">
        <v>2259000</v>
      </c>
      <c r="AX85" s="3">
        <v>0</v>
      </c>
      <c r="AY85" s="3">
        <v>0</v>
      </c>
      <c r="AZ85" s="3">
        <v>3889</v>
      </c>
      <c r="BA85" s="3">
        <v>935623988</v>
      </c>
      <c r="BB85" s="3">
        <v>395221564</v>
      </c>
      <c r="BC85" s="3">
        <v>561024640</v>
      </c>
      <c r="BD85" s="3">
        <v>0</v>
      </c>
      <c r="BE85" s="3">
        <v>75706847</v>
      </c>
      <c r="BF85" s="3">
        <v>295549202</v>
      </c>
      <c r="BG85" s="3">
        <v>1597111967</v>
      </c>
      <c r="BH85" s="3">
        <v>0</v>
      </c>
      <c r="BI85" s="3">
        <v>2175000</v>
      </c>
      <c r="BJ85" s="3">
        <v>2175000</v>
      </c>
      <c r="BK85" s="3"/>
      <c r="BL85" s="3">
        <v>0</v>
      </c>
      <c r="BM85" s="525">
        <v>0</v>
      </c>
      <c r="BN85" s="525">
        <v>0</v>
      </c>
      <c r="BO85" s="525">
        <v>0</v>
      </c>
      <c r="BP85" s="3">
        <v>0</v>
      </c>
      <c r="BQ85" s="3">
        <v>0</v>
      </c>
      <c r="BR85" s="3"/>
      <c r="BS85" s="3"/>
      <c r="BT85" s="3"/>
      <c r="BU85" s="3"/>
      <c r="BV85" s="3"/>
      <c r="BW85" s="3"/>
    </row>
    <row r="86" spans="1:75" ht="15" customHeight="1" x14ac:dyDescent="0.25">
      <c r="A86" s="58">
        <v>83</v>
      </c>
      <c r="B86" s="78" t="s">
        <v>108</v>
      </c>
      <c r="C86" s="58">
        <v>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>
        <v>0</v>
      </c>
      <c r="BM86" s="525">
        <v>0</v>
      </c>
      <c r="BN86" s="525">
        <v>0</v>
      </c>
      <c r="BO86" s="525">
        <v>0</v>
      </c>
      <c r="BP86" s="3">
        <v>0</v>
      </c>
      <c r="BQ86" s="3">
        <v>0</v>
      </c>
      <c r="BR86" s="3"/>
      <c r="BS86" s="3"/>
      <c r="BT86" s="3"/>
      <c r="BU86" s="3"/>
      <c r="BV86" s="3"/>
      <c r="BW86" s="3"/>
    </row>
    <row r="87" spans="1:75" ht="15" customHeight="1" x14ac:dyDescent="0.25">
      <c r="A87" s="58">
        <v>84</v>
      </c>
      <c r="B87" s="78" t="s">
        <v>109</v>
      </c>
      <c r="C87" s="58">
        <v>7</v>
      </c>
      <c r="D87" s="3">
        <v>46128599</v>
      </c>
      <c r="E87" s="3">
        <v>109923721</v>
      </c>
      <c r="F87" s="3">
        <v>141631606</v>
      </c>
      <c r="G87" s="3">
        <v>176237628</v>
      </c>
      <c r="H87" s="3">
        <v>209973396</v>
      </c>
      <c r="I87" s="3">
        <v>240548246</v>
      </c>
      <c r="J87" s="3">
        <v>260879338</v>
      </c>
      <c r="K87" s="3">
        <v>247713505</v>
      </c>
      <c r="L87" s="3">
        <v>128574237</v>
      </c>
      <c r="M87" s="3">
        <v>104450442</v>
      </c>
      <c r="N87" s="3">
        <v>109296596</v>
      </c>
      <c r="O87" s="3">
        <v>108204471</v>
      </c>
      <c r="P87" s="3">
        <v>155181031</v>
      </c>
      <c r="Q87" s="3">
        <v>277403342</v>
      </c>
      <c r="R87" s="3">
        <v>440367865</v>
      </c>
      <c r="S87" s="3">
        <v>627899668</v>
      </c>
      <c r="T87" s="3">
        <v>467178536</v>
      </c>
      <c r="U87" s="3">
        <v>669877363</v>
      </c>
      <c r="V87" s="3">
        <v>204122123</v>
      </c>
      <c r="W87" s="3">
        <v>437823628</v>
      </c>
      <c r="X87" s="3">
        <v>776296895</v>
      </c>
      <c r="Y87" s="3">
        <v>409875341.02983201</v>
      </c>
      <c r="Z87" s="3">
        <v>937976941</v>
      </c>
      <c r="AA87" s="3">
        <v>1373434421</v>
      </c>
      <c r="AB87" s="3">
        <v>1666060088</v>
      </c>
      <c r="AC87" s="3">
        <v>1157816736</v>
      </c>
      <c r="AD87" s="3">
        <v>1238236899</v>
      </c>
      <c r="AE87" s="3">
        <v>2055423674</v>
      </c>
      <c r="AF87" s="3">
        <v>1860117486</v>
      </c>
      <c r="AG87" s="3">
        <v>2495874347</v>
      </c>
      <c r="AH87" s="3">
        <v>505577936</v>
      </c>
      <c r="AI87" s="3">
        <v>964283902</v>
      </c>
      <c r="AJ87" s="3">
        <v>1220395528</v>
      </c>
      <c r="AK87" s="3">
        <v>497876194</v>
      </c>
      <c r="AL87" s="3">
        <v>1138910428</v>
      </c>
      <c r="AM87" s="3">
        <v>1776712170</v>
      </c>
      <c r="AN87" s="3">
        <v>517847086</v>
      </c>
      <c r="AO87" s="3">
        <v>993092695</v>
      </c>
      <c r="AP87" s="3">
        <v>609933284</v>
      </c>
      <c r="AQ87" s="3">
        <v>409202850</v>
      </c>
      <c r="AR87" s="3">
        <v>578698797</v>
      </c>
      <c r="AS87" s="3">
        <v>573375362</v>
      </c>
      <c r="AT87" s="3">
        <v>411381783</v>
      </c>
      <c r="AU87" s="3">
        <v>422291225</v>
      </c>
      <c r="AV87" s="3">
        <v>777645873</v>
      </c>
      <c r="AW87" s="3">
        <v>369381092</v>
      </c>
      <c r="AX87" s="3">
        <v>492866919</v>
      </c>
      <c r="AY87" s="3">
        <v>392383461</v>
      </c>
      <c r="AZ87" s="3">
        <v>253453023</v>
      </c>
      <c r="BA87" s="3">
        <v>300402206</v>
      </c>
      <c r="BB87" s="3">
        <v>622508135</v>
      </c>
      <c r="BC87" s="3">
        <v>653997696</v>
      </c>
      <c r="BD87" s="3">
        <v>653616684</v>
      </c>
      <c r="BE87" s="3">
        <v>683372003</v>
      </c>
      <c r="BF87" s="3">
        <v>1021209650</v>
      </c>
      <c r="BG87" s="3">
        <v>933182630</v>
      </c>
      <c r="BH87" s="3">
        <v>688991869</v>
      </c>
      <c r="BI87" s="3">
        <v>594781737</v>
      </c>
      <c r="BJ87" s="3">
        <v>512252408</v>
      </c>
      <c r="BK87" s="3">
        <v>1157750839</v>
      </c>
      <c r="BL87" s="3">
        <v>731600993</v>
      </c>
      <c r="BM87" s="525">
        <v>602944901</v>
      </c>
      <c r="BN87" s="525">
        <v>959995614</v>
      </c>
      <c r="BO87" s="525">
        <v>952007344</v>
      </c>
      <c r="BP87" s="3">
        <v>1203808105</v>
      </c>
      <c r="BQ87" s="3">
        <v>1474385964</v>
      </c>
      <c r="BR87" s="3"/>
      <c r="BS87" s="3"/>
      <c r="BT87" s="3"/>
      <c r="BU87" s="3"/>
      <c r="BV87" s="3"/>
      <c r="BW87" s="3"/>
    </row>
    <row r="88" spans="1:75" ht="15" customHeight="1" x14ac:dyDescent="0.25">
      <c r="A88" s="58">
        <v>85</v>
      </c>
      <c r="B88" s="78" t="s">
        <v>110</v>
      </c>
      <c r="C88" s="58">
        <v>7</v>
      </c>
      <c r="D88" s="3">
        <v>133693548</v>
      </c>
      <c r="E88" s="3">
        <v>28038462</v>
      </c>
      <c r="F88" s="3">
        <v>52600193</v>
      </c>
      <c r="G88" s="3">
        <v>49480193</v>
      </c>
      <c r="H88" s="3">
        <v>49500193</v>
      </c>
      <c r="I88" s="3">
        <v>45885577</v>
      </c>
      <c r="J88" s="3">
        <v>62647885</v>
      </c>
      <c r="K88" s="3">
        <v>9600192</v>
      </c>
      <c r="L88" s="3">
        <v>9600192</v>
      </c>
      <c r="M88" s="3">
        <v>30031732</v>
      </c>
      <c r="N88" s="3">
        <v>52982500</v>
      </c>
      <c r="O88" s="3">
        <v>35052500</v>
      </c>
      <c r="P88" s="3">
        <v>0</v>
      </c>
      <c r="Q88" s="3">
        <v>62076767</v>
      </c>
      <c r="R88" s="3">
        <v>53039557</v>
      </c>
      <c r="S88" s="3">
        <v>0</v>
      </c>
      <c r="T88" s="3">
        <v>5010442</v>
      </c>
      <c r="U88" s="3">
        <v>0</v>
      </c>
      <c r="V88" s="3">
        <v>0</v>
      </c>
      <c r="W88" s="3">
        <v>0</v>
      </c>
      <c r="X88" s="3">
        <v>0</v>
      </c>
      <c r="Y88" s="3">
        <v>12242319.538461506</v>
      </c>
      <c r="Z88" s="3">
        <v>0</v>
      </c>
      <c r="AA88" s="3">
        <v>-63035001</v>
      </c>
      <c r="AB88" s="3">
        <v>-25000000</v>
      </c>
      <c r="AC88" s="3">
        <v>0</v>
      </c>
      <c r="AD88" s="3">
        <v>0</v>
      </c>
      <c r="AE88" s="3">
        <v>314435145</v>
      </c>
      <c r="AF88" s="3">
        <v>312311939</v>
      </c>
      <c r="AG88" s="3">
        <v>330639824</v>
      </c>
      <c r="AH88" s="3">
        <v>304962237</v>
      </c>
      <c r="AI88" s="3">
        <v>312730218</v>
      </c>
      <c r="AJ88" s="3">
        <v>185275881</v>
      </c>
      <c r="AK88" s="3">
        <v>219752516</v>
      </c>
      <c r="AL88" s="3">
        <v>285862697</v>
      </c>
      <c r="AM88" s="3">
        <v>264596163</v>
      </c>
      <c r="AN88" s="3">
        <v>239876792</v>
      </c>
      <c r="AO88" s="3">
        <v>355019549</v>
      </c>
      <c r="AP88" s="3">
        <v>265367379</v>
      </c>
      <c r="AQ88" s="3">
        <v>298971060</v>
      </c>
      <c r="AR88" s="3">
        <v>253849870</v>
      </c>
      <c r="AS88" s="3">
        <v>265416668</v>
      </c>
      <c r="AT88" s="3">
        <v>207591009</v>
      </c>
      <c r="AU88" s="3">
        <v>0</v>
      </c>
      <c r="AV88" s="3">
        <v>250618975</v>
      </c>
      <c r="AW88" s="3">
        <v>268572990</v>
      </c>
      <c r="AX88" s="3">
        <v>300465610</v>
      </c>
      <c r="AY88" s="3">
        <v>245290645</v>
      </c>
      <c r="AZ88" s="3">
        <v>349374442</v>
      </c>
      <c r="BA88" s="3">
        <v>371808098</v>
      </c>
      <c r="BB88" s="3">
        <v>335260391</v>
      </c>
      <c r="BC88" s="3">
        <v>12315383</v>
      </c>
      <c r="BD88" s="3">
        <v>382071524</v>
      </c>
      <c r="BE88" s="3">
        <v>358536919</v>
      </c>
      <c r="BF88" s="3">
        <v>378188504</v>
      </c>
      <c r="BG88" s="3">
        <v>366269515</v>
      </c>
      <c r="BH88" s="3">
        <v>369107766</v>
      </c>
      <c r="BI88" s="3">
        <v>365136757</v>
      </c>
      <c r="BJ88" s="3">
        <v>366870599</v>
      </c>
      <c r="BK88" s="3">
        <v>425463154</v>
      </c>
      <c r="BL88" s="3">
        <v>417180841</v>
      </c>
      <c r="BM88" s="525">
        <v>543742234</v>
      </c>
      <c r="BN88" s="525">
        <v>342080080</v>
      </c>
      <c r="BO88" s="525">
        <v>392784260</v>
      </c>
      <c r="BP88" s="3">
        <v>410842768</v>
      </c>
      <c r="BQ88" s="3">
        <v>438707610</v>
      </c>
      <c r="BR88" s="3"/>
      <c r="BS88" s="3"/>
      <c r="BT88" s="3"/>
      <c r="BU88" s="3"/>
      <c r="BV88" s="3"/>
      <c r="BW88" s="3"/>
    </row>
    <row r="89" spans="1:75" ht="15" customHeight="1" x14ac:dyDescent="0.25">
      <c r="A89" s="58">
        <v>86</v>
      </c>
      <c r="B89" s="78" t="s">
        <v>111</v>
      </c>
      <c r="C89" s="58">
        <v>7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80000000</v>
      </c>
      <c r="L89" s="3">
        <v>0</v>
      </c>
      <c r="M89" s="3">
        <v>85600000</v>
      </c>
      <c r="N89" s="3">
        <v>0</v>
      </c>
      <c r="O89" s="3">
        <v>100090909</v>
      </c>
      <c r="P89" s="3">
        <v>1800000</v>
      </c>
      <c r="Q89" s="3">
        <v>1800000</v>
      </c>
      <c r="R89" s="3">
        <v>187500</v>
      </c>
      <c r="S89" s="3">
        <v>8640500</v>
      </c>
      <c r="T89" s="3">
        <v>22165500</v>
      </c>
      <c r="U89" s="3">
        <v>29884500</v>
      </c>
      <c r="V89" s="3">
        <v>25727885</v>
      </c>
      <c r="W89" s="3">
        <v>13210885</v>
      </c>
      <c r="X89" s="3">
        <v>25788770</v>
      </c>
      <c r="Y89" s="3"/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265074162</v>
      </c>
      <c r="AI89" s="3">
        <v>304314798</v>
      </c>
      <c r="AJ89" s="3">
        <v>347841071</v>
      </c>
      <c r="AK89" s="3">
        <v>399954693</v>
      </c>
      <c r="AL89" s="3">
        <v>443453833</v>
      </c>
      <c r="AM89" s="3">
        <v>465700001</v>
      </c>
      <c r="AN89" s="3">
        <v>500228054</v>
      </c>
      <c r="AO89" s="3">
        <v>141106066</v>
      </c>
      <c r="AP89" s="3">
        <v>165934257</v>
      </c>
      <c r="AQ89" s="3">
        <v>187063215</v>
      </c>
      <c r="AR89" s="3">
        <v>162988480</v>
      </c>
      <c r="AS89" s="3">
        <v>229347948</v>
      </c>
      <c r="AT89" s="3">
        <v>328973719</v>
      </c>
      <c r="AU89" s="3">
        <v>803066</v>
      </c>
      <c r="AV89" s="3">
        <v>202610432</v>
      </c>
      <c r="AW89" s="3">
        <v>406254247</v>
      </c>
      <c r="AX89" s="3">
        <v>231101622</v>
      </c>
      <c r="AY89" s="3">
        <v>460963681</v>
      </c>
      <c r="AZ89" s="3">
        <v>-233048270</v>
      </c>
      <c r="BA89" s="3">
        <v>-28202870</v>
      </c>
      <c r="BB89" s="3">
        <v>271605236</v>
      </c>
      <c r="BC89" s="3">
        <v>16717517</v>
      </c>
      <c r="BD89" s="3">
        <v>230145777</v>
      </c>
      <c r="BE89" s="3">
        <v>504950533</v>
      </c>
      <c r="BF89" s="3">
        <v>351263485</v>
      </c>
      <c r="BG89" s="3">
        <v>493373213</v>
      </c>
      <c r="BH89" s="3">
        <v>631021727</v>
      </c>
      <c r="BI89" s="3">
        <v>490405815</v>
      </c>
      <c r="BJ89" s="3">
        <v>628422484</v>
      </c>
      <c r="BK89" s="3">
        <v>787302587</v>
      </c>
      <c r="BL89" s="3">
        <v>453413289</v>
      </c>
      <c r="BM89" s="529">
        <v>-16873094</v>
      </c>
      <c r="BN89" s="525">
        <v>196858867</v>
      </c>
      <c r="BO89" s="529">
        <v>-44569450</v>
      </c>
      <c r="BP89" s="3">
        <v>170215348</v>
      </c>
      <c r="BQ89" s="3">
        <v>382467143</v>
      </c>
      <c r="BR89" s="3"/>
      <c r="BS89" s="3"/>
      <c r="BT89" s="3"/>
      <c r="BU89" s="3"/>
      <c r="BV89" s="3"/>
      <c r="BW89" s="3"/>
    </row>
    <row r="90" spans="1:75" ht="15" customHeight="1" x14ac:dyDescent="0.25">
      <c r="A90" s="58">
        <v>87</v>
      </c>
      <c r="B90" s="78" t="s">
        <v>112</v>
      </c>
      <c r="C90" s="58">
        <v>7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/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/>
      <c r="BK90" s="3"/>
      <c r="BL90" s="3">
        <v>0</v>
      </c>
      <c r="BM90" s="525">
        <v>0</v>
      </c>
      <c r="BN90" s="525">
        <v>0</v>
      </c>
      <c r="BO90" s="525">
        <v>0</v>
      </c>
      <c r="BP90" s="3">
        <v>0</v>
      </c>
      <c r="BQ90" s="3">
        <v>0</v>
      </c>
      <c r="BR90" s="3"/>
      <c r="BS90" s="3"/>
      <c r="BT90" s="3"/>
      <c r="BU90" s="3"/>
      <c r="BV90" s="3"/>
      <c r="BW90" s="3"/>
    </row>
    <row r="91" spans="1:75" ht="15" customHeight="1" x14ac:dyDescent="0.25">
      <c r="A91" s="58">
        <v>88</v>
      </c>
      <c r="B91" s="78" t="s">
        <v>113</v>
      </c>
      <c r="C91" s="58">
        <v>7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/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/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/>
      <c r="BK91" s="3"/>
      <c r="BL91" s="3">
        <v>0</v>
      </c>
      <c r="BM91" s="525">
        <v>0</v>
      </c>
      <c r="BN91" s="525">
        <v>0</v>
      </c>
      <c r="BO91" s="525">
        <v>0</v>
      </c>
      <c r="BP91" s="3">
        <v>0</v>
      </c>
      <c r="BQ91" s="3">
        <v>0</v>
      </c>
      <c r="BR91" s="3"/>
      <c r="BS91" s="3"/>
      <c r="BT91" s="3"/>
      <c r="BU91" s="3"/>
      <c r="BV91" s="3"/>
      <c r="BW91" s="3"/>
    </row>
    <row r="92" spans="1:75" ht="15" customHeight="1" x14ac:dyDescent="0.25">
      <c r="A92" s="58">
        <v>89</v>
      </c>
      <c r="B92" s="78" t="s">
        <v>114</v>
      </c>
      <c r="C92" s="58">
        <v>7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/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/>
      <c r="BK92" s="3"/>
      <c r="BL92" s="3">
        <v>0</v>
      </c>
      <c r="BM92" s="525">
        <v>0</v>
      </c>
      <c r="BN92" s="525">
        <v>0</v>
      </c>
      <c r="BO92" s="525">
        <v>0</v>
      </c>
      <c r="BP92" s="3">
        <v>0</v>
      </c>
      <c r="BQ92" s="3">
        <v>0</v>
      </c>
      <c r="BR92" s="3"/>
      <c r="BS92" s="3"/>
      <c r="BT92" s="3"/>
      <c r="BU92" s="3"/>
      <c r="BV92" s="3"/>
      <c r="BW92" s="3"/>
    </row>
    <row r="93" spans="1:75" ht="15" customHeight="1" x14ac:dyDescent="0.25">
      <c r="A93" s="58">
        <v>90</v>
      </c>
      <c r="B93" s="78" t="s">
        <v>115</v>
      </c>
      <c r="C93" s="58">
        <v>7</v>
      </c>
      <c r="D93" s="3">
        <v>0</v>
      </c>
      <c r="E93" s="3">
        <v>0</v>
      </c>
      <c r="F93" s="3">
        <v>0</v>
      </c>
      <c r="G93" s="3">
        <v>240000000</v>
      </c>
      <c r="H93" s="3">
        <v>240000000</v>
      </c>
      <c r="I93" s="3">
        <v>610071157</v>
      </c>
      <c r="J93" s="3">
        <v>555566455</v>
      </c>
      <c r="K93" s="3">
        <v>555566455</v>
      </c>
      <c r="L93" s="3">
        <v>243801271</v>
      </c>
      <c r="M93" s="3">
        <v>243801271</v>
      </c>
      <c r="N93" s="3">
        <v>243801271</v>
      </c>
      <c r="O93" s="3">
        <v>243801271</v>
      </c>
      <c r="P93" s="3">
        <v>243801271</v>
      </c>
      <c r="Q93" s="3">
        <v>243801271</v>
      </c>
      <c r="R93" s="3">
        <v>243801271</v>
      </c>
      <c r="S93" s="3">
        <v>243801271</v>
      </c>
      <c r="T93" s="3">
        <v>243801271</v>
      </c>
      <c r="U93" s="3">
        <v>243801271</v>
      </c>
      <c r="V93" s="3">
        <v>243801271</v>
      </c>
      <c r="W93" s="3">
        <v>245301271</v>
      </c>
      <c r="X93" s="3">
        <v>240489271</v>
      </c>
      <c r="Y93" s="3">
        <v>238654762.81692284</v>
      </c>
      <c r="Z93" s="3">
        <v>240323533</v>
      </c>
      <c r="AA93" s="3">
        <v>238654763</v>
      </c>
      <c r="AB93" s="3">
        <v>240619763</v>
      </c>
      <c r="AC93" s="3">
        <v>294467670</v>
      </c>
      <c r="AD93" s="3">
        <v>310630697</v>
      </c>
      <c r="AE93" s="3">
        <v>227580598</v>
      </c>
      <c r="AF93" s="3">
        <v>227580598</v>
      </c>
      <c r="AG93" s="3">
        <v>227580598</v>
      </c>
      <c r="AH93" s="3">
        <v>227580598</v>
      </c>
      <c r="AI93" s="3">
        <v>227580598</v>
      </c>
      <c r="AJ93" s="3">
        <v>227580598.86000001</v>
      </c>
      <c r="AK93" s="3">
        <v>227580598.86000001</v>
      </c>
      <c r="AL93" s="3">
        <v>386060598.86000001</v>
      </c>
      <c r="AM93" s="3">
        <v>227580598.86000001</v>
      </c>
      <c r="AN93" s="3">
        <v>227580598</v>
      </c>
      <c r="AO93" s="3">
        <v>227580598</v>
      </c>
      <c r="AP93" s="3">
        <v>227580598.86000001</v>
      </c>
      <c r="AQ93" s="3">
        <v>227580598.882</v>
      </c>
      <c r="AR93" s="3">
        <v>227580598</v>
      </c>
      <c r="AS93" s="3">
        <v>227580598</v>
      </c>
      <c r="AT93" s="3">
        <v>227580598</v>
      </c>
      <c r="AU93" s="3">
        <v>3227580598</v>
      </c>
      <c r="AV93" s="3">
        <v>3227580598</v>
      </c>
      <c r="AW93" s="3">
        <v>5227580598</v>
      </c>
      <c r="AX93" s="3">
        <v>5387225819</v>
      </c>
      <c r="AY93" s="3">
        <v>5227580598.4820004</v>
      </c>
      <c r="AZ93" s="3">
        <v>5227580598</v>
      </c>
      <c r="BA93" s="3">
        <v>5227580598</v>
      </c>
      <c r="BB93" s="3">
        <v>5227580598.4820004</v>
      </c>
      <c r="BC93" s="3">
        <v>5233380598</v>
      </c>
      <c r="BD93" s="3">
        <v>5233380598</v>
      </c>
      <c r="BE93" s="3">
        <v>5227580598.4820004</v>
      </c>
      <c r="BF93" s="3">
        <v>5227580598.4820995</v>
      </c>
      <c r="BG93" s="3">
        <v>5000000000.4820995</v>
      </c>
      <c r="BH93" s="3">
        <v>5000000000.4820004</v>
      </c>
      <c r="BI93" s="3">
        <v>5000134400.4820004</v>
      </c>
      <c r="BJ93" s="3">
        <v>5094968640.4820004</v>
      </c>
      <c r="BK93" s="3">
        <v>5000000000</v>
      </c>
      <c r="BL93" s="3">
        <v>5007743220</v>
      </c>
      <c r="BM93" s="525">
        <v>5139628960</v>
      </c>
      <c r="BN93" s="525">
        <v>5023109660</v>
      </c>
      <c r="BO93" s="525">
        <v>5007148980</v>
      </c>
      <c r="BP93" s="3">
        <v>5014672960</v>
      </c>
      <c r="BQ93" s="3">
        <v>5007504980</v>
      </c>
      <c r="BR93" s="3"/>
      <c r="BS93" s="3"/>
      <c r="BT93" s="3"/>
      <c r="BU93" s="3"/>
      <c r="BV93" s="3"/>
      <c r="BW93" s="3"/>
    </row>
    <row r="94" spans="1:75" ht="15" customHeight="1" x14ac:dyDescent="0.25">
      <c r="A94" s="58">
        <v>91</v>
      </c>
      <c r="B94" s="78" t="s">
        <v>116</v>
      </c>
      <c r="C94" s="58">
        <v>7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/>
      <c r="Z94" s="3">
        <v>0</v>
      </c>
      <c r="AA94" s="3">
        <v>0</v>
      </c>
      <c r="AB94" s="3">
        <v>0</v>
      </c>
      <c r="AC94" s="3">
        <v>2000000000</v>
      </c>
      <c r="AD94" s="3">
        <v>2000000000</v>
      </c>
      <c r="AE94" s="3">
        <v>2000000000</v>
      </c>
      <c r="AF94" s="3">
        <v>2000000000</v>
      </c>
      <c r="AG94" s="3">
        <v>2000000000</v>
      </c>
      <c r="AH94" s="3">
        <v>2000000000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/>
      <c r="BI94" s="3">
        <v>0</v>
      </c>
      <c r="BJ94" s="3"/>
      <c r="BK94" s="3"/>
      <c r="BL94" s="3">
        <v>0</v>
      </c>
      <c r="BM94" s="525">
        <v>0</v>
      </c>
      <c r="BN94" s="525">
        <v>0</v>
      </c>
      <c r="BO94" s="525">
        <v>0</v>
      </c>
      <c r="BP94" s="3">
        <v>0</v>
      </c>
      <c r="BQ94" s="3">
        <v>0</v>
      </c>
      <c r="BR94" s="3"/>
      <c r="BS94" s="3"/>
      <c r="BT94" s="3"/>
      <c r="BU94" s="3"/>
      <c r="BV94" s="3"/>
      <c r="BW94" s="3"/>
    </row>
    <row r="95" spans="1:75" ht="15" customHeight="1" x14ac:dyDescent="0.25">
      <c r="A95" s="58">
        <v>92</v>
      </c>
      <c r="B95" s="78" t="s">
        <v>117</v>
      </c>
      <c r="C95" s="58">
        <v>7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/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/>
      <c r="BI95" s="3">
        <v>0</v>
      </c>
      <c r="BJ95" s="3"/>
      <c r="BK95" s="3"/>
      <c r="BL95" s="3">
        <v>0</v>
      </c>
      <c r="BM95" s="525">
        <v>0</v>
      </c>
      <c r="BN95" s="525">
        <v>0</v>
      </c>
      <c r="BO95" s="525">
        <v>0</v>
      </c>
      <c r="BP95" s="3">
        <v>0</v>
      </c>
      <c r="BQ95" s="3">
        <v>0</v>
      </c>
      <c r="BR95" s="3"/>
      <c r="BS95" s="3"/>
      <c r="BT95" s="3"/>
      <c r="BU95" s="3"/>
      <c r="BV95" s="3"/>
      <c r="BW95" s="3"/>
    </row>
    <row r="96" spans="1:75" ht="15" customHeight="1" x14ac:dyDescent="0.25">
      <c r="A96" s="58">
        <v>93</v>
      </c>
      <c r="B96" s="78" t="s">
        <v>118</v>
      </c>
      <c r="C96" s="58">
        <v>7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/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/>
      <c r="BI96" s="3">
        <v>0</v>
      </c>
      <c r="BJ96" s="3"/>
      <c r="BK96" s="3"/>
      <c r="BL96" s="3">
        <v>0</v>
      </c>
      <c r="BM96" s="525">
        <v>0</v>
      </c>
      <c r="BN96" s="525">
        <v>0</v>
      </c>
      <c r="BO96" s="525">
        <v>0</v>
      </c>
      <c r="BP96" s="3">
        <v>0</v>
      </c>
      <c r="BQ96" s="3">
        <v>0</v>
      </c>
      <c r="BR96" s="3"/>
      <c r="BS96" s="3"/>
      <c r="BT96" s="3"/>
      <c r="BU96" s="3"/>
      <c r="BV96" s="3"/>
      <c r="BW96" s="3"/>
    </row>
    <row r="97" spans="1:75" ht="15" customHeight="1" x14ac:dyDescent="0.25">
      <c r="A97" s="58">
        <v>94</v>
      </c>
      <c r="B97" s="79" t="s">
        <v>119</v>
      </c>
      <c r="C97" s="58">
        <v>7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/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/>
      <c r="BI97" s="3">
        <v>0</v>
      </c>
      <c r="BJ97" s="3"/>
      <c r="BK97" s="3"/>
      <c r="BL97" s="3">
        <v>0</v>
      </c>
      <c r="BM97" s="525">
        <v>0</v>
      </c>
      <c r="BN97" s="525">
        <v>0</v>
      </c>
      <c r="BO97" s="525">
        <v>0</v>
      </c>
      <c r="BP97" s="3">
        <v>0</v>
      </c>
      <c r="BQ97" s="3">
        <v>0</v>
      </c>
      <c r="BR97" s="3"/>
      <c r="BS97" s="3"/>
      <c r="BT97" s="3"/>
      <c r="BU97" s="3"/>
      <c r="BV97" s="3"/>
      <c r="BW97" s="3"/>
    </row>
    <row r="98" spans="1:75" ht="15" customHeight="1" x14ac:dyDescent="0.25">
      <c r="A98" s="58">
        <v>95</v>
      </c>
      <c r="B98" s="79" t="s">
        <v>120</v>
      </c>
      <c r="C98" s="58">
        <v>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/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/>
      <c r="BI98" s="3">
        <v>0</v>
      </c>
      <c r="BJ98" s="3"/>
      <c r="BK98" s="3"/>
      <c r="BL98" s="3">
        <v>0</v>
      </c>
      <c r="BM98" s="525">
        <v>0</v>
      </c>
      <c r="BN98" s="525">
        <v>0</v>
      </c>
      <c r="BO98" s="525">
        <v>0</v>
      </c>
      <c r="BP98" s="3">
        <v>0</v>
      </c>
      <c r="BQ98" s="3">
        <v>0</v>
      </c>
      <c r="BR98" s="3"/>
      <c r="BS98" s="3"/>
      <c r="BT98" s="3"/>
      <c r="BU98" s="3"/>
      <c r="BV98" s="3"/>
      <c r="BW98" s="3"/>
    </row>
    <row r="99" spans="1:75" ht="15" customHeight="1" x14ac:dyDescent="0.25">
      <c r="A99" s="62">
        <v>96</v>
      </c>
      <c r="B99" s="67" t="s">
        <v>344</v>
      </c>
      <c r="C99" s="62">
        <v>7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/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6"/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/>
      <c r="BI99" s="6">
        <v>0</v>
      </c>
      <c r="BJ99" s="6"/>
      <c r="BK99" s="6"/>
      <c r="BL99" s="6">
        <v>0</v>
      </c>
      <c r="BM99" s="527">
        <v>0</v>
      </c>
      <c r="BN99" s="527">
        <v>0</v>
      </c>
      <c r="BO99" s="527">
        <v>0</v>
      </c>
      <c r="BP99" s="6">
        <v>0</v>
      </c>
      <c r="BQ99" s="6">
        <v>0</v>
      </c>
      <c r="BR99" s="6"/>
      <c r="BS99" s="6"/>
      <c r="BT99" s="6"/>
      <c r="BU99" s="6"/>
      <c r="BV99" s="6"/>
      <c r="BW99" s="6"/>
    </row>
    <row r="100" spans="1:75" ht="15" customHeight="1" x14ac:dyDescent="0.25">
      <c r="A100" s="58">
        <v>97</v>
      </c>
      <c r="B100" s="78" t="s">
        <v>122</v>
      </c>
      <c r="C100" s="58">
        <v>7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/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/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/>
      <c r="BI100" s="3">
        <v>0</v>
      </c>
      <c r="BJ100" s="3"/>
      <c r="BK100" s="3"/>
      <c r="BL100" s="3">
        <v>0</v>
      </c>
      <c r="BM100" s="525">
        <v>0</v>
      </c>
      <c r="BN100" s="525">
        <v>0</v>
      </c>
      <c r="BO100" s="525">
        <v>0</v>
      </c>
      <c r="BP100" s="3">
        <v>0</v>
      </c>
      <c r="BQ100" s="3">
        <v>0</v>
      </c>
      <c r="BR100" s="3"/>
      <c r="BS100" s="3"/>
      <c r="BT100" s="3"/>
      <c r="BU100" s="3"/>
      <c r="BV100" s="3"/>
      <c r="BW100" s="3"/>
    </row>
    <row r="101" spans="1:75" ht="15" customHeight="1" x14ac:dyDescent="0.25">
      <c r="A101" s="58">
        <v>98</v>
      </c>
      <c r="B101" s="78" t="s">
        <v>123</v>
      </c>
      <c r="C101" s="58">
        <v>7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/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/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/>
      <c r="BI101" s="3">
        <v>0</v>
      </c>
      <c r="BJ101" s="3"/>
      <c r="BK101" s="3"/>
      <c r="BL101" s="3">
        <v>0</v>
      </c>
      <c r="BM101" s="525">
        <v>0</v>
      </c>
      <c r="BN101" s="525">
        <v>0</v>
      </c>
      <c r="BO101" s="525">
        <v>0</v>
      </c>
      <c r="BP101" s="3">
        <v>0</v>
      </c>
      <c r="BQ101" s="3">
        <v>0</v>
      </c>
      <c r="BR101" s="3"/>
      <c r="BS101" s="3"/>
      <c r="BT101" s="3"/>
      <c r="BU101" s="3"/>
      <c r="BV101" s="3"/>
      <c r="BW101" s="3"/>
    </row>
    <row r="102" spans="1:75" ht="15" customHeight="1" x14ac:dyDescent="0.25">
      <c r="A102" s="58">
        <v>99</v>
      </c>
      <c r="B102" s="78" t="s">
        <v>124</v>
      </c>
      <c r="C102" s="58">
        <v>7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>
        <v>0</v>
      </c>
      <c r="BM102" s="525">
        <v>0</v>
      </c>
      <c r="BN102" s="525">
        <v>0</v>
      </c>
      <c r="BO102" s="525">
        <v>0</v>
      </c>
      <c r="BP102" s="3">
        <v>0</v>
      </c>
      <c r="BQ102" s="3">
        <v>0</v>
      </c>
      <c r="BR102" s="3"/>
      <c r="BS102" s="3"/>
      <c r="BT102" s="3"/>
      <c r="BU102" s="3"/>
      <c r="BV102" s="3"/>
      <c r="BW102" s="3"/>
    </row>
    <row r="103" spans="1:75" ht="15" customHeight="1" x14ac:dyDescent="0.25">
      <c r="A103" s="58">
        <v>100</v>
      </c>
      <c r="B103" s="78" t="s">
        <v>125</v>
      </c>
      <c r="C103" s="58">
        <v>7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/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/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/>
      <c r="BI103" s="3">
        <v>0</v>
      </c>
      <c r="BJ103" s="3"/>
      <c r="BK103" s="3"/>
      <c r="BL103" s="3">
        <v>0</v>
      </c>
      <c r="BM103" s="525">
        <v>0</v>
      </c>
      <c r="BN103" s="525">
        <v>0</v>
      </c>
      <c r="BO103" s="525">
        <v>0</v>
      </c>
      <c r="BP103" s="3">
        <v>0</v>
      </c>
      <c r="BQ103" s="3">
        <v>0</v>
      </c>
      <c r="BR103" s="3"/>
      <c r="BS103" s="3"/>
      <c r="BT103" s="3"/>
      <c r="BU103" s="3"/>
      <c r="BV103" s="3"/>
      <c r="BW103" s="3"/>
    </row>
    <row r="104" spans="1:75" ht="15" customHeight="1" x14ac:dyDescent="0.25">
      <c r="A104" s="58">
        <v>101</v>
      </c>
      <c r="B104" s="78" t="s">
        <v>126</v>
      </c>
      <c r="C104" s="58">
        <v>7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/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/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/>
      <c r="BI104" s="3">
        <v>0</v>
      </c>
      <c r="BJ104" s="3"/>
      <c r="BK104" s="3"/>
      <c r="BL104" s="3">
        <v>0</v>
      </c>
      <c r="BM104" s="525">
        <v>0</v>
      </c>
      <c r="BN104" s="525">
        <v>0</v>
      </c>
      <c r="BO104" s="525">
        <v>0</v>
      </c>
      <c r="BP104" s="3">
        <v>0</v>
      </c>
      <c r="BQ104" s="3">
        <v>0</v>
      </c>
      <c r="BR104" s="3"/>
      <c r="BS104" s="3"/>
      <c r="BT104" s="3"/>
      <c r="BU104" s="3"/>
      <c r="BV104" s="3"/>
      <c r="BW104" s="3"/>
    </row>
    <row r="105" spans="1:75" ht="15" customHeight="1" x14ac:dyDescent="0.25">
      <c r="A105" s="58">
        <v>102</v>
      </c>
      <c r="B105" s="78" t="s">
        <v>127</v>
      </c>
      <c r="C105" s="58">
        <v>7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/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/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/>
      <c r="BI105" s="3">
        <v>0</v>
      </c>
      <c r="BJ105" s="3"/>
      <c r="BK105" s="3"/>
      <c r="BL105" s="3">
        <v>0</v>
      </c>
      <c r="BM105" s="525">
        <v>0</v>
      </c>
      <c r="BN105" s="525">
        <v>0</v>
      </c>
      <c r="BO105" s="525">
        <v>0</v>
      </c>
      <c r="BP105" s="3">
        <v>0</v>
      </c>
      <c r="BQ105" s="3">
        <v>0</v>
      </c>
      <c r="BR105" s="3"/>
      <c r="BS105" s="3"/>
      <c r="BT105" s="3"/>
      <c r="BU105" s="3"/>
      <c r="BV105" s="3"/>
      <c r="BW105" s="3"/>
    </row>
    <row r="106" spans="1:75" ht="15" customHeight="1" x14ac:dyDescent="0.25">
      <c r="A106" s="58">
        <v>103</v>
      </c>
      <c r="B106" s="78" t="s">
        <v>128</v>
      </c>
      <c r="C106" s="58">
        <v>7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/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/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/>
      <c r="BI106" s="3">
        <v>0</v>
      </c>
      <c r="BJ106" s="3"/>
      <c r="BK106" s="3"/>
      <c r="BL106" s="3">
        <v>0</v>
      </c>
      <c r="BM106" s="525">
        <v>0</v>
      </c>
      <c r="BN106" s="525">
        <v>0</v>
      </c>
      <c r="BO106" s="525">
        <v>0</v>
      </c>
      <c r="BP106" s="3">
        <v>0</v>
      </c>
      <c r="BQ106" s="3">
        <v>0</v>
      </c>
      <c r="BR106" s="3"/>
      <c r="BS106" s="3"/>
      <c r="BT106" s="3"/>
      <c r="BU106" s="3"/>
      <c r="BV106" s="3"/>
      <c r="BW106" s="3"/>
    </row>
    <row r="107" spans="1:75" ht="15" customHeight="1" x14ac:dyDescent="0.25">
      <c r="A107" s="58">
        <v>104</v>
      </c>
      <c r="B107" s="78" t="s">
        <v>129</v>
      </c>
      <c r="C107" s="58">
        <v>7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/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/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/>
      <c r="BI107" s="3">
        <v>0</v>
      </c>
      <c r="BJ107" s="3"/>
      <c r="BK107" s="3"/>
      <c r="BL107" s="3">
        <v>0</v>
      </c>
      <c r="BM107" s="525">
        <v>0</v>
      </c>
      <c r="BN107" s="525">
        <v>0</v>
      </c>
      <c r="BO107" s="525">
        <v>0</v>
      </c>
      <c r="BP107" s="3">
        <v>0</v>
      </c>
      <c r="BQ107" s="3">
        <v>0</v>
      </c>
      <c r="BR107" s="3"/>
      <c r="BS107" s="3"/>
      <c r="BT107" s="3"/>
      <c r="BU107" s="3"/>
      <c r="BV107" s="3"/>
      <c r="BW107" s="3"/>
    </row>
    <row r="108" spans="1:75" ht="15" customHeight="1" x14ac:dyDescent="0.25">
      <c r="A108" s="58">
        <v>105</v>
      </c>
      <c r="B108" s="78" t="s">
        <v>345</v>
      </c>
      <c r="C108" s="58">
        <v>7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/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/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/>
      <c r="BI108" s="3">
        <v>0</v>
      </c>
      <c r="BJ108" s="3"/>
      <c r="BK108" s="3"/>
      <c r="BL108" s="3">
        <v>0</v>
      </c>
      <c r="BM108" s="525">
        <v>0</v>
      </c>
      <c r="BN108" s="525">
        <v>0</v>
      </c>
      <c r="BO108" s="525">
        <v>0</v>
      </c>
      <c r="BP108" s="3">
        <v>0</v>
      </c>
      <c r="BQ108" s="3">
        <v>0</v>
      </c>
      <c r="BR108" s="3"/>
      <c r="BS108" s="3"/>
      <c r="BT108" s="3"/>
      <c r="BU108" s="3"/>
      <c r="BV108" s="3"/>
      <c r="BW108" s="3"/>
    </row>
    <row r="109" spans="1:75" ht="15" customHeight="1" x14ac:dyDescent="0.25">
      <c r="A109" s="58">
        <v>106</v>
      </c>
      <c r="B109" s="78" t="s">
        <v>131</v>
      </c>
      <c r="C109" s="58">
        <v>7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/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/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/>
      <c r="BI109" s="3">
        <v>0</v>
      </c>
      <c r="BJ109" s="3"/>
      <c r="BK109" s="3"/>
      <c r="BL109" s="3">
        <v>0</v>
      </c>
      <c r="BM109" s="525">
        <v>0</v>
      </c>
      <c r="BN109" s="525">
        <v>0</v>
      </c>
      <c r="BO109" s="525">
        <v>0</v>
      </c>
      <c r="BP109" s="3">
        <v>0</v>
      </c>
      <c r="BQ109" s="3">
        <v>0</v>
      </c>
      <c r="BR109" s="3"/>
      <c r="BS109" s="3"/>
      <c r="BT109" s="3"/>
      <c r="BU109" s="3"/>
      <c r="BV109" s="3"/>
      <c r="BW109" s="3"/>
    </row>
    <row r="110" spans="1:75" ht="15" customHeight="1" x14ac:dyDescent="0.25">
      <c r="A110" s="58">
        <v>107</v>
      </c>
      <c r="B110" s="78" t="s">
        <v>132</v>
      </c>
      <c r="C110" s="58">
        <v>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/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/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/>
      <c r="BI110" s="3">
        <v>0</v>
      </c>
      <c r="BJ110" s="3"/>
      <c r="BK110" s="3"/>
      <c r="BL110" s="3">
        <v>0</v>
      </c>
      <c r="BM110" s="525">
        <v>0</v>
      </c>
      <c r="BN110" s="525">
        <v>0</v>
      </c>
      <c r="BO110" s="525">
        <v>0</v>
      </c>
      <c r="BP110" s="3">
        <v>0</v>
      </c>
      <c r="BQ110" s="3">
        <v>0</v>
      </c>
      <c r="BR110" s="3"/>
      <c r="BS110" s="3"/>
      <c r="BT110" s="3"/>
      <c r="BU110" s="3"/>
      <c r="BV110" s="3"/>
      <c r="BW110" s="3"/>
    </row>
    <row r="111" spans="1:75" ht="15" customHeight="1" x14ac:dyDescent="0.25">
      <c r="A111" s="58">
        <v>108</v>
      </c>
      <c r="B111" s="78" t="s">
        <v>133</v>
      </c>
      <c r="C111" s="58">
        <v>7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/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/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/>
      <c r="BI111" s="3">
        <v>0</v>
      </c>
      <c r="BJ111" s="3"/>
      <c r="BK111" s="3"/>
      <c r="BL111" s="3">
        <v>0</v>
      </c>
      <c r="BM111" s="525">
        <v>0</v>
      </c>
      <c r="BN111" s="525">
        <v>0</v>
      </c>
      <c r="BO111" s="525">
        <v>0</v>
      </c>
      <c r="BP111" s="3">
        <v>0</v>
      </c>
      <c r="BQ111" s="3">
        <v>0</v>
      </c>
      <c r="BR111" s="3"/>
      <c r="BS111" s="3"/>
      <c r="BT111" s="3"/>
      <c r="BU111" s="3"/>
      <c r="BV111" s="3"/>
      <c r="BW111" s="3"/>
    </row>
    <row r="112" spans="1:75" ht="15" customHeight="1" x14ac:dyDescent="0.25">
      <c r="A112" s="58">
        <v>109</v>
      </c>
      <c r="B112" s="78" t="s">
        <v>134</v>
      </c>
      <c r="C112" s="58">
        <v>7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/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/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/>
      <c r="BI112" s="3">
        <v>0</v>
      </c>
      <c r="BJ112" s="3"/>
      <c r="BK112" s="3"/>
      <c r="BL112" s="3">
        <v>0</v>
      </c>
      <c r="BM112" s="525">
        <v>0</v>
      </c>
      <c r="BN112" s="525">
        <v>0</v>
      </c>
      <c r="BO112" s="525">
        <v>0</v>
      </c>
      <c r="BP112" s="3">
        <v>0</v>
      </c>
      <c r="BQ112" s="3">
        <v>0</v>
      </c>
      <c r="BR112" s="3"/>
      <c r="BS112" s="3"/>
      <c r="BT112" s="3"/>
      <c r="BU112" s="3"/>
      <c r="BV112" s="3"/>
      <c r="BW112" s="3"/>
    </row>
    <row r="113" spans="1:75" ht="15" customHeight="1" x14ac:dyDescent="0.25">
      <c r="A113" s="58">
        <v>110</v>
      </c>
      <c r="B113" s="78" t="s">
        <v>135</v>
      </c>
      <c r="C113" s="58">
        <v>7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/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/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/>
      <c r="BI113" s="3">
        <v>0</v>
      </c>
      <c r="BJ113" s="3"/>
      <c r="BK113" s="3"/>
      <c r="BL113" s="3">
        <v>0</v>
      </c>
      <c r="BM113" s="525">
        <v>0</v>
      </c>
      <c r="BN113" s="525">
        <v>0</v>
      </c>
      <c r="BO113" s="525">
        <v>0</v>
      </c>
      <c r="BP113" s="3">
        <v>0</v>
      </c>
      <c r="BQ113" s="3">
        <v>0</v>
      </c>
      <c r="BR113" s="3"/>
      <c r="BS113" s="3"/>
      <c r="BT113" s="3"/>
      <c r="BU113" s="3"/>
      <c r="BV113" s="3"/>
      <c r="BW113" s="3"/>
    </row>
    <row r="114" spans="1:75" ht="15" customHeight="1" x14ac:dyDescent="0.25">
      <c r="A114" s="65">
        <v>111</v>
      </c>
      <c r="B114" s="55" t="s">
        <v>346</v>
      </c>
      <c r="C114" s="65">
        <v>7</v>
      </c>
      <c r="D114" s="7">
        <v>9587714346</v>
      </c>
      <c r="E114" s="7">
        <v>9331862038</v>
      </c>
      <c r="F114" s="7">
        <v>9042299292</v>
      </c>
      <c r="G114" s="7">
        <v>8821141289</v>
      </c>
      <c r="H114" s="7">
        <v>8662352405</v>
      </c>
      <c r="I114" s="7">
        <v>8499041076</v>
      </c>
      <c r="J114" s="7">
        <v>8370297055</v>
      </c>
      <c r="K114" s="7">
        <v>8269619520</v>
      </c>
      <c r="L114" s="7">
        <v>8146732786</v>
      </c>
      <c r="M114" s="7">
        <v>7992572743</v>
      </c>
      <c r="N114" s="7">
        <v>7814490667</v>
      </c>
      <c r="O114" s="7">
        <v>7578867310</v>
      </c>
      <c r="P114" s="7">
        <v>13015472787</v>
      </c>
      <c r="Q114" s="7">
        <v>12765645818</v>
      </c>
      <c r="R114" s="7">
        <v>13018259754</v>
      </c>
      <c r="S114" s="7">
        <v>13107417472</v>
      </c>
      <c r="T114" s="7">
        <v>13689509940</v>
      </c>
      <c r="U114" s="7">
        <v>15751805681</v>
      </c>
      <c r="V114" s="7">
        <v>15996965043</v>
      </c>
      <c r="W114" s="7">
        <v>16784529711</v>
      </c>
      <c r="X114" s="7">
        <v>17235918440</v>
      </c>
      <c r="Y114" s="7">
        <v>17255985408.047344</v>
      </c>
      <c r="Z114" s="7">
        <v>17648597262</v>
      </c>
      <c r="AA114" s="7">
        <v>15382011641</v>
      </c>
      <c r="AB114" s="7">
        <v>14686620970</v>
      </c>
      <c r="AC114" s="7">
        <v>12276661432</v>
      </c>
      <c r="AD114" s="7">
        <v>11648967774</v>
      </c>
      <c r="AE114" s="7">
        <v>11925607735</v>
      </c>
      <c r="AF114" s="7">
        <v>13015722186</v>
      </c>
      <c r="AG114" s="7">
        <v>13054528252</v>
      </c>
      <c r="AH114" s="7">
        <v>12321636487</v>
      </c>
      <c r="AI114" s="7">
        <v>12243544757</v>
      </c>
      <c r="AJ114" s="7">
        <v>11996031946</v>
      </c>
      <c r="AK114" s="7">
        <v>12002356302</v>
      </c>
      <c r="AL114" s="7">
        <v>12283358212</v>
      </c>
      <c r="AM114" s="7">
        <v>12958433537</v>
      </c>
      <c r="AN114" s="7">
        <v>12951545120</v>
      </c>
      <c r="AO114" s="7">
        <v>12839860196</v>
      </c>
      <c r="AP114" s="7">
        <v>13085508411</v>
      </c>
      <c r="AQ114" s="7">
        <v>12990105098</v>
      </c>
      <c r="AR114" s="7">
        <v>12666255301</v>
      </c>
      <c r="AS114" s="7">
        <v>12554771630</v>
      </c>
      <c r="AT114" s="7">
        <v>12236473645</v>
      </c>
      <c r="AU114" s="7">
        <v>11808419271</v>
      </c>
      <c r="AV114" s="7">
        <v>11251124079</v>
      </c>
      <c r="AW114" s="7">
        <v>11160665381</v>
      </c>
      <c r="AX114" s="7">
        <v>11023340811</v>
      </c>
      <c r="AY114" s="8">
        <v>10673522415</v>
      </c>
      <c r="AZ114" s="8">
        <v>9963793786</v>
      </c>
      <c r="BA114" s="8">
        <v>9297609208</v>
      </c>
      <c r="BB114" s="8">
        <v>9045972241</v>
      </c>
      <c r="BC114" s="8">
        <v>9757259811</v>
      </c>
      <c r="BD114" s="8">
        <v>9981988931</v>
      </c>
      <c r="BE114" s="8">
        <v>10617176020</v>
      </c>
      <c r="BF114" s="8">
        <v>11938856676</v>
      </c>
      <c r="BG114" s="8">
        <v>13144761444</v>
      </c>
      <c r="BH114" s="8">
        <v>13484492427</v>
      </c>
      <c r="BI114" s="8">
        <v>13900895848</v>
      </c>
      <c r="BJ114" s="8">
        <v>14280811461</v>
      </c>
      <c r="BK114" s="8">
        <v>14417330139</v>
      </c>
      <c r="BL114" s="8">
        <v>15232139135</v>
      </c>
      <c r="BM114" s="528">
        <v>15384606704</v>
      </c>
      <c r="BN114" s="528">
        <v>15915303364</v>
      </c>
      <c r="BO114" s="528">
        <v>16431211214</v>
      </c>
      <c r="BP114" s="8">
        <v>17389474107</v>
      </c>
      <c r="BQ114" s="8">
        <v>18257122295</v>
      </c>
      <c r="BR114" s="8"/>
      <c r="BS114" s="8"/>
      <c r="BT114" s="8"/>
      <c r="BU114" s="8"/>
      <c r="BV114" s="8"/>
      <c r="BW114" s="8"/>
    </row>
    <row r="115" spans="1:75" ht="15" customHeight="1" x14ac:dyDescent="0.25">
      <c r="A115" s="58">
        <v>112</v>
      </c>
      <c r="B115" s="78" t="s">
        <v>137</v>
      </c>
      <c r="C115" s="58">
        <v>7</v>
      </c>
      <c r="D115" s="3">
        <v>10000000000</v>
      </c>
      <c r="E115" s="3">
        <v>10000000000</v>
      </c>
      <c r="F115" s="3">
        <v>10000000000</v>
      </c>
      <c r="G115" s="3">
        <v>10000000000</v>
      </c>
      <c r="H115" s="3">
        <v>10000000000</v>
      </c>
      <c r="I115" s="3">
        <v>10000000000</v>
      </c>
      <c r="J115" s="3">
        <v>10000000000</v>
      </c>
      <c r="K115" s="3">
        <v>10000000000</v>
      </c>
      <c r="L115" s="3">
        <v>10000000000</v>
      </c>
      <c r="M115" s="3">
        <v>10000000000</v>
      </c>
      <c r="N115" s="3">
        <v>10000000000</v>
      </c>
      <c r="O115" s="3">
        <v>10000000000</v>
      </c>
      <c r="P115" s="3">
        <v>15000000000</v>
      </c>
      <c r="Q115" s="3">
        <v>15000000000</v>
      </c>
      <c r="R115" s="3">
        <v>15000000000</v>
      </c>
      <c r="S115" s="3">
        <v>15000000000</v>
      </c>
      <c r="T115" s="3">
        <v>15000000000</v>
      </c>
      <c r="U115" s="3">
        <v>17000000000</v>
      </c>
      <c r="V115" s="3">
        <v>17000000000</v>
      </c>
      <c r="W115" s="3">
        <v>17000000000</v>
      </c>
      <c r="X115" s="3">
        <v>17000000000</v>
      </c>
      <c r="Y115" s="3">
        <v>17000000000</v>
      </c>
      <c r="Z115" s="3">
        <v>17000000000</v>
      </c>
      <c r="AA115" s="3">
        <v>17000000000</v>
      </c>
      <c r="AB115" s="3">
        <v>17000000000</v>
      </c>
      <c r="AC115" s="3">
        <v>15000000000</v>
      </c>
      <c r="AD115" s="3">
        <v>15000000000</v>
      </c>
      <c r="AE115" s="3">
        <v>15000000000</v>
      </c>
      <c r="AF115" s="3">
        <v>15000000000</v>
      </c>
      <c r="AG115" s="3">
        <v>15000000000</v>
      </c>
      <c r="AH115" s="3">
        <v>15000000000</v>
      </c>
      <c r="AI115" s="3">
        <v>15000000000</v>
      </c>
      <c r="AJ115" s="3">
        <v>15000000000</v>
      </c>
      <c r="AK115" s="3">
        <v>15000000000</v>
      </c>
      <c r="AL115" s="3">
        <v>15000000000</v>
      </c>
      <c r="AM115" s="3">
        <v>15000000000</v>
      </c>
      <c r="AN115" s="3">
        <v>15000000000</v>
      </c>
      <c r="AO115" s="3">
        <v>15000000000</v>
      </c>
      <c r="AP115" s="3">
        <v>15000000000</v>
      </c>
      <c r="AQ115" s="3">
        <v>15000000000</v>
      </c>
      <c r="AR115" s="3">
        <v>15000000000</v>
      </c>
      <c r="AS115" s="3">
        <v>15000000000</v>
      </c>
      <c r="AT115" s="3">
        <v>15000000000</v>
      </c>
      <c r="AU115" s="3">
        <v>15000000000</v>
      </c>
      <c r="AV115" s="3">
        <v>15000000000</v>
      </c>
      <c r="AW115" s="3">
        <v>15000000000</v>
      </c>
      <c r="AX115" s="3">
        <v>15000000000</v>
      </c>
      <c r="AY115" s="3">
        <v>15000000000</v>
      </c>
      <c r="AZ115" s="3">
        <v>15000000000</v>
      </c>
      <c r="BA115" s="3">
        <v>15000000000</v>
      </c>
      <c r="BB115" s="3">
        <v>15000000000</v>
      </c>
      <c r="BC115" s="3">
        <v>15000000000</v>
      </c>
      <c r="BD115" s="3">
        <v>15000000000</v>
      </c>
      <c r="BE115" s="3">
        <v>15000000000</v>
      </c>
      <c r="BF115" s="3">
        <v>15000000000</v>
      </c>
      <c r="BG115" s="3">
        <v>15000000000</v>
      </c>
      <c r="BH115" s="3">
        <f>BH116+BH117</f>
        <v>15000000000</v>
      </c>
      <c r="BI115" s="3">
        <v>15000000000</v>
      </c>
      <c r="BJ115" s="3">
        <v>15000000000</v>
      </c>
      <c r="BK115" s="3">
        <v>15000000000</v>
      </c>
      <c r="BL115" s="3">
        <v>15000000000</v>
      </c>
      <c r="BM115" s="525">
        <v>15000000000</v>
      </c>
      <c r="BN115" s="525">
        <v>15000000000</v>
      </c>
      <c r="BO115" s="525">
        <v>15000000000</v>
      </c>
      <c r="BP115" s="3">
        <v>15000000000</v>
      </c>
      <c r="BQ115" s="3">
        <v>15000000000</v>
      </c>
      <c r="BR115" s="3"/>
      <c r="BS115" s="3"/>
      <c r="BT115" s="3"/>
      <c r="BU115" s="3"/>
      <c r="BV115" s="3"/>
      <c r="BW115" s="3"/>
    </row>
    <row r="116" spans="1:75" ht="15" customHeight="1" x14ac:dyDescent="0.25">
      <c r="A116" s="58">
        <v>113</v>
      </c>
      <c r="B116" s="78" t="s">
        <v>138</v>
      </c>
      <c r="C116" s="58">
        <v>7</v>
      </c>
      <c r="D116" s="3">
        <v>10000000000</v>
      </c>
      <c r="E116" s="3">
        <v>10000000000</v>
      </c>
      <c r="F116" s="3">
        <v>10000000000</v>
      </c>
      <c r="G116" s="3">
        <v>10000000000</v>
      </c>
      <c r="H116" s="3">
        <v>10000000000</v>
      </c>
      <c r="I116" s="3">
        <v>10000000000</v>
      </c>
      <c r="J116" s="3">
        <v>10000000000</v>
      </c>
      <c r="K116" s="3">
        <v>10000000000</v>
      </c>
      <c r="L116" s="3">
        <v>10000000000</v>
      </c>
      <c r="M116" s="3">
        <v>10000000000</v>
      </c>
      <c r="N116" s="3">
        <v>10000000000</v>
      </c>
      <c r="O116" s="3">
        <v>10000000000</v>
      </c>
      <c r="P116" s="3">
        <v>15000000000</v>
      </c>
      <c r="Q116" s="3">
        <v>15000000000</v>
      </c>
      <c r="R116" s="3">
        <v>15000000000</v>
      </c>
      <c r="S116" s="3">
        <v>15000000000</v>
      </c>
      <c r="T116" s="3">
        <v>15000000000</v>
      </c>
      <c r="U116" s="3">
        <v>17000000000</v>
      </c>
      <c r="V116" s="3">
        <v>17000000000</v>
      </c>
      <c r="W116" s="3">
        <v>17000000000</v>
      </c>
      <c r="X116" s="3">
        <v>17000000000</v>
      </c>
      <c r="Y116" s="3">
        <v>17000000000</v>
      </c>
      <c r="Z116" s="3">
        <v>17000000000</v>
      </c>
      <c r="AA116" s="3">
        <v>17000000000</v>
      </c>
      <c r="AB116" s="3">
        <v>17000000000</v>
      </c>
      <c r="AC116" s="3">
        <v>15000000000</v>
      </c>
      <c r="AD116" s="3">
        <v>15000000000</v>
      </c>
      <c r="AE116" s="3">
        <v>15000000000</v>
      </c>
      <c r="AF116" s="3">
        <v>15000000000</v>
      </c>
      <c r="AG116" s="3">
        <v>15000000000</v>
      </c>
      <c r="AH116" s="3">
        <v>15000000000</v>
      </c>
      <c r="AI116" s="3">
        <v>15000000000</v>
      </c>
      <c r="AJ116" s="3">
        <v>15000000000</v>
      </c>
      <c r="AK116" s="3">
        <v>15000000000</v>
      </c>
      <c r="AL116" s="3">
        <v>15000000000</v>
      </c>
      <c r="AM116" s="3">
        <v>15000000000</v>
      </c>
      <c r="AN116" s="3">
        <v>15000000000</v>
      </c>
      <c r="AO116" s="3">
        <v>15000000000</v>
      </c>
      <c r="AP116" s="3">
        <v>15000000000</v>
      </c>
      <c r="AQ116" s="3">
        <v>15000000000</v>
      </c>
      <c r="AR116" s="3">
        <v>15000000000</v>
      </c>
      <c r="AS116" s="3">
        <v>15000000000</v>
      </c>
      <c r="AT116" s="3">
        <v>15000000000</v>
      </c>
      <c r="AU116" s="3">
        <v>15000000000</v>
      </c>
      <c r="AV116" s="3">
        <v>15000000000</v>
      </c>
      <c r="AW116" s="3">
        <v>15000000000</v>
      </c>
      <c r="AX116" s="3">
        <v>15000000000</v>
      </c>
      <c r="AY116" s="3">
        <v>15000000000</v>
      </c>
      <c r="AZ116" s="3">
        <v>15000000000</v>
      </c>
      <c r="BA116" s="3">
        <v>15000000000</v>
      </c>
      <c r="BB116" s="3">
        <v>15000000000</v>
      </c>
      <c r="BC116" s="3">
        <v>15000000000</v>
      </c>
      <c r="BD116" s="3">
        <v>15000000000</v>
      </c>
      <c r="BE116" s="3">
        <v>15000000000</v>
      </c>
      <c r="BF116" s="3">
        <v>15000000000</v>
      </c>
      <c r="BG116" s="3">
        <v>15000000000</v>
      </c>
      <c r="BH116" s="3">
        <v>15000000000</v>
      </c>
      <c r="BI116" s="3">
        <v>15000000000</v>
      </c>
      <c r="BJ116" s="3">
        <v>15000000000</v>
      </c>
      <c r="BK116" s="3">
        <v>15000000000</v>
      </c>
      <c r="BL116" s="3">
        <v>15000000000</v>
      </c>
      <c r="BM116" s="525">
        <v>15000000000</v>
      </c>
      <c r="BN116" s="525">
        <v>15000000000</v>
      </c>
      <c r="BO116" s="525">
        <v>15000000000</v>
      </c>
      <c r="BP116" s="3">
        <v>15000000000</v>
      </c>
      <c r="BQ116" s="3">
        <v>15000000000</v>
      </c>
      <c r="BR116" s="3"/>
      <c r="BS116" s="3"/>
      <c r="BT116" s="3"/>
      <c r="BU116" s="3"/>
      <c r="BV116" s="3"/>
      <c r="BW116" s="3"/>
    </row>
    <row r="117" spans="1:75" ht="15" customHeight="1" x14ac:dyDescent="0.25">
      <c r="A117" s="58">
        <v>114</v>
      </c>
      <c r="B117" s="78" t="s">
        <v>139</v>
      </c>
      <c r="C117" s="58">
        <v>7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/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/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/>
      <c r="BI117" s="3">
        <v>0</v>
      </c>
      <c r="BJ117" s="3"/>
      <c r="BK117" s="3"/>
      <c r="BL117" s="3">
        <v>0</v>
      </c>
      <c r="BM117" s="525">
        <v>0</v>
      </c>
      <c r="BN117" s="525">
        <v>0</v>
      </c>
      <c r="BO117" s="525">
        <v>0</v>
      </c>
      <c r="BP117" s="3">
        <v>0</v>
      </c>
      <c r="BQ117" s="3">
        <v>0</v>
      </c>
      <c r="BR117" s="3"/>
      <c r="BS117" s="3"/>
      <c r="BT117" s="3"/>
      <c r="BU117" s="3"/>
      <c r="BV117" s="3"/>
      <c r="BW117" s="3"/>
    </row>
    <row r="118" spans="1:75" ht="15" customHeight="1" x14ac:dyDescent="0.25">
      <c r="A118" s="58">
        <v>115</v>
      </c>
      <c r="B118" s="78" t="s">
        <v>140</v>
      </c>
      <c r="C118" s="58">
        <v>7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/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/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/>
      <c r="BI118" s="3">
        <v>0</v>
      </c>
      <c r="BJ118" s="3"/>
      <c r="BK118" s="3"/>
      <c r="BL118" s="3">
        <v>0</v>
      </c>
      <c r="BM118" s="525">
        <v>0</v>
      </c>
      <c r="BN118" s="525">
        <v>0</v>
      </c>
      <c r="BO118" s="525">
        <v>0</v>
      </c>
      <c r="BP118" s="3">
        <v>0</v>
      </c>
      <c r="BQ118" s="3">
        <v>0</v>
      </c>
      <c r="BR118" s="3"/>
      <c r="BS118" s="3"/>
      <c r="BT118" s="3"/>
      <c r="BU118" s="3"/>
      <c r="BV118" s="3"/>
      <c r="BW118" s="3"/>
    </row>
    <row r="119" spans="1:75" ht="15" customHeight="1" x14ac:dyDescent="0.25">
      <c r="A119" s="58">
        <v>116</v>
      </c>
      <c r="B119" s="78" t="s">
        <v>141</v>
      </c>
      <c r="C119" s="58">
        <v>7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/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/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/>
      <c r="BI119" s="3">
        <v>0</v>
      </c>
      <c r="BJ119" s="3"/>
      <c r="BK119" s="3"/>
      <c r="BL119" s="3">
        <v>0</v>
      </c>
      <c r="BM119" s="525">
        <v>0</v>
      </c>
      <c r="BN119" s="525">
        <v>0</v>
      </c>
      <c r="BO119" s="525">
        <v>0</v>
      </c>
      <c r="BP119" s="3">
        <v>0</v>
      </c>
      <c r="BQ119" s="3">
        <v>0</v>
      </c>
      <c r="BR119" s="3"/>
      <c r="BS119" s="3"/>
      <c r="BT119" s="3"/>
      <c r="BU119" s="3"/>
      <c r="BV119" s="3"/>
      <c r="BW119" s="3"/>
    </row>
    <row r="120" spans="1:75" ht="15" customHeight="1" x14ac:dyDescent="0.25">
      <c r="A120" s="58">
        <v>117</v>
      </c>
      <c r="B120" s="78" t="s">
        <v>142</v>
      </c>
      <c r="C120" s="58">
        <v>7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/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/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/>
      <c r="BI120" s="3">
        <v>0</v>
      </c>
      <c r="BJ120" s="3"/>
      <c r="BK120" s="3"/>
      <c r="BL120" s="3">
        <v>0</v>
      </c>
      <c r="BM120" s="525">
        <v>0</v>
      </c>
      <c r="BN120" s="525">
        <v>0</v>
      </c>
      <c r="BO120" s="525">
        <v>0</v>
      </c>
      <c r="BP120" s="3">
        <v>0</v>
      </c>
      <c r="BQ120" s="3">
        <v>0</v>
      </c>
      <c r="BR120" s="3"/>
      <c r="BS120" s="3"/>
      <c r="BT120" s="3"/>
      <c r="BU120" s="3"/>
      <c r="BV120" s="3"/>
      <c r="BW120" s="3"/>
    </row>
    <row r="121" spans="1:75" ht="15" customHeight="1" x14ac:dyDescent="0.25">
      <c r="A121" s="58">
        <v>118</v>
      </c>
      <c r="B121" s="78" t="s">
        <v>143</v>
      </c>
      <c r="C121" s="58">
        <v>7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/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/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/>
      <c r="BI121" s="3">
        <v>0</v>
      </c>
      <c r="BJ121" s="3"/>
      <c r="BK121" s="3"/>
      <c r="BL121" s="3">
        <v>0</v>
      </c>
      <c r="BM121" s="525">
        <v>0</v>
      </c>
      <c r="BN121" s="525">
        <v>0</v>
      </c>
      <c r="BO121" s="525">
        <v>0</v>
      </c>
      <c r="BP121" s="3">
        <v>0</v>
      </c>
      <c r="BQ121" s="3">
        <v>0</v>
      </c>
      <c r="BR121" s="3"/>
      <c r="BS121" s="3"/>
      <c r="BT121" s="3"/>
      <c r="BU121" s="3"/>
      <c r="BV121" s="3"/>
      <c r="BW121" s="3"/>
    </row>
    <row r="122" spans="1:75" ht="15" customHeight="1" x14ac:dyDescent="0.25">
      <c r="A122" s="58">
        <v>119</v>
      </c>
      <c r="B122" s="78" t="s">
        <v>144</v>
      </c>
      <c r="C122" s="58">
        <v>7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/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/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/>
      <c r="BI122" s="3">
        <v>0</v>
      </c>
      <c r="BJ122" s="3"/>
      <c r="BK122" s="3"/>
      <c r="BL122" s="3">
        <v>0</v>
      </c>
      <c r="BM122" s="525">
        <v>0</v>
      </c>
      <c r="BN122" s="525">
        <v>0</v>
      </c>
      <c r="BO122" s="525">
        <v>0</v>
      </c>
      <c r="BP122" s="3">
        <v>0</v>
      </c>
      <c r="BQ122" s="3">
        <v>0</v>
      </c>
      <c r="BR122" s="3"/>
      <c r="BS122" s="3"/>
      <c r="BT122" s="3"/>
      <c r="BU122" s="3"/>
      <c r="BV122" s="3"/>
      <c r="BW122" s="3"/>
    </row>
    <row r="123" spans="1:75" ht="15" customHeight="1" x14ac:dyDescent="0.25">
      <c r="A123" s="58">
        <v>120</v>
      </c>
      <c r="B123" s="78" t="s">
        <v>145</v>
      </c>
      <c r="C123" s="58">
        <v>7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/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/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/>
      <c r="BI123" s="3">
        <v>0</v>
      </c>
      <c r="BJ123" s="3"/>
      <c r="BK123" s="3"/>
      <c r="BL123" s="3">
        <v>0</v>
      </c>
      <c r="BM123" s="525">
        <v>0</v>
      </c>
      <c r="BN123" s="525">
        <v>0</v>
      </c>
      <c r="BO123" s="525">
        <v>0</v>
      </c>
      <c r="BP123" s="3">
        <v>0</v>
      </c>
      <c r="BQ123" s="3">
        <v>0</v>
      </c>
      <c r="BR123" s="3"/>
      <c r="BS123" s="3"/>
      <c r="BT123" s="3"/>
      <c r="BU123" s="3"/>
      <c r="BV123" s="3"/>
      <c r="BW123" s="3"/>
    </row>
    <row r="124" spans="1:75" ht="15" customHeight="1" x14ac:dyDescent="0.25">
      <c r="A124" s="58">
        <v>121</v>
      </c>
      <c r="B124" s="78" t="s">
        <v>146</v>
      </c>
      <c r="C124" s="58">
        <v>7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/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/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/>
      <c r="BI124" s="3">
        <v>0</v>
      </c>
      <c r="BJ124" s="3"/>
      <c r="BK124" s="3"/>
      <c r="BL124" s="3"/>
      <c r="BM124" s="525">
        <v>0</v>
      </c>
      <c r="BN124" s="525">
        <v>0</v>
      </c>
      <c r="BO124" s="525">
        <v>0</v>
      </c>
      <c r="BP124" s="3">
        <v>0</v>
      </c>
      <c r="BQ124" s="3">
        <v>0</v>
      </c>
      <c r="BR124" s="3"/>
      <c r="BS124" s="3"/>
      <c r="BT124" s="3"/>
      <c r="BU124" s="3"/>
      <c r="BV124" s="3"/>
      <c r="BW124" s="3"/>
    </row>
    <row r="125" spans="1:75" ht="15" customHeight="1" x14ac:dyDescent="0.25">
      <c r="A125" s="58">
        <v>122</v>
      </c>
      <c r="B125" s="78" t="s">
        <v>147</v>
      </c>
      <c r="C125" s="58">
        <v>7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/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/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/>
      <c r="BI125" s="3">
        <v>0</v>
      </c>
      <c r="BJ125" s="3"/>
      <c r="BK125" s="3"/>
      <c r="BL125" s="3">
        <v>0</v>
      </c>
      <c r="BM125" s="525">
        <v>0</v>
      </c>
      <c r="BN125" s="525">
        <v>0</v>
      </c>
      <c r="BO125" s="525">
        <v>0</v>
      </c>
      <c r="BP125" s="3">
        <v>0</v>
      </c>
      <c r="BQ125" s="3">
        <v>0</v>
      </c>
      <c r="BR125" s="3"/>
      <c r="BS125" s="3"/>
      <c r="BT125" s="3"/>
      <c r="BU125" s="3"/>
      <c r="BV125" s="3"/>
      <c r="BW125" s="3"/>
    </row>
    <row r="126" spans="1:75" ht="15" customHeight="1" x14ac:dyDescent="0.25">
      <c r="A126" s="80">
        <v>123</v>
      </c>
      <c r="B126" s="81" t="s">
        <v>148</v>
      </c>
      <c r="C126" s="80">
        <v>7</v>
      </c>
      <c r="D126" s="12">
        <f>SUM(D127:D128)</f>
        <v>-412752316</v>
      </c>
      <c r="E126" s="12">
        <f t="shared" ref="E126:BI126" si="1">SUM(E127:E128)</f>
        <v>-668604624</v>
      </c>
      <c r="F126" s="12">
        <f t="shared" si="1"/>
        <v>-958167370</v>
      </c>
      <c r="G126" s="12">
        <f t="shared" si="1"/>
        <v>-1179325373</v>
      </c>
      <c r="H126" s="12">
        <f t="shared" si="1"/>
        <v>-1338114257</v>
      </c>
      <c r="I126" s="12">
        <f t="shared" si="1"/>
        <v>-1501425586</v>
      </c>
      <c r="J126" s="12">
        <f t="shared" si="1"/>
        <v>-1629702944</v>
      </c>
      <c r="K126" s="12">
        <f t="shared" si="1"/>
        <v>-1730380479</v>
      </c>
      <c r="L126" s="12">
        <f t="shared" si="1"/>
        <v>-1853267213</v>
      </c>
      <c r="M126" s="12">
        <f t="shared" si="1"/>
        <v>-2007427256</v>
      </c>
      <c r="N126" s="12">
        <f t="shared" si="1"/>
        <v>-2185509332</v>
      </c>
      <c r="O126" s="12">
        <f t="shared" si="1"/>
        <v>-2421132689</v>
      </c>
      <c r="P126" s="12">
        <f t="shared" si="1"/>
        <v>-1984527211</v>
      </c>
      <c r="Q126" s="12">
        <f t="shared" si="1"/>
        <v>-2234354181</v>
      </c>
      <c r="R126" s="12">
        <f t="shared" si="1"/>
        <v>-1981740245</v>
      </c>
      <c r="S126" s="12">
        <f t="shared" si="1"/>
        <v>-1892582527</v>
      </c>
      <c r="T126" s="12">
        <f t="shared" si="1"/>
        <v>-1310490060</v>
      </c>
      <c r="U126" s="12">
        <f t="shared" si="1"/>
        <v>-1248194319</v>
      </c>
      <c r="V126" s="12">
        <f t="shared" si="1"/>
        <v>-1003034957</v>
      </c>
      <c r="W126" s="12">
        <f t="shared" si="1"/>
        <v>-215470289</v>
      </c>
      <c r="X126" s="12">
        <f t="shared" si="1"/>
        <v>235918440</v>
      </c>
      <c r="Y126" s="12">
        <f t="shared" si="1"/>
        <v>255985409.05929089</v>
      </c>
      <c r="Z126" s="12">
        <f t="shared" si="1"/>
        <v>627614355.05929089</v>
      </c>
      <c r="AA126" s="12">
        <f t="shared" si="1"/>
        <v>-1617988357.9407091</v>
      </c>
      <c r="AB126" s="12">
        <f t="shared" si="1"/>
        <v>-2313379028.9407091</v>
      </c>
      <c r="AC126" s="12">
        <f t="shared" si="1"/>
        <v>-2723338566.9407091</v>
      </c>
      <c r="AD126" s="12">
        <f t="shared" si="1"/>
        <v>-3351032224.9407091</v>
      </c>
      <c r="AE126" s="12">
        <f t="shared" si="1"/>
        <v>-3074392263.9407091</v>
      </c>
      <c r="AF126" s="12">
        <f t="shared" si="1"/>
        <v>-1984277812.9407091</v>
      </c>
      <c r="AG126" s="12">
        <f t="shared" si="1"/>
        <v>-2167317362.9407091</v>
      </c>
      <c r="AH126" s="12">
        <f t="shared" si="1"/>
        <v>-2678363608.9407091</v>
      </c>
      <c r="AI126" s="12">
        <f t="shared" si="1"/>
        <v>-2978300857.9407091</v>
      </c>
      <c r="AJ126" s="12">
        <f t="shared" si="1"/>
        <v>-3225813668.9407091</v>
      </c>
      <c r="AK126" s="12">
        <f t="shared" si="1"/>
        <v>-3010401104.9407091</v>
      </c>
      <c r="AL126" s="12">
        <f t="shared" si="1"/>
        <v>-2729399194.9407091</v>
      </c>
      <c r="AM126" s="12">
        <f t="shared" si="1"/>
        <v>-2041566461.9407091</v>
      </c>
      <c r="AN126" s="12">
        <f t="shared" si="1"/>
        <v>-2048454878.9407091</v>
      </c>
      <c r="AO126" s="12">
        <f t="shared" si="1"/>
        <v>-2160139802.9407091</v>
      </c>
      <c r="AP126" s="12">
        <f t="shared" si="1"/>
        <v>-1914491587.9407091</v>
      </c>
      <c r="AQ126" s="12">
        <f t="shared" si="1"/>
        <v>-2009894900.9407091</v>
      </c>
      <c r="AR126" s="12">
        <f t="shared" si="1"/>
        <v>-2333744697.9407091</v>
      </c>
      <c r="AS126" s="12">
        <f t="shared" si="1"/>
        <v>-2445228368.9407091</v>
      </c>
      <c r="AT126" s="12">
        <f t="shared" si="1"/>
        <v>-2763526353.9407091</v>
      </c>
      <c r="AU126" s="12">
        <f t="shared" si="1"/>
        <v>-3192205727.9407091</v>
      </c>
      <c r="AV126" s="12">
        <f t="shared" si="1"/>
        <v>-3748875919.9407091</v>
      </c>
      <c r="AW126" s="12">
        <f t="shared" si="1"/>
        <v>-3839334617.9407091</v>
      </c>
      <c r="AX126" s="12">
        <f t="shared" si="1"/>
        <v>-3976659187.9407091</v>
      </c>
      <c r="AY126" s="12">
        <f t="shared" si="1"/>
        <v>-4326477583.9407091</v>
      </c>
      <c r="AZ126" s="12">
        <f t="shared" si="1"/>
        <v>-5036206212.9407091</v>
      </c>
      <c r="BA126" s="12">
        <f t="shared" si="1"/>
        <v>-5702390790.9407091</v>
      </c>
      <c r="BB126" s="12">
        <f t="shared" si="1"/>
        <v>-5954027757.9407091</v>
      </c>
      <c r="BC126" s="12">
        <f t="shared" si="1"/>
        <v>-5242740187.9407091</v>
      </c>
      <c r="BD126" s="12">
        <f t="shared" si="1"/>
        <v>-5018011067.9407091</v>
      </c>
      <c r="BE126" s="12">
        <f t="shared" si="1"/>
        <v>-4382823978.9407091</v>
      </c>
      <c r="BF126" s="12">
        <f t="shared" si="1"/>
        <v>-3061143322.9407091</v>
      </c>
      <c r="BG126" s="12">
        <f t="shared" si="1"/>
        <v>-1855238554.9407091</v>
      </c>
      <c r="BH126" s="12">
        <f t="shared" si="1"/>
        <v>-1515507571.9407091</v>
      </c>
      <c r="BI126" s="12">
        <f t="shared" si="1"/>
        <v>-1099104150.9407091</v>
      </c>
      <c r="BJ126" s="12">
        <f>SUM(BJ127:BJ128)-1</f>
        <v>-719188538.94070911</v>
      </c>
      <c r="BK126" s="12">
        <v>-582669861</v>
      </c>
      <c r="BL126" s="12">
        <v>232139135</v>
      </c>
      <c r="BM126" s="532">
        <v>384606704</v>
      </c>
      <c r="BN126" s="532">
        <v>915303364</v>
      </c>
      <c r="BO126" s="532">
        <v>1431211214</v>
      </c>
      <c r="BP126" s="12">
        <v>2389474107</v>
      </c>
      <c r="BQ126" s="12">
        <v>3257122295</v>
      </c>
      <c r="BR126" s="12"/>
      <c r="BS126" s="12"/>
      <c r="BT126" s="12"/>
      <c r="BU126" s="12"/>
      <c r="BV126" s="12"/>
      <c r="BW126" s="12"/>
    </row>
    <row r="127" spans="1:75" ht="15" customHeight="1" x14ac:dyDescent="0.25">
      <c r="A127" s="58">
        <v>124</v>
      </c>
      <c r="B127" s="82" t="s">
        <v>149</v>
      </c>
      <c r="C127" s="58">
        <v>7</v>
      </c>
      <c r="D127" s="3">
        <f>-2903933-466662</f>
        <v>-3370595</v>
      </c>
      <c r="E127" s="3">
        <f>D126</f>
        <v>-412752316</v>
      </c>
      <c r="F127" s="3">
        <f t="shared" ref="F127:BJ127" si="2">E126</f>
        <v>-668604624</v>
      </c>
      <c r="G127" s="3">
        <f t="shared" si="2"/>
        <v>-958167370</v>
      </c>
      <c r="H127" s="3">
        <f t="shared" si="2"/>
        <v>-1179325373</v>
      </c>
      <c r="I127" s="3">
        <f t="shared" si="2"/>
        <v>-1338114257</v>
      </c>
      <c r="J127" s="3">
        <f>I126</f>
        <v>-1501425586</v>
      </c>
      <c r="K127" s="3">
        <f t="shared" si="2"/>
        <v>-1629702944</v>
      </c>
      <c r="L127" s="3">
        <f t="shared" si="2"/>
        <v>-1730380479</v>
      </c>
      <c r="M127" s="3">
        <f t="shared" si="2"/>
        <v>-1853267213</v>
      </c>
      <c r="N127" s="3">
        <f t="shared" si="2"/>
        <v>-2007427256</v>
      </c>
      <c r="O127" s="3">
        <f t="shared" si="2"/>
        <v>-2185509332</v>
      </c>
      <c r="P127" s="3">
        <f t="shared" si="2"/>
        <v>-2421132689</v>
      </c>
      <c r="Q127" s="3">
        <f t="shared" si="2"/>
        <v>-1984527211</v>
      </c>
      <c r="R127" s="3">
        <f t="shared" si="2"/>
        <v>-2234354181</v>
      </c>
      <c r="S127" s="3">
        <f t="shared" si="2"/>
        <v>-1981740245</v>
      </c>
      <c r="T127" s="3">
        <f t="shared" si="2"/>
        <v>-1892582527</v>
      </c>
      <c r="U127" s="3">
        <f t="shared" si="2"/>
        <v>-1310490060</v>
      </c>
      <c r="V127" s="3">
        <f t="shared" si="2"/>
        <v>-1248194319</v>
      </c>
      <c r="W127" s="3">
        <f t="shared" si="2"/>
        <v>-1003034957</v>
      </c>
      <c r="X127" s="3">
        <f t="shared" si="2"/>
        <v>-215470289</v>
      </c>
      <c r="Y127" s="3">
        <f t="shared" si="2"/>
        <v>235918440</v>
      </c>
      <c r="Z127" s="3">
        <f t="shared" si="2"/>
        <v>255985409.05929089</v>
      </c>
      <c r="AA127" s="3">
        <f t="shared" si="2"/>
        <v>627614355.05929089</v>
      </c>
      <c r="AB127" s="3">
        <f t="shared" si="2"/>
        <v>-1617988357.9407091</v>
      </c>
      <c r="AC127" s="3">
        <f t="shared" si="2"/>
        <v>-2313379028.9407091</v>
      </c>
      <c r="AD127" s="3">
        <f t="shared" si="2"/>
        <v>-2723338566.9407091</v>
      </c>
      <c r="AE127" s="3">
        <f t="shared" si="2"/>
        <v>-3351032224.9407091</v>
      </c>
      <c r="AF127" s="3">
        <f t="shared" si="2"/>
        <v>-3074392263.9407091</v>
      </c>
      <c r="AG127" s="3">
        <f t="shared" si="2"/>
        <v>-1984277812.9407091</v>
      </c>
      <c r="AH127" s="3">
        <f t="shared" si="2"/>
        <v>-2167317362.9407091</v>
      </c>
      <c r="AI127" s="3">
        <f t="shared" si="2"/>
        <v>-2678363608.9407091</v>
      </c>
      <c r="AJ127" s="3">
        <f t="shared" si="2"/>
        <v>-2978300857.9407091</v>
      </c>
      <c r="AK127" s="3">
        <f t="shared" si="2"/>
        <v>-3225813668.9407091</v>
      </c>
      <c r="AL127" s="3">
        <f t="shared" si="2"/>
        <v>-3010401104.9407091</v>
      </c>
      <c r="AM127" s="3">
        <f t="shared" si="2"/>
        <v>-2729399194.9407091</v>
      </c>
      <c r="AN127" s="3">
        <f t="shared" si="2"/>
        <v>-2041566461.9407091</v>
      </c>
      <c r="AO127" s="3">
        <f t="shared" si="2"/>
        <v>-2048454878.9407091</v>
      </c>
      <c r="AP127" s="3">
        <f t="shared" si="2"/>
        <v>-2160139802.9407091</v>
      </c>
      <c r="AQ127" s="3">
        <f t="shared" si="2"/>
        <v>-1914491587.9407091</v>
      </c>
      <c r="AR127" s="3">
        <f t="shared" si="2"/>
        <v>-2009894900.9407091</v>
      </c>
      <c r="AS127" s="3">
        <f t="shared" si="2"/>
        <v>-2333744697.9407091</v>
      </c>
      <c r="AT127" s="3">
        <f t="shared" si="2"/>
        <v>-2445228368.9407091</v>
      </c>
      <c r="AU127" s="3">
        <f t="shared" si="2"/>
        <v>-2763526353.9407091</v>
      </c>
      <c r="AV127" s="3">
        <f t="shared" si="2"/>
        <v>-3192205727.9407091</v>
      </c>
      <c r="AW127" s="3">
        <f t="shared" si="2"/>
        <v>-3748875919.9407091</v>
      </c>
      <c r="AX127" s="3">
        <f t="shared" si="2"/>
        <v>-3839334617.9407091</v>
      </c>
      <c r="AY127" s="3">
        <f t="shared" si="2"/>
        <v>-3976659187.9407091</v>
      </c>
      <c r="AZ127" s="3">
        <f t="shared" si="2"/>
        <v>-4326477583.9407091</v>
      </c>
      <c r="BA127" s="3">
        <f t="shared" si="2"/>
        <v>-5036206212.9407091</v>
      </c>
      <c r="BB127" s="3">
        <f t="shared" si="2"/>
        <v>-5702390790.9407091</v>
      </c>
      <c r="BC127" s="3">
        <f t="shared" si="2"/>
        <v>-5954027757.9407091</v>
      </c>
      <c r="BD127" s="3">
        <f t="shared" si="2"/>
        <v>-5242740187.9407091</v>
      </c>
      <c r="BE127" s="3">
        <f t="shared" si="2"/>
        <v>-5018011067.9407091</v>
      </c>
      <c r="BF127" s="3">
        <f t="shared" si="2"/>
        <v>-4382823978.9407091</v>
      </c>
      <c r="BG127" s="3">
        <f t="shared" si="2"/>
        <v>-3061143322.9407091</v>
      </c>
      <c r="BH127" s="3">
        <f t="shared" si="2"/>
        <v>-1855238554.9407091</v>
      </c>
      <c r="BI127" s="3">
        <f t="shared" si="2"/>
        <v>-1515507571.9407091</v>
      </c>
      <c r="BJ127" s="3">
        <f t="shared" si="2"/>
        <v>-1099104150.9407091</v>
      </c>
      <c r="BK127" s="3">
        <v>-719188539</v>
      </c>
      <c r="BL127" s="3">
        <v>-582669861</v>
      </c>
      <c r="BM127" s="525">
        <v>232139135</v>
      </c>
      <c r="BN127" s="525">
        <v>384606704</v>
      </c>
      <c r="BO127" s="525">
        <v>915303364</v>
      </c>
      <c r="BP127" s="3">
        <v>1431211214</v>
      </c>
      <c r="BQ127" s="3">
        <v>2334327051</v>
      </c>
      <c r="BR127" s="3"/>
      <c r="BS127" s="3"/>
      <c r="BT127" s="3"/>
      <c r="BU127" s="3"/>
      <c r="BV127" s="3"/>
      <c r="BW127" s="3"/>
    </row>
    <row r="128" spans="1:75" ht="15" customHeight="1" x14ac:dyDescent="0.25">
      <c r="A128" s="58">
        <v>125</v>
      </c>
      <c r="B128" s="82" t="s">
        <v>150</v>
      </c>
      <c r="C128" s="58">
        <v>7</v>
      </c>
      <c r="D128" s="3">
        <f>'Ket qua kinh doanh'!D23</f>
        <v>-409381721</v>
      </c>
      <c r="E128" s="3">
        <f>'Ket qua kinh doanh'!E23</f>
        <v>-255852308</v>
      </c>
      <c r="F128" s="3">
        <f>'Ket qua kinh doanh'!F23</f>
        <v>-289562746</v>
      </c>
      <c r="G128" s="3">
        <f>'Ket qua kinh doanh'!G23</f>
        <v>-221158003</v>
      </c>
      <c r="H128" s="3">
        <f>'Ket qua kinh doanh'!H23</f>
        <v>-158788884</v>
      </c>
      <c r="I128" s="3">
        <f>'Ket qua kinh doanh'!I23</f>
        <v>-163311329</v>
      </c>
      <c r="J128" s="3">
        <f>'Ket qua kinh doanh'!J23</f>
        <v>-128277358</v>
      </c>
      <c r="K128" s="3">
        <f>'Ket qua kinh doanh'!K23</f>
        <v>-100677535</v>
      </c>
      <c r="L128" s="3">
        <f>'Ket qua kinh doanh'!L23</f>
        <v>-122886734</v>
      </c>
      <c r="M128" s="3">
        <f>'Ket qua kinh doanh'!M23</f>
        <v>-154160043</v>
      </c>
      <c r="N128" s="3">
        <f>'Ket qua kinh doanh'!N23</f>
        <v>-178082076</v>
      </c>
      <c r="O128" s="3">
        <f>'Ket qua kinh doanh'!O23</f>
        <v>-235623357</v>
      </c>
      <c r="P128" s="3">
        <f>'Ket qua kinh doanh'!P23</f>
        <v>436605478</v>
      </c>
      <c r="Q128" s="3">
        <f>'Ket qua kinh doanh'!Q23</f>
        <v>-249826970</v>
      </c>
      <c r="R128" s="3">
        <f>'Ket qua kinh doanh'!R23</f>
        <v>252613936</v>
      </c>
      <c r="S128" s="3">
        <f>'Ket qua kinh doanh'!S23</f>
        <v>89157718</v>
      </c>
      <c r="T128" s="3">
        <f>'Ket qua kinh doanh'!T23</f>
        <v>582092467</v>
      </c>
      <c r="U128" s="3">
        <f>'Ket qua kinh doanh'!U23</f>
        <v>62295741</v>
      </c>
      <c r="V128" s="3">
        <f>'Ket qua kinh doanh'!V23</f>
        <v>245159362</v>
      </c>
      <c r="W128" s="3">
        <f>'Ket qua kinh doanh'!W23</f>
        <v>787564668</v>
      </c>
      <c r="X128" s="3">
        <f>'Ket qua kinh doanh'!X23</f>
        <v>451388729</v>
      </c>
      <c r="Y128" s="3">
        <f>'Ket qua kinh doanh'!Y23</f>
        <v>20066969.059290886</v>
      </c>
      <c r="Z128" s="3">
        <f>'Ket qua kinh doanh'!Z23</f>
        <v>371628946</v>
      </c>
      <c r="AA128" s="3">
        <f>'Ket qua kinh doanh'!AA23</f>
        <v>-2245602713</v>
      </c>
      <c r="AB128" s="3">
        <f>'Ket qua kinh doanh'!AB23</f>
        <v>-695390671</v>
      </c>
      <c r="AC128" s="3">
        <f>'Ket qua kinh doanh'!AC23</f>
        <v>-409959538</v>
      </c>
      <c r="AD128" s="3">
        <f>'Ket qua kinh doanh'!AD23</f>
        <v>-627693658</v>
      </c>
      <c r="AE128" s="3">
        <f>'Ket qua kinh doanh'!AE23</f>
        <v>276639961</v>
      </c>
      <c r="AF128" s="3">
        <f>'Ket qua kinh doanh'!AF23</f>
        <v>1090114451</v>
      </c>
      <c r="AG128" s="3">
        <f>'Ket qua kinh doanh'!AG23</f>
        <v>-183039550</v>
      </c>
      <c r="AH128" s="3">
        <f>'Ket qua kinh doanh'!AH23</f>
        <v>-511046246</v>
      </c>
      <c r="AI128" s="3">
        <f>'Ket qua kinh doanh'!AI23</f>
        <v>-299937249</v>
      </c>
      <c r="AJ128" s="3">
        <f>'Ket qua kinh doanh'!AJ23</f>
        <v>-247512811</v>
      </c>
      <c r="AK128" s="3">
        <f>'Ket qua kinh doanh'!AK23</f>
        <v>215412564</v>
      </c>
      <c r="AL128" s="3">
        <f>'Ket qua kinh doanh'!AL23</f>
        <v>281001910</v>
      </c>
      <c r="AM128" s="3">
        <f>'Ket qua kinh doanh'!AM23</f>
        <v>687832733</v>
      </c>
      <c r="AN128" s="3">
        <f>'Ket qua kinh doanh'!AN23</f>
        <v>-6888417</v>
      </c>
      <c r="AO128" s="3">
        <f>'Ket qua kinh doanh'!AO23</f>
        <v>-111684924</v>
      </c>
      <c r="AP128" s="3">
        <f>'Ket qua kinh doanh'!AP23</f>
        <v>245648215</v>
      </c>
      <c r="AQ128" s="3">
        <f>'Ket qua kinh doanh'!AQ23</f>
        <v>-95403313</v>
      </c>
      <c r="AR128" s="3">
        <f>'Ket qua kinh doanh'!AR23</f>
        <v>-323849797</v>
      </c>
      <c r="AS128" s="3">
        <f>'Ket qua kinh doanh'!AS23</f>
        <v>-111483671</v>
      </c>
      <c r="AT128" s="3">
        <f>'Ket qua kinh doanh'!AT23</f>
        <v>-318297985</v>
      </c>
      <c r="AU128" s="3">
        <f>'Ket qua kinh doanh'!AU23</f>
        <v>-428679374</v>
      </c>
      <c r="AV128" s="3">
        <f>'Ket qua kinh doanh'!AV23</f>
        <v>-556670192</v>
      </c>
      <c r="AW128" s="3">
        <f>'Ket qua kinh doanh'!AW23</f>
        <v>-90458698</v>
      </c>
      <c r="AX128" s="3">
        <f>'Ket qua kinh doanh'!AX23</f>
        <v>-137324570</v>
      </c>
      <c r="AY128" s="3">
        <f>'Ket qua kinh doanh'!AY23</f>
        <v>-349818396</v>
      </c>
      <c r="AZ128" s="3">
        <f>'Ket qua kinh doanh'!AZ23</f>
        <v>-709728629</v>
      </c>
      <c r="BA128" s="3">
        <f>'Ket qua kinh doanh'!BA23</f>
        <v>-666184578</v>
      </c>
      <c r="BB128" s="3">
        <f>'Ket qua kinh doanh'!BB23</f>
        <v>-251636967</v>
      </c>
      <c r="BC128" s="3">
        <f>'Ket qua kinh doanh'!BC23</f>
        <v>711287570</v>
      </c>
      <c r="BD128" s="3">
        <f>'Ket qua kinh doanh'!BD23</f>
        <v>224729120</v>
      </c>
      <c r="BE128" s="3">
        <f>'Ket qua kinh doanh'!BE23</f>
        <v>635187089</v>
      </c>
      <c r="BF128" s="3">
        <f>'Ket qua kinh doanh'!BF23</f>
        <v>1321680656</v>
      </c>
      <c r="BG128" s="3">
        <f>'Ket qua kinh doanh'!BG23</f>
        <v>1205904768</v>
      </c>
      <c r="BH128" s="3">
        <f>'Ket qua kinh doanh'!BH23</f>
        <v>339730983</v>
      </c>
      <c r="BI128" s="3">
        <f>'Ket qua kinh doanh'!BI23</f>
        <v>416403421</v>
      </c>
      <c r="BJ128" s="3">
        <f>'Ket qua kinh doanh'!BJ23</f>
        <v>379915613</v>
      </c>
      <c r="BK128" s="3">
        <f>'Ket qua kinh doanh'!BK23</f>
        <v>136518678</v>
      </c>
      <c r="BL128" s="3">
        <f>'Ket qua kinh doanh'!BL23</f>
        <v>814808996</v>
      </c>
      <c r="BM128" s="525">
        <f>'Ket qua kinh doanh'!BM23</f>
        <v>152467569</v>
      </c>
      <c r="BN128" s="525">
        <f>'Ket qua kinh doanh'!BN23</f>
        <v>530696660</v>
      </c>
      <c r="BO128" s="525">
        <f>'Ket qua kinh doanh'!BO23</f>
        <v>515907850</v>
      </c>
      <c r="BP128" s="3">
        <f>'Ket qua kinh doanh'!BP23</f>
        <v>958262893</v>
      </c>
      <c r="BQ128" s="3">
        <v>922795244</v>
      </c>
      <c r="BR128" s="3"/>
      <c r="BS128" s="3"/>
      <c r="BT128" s="3"/>
      <c r="BU128" s="3"/>
      <c r="BV128" s="3"/>
      <c r="BW128" s="3"/>
    </row>
    <row r="129" spans="1:75" s="85" customFormat="1" ht="15" customHeight="1" x14ac:dyDescent="0.25">
      <c r="A129" s="83">
        <v>126</v>
      </c>
      <c r="B129" s="84" t="s">
        <v>347</v>
      </c>
      <c r="C129" s="83">
        <v>7</v>
      </c>
      <c r="D129" s="13">
        <v>10331196663</v>
      </c>
      <c r="E129" s="13">
        <v>10408146462</v>
      </c>
      <c r="F129" s="13">
        <v>10198109431</v>
      </c>
      <c r="G129" s="13">
        <v>9658790120</v>
      </c>
      <c r="H129" s="13">
        <v>9662232004</v>
      </c>
      <c r="I129" s="13">
        <v>9896832066</v>
      </c>
      <c r="J129" s="13">
        <v>9750676743</v>
      </c>
      <c r="K129" s="13">
        <v>9666825682</v>
      </c>
      <c r="L129" s="13">
        <v>9033034496</v>
      </c>
      <c r="M129" s="13">
        <v>9427572107</v>
      </c>
      <c r="N129" s="13">
        <v>9245410950</v>
      </c>
      <c r="O129" s="13">
        <v>9499092471</v>
      </c>
      <c r="P129" s="13">
        <v>14389292648</v>
      </c>
      <c r="Q129" s="13">
        <v>14392066609</v>
      </c>
      <c r="R129" s="13">
        <v>15115877507</v>
      </c>
      <c r="S129" s="13">
        <v>15347980469</v>
      </c>
      <c r="T129" s="13">
        <v>14439889689</v>
      </c>
      <c r="U129" s="13">
        <v>16966360709</v>
      </c>
      <c r="V129" s="13">
        <v>16502655613</v>
      </c>
      <c r="W129" s="13">
        <v>17870643932</v>
      </c>
      <c r="X129" s="13">
        <v>18280893576</v>
      </c>
      <c r="Y129" s="13">
        <v>17928257831.5326</v>
      </c>
      <c r="Z129" s="13">
        <v>18994843676</v>
      </c>
      <c r="AA129" s="13">
        <v>17878408624</v>
      </c>
      <c r="AB129" s="13">
        <v>16693258621</v>
      </c>
      <c r="AC129" s="13">
        <v>15960363498</v>
      </c>
      <c r="AD129" s="13">
        <v>15483773366</v>
      </c>
      <c r="AE129" s="13">
        <v>16779523372</v>
      </c>
      <c r="AF129" s="13">
        <v>17895276287</v>
      </c>
      <c r="AG129" s="13">
        <v>18294947504</v>
      </c>
      <c r="AH129" s="13">
        <v>16447783551</v>
      </c>
      <c r="AI129" s="13">
        <v>14177370703</v>
      </c>
      <c r="AJ129" s="13">
        <v>14116145417.860001</v>
      </c>
      <c r="AK129" s="13">
        <v>13891024137.860001</v>
      </c>
      <c r="AL129" s="13">
        <v>15347051221.860001</v>
      </c>
      <c r="AM129" s="13">
        <v>16226848324.860001</v>
      </c>
      <c r="AN129" s="13">
        <v>15507979212</v>
      </c>
      <c r="AO129" s="13">
        <v>15417714531</v>
      </c>
      <c r="AP129" s="13">
        <v>15345218657.860001</v>
      </c>
      <c r="AQ129" s="13">
        <v>14887272764.882</v>
      </c>
      <c r="AR129" s="13">
        <v>14208989819</v>
      </c>
      <c r="AS129" s="13">
        <v>14469402313</v>
      </c>
      <c r="AT129" s="13">
        <v>13889448295</v>
      </c>
      <c r="AU129" s="13">
        <v>15964623066</v>
      </c>
      <c r="AV129" s="13">
        <v>16416433118</v>
      </c>
      <c r="AW129" s="13">
        <v>18528574980</v>
      </c>
      <c r="AX129" s="13">
        <v>18411366075</v>
      </c>
      <c r="AY129" s="14">
        <v>17769431513.482002</v>
      </c>
      <c r="AZ129" s="14">
        <v>16889928225</v>
      </c>
      <c r="BA129" s="14">
        <v>17887328825</v>
      </c>
      <c r="BB129" s="14">
        <v>16933513757.482</v>
      </c>
      <c r="BC129" s="14">
        <v>16999255969</v>
      </c>
      <c r="BD129" s="14">
        <v>17131684163</v>
      </c>
      <c r="BE129" s="14">
        <v>18263438107.481998</v>
      </c>
      <c r="BF129" s="14">
        <v>19775807817.482101</v>
      </c>
      <c r="BG129" s="14">
        <v>22605079961.482101</v>
      </c>
      <c r="BH129" s="14">
        <f>+BH114+BH82</f>
        <v>20636649601.482002</v>
      </c>
      <c r="BI129" s="14">
        <v>20713286536.481998</v>
      </c>
      <c r="BJ129" s="14">
        <f t="shared" ref="BJ129" si="3">+BJ114+BJ82</f>
        <v>21582121492.482002</v>
      </c>
      <c r="BK129" s="14">
        <f t="shared" ref="BK129" si="4">+BK114+BK82</f>
        <v>22374498981</v>
      </c>
      <c r="BL129" s="14">
        <v>23802859474</v>
      </c>
      <c r="BM129" s="533">
        <v>23764695750</v>
      </c>
      <c r="BN129" s="533">
        <v>25352403348</v>
      </c>
      <c r="BO129" s="533">
        <v>23712327139</v>
      </c>
      <c r="BP129" s="14">
        <v>26159337989</v>
      </c>
      <c r="BQ129" s="14">
        <v>28084604809</v>
      </c>
      <c r="BR129" s="14"/>
      <c r="BS129" s="14"/>
      <c r="BT129" s="14"/>
      <c r="BU129" s="14"/>
      <c r="BV129" s="14"/>
      <c r="BW129" s="14"/>
    </row>
    <row r="130" spans="1:75" ht="15" customHeight="1" x14ac:dyDescent="0.25">
      <c r="A130" s="86"/>
      <c r="B130" s="87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</row>
    <row r="131" spans="1:75" ht="15" customHeight="1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</row>
    <row r="132" spans="1:75" ht="15" customHeight="1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</row>
    <row r="133" spans="1:75" ht="15" customHeight="1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</row>
    <row r="134" spans="1:75" ht="15" customHeight="1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</row>
    <row r="135" spans="1:75" ht="15" customHeight="1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</row>
    <row r="136" spans="1:75" ht="15" customHeight="1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</row>
    <row r="137" spans="1:75" ht="15" customHeight="1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</row>
    <row r="138" spans="1:75" ht="15" customHeight="1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</row>
    <row r="139" spans="1:75" ht="15" customHeight="1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</row>
    <row r="140" spans="1:75" ht="15" customHeight="1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</row>
    <row r="141" spans="1:75" ht="15" customHeight="1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</row>
    <row r="142" spans="1:75" ht="15" customHeight="1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</row>
    <row r="143" spans="1:75" ht="15" customHeight="1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</row>
    <row r="144" spans="1:75" ht="15" customHeight="1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</row>
    <row r="145" spans="1:75" ht="15" customHeight="1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</row>
    <row r="146" spans="1:75" ht="15" customHeight="1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</row>
    <row r="147" spans="1:75" ht="15" customHeight="1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</row>
    <row r="148" spans="1:75" ht="15" customHeight="1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</row>
    <row r="149" spans="1:75" ht="15" customHeight="1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</row>
    <row r="150" spans="1:75" ht="15" customHeight="1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</row>
    <row r="151" spans="1:75" ht="15" customHeight="1" x14ac:dyDescent="0.25">
      <c r="A151" s="89"/>
      <c r="B151" s="90"/>
      <c r="C151" s="89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2"/>
      <c r="AY151" s="92"/>
      <c r="AZ151" s="92"/>
      <c r="BA151" s="92"/>
      <c r="BB151" s="92"/>
      <c r="BC151" s="92"/>
      <c r="BD151" s="92"/>
      <c r="BE151" s="92"/>
      <c r="BF151" s="92"/>
      <c r="BG151" s="92"/>
      <c r="BH151" s="92"/>
      <c r="BI151" s="92"/>
      <c r="BJ151" s="92"/>
      <c r="BK151" s="92"/>
      <c r="BL151" s="92"/>
      <c r="BM151" s="92"/>
      <c r="BN151" s="92"/>
      <c r="BO151" s="92"/>
      <c r="BP151" s="92"/>
      <c r="BQ151" s="92"/>
      <c r="BR151" s="92"/>
      <c r="BS151" s="92"/>
      <c r="BT151" s="92"/>
      <c r="BU151" s="92"/>
      <c r="BV151" s="92"/>
      <c r="BW151" s="92"/>
    </row>
    <row r="152" spans="1:75" ht="15" customHeight="1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</row>
    <row r="153" spans="1:75" ht="15" customHeight="1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</row>
    <row r="154" spans="1:75" ht="15" customHeight="1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</row>
    <row r="155" spans="1:75" ht="15" customHeight="1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</row>
    <row r="156" spans="1:75" ht="15" customHeight="1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</row>
    <row r="157" spans="1:75" ht="15" customHeight="1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</row>
    <row r="158" spans="1:75" ht="14.25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</row>
    <row r="159" spans="1:75" ht="15" customHeight="1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</row>
    <row r="160" spans="1:75" ht="15" customHeight="1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</row>
    <row r="161" s="46" customFormat="1" ht="15" customHeight="1" x14ac:dyDescent="0.25"/>
    <row r="162" s="46" customFormat="1" ht="14.25" x14ac:dyDescent="0.25"/>
    <row r="163" s="46" customFormat="1" ht="15" customHeight="1" x14ac:dyDescent="0.25"/>
    <row r="164" s="46" customFormat="1" ht="15" customHeight="1" x14ac:dyDescent="0.25"/>
    <row r="165" s="46" customFormat="1" ht="14.25" x14ac:dyDescent="0.25"/>
    <row r="166" s="46" customFormat="1" ht="15" customHeight="1" x14ac:dyDescent="0.25"/>
    <row r="167" s="46" customFormat="1" ht="15" customHeight="1" x14ac:dyDescent="0.25"/>
    <row r="168" s="46" customFormat="1" ht="15" customHeight="1" x14ac:dyDescent="0.25"/>
    <row r="169" s="46" customFormat="1" ht="15" customHeight="1" x14ac:dyDescent="0.25"/>
    <row r="170" s="46" customFormat="1" ht="15" customHeight="1" x14ac:dyDescent="0.25"/>
    <row r="171" s="46" customFormat="1" ht="15" customHeight="1" x14ac:dyDescent="0.25"/>
    <row r="172" s="46" customFormat="1" ht="15" customHeight="1" x14ac:dyDescent="0.25"/>
    <row r="173" s="46" customFormat="1" ht="15" customHeight="1" x14ac:dyDescent="0.25"/>
    <row r="174" s="46" customFormat="1" ht="14.25" x14ac:dyDescent="0.25"/>
    <row r="175" s="46" customFormat="1" ht="14.25" x14ac:dyDescent="0.25"/>
    <row r="176" s="46" customFormat="1" ht="14.25" x14ac:dyDescent="0.25"/>
    <row r="177" s="46" customFormat="1" ht="14.25" x14ac:dyDescent="0.25"/>
    <row r="178" s="46" customFormat="1" ht="15" customHeight="1" x14ac:dyDescent="0.25"/>
    <row r="179" s="46" customFormat="1" ht="15" customHeight="1" x14ac:dyDescent="0.25"/>
    <row r="180" s="46" customFormat="1" ht="15" customHeight="1" x14ac:dyDescent="0.25"/>
    <row r="181" s="46" customFormat="1" ht="15" customHeight="1" x14ac:dyDescent="0.25"/>
    <row r="182" s="46" customFormat="1" ht="15" customHeight="1" x14ac:dyDescent="0.25"/>
    <row r="183" s="46" customFormat="1" ht="14.25" x14ac:dyDescent="0.25"/>
    <row r="184" s="46" customFormat="1" ht="14.25" x14ac:dyDescent="0.25"/>
    <row r="185" s="46" customFormat="1" ht="15" customHeight="1" x14ac:dyDescent="0.25"/>
    <row r="186" s="46" customFormat="1" ht="15" customHeight="1" x14ac:dyDescent="0.25"/>
    <row r="187" s="46" customFormat="1" ht="15" customHeight="1" x14ac:dyDescent="0.25"/>
    <row r="188" s="46" customFormat="1" ht="15" customHeight="1" x14ac:dyDescent="0.25"/>
    <row r="189" s="46" customFormat="1" ht="15" customHeight="1" x14ac:dyDescent="0.25"/>
    <row r="190" s="46" customFormat="1" ht="15" customHeight="1" x14ac:dyDescent="0.25"/>
    <row r="191" s="46" customFormat="1" ht="15" customHeight="1" x14ac:dyDescent="0.25"/>
    <row r="192" s="46" customFormat="1" ht="15" customHeight="1" x14ac:dyDescent="0.25"/>
    <row r="193" spans="1:75" ht="15" customHeight="1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</row>
    <row r="194" spans="1:75" ht="15" customHeight="1" x14ac:dyDescent="0.25"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  <c r="AY194" s="95"/>
      <c r="AZ194" s="95"/>
      <c r="BA194" s="95"/>
      <c r="BB194" s="95"/>
      <c r="BC194" s="95"/>
      <c r="BD194" s="95"/>
      <c r="BE194" s="95"/>
      <c r="BF194" s="95"/>
      <c r="BG194" s="95"/>
      <c r="BH194" s="95"/>
      <c r="BI194" s="95"/>
      <c r="BJ194" s="95"/>
      <c r="BK194" s="95"/>
      <c r="BL194" s="95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</row>
    <row r="195" spans="1:75" ht="15" customHeight="1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</row>
    <row r="196" spans="1:75" ht="15" customHeight="1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</row>
    <row r="197" spans="1:75" ht="15" customHeight="1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</row>
    <row r="198" spans="1:75" ht="15" customHeight="1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</row>
    <row r="199" spans="1:75" ht="15" customHeight="1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</row>
    <row r="200" spans="1:75" ht="15" customHeight="1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</row>
    <row r="201" spans="1:75" ht="15" customHeight="1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</row>
    <row r="202" spans="1:75" ht="15" customHeight="1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</row>
    <row r="203" spans="1:75" ht="15" customHeight="1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</row>
    <row r="204" spans="1:75" ht="15" customHeight="1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  <c r="BO204" s="46"/>
      <c r="BP204" s="46"/>
      <c r="BQ204" s="46"/>
      <c r="BR204" s="46"/>
      <c r="BS204" s="46"/>
      <c r="BT204" s="46"/>
      <c r="BU204" s="46"/>
      <c r="BV204" s="46"/>
      <c r="BW204" s="46"/>
    </row>
    <row r="205" spans="1:75" ht="15" customHeight="1" x14ac:dyDescent="0.2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</row>
    <row r="206" spans="1:75" ht="15" customHeight="1" x14ac:dyDescent="0.25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</row>
    <row r="207" spans="1:75" ht="15" customHeight="1" x14ac:dyDescent="0.25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</row>
    <row r="208" spans="1:75" ht="15" customHeight="1" x14ac:dyDescent="0.25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</row>
    <row r="209" s="46" customFormat="1" ht="15" customHeight="1" x14ac:dyDescent="0.25"/>
    <row r="210" s="46" customFormat="1" ht="15" customHeight="1" x14ac:dyDescent="0.25"/>
    <row r="211" s="46" customFormat="1" ht="15" customHeight="1" x14ac:dyDescent="0.25"/>
    <row r="212" s="46" customFormat="1" ht="15" customHeight="1" x14ac:dyDescent="0.25"/>
    <row r="213" s="46" customFormat="1" ht="15" customHeight="1" x14ac:dyDescent="0.25"/>
    <row r="214" s="46" customFormat="1" ht="15" customHeight="1" x14ac:dyDescent="0.25"/>
    <row r="215" s="46" customFormat="1" ht="15" customHeight="1" x14ac:dyDescent="0.25"/>
    <row r="216" s="46" customFormat="1" ht="15" customHeight="1" x14ac:dyDescent="0.25"/>
    <row r="217" s="46" customFormat="1" ht="15" customHeight="1" x14ac:dyDescent="0.25"/>
    <row r="218" s="46" customFormat="1" ht="15" customHeight="1" x14ac:dyDescent="0.25"/>
    <row r="219" s="46" customFormat="1" ht="15" customHeight="1" x14ac:dyDescent="0.25"/>
    <row r="220" s="46" customFormat="1" ht="15" customHeight="1" x14ac:dyDescent="0.25"/>
    <row r="221" s="46" customFormat="1" ht="15" customHeight="1" x14ac:dyDescent="0.25"/>
    <row r="222" s="46" customFormat="1" ht="15" customHeight="1" x14ac:dyDescent="0.25"/>
    <row r="223" s="46" customFormat="1" ht="15" customHeight="1" x14ac:dyDescent="0.25"/>
    <row r="224" s="46" customFormat="1" ht="15" customHeight="1" x14ac:dyDescent="0.25"/>
    <row r="225" s="46" customFormat="1" ht="15" customHeight="1" x14ac:dyDescent="0.25"/>
    <row r="226" s="46" customFormat="1" ht="15" customHeight="1" x14ac:dyDescent="0.25"/>
    <row r="227" s="46" customFormat="1" ht="15" customHeight="1" x14ac:dyDescent="0.25"/>
    <row r="228" s="46" customFormat="1" ht="15" customHeight="1" x14ac:dyDescent="0.25"/>
    <row r="229" s="46" customFormat="1" ht="15" customHeight="1" x14ac:dyDescent="0.25"/>
    <row r="230" s="46" customFormat="1" ht="15" customHeight="1" x14ac:dyDescent="0.25"/>
    <row r="231" s="46" customFormat="1" ht="15" customHeight="1" x14ac:dyDescent="0.25"/>
    <row r="232" s="46" customFormat="1" ht="15" customHeight="1" x14ac:dyDescent="0.25"/>
    <row r="233" s="46" customFormat="1" ht="15" customHeight="1" x14ac:dyDescent="0.25"/>
    <row r="234" s="46" customFormat="1" ht="15" customHeight="1" x14ac:dyDescent="0.25"/>
    <row r="235" s="46" customFormat="1" ht="15" customHeight="1" x14ac:dyDescent="0.25"/>
    <row r="236" s="46" customFormat="1" ht="15" customHeight="1" x14ac:dyDescent="0.25"/>
    <row r="237" s="46" customFormat="1" ht="15" customHeight="1" x14ac:dyDescent="0.25"/>
    <row r="238" s="46" customFormat="1" ht="15" customHeight="1" x14ac:dyDescent="0.25"/>
    <row r="239" s="46" customFormat="1" ht="15" customHeight="1" x14ac:dyDescent="0.25"/>
    <row r="240" s="46" customFormat="1" ht="15" customHeight="1" x14ac:dyDescent="0.25"/>
    <row r="241" spans="1:75" ht="15" customHeight="1" x14ac:dyDescent="0.2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46"/>
      <c r="BN241" s="46"/>
      <c r="BO241" s="46"/>
      <c r="BP241" s="46"/>
      <c r="BQ241" s="46"/>
      <c r="BR241" s="46"/>
      <c r="BS241" s="46"/>
      <c r="BT241" s="46"/>
      <c r="BU241" s="46"/>
      <c r="BV241" s="46"/>
      <c r="BW241" s="46"/>
    </row>
    <row r="242" spans="1:75" ht="15" customHeight="1" x14ac:dyDescent="0.2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  <c r="BN242" s="46"/>
      <c r="BO242" s="46"/>
      <c r="BP242" s="46"/>
      <c r="BQ242" s="46"/>
      <c r="BR242" s="46"/>
      <c r="BS242" s="46"/>
      <c r="BT242" s="46"/>
      <c r="BU242" s="46"/>
      <c r="BV242" s="46"/>
      <c r="BW242" s="46"/>
    </row>
    <row r="243" spans="1:75" ht="15" customHeight="1" x14ac:dyDescent="0.2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</row>
    <row r="244" spans="1:75" ht="15" customHeight="1" x14ac:dyDescent="0.2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</row>
    <row r="245" spans="1:75" ht="15" customHeight="1" x14ac:dyDescent="0.2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</row>
    <row r="246" spans="1:75" ht="15" customHeight="1" x14ac:dyDescent="0.2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</row>
    <row r="247" spans="1:75" ht="15" customHeight="1" x14ac:dyDescent="0.2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  <c r="BN247" s="46"/>
      <c r="BO247" s="46"/>
      <c r="BP247" s="46"/>
      <c r="BQ247" s="46"/>
      <c r="BR247" s="46"/>
      <c r="BS247" s="46"/>
      <c r="BT247" s="46"/>
      <c r="BU247" s="46"/>
      <c r="BV247" s="46"/>
      <c r="BW247" s="46"/>
    </row>
    <row r="248" spans="1:75" ht="15" customHeight="1" x14ac:dyDescent="0.2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</row>
    <row r="249" spans="1:75" ht="15" customHeight="1" x14ac:dyDescent="0.2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</row>
    <row r="250" spans="1:75" ht="15" customHeight="1" x14ac:dyDescent="0.25">
      <c r="A250" s="96"/>
      <c r="B250" s="97"/>
      <c r="C250" s="96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  <c r="AF250" s="98"/>
      <c r="AG250" s="98"/>
      <c r="AH250" s="98"/>
      <c r="AI250" s="98"/>
      <c r="AJ250" s="98"/>
      <c r="AK250" s="98"/>
      <c r="AL250" s="98"/>
      <c r="AM250" s="98"/>
      <c r="AN250" s="98"/>
      <c r="AO250" s="98"/>
      <c r="AP250" s="98"/>
      <c r="AQ250" s="98"/>
      <c r="AR250" s="98"/>
      <c r="AS250" s="98"/>
      <c r="AT250" s="98"/>
      <c r="AU250" s="98"/>
      <c r="AV250" s="98"/>
      <c r="AW250" s="98"/>
      <c r="AX250" s="98"/>
      <c r="AY250" s="98"/>
      <c r="AZ250" s="98"/>
      <c r="BA250" s="98"/>
      <c r="BB250" s="98"/>
      <c r="BC250" s="98"/>
      <c r="BD250" s="98"/>
      <c r="BE250" s="98"/>
      <c r="BF250" s="98"/>
      <c r="BG250" s="98"/>
      <c r="BH250" s="98"/>
      <c r="BI250" s="98"/>
      <c r="BJ250" s="98"/>
      <c r="BK250" s="98"/>
      <c r="BL250" s="98"/>
      <c r="BM250" s="98"/>
      <c r="BN250" s="98"/>
      <c r="BO250" s="98"/>
      <c r="BP250" s="98"/>
      <c r="BQ250" s="98"/>
      <c r="BR250" s="98"/>
      <c r="BS250" s="98"/>
      <c r="BT250" s="98"/>
      <c r="BU250" s="98"/>
      <c r="BV250" s="98"/>
      <c r="BW250" s="98"/>
    </row>
  </sheetData>
  <sheetProtection algorithmName="SHA-512" hashValue="RjWpuIK4hQx54ZYZtUpaxihZpVZ47I7A5nCdmZ4qZjO1LXN14Pf+3dy2L38uMnHOFzlF00IK21BIa7J/ZpXxTA==" saltValue="XgdvED4EJjcpvX0fNHrjqQ==" spinCount="100000" sheet="1" objects="1" scenarios="1"/>
  <protectedRanges>
    <protectedRange sqref="D4:BW129" name="BS"/>
  </protectedRanges>
  <pageMargins left="0.18" right="0.2" top="0.18" bottom="0.16" header="0.17" footer="0.16"/>
  <pageSetup paperSize="9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3C0E-E1B7-480C-A54A-CC5CA857A8F0}">
  <sheetPr>
    <tabColor theme="9" tint="0.59999389629810485"/>
  </sheetPr>
  <dimension ref="A1:BW23"/>
  <sheetViews>
    <sheetView showGridLines="0" zoomScale="80" zoomScaleNormal="80" workbookViewId="0">
      <pane xSplit="3" ySplit="3" topLeftCell="BJ4" activePane="bottomRight" state="frozen"/>
      <selection pane="topRight" activeCell="D8" sqref="D8:E8"/>
      <selection pane="bottomLeft" activeCell="D8" sqref="D8:E8"/>
      <selection pane="bottomRight" activeCell="BQ4" sqref="BQ4:BQ23"/>
    </sheetView>
  </sheetViews>
  <sheetFormatPr defaultRowHeight="15" x14ac:dyDescent="0.25"/>
  <cols>
    <col min="1" max="1" width="8" hidden="1" customWidth="1"/>
    <col min="2" max="2" width="55.5703125" customWidth="1"/>
    <col min="3" max="3" width="9.140625" hidden="1" customWidth="1"/>
    <col min="4" max="4" width="14.85546875" customWidth="1"/>
    <col min="5" max="15" width="14.42578125" customWidth="1"/>
    <col min="16" max="16" width="14.85546875" customWidth="1"/>
    <col min="17" max="26" width="15.5703125" customWidth="1"/>
    <col min="27" max="27" width="16.28515625" customWidth="1"/>
    <col min="28" max="42" width="15.5703125" customWidth="1"/>
    <col min="43" max="51" width="15.42578125" customWidth="1"/>
    <col min="52" max="54" width="15.42578125" bestFit="1" customWidth="1"/>
    <col min="55" max="55" width="15.5703125" bestFit="1" customWidth="1"/>
    <col min="56" max="57" width="15.42578125" bestFit="1" customWidth="1"/>
    <col min="58" max="59" width="16.5703125" bestFit="1" customWidth="1"/>
    <col min="60" max="65" width="15.42578125" bestFit="1" customWidth="1"/>
    <col min="66" max="66" width="15.5703125" customWidth="1"/>
    <col min="67" max="75" width="15.42578125" bestFit="1" customWidth="1"/>
  </cols>
  <sheetData>
    <row r="1" spans="1:75" ht="18.75" x14ac:dyDescent="0.3">
      <c r="B1" s="43" t="s">
        <v>0</v>
      </c>
    </row>
    <row r="2" spans="1:75" x14ac:dyDescent="0.25">
      <c r="B2" s="48" t="s">
        <v>240</v>
      </c>
    </row>
    <row r="3" spans="1:75" ht="28.5" x14ac:dyDescent="0.25">
      <c r="A3" s="210" t="s">
        <v>348</v>
      </c>
      <c r="B3" s="211" t="s">
        <v>349</v>
      </c>
      <c r="C3" s="210" t="s">
        <v>243</v>
      </c>
      <c r="D3" s="210" t="s">
        <v>244</v>
      </c>
      <c r="E3" s="210" t="s">
        <v>245</v>
      </c>
      <c r="F3" s="210" t="s">
        <v>246</v>
      </c>
      <c r="G3" s="210" t="s">
        <v>247</v>
      </c>
      <c r="H3" s="210" t="s">
        <v>248</v>
      </c>
      <c r="I3" s="210" t="s">
        <v>249</v>
      </c>
      <c r="J3" s="210" t="s">
        <v>250</v>
      </c>
      <c r="K3" s="210" t="s">
        <v>251</v>
      </c>
      <c r="L3" s="210" t="s">
        <v>252</v>
      </c>
      <c r="M3" s="210" t="s">
        <v>253</v>
      </c>
      <c r="N3" s="210" t="s">
        <v>254</v>
      </c>
      <c r="O3" s="210" t="s">
        <v>255</v>
      </c>
      <c r="P3" s="210" t="s">
        <v>256</v>
      </c>
      <c r="Q3" s="210" t="s">
        <v>257</v>
      </c>
      <c r="R3" s="210" t="s">
        <v>258</v>
      </c>
      <c r="S3" s="210" t="s">
        <v>259</v>
      </c>
      <c r="T3" s="210" t="s">
        <v>260</v>
      </c>
      <c r="U3" s="210" t="s">
        <v>261</v>
      </c>
      <c r="V3" s="210" t="s">
        <v>262</v>
      </c>
      <c r="W3" s="210" t="s">
        <v>263</v>
      </c>
      <c r="X3" s="210" t="s">
        <v>264</v>
      </c>
      <c r="Y3" s="210" t="s">
        <v>265</v>
      </c>
      <c r="Z3" s="210" t="s">
        <v>266</v>
      </c>
      <c r="AA3" s="210" t="s">
        <v>267</v>
      </c>
      <c r="AB3" s="210" t="s">
        <v>268</v>
      </c>
      <c r="AC3" s="210" t="s">
        <v>269</v>
      </c>
      <c r="AD3" s="210" t="s">
        <v>270</v>
      </c>
      <c r="AE3" s="210" t="s">
        <v>271</v>
      </c>
      <c r="AF3" s="210" t="s">
        <v>272</v>
      </c>
      <c r="AG3" s="210" t="s">
        <v>273</v>
      </c>
      <c r="AH3" s="210" t="s">
        <v>274</v>
      </c>
      <c r="AI3" s="210" t="s">
        <v>275</v>
      </c>
      <c r="AJ3" s="210" t="s">
        <v>276</v>
      </c>
      <c r="AK3" s="210" t="s">
        <v>277</v>
      </c>
      <c r="AL3" s="210" t="s">
        <v>278</v>
      </c>
      <c r="AM3" s="210" t="s">
        <v>279</v>
      </c>
      <c r="AN3" s="210" t="s">
        <v>280</v>
      </c>
      <c r="AO3" s="210" t="s">
        <v>281</v>
      </c>
      <c r="AP3" s="210" t="s">
        <v>282</v>
      </c>
      <c r="AQ3" s="210" t="s">
        <v>283</v>
      </c>
      <c r="AR3" s="210" t="s">
        <v>284</v>
      </c>
      <c r="AS3" s="210" t="s">
        <v>285</v>
      </c>
      <c r="AT3" s="210" t="s">
        <v>286</v>
      </c>
      <c r="AU3" s="210" t="s">
        <v>287</v>
      </c>
      <c r="AV3" s="210" t="s">
        <v>288</v>
      </c>
      <c r="AW3" s="210" t="s">
        <v>289</v>
      </c>
      <c r="AX3" s="210" t="s">
        <v>290</v>
      </c>
      <c r="AY3" s="210" t="s">
        <v>291</v>
      </c>
      <c r="AZ3" s="210" t="s">
        <v>292</v>
      </c>
      <c r="BA3" s="210" t="s">
        <v>293</v>
      </c>
      <c r="BB3" s="210" t="s">
        <v>294</v>
      </c>
      <c r="BC3" s="210" t="s">
        <v>295</v>
      </c>
      <c r="BD3" s="210" t="s">
        <v>296</v>
      </c>
      <c r="BE3" s="210" t="s">
        <v>297</v>
      </c>
      <c r="BF3" s="210" t="s">
        <v>298</v>
      </c>
      <c r="BG3" s="210" t="s">
        <v>299</v>
      </c>
      <c r="BH3" s="210" t="s">
        <v>300</v>
      </c>
      <c r="BI3" s="210" t="s">
        <v>301</v>
      </c>
      <c r="BJ3" s="210" t="s">
        <v>302</v>
      </c>
      <c r="BK3" s="210" t="s">
        <v>303</v>
      </c>
      <c r="BL3" s="210" t="s">
        <v>304</v>
      </c>
      <c r="BM3" s="210" t="s">
        <v>305</v>
      </c>
      <c r="BN3" s="210" t="s">
        <v>306</v>
      </c>
      <c r="BO3" s="210" t="s">
        <v>307</v>
      </c>
      <c r="BP3" s="210" t="s">
        <v>308</v>
      </c>
      <c r="BQ3" s="210" t="s">
        <v>309</v>
      </c>
      <c r="BR3" s="210" t="s">
        <v>310</v>
      </c>
      <c r="BS3" s="210" t="s">
        <v>311</v>
      </c>
      <c r="BT3" s="210" t="s">
        <v>312</v>
      </c>
      <c r="BU3" s="210" t="s">
        <v>313</v>
      </c>
      <c r="BV3" s="210" t="s">
        <v>314</v>
      </c>
      <c r="BW3" s="210" t="s">
        <v>315</v>
      </c>
    </row>
    <row r="4" spans="1:75" x14ac:dyDescent="0.25">
      <c r="A4" s="99">
        <v>1</v>
      </c>
      <c r="B4" s="100" t="s">
        <v>350</v>
      </c>
      <c r="C4" s="99">
        <v>7</v>
      </c>
      <c r="D4" s="108">
        <v>32</v>
      </c>
      <c r="E4" s="108">
        <v>61</v>
      </c>
      <c r="F4" s="108">
        <v>92</v>
      </c>
      <c r="G4" s="108">
        <v>57</v>
      </c>
      <c r="H4" s="108">
        <v>39</v>
      </c>
      <c r="I4" s="108">
        <v>24</v>
      </c>
      <c r="J4" s="108">
        <v>16</v>
      </c>
      <c r="K4" s="108">
        <v>0</v>
      </c>
      <c r="L4" s="108">
        <v>0</v>
      </c>
      <c r="M4" s="108">
        <v>0</v>
      </c>
      <c r="N4" s="108">
        <v>0.15609999999999999</v>
      </c>
      <c r="O4" s="108">
        <v>96</v>
      </c>
      <c r="P4" s="108">
        <v>60</v>
      </c>
      <c r="Q4" s="108">
        <v>145</v>
      </c>
      <c r="R4" s="108">
        <v>194</v>
      </c>
      <c r="S4" s="108">
        <v>178</v>
      </c>
      <c r="T4" s="108">
        <v>181</v>
      </c>
      <c r="U4" s="108">
        <v>245</v>
      </c>
      <c r="V4" s="108">
        <v>161</v>
      </c>
      <c r="W4" s="108">
        <v>268</v>
      </c>
      <c r="X4" s="108">
        <v>329</v>
      </c>
      <c r="Y4" s="108">
        <v>282</v>
      </c>
      <c r="Z4" s="108">
        <v>414</v>
      </c>
      <c r="AA4" s="108">
        <v>572</v>
      </c>
      <c r="AB4" s="108">
        <v>186</v>
      </c>
      <c r="AC4" s="108">
        <v>413.61700000000002</v>
      </c>
      <c r="AD4" s="108">
        <v>514</v>
      </c>
      <c r="AE4" s="108">
        <v>543.4</v>
      </c>
      <c r="AF4" s="108">
        <v>667.93100000000004</v>
      </c>
      <c r="AG4" s="108">
        <v>538</v>
      </c>
      <c r="AH4" s="108">
        <v>508</v>
      </c>
      <c r="AI4" s="108">
        <v>456</v>
      </c>
      <c r="AJ4" s="108">
        <v>327</v>
      </c>
      <c r="AK4" s="108">
        <v>392</v>
      </c>
      <c r="AL4" s="108">
        <v>512</v>
      </c>
      <c r="AM4" s="108">
        <v>593.79999999999995</v>
      </c>
      <c r="AN4" s="109">
        <v>454</v>
      </c>
      <c r="AO4" s="108">
        <v>427</v>
      </c>
      <c r="AP4" s="108">
        <v>528</v>
      </c>
      <c r="AQ4" s="108">
        <v>341</v>
      </c>
      <c r="AR4" s="108">
        <v>491</v>
      </c>
      <c r="AS4" s="108">
        <v>473</v>
      </c>
      <c r="AT4" s="108">
        <v>370</v>
      </c>
      <c r="AU4" s="108">
        <v>406</v>
      </c>
      <c r="AV4" s="108">
        <v>299</v>
      </c>
      <c r="AW4" s="108">
        <v>409</v>
      </c>
      <c r="AX4" s="110">
        <v>383</v>
      </c>
      <c r="AY4" s="111">
        <v>323</v>
      </c>
      <c r="AZ4" s="109">
        <v>242.078</v>
      </c>
      <c r="BA4" s="108">
        <v>310.59300000000002</v>
      </c>
      <c r="BB4" s="108">
        <v>475.98700000000002</v>
      </c>
      <c r="BC4" s="108">
        <v>519.90300000000002</v>
      </c>
      <c r="BD4" s="108">
        <v>467.35599999999999</v>
      </c>
      <c r="BE4" s="108">
        <v>510.435</v>
      </c>
      <c r="BF4" s="108">
        <v>718.97</v>
      </c>
      <c r="BG4" s="108">
        <v>711.69899999999996</v>
      </c>
      <c r="BH4" s="108">
        <v>591.82399999999996</v>
      </c>
      <c r="BI4" s="108">
        <v>543.36400000000003</v>
      </c>
      <c r="BJ4" s="108">
        <v>454.67200000000003</v>
      </c>
      <c r="BK4" s="108">
        <v>613.73900000000003</v>
      </c>
      <c r="BL4" s="108">
        <f>580272/1000</f>
        <v>580.27200000000005</v>
      </c>
      <c r="BM4" s="108">
        <f>464909/1000</f>
        <v>464.90899999999999</v>
      </c>
      <c r="BN4" s="108">
        <f>656068/1000</f>
        <v>656.06799999999998</v>
      </c>
      <c r="BO4" s="108">
        <f>641114/1000</f>
        <v>641.11400000000003</v>
      </c>
      <c r="BP4" s="108">
        <f>776006/1000</f>
        <v>776.00599999999997</v>
      </c>
      <c r="BQ4" s="108">
        <v>846.26599999999996</v>
      </c>
      <c r="BR4" s="108">
        <f>'KQKD theo yeu to'!BR8</f>
        <v>0</v>
      </c>
      <c r="BS4" s="108">
        <f>'KQKD theo yeu to'!BS8</f>
        <v>0</v>
      </c>
      <c r="BT4" s="108">
        <f>'KQKD theo yeu to'!BT8</f>
        <v>0</v>
      </c>
      <c r="BU4" s="108">
        <f>'KQKD theo yeu to'!BU8</f>
        <v>0</v>
      </c>
      <c r="BV4" s="108">
        <f>'KQKD theo yeu to'!BV8</f>
        <v>0</v>
      </c>
      <c r="BW4" s="108">
        <f>'KQKD theo yeu to'!BW8</f>
        <v>0</v>
      </c>
    </row>
    <row r="5" spans="1:75" x14ac:dyDescent="0.25">
      <c r="A5" s="62">
        <v>2</v>
      </c>
      <c r="B5" s="101" t="s">
        <v>351</v>
      </c>
      <c r="C5" s="62">
        <v>7</v>
      </c>
      <c r="D5" s="5">
        <v>312737600</v>
      </c>
      <c r="E5" s="5">
        <v>606797380</v>
      </c>
      <c r="F5" s="5">
        <v>903716800</v>
      </c>
      <c r="G5" s="5">
        <v>584483600</v>
      </c>
      <c r="H5" s="5">
        <v>473255400</v>
      </c>
      <c r="I5" s="5">
        <v>327063600</v>
      </c>
      <c r="J5" s="5">
        <v>212259000</v>
      </c>
      <c r="K5" s="5">
        <v>0</v>
      </c>
      <c r="L5" s="5">
        <v>0</v>
      </c>
      <c r="M5" s="5">
        <v>0</v>
      </c>
      <c r="N5" s="5">
        <v>23415000</v>
      </c>
      <c r="O5" s="5">
        <v>1040979770</v>
      </c>
      <c r="P5" s="5">
        <v>1387649940</v>
      </c>
      <c r="Q5" s="5">
        <v>1583445960</v>
      </c>
      <c r="R5" s="5">
        <v>2573716230</v>
      </c>
      <c r="S5" s="5">
        <v>2789415475</v>
      </c>
      <c r="T5" s="5">
        <v>3061211620</v>
      </c>
      <c r="U5" s="5">
        <v>4013573585</v>
      </c>
      <c r="V5" s="5">
        <v>2566597774</v>
      </c>
      <c r="W5" s="5">
        <v>4244037032</v>
      </c>
      <c r="X5" s="5">
        <v>4500455270</v>
      </c>
      <c r="Y5" s="5">
        <v>4093507967</v>
      </c>
      <c r="Z5" s="5">
        <v>6936881675</v>
      </c>
      <c r="AA5" s="5">
        <v>8017342248</v>
      </c>
      <c r="AB5" s="5">
        <v>2672344837</v>
      </c>
      <c r="AC5" s="5">
        <v>4854309360</v>
      </c>
      <c r="AD5" s="5">
        <v>6533069323</v>
      </c>
      <c r="AE5" s="5">
        <v>8443399962</v>
      </c>
      <c r="AF5" s="5">
        <v>10076762540</v>
      </c>
      <c r="AG5" s="5">
        <v>6865915296</v>
      </c>
      <c r="AH5" s="5">
        <v>6253371756</v>
      </c>
      <c r="AI5" s="5">
        <v>5694464185</v>
      </c>
      <c r="AJ5" s="5">
        <v>4475524426</v>
      </c>
      <c r="AK5" s="5">
        <v>6155131250</v>
      </c>
      <c r="AL5" s="5">
        <v>7975368000</v>
      </c>
      <c r="AM5" s="5">
        <v>8916004334</v>
      </c>
      <c r="AN5" s="5">
        <v>6816503925</v>
      </c>
      <c r="AO5" s="5">
        <v>6039598500</v>
      </c>
      <c r="AP5" s="5">
        <v>7858071500</v>
      </c>
      <c r="AQ5" s="5">
        <v>5360336000</v>
      </c>
      <c r="AR5" s="5">
        <v>7701926000</v>
      </c>
      <c r="AS5" s="5">
        <v>7405493500</v>
      </c>
      <c r="AT5" s="5">
        <v>5356795000</v>
      </c>
      <c r="AU5" s="5">
        <v>5872209850</v>
      </c>
      <c r="AV5" s="5">
        <v>4632824810</v>
      </c>
      <c r="AW5" s="5">
        <v>6376620000</v>
      </c>
      <c r="AX5" s="5">
        <v>6008306800</v>
      </c>
      <c r="AY5" s="5">
        <v>5094418200</v>
      </c>
      <c r="AZ5" s="5">
        <v>3795897480</v>
      </c>
      <c r="BA5" s="5">
        <v>5012982676</v>
      </c>
      <c r="BB5" s="5">
        <v>8087243089</v>
      </c>
      <c r="BC5" s="5">
        <v>9694585314</v>
      </c>
      <c r="BD5" s="5">
        <v>8388349104</v>
      </c>
      <c r="BE5" s="5">
        <v>9515421651</v>
      </c>
      <c r="BF5" s="5">
        <v>13592588554</v>
      </c>
      <c r="BG5" s="5">
        <v>12421660930</v>
      </c>
      <c r="BH5" s="5">
        <v>8808063400</v>
      </c>
      <c r="BI5" s="5">
        <v>7719934000</v>
      </c>
      <c r="BJ5" s="5">
        <v>6532057500</v>
      </c>
      <c r="BK5" s="5">
        <v>8694231720</v>
      </c>
      <c r="BL5" s="515">
        <v>8331190500</v>
      </c>
      <c r="BM5" s="5">
        <v>6640520862</v>
      </c>
      <c r="BN5" s="5">
        <v>9363644480</v>
      </c>
      <c r="BO5" s="530">
        <v>9143059160</v>
      </c>
      <c r="BP5" s="5">
        <v>12123223250</v>
      </c>
      <c r="BQ5" s="5">
        <v>13689537870</v>
      </c>
      <c r="BR5" s="5"/>
      <c r="BS5" s="5"/>
      <c r="BT5" s="5"/>
      <c r="BU5" s="5"/>
      <c r="BV5" s="5"/>
      <c r="BW5" s="5"/>
    </row>
    <row r="6" spans="1:75" x14ac:dyDescent="0.25">
      <c r="A6" s="58">
        <v>3</v>
      </c>
      <c r="B6" s="102" t="s">
        <v>352</v>
      </c>
      <c r="C6" s="58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/>
      <c r="Z6" s="3" t="s">
        <v>353</v>
      </c>
      <c r="AA6" s="3">
        <v>0</v>
      </c>
      <c r="AB6" s="3">
        <v>0</v>
      </c>
      <c r="AC6" s="3">
        <v>0</v>
      </c>
      <c r="AD6" s="3">
        <v>0</v>
      </c>
      <c r="AE6" s="3"/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/>
      <c r="BK6" s="16"/>
      <c r="BL6" s="16">
        <v>0</v>
      </c>
      <c r="BM6" s="16">
        <v>0</v>
      </c>
      <c r="BN6" s="16">
        <v>0</v>
      </c>
      <c r="BO6" s="534">
        <v>0</v>
      </c>
      <c r="BP6" s="16">
        <v>0</v>
      </c>
      <c r="BQ6" s="16">
        <v>0</v>
      </c>
      <c r="BR6" s="16"/>
      <c r="BS6" s="16"/>
      <c r="BT6" s="16"/>
      <c r="BU6" s="16"/>
      <c r="BV6" s="16"/>
      <c r="BW6" s="16"/>
    </row>
    <row r="7" spans="1:75" x14ac:dyDescent="0.25">
      <c r="A7" s="103">
        <v>4</v>
      </c>
      <c r="B7" s="101" t="s">
        <v>354</v>
      </c>
      <c r="C7" s="103">
        <v>7</v>
      </c>
      <c r="D7" s="17">
        <v>312737600</v>
      </c>
      <c r="E7" s="17">
        <v>606797380</v>
      </c>
      <c r="F7" s="17">
        <v>903716800</v>
      </c>
      <c r="G7" s="17">
        <v>584483600</v>
      </c>
      <c r="H7" s="17">
        <v>473255400</v>
      </c>
      <c r="I7" s="17">
        <v>327063600</v>
      </c>
      <c r="J7" s="17">
        <v>212259000</v>
      </c>
      <c r="K7" s="17">
        <v>0</v>
      </c>
      <c r="L7" s="17">
        <v>0</v>
      </c>
      <c r="M7" s="17">
        <v>0</v>
      </c>
      <c r="N7" s="17">
        <v>23415000</v>
      </c>
      <c r="O7" s="17">
        <v>1040979770</v>
      </c>
      <c r="P7" s="17">
        <v>1387649940</v>
      </c>
      <c r="Q7" s="17">
        <v>1583445960</v>
      </c>
      <c r="R7" s="17">
        <v>2573716230</v>
      </c>
      <c r="S7" s="17">
        <v>2789415475</v>
      </c>
      <c r="T7" s="17">
        <v>3061211620</v>
      </c>
      <c r="U7" s="17">
        <v>4013573585</v>
      </c>
      <c r="V7" s="17">
        <v>2566597774</v>
      </c>
      <c r="W7" s="17">
        <v>4244037032</v>
      </c>
      <c r="X7" s="17">
        <v>4500455270</v>
      </c>
      <c r="Y7" s="17">
        <v>4093507967</v>
      </c>
      <c r="Z7" s="17">
        <v>6936881675</v>
      </c>
      <c r="AA7" s="17">
        <v>8017342248</v>
      </c>
      <c r="AB7" s="17">
        <v>2672344837</v>
      </c>
      <c r="AC7" s="17">
        <v>4854309360</v>
      </c>
      <c r="AD7" s="17">
        <v>6533069323</v>
      </c>
      <c r="AE7" s="17">
        <v>8443399962</v>
      </c>
      <c r="AF7" s="17">
        <v>10076762540</v>
      </c>
      <c r="AG7" s="17">
        <v>6865915296</v>
      </c>
      <c r="AH7" s="17">
        <v>6253371756</v>
      </c>
      <c r="AI7" s="17">
        <v>5694464185</v>
      </c>
      <c r="AJ7" s="17">
        <v>4475524426</v>
      </c>
      <c r="AK7" s="17">
        <v>6155131250</v>
      </c>
      <c r="AL7" s="17">
        <v>7975368000</v>
      </c>
      <c r="AM7" s="17">
        <v>8916004334</v>
      </c>
      <c r="AN7" s="17">
        <v>6816503925</v>
      </c>
      <c r="AO7" s="17">
        <v>6039598500</v>
      </c>
      <c r="AP7" s="17">
        <v>7858071500</v>
      </c>
      <c r="AQ7" s="17">
        <v>5360336000</v>
      </c>
      <c r="AR7" s="17">
        <v>7701926000</v>
      </c>
      <c r="AS7" s="17">
        <v>7405493500</v>
      </c>
      <c r="AT7" s="17">
        <v>5356795000</v>
      </c>
      <c r="AU7" s="17">
        <v>5872209850</v>
      </c>
      <c r="AV7" s="17">
        <v>4632824810</v>
      </c>
      <c r="AW7" s="17">
        <v>6376620000</v>
      </c>
      <c r="AX7" s="17">
        <v>6008306800</v>
      </c>
      <c r="AY7" s="18">
        <v>5094418200</v>
      </c>
      <c r="AZ7" s="18">
        <v>3795897480</v>
      </c>
      <c r="BA7" s="18">
        <v>5012982676</v>
      </c>
      <c r="BB7" s="18">
        <v>8087243089</v>
      </c>
      <c r="BC7" s="18">
        <v>9694585314</v>
      </c>
      <c r="BD7" s="18">
        <v>8388349104</v>
      </c>
      <c r="BE7" s="18">
        <v>9515421651</v>
      </c>
      <c r="BF7" s="18">
        <v>13592588554</v>
      </c>
      <c r="BG7" s="18">
        <v>12421660930</v>
      </c>
      <c r="BH7" s="18">
        <v>8808063400</v>
      </c>
      <c r="BI7" s="18">
        <v>7719934000</v>
      </c>
      <c r="BJ7" s="18">
        <v>6532057500</v>
      </c>
      <c r="BK7" s="18">
        <v>8694231720</v>
      </c>
      <c r="BL7" s="18">
        <v>8331190500</v>
      </c>
      <c r="BM7" s="18">
        <v>6640520862</v>
      </c>
      <c r="BN7" s="18">
        <v>9363644480</v>
      </c>
      <c r="BO7" s="527">
        <v>9143059160</v>
      </c>
      <c r="BP7" s="18">
        <v>12123223250</v>
      </c>
      <c r="BQ7" s="18">
        <v>13689537870</v>
      </c>
      <c r="BR7" s="18"/>
      <c r="BS7" s="18"/>
      <c r="BT7" s="18"/>
      <c r="BU7" s="18"/>
      <c r="BV7" s="18"/>
      <c r="BW7" s="18"/>
    </row>
    <row r="8" spans="1:75" ht="15.75" x14ac:dyDescent="0.25">
      <c r="A8" s="104">
        <v>5</v>
      </c>
      <c r="B8" s="102" t="s">
        <v>355</v>
      </c>
      <c r="C8" s="104">
        <v>7</v>
      </c>
      <c r="D8" s="3">
        <v>307386576</v>
      </c>
      <c r="E8" s="3">
        <v>594551595</v>
      </c>
      <c r="F8" s="3">
        <v>883311950</v>
      </c>
      <c r="G8" s="3">
        <v>545112534</v>
      </c>
      <c r="H8" s="3">
        <v>429782229</v>
      </c>
      <c r="I8" s="3">
        <v>297804989</v>
      </c>
      <c r="J8" s="3">
        <v>190295081</v>
      </c>
      <c r="K8" s="3">
        <v>0</v>
      </c>
      <c r="L8" s="3">
        <v>0</v>
      </c>
      <c r="M8" s="3">
        <v>0</v>
      </c>
      <c r="N8" s="3">
        <v>0</v>
      </c>
      <c r="O8" s="3">
        <v>993039652</v>
      </c>
      <c r="P8" s="3">
        <v>925318497</v>
      </c>
      <c r="Q8" s="3">
        <v>1707322194</v>
      </c>
      <c r="R8" s="3">
        <v>2217846032</v>
      </c>
      <c r="S8" s="3">
        <v>2602912448</v>
      </c>
      <c r="T8" s="3">
        <v>2370282789</v>
      </c>
      <c r="U8" s="3">
        <v>3820527867</v>
      </c>
      <c r="V8" s="3">
        <v>2211991801</v>
      </c>
      <c r="W8" s="3">
        <v>3337732602</v>
      </c>
      <c r="X8" s="3">
        <v>3917856191</v>
      </c>
      <c r="Y8" s="3">
        <v>3981567453.9407091</v>
      </c>
      <c r="Z8" s="3">
        <v>5471834459</v>
      </c>
      <c r="AA8" s="3">
        <v>9118635211</v>
      </c>
      <c r="AB8" s="3">
        <v>1959307170</v>
      </c>
      <c r="AC8" s="3">
        <v>4350442102</v>
      </c>
      <c r="AD8" s="3">
        <v>6113575485</v>
      </c>
      <c r="AE8" s="3">
        <v>6988900943</v>
      </c>
      <c r="AF8" s="3">
        <v>7690397229</v>
      </c>
      <c r="AG8" s="3">
        <v>5623409224</v>
      </c>
      <c r="AH8" s="3">
        <v>5700764058</v>
      </c>
      <c r="AI8" s="3">
        <v>4951896169</v>
      </c>
      <c r="AJ8" s="3">
        <v>3904690074</v>
      </c>
      <c r="AK8" s="3">
        <v>5122380259</v>
      </c>
      <c r="AL8" s="3">
        <v>6706430896</v>
      </c>
      <c r="AM8" s="3">
        <v>7561852654</v>
      </c>
      <c r="AN8" s="9">
        <v>6559783004</v>
      </c>
      <c r="AO8" s="3">
        <v>5886345396</v>
      </c>
      <c r="AP8" s="3">
        <v>7324351881</v>
      </c>
      <c r="AQ8" s="19">
        <v>5224998353</v>
      </c>
      <c r="AR8" s="19">
        <v>7764479089</v>
      </c>
      <c r="AS8" s="19">
        <v>7281939097</v>
      </c>
      <c r="AT8" s="19">
        <v>5437205244</v>
      </c>
      <c r="AU8" s="19">
        <v>5773497558</v>
      </c>
      <c r="AV8" s="19">
        <v>4867603245</v>
      </c>
      <c r="AW8" s="19">
        <v>6301887244</v>
      </c>
      <c r="AX8" s="20">
        <v>5850497140</v>
      </c>
      <c r="AY8" s="19">
        <v>5184095833</v>
      </c>
      <c r="AZ8" s="19">
        <v>4115294618</v>
      </c>
      <c r="BA8" s="19">
        <v>5323842751</v>
      </c>
      <c r="BB8" s="19">
        <v>7964328238</v>
      </c>
      <c r="BC8" s="19">
        <v>8541162245</v>
      </c>
      <c r="BD8" s="19">
        <v>7739685565</v>
      </c>
      <c r="BE8" s="19">
        <v>8523016034</v>
      </c>
      <c r="BF8" s="19">
        <v>11750480818</v>
      </c>
      <c r="BG8" s="19">
        <v>10965244594</v>
      </c>
      <c r="BH8" s="19">
        <v>8023329011</v>
      </c>
      <c r="BI8" s="19">
        <v>6836790306</v>
      </c>
      <c r="BJ8" s="19">
        <v>5683019867</v>
      </c>
      <c r="BK8" s="19">
        <v>7372961109</v>
      </c>
      <c r="BL8" s="19">
        <v>7000379183</v>
      </c>
      <c r="BM8" s="19">
        <v>6068834875</v>
      </c>
      <c r="BN8" s="19">
        <v>8096833514</v>
      </c>
      <c r="BO8" s="535">
        <v>8034793677</v>
      </c>
      <c r="BP8" s="19">
        <v>10499325346</v>
      </c>
      <c r="BQ8" s="19">
        <v>12052869262</v>
      </c>
      <c r="BR8" s="19"/>
      <c r="BS8" s="19"/>
      <c r="BT8" s="19"/>
      <c r="BU8" s="19"/>
      <c r="BV8" s="19"/>
      <c r="BW8" s="19"/>
    </row>
    <row r="9" spans="1:75" x14ac:dyDescent="0.25">
      <c r="A9" s="105">
        <v>6</v>
      </c>
      <c r="B9" s="101" t="s">
        <v>356</v>
      </c>
      <c r="C9" s="105">
        <v>7</v>
      </c>
      <c r="D9" s="21">
        <v>5351024</v>
      </c>
      <c r="E9" s="21">
        <v>12245785</v>
      </c>
      <c r="F9" s="21">
        <v>20404850</v>
      </c>
      <c r="G9" s="21">
        <v>39371066</v>
      </c>
      <c r="H9" s="21">
        <v>43473171</v>
      </c>
      <c r="I9" s="21">
        <v>29258611</v>
      </c>
      <c r="J9" s="21">
        <v>21963919</v>
      </c>
      <c r="K9" s="21">
        <v>0</v>
      </c>
      <c r="L9" s="21">
        <v>0</v>
      </c>
      <c r="M9" s="21">
        <v>0</v>
      </c>
      <c r="N9" s="21">
        <v>23415000</v>
      </c>
      <c r="O9" s="21">
        <v>47940118</v>
      </c>
      <c r="P9" s="21">
        <v>462331443</v>
      </c>
      <c r="Q9" s="21">
        <v>-123876234</v>
      </c>
      <c r="R9" s="21">
        <v>355870198</v>
      </c>
      <c r="S9" s="21">
        <v>186503027</v>
      </c>
      <c r="T9" s="21">
        <v>690928831</v>
      </c>
      <c r="U9" s="21">
        <v>193045718</v>
      </c>
      <c r="V9" s="21">
        <v>354605973</v>
      </c>
      <c r="W9" s="21">
        <v>906304430</v>
      </c>
      <c r="X9" s="21">
        <v>582599079</v>
      </c>
      <c r="Y9" s="21">
        <v>111940513.05929089</v>
      </c>
      <c r="Z9" s="21">
        <v>1486030124</v>
      </c>
      <c r="AA9" s="21">
        <v>-1101292963</v>
      </c>
      <c r="AB9" s="21">
        <v>713037667</v>
      </c>
      <c r="AC9" s="21">
        <v>503867258</v>
      </c>
      <c r="AD9" s="21">
        <v>419493838</v>
      </c>
      <c r="AE9" s="21">
        <v>1454499019</v>
      </c>
      <c r="AF9" s="21">
        <v>2386365311</v>
      </c>
      <c r="AG9" s="21">
        <v>1242506072</v>
      </c>
      <c r="AH9" s="21">
        <v>552607698</v>
      </c>
      <c r="AI9" s="21">
        <v>742568016</v>
      </c>
      <c r="AJ9" s="21">
        <v>570834352</v>
      </c>
      <c r="AK9" s="21">
        <v>1032750991</v>
      </c>
      <c r="AL9" s="21">
        <v>1268937104</v>
      </c>
      <c r="AM9" s="21">
        <v>1354151680</v>
      </c>
      <c r="AN9" s="21">
        <v>256720921</v>
      </c>
      <c r="AO9" s="21">
        <v>153253104</v>
      </c>
      <c r="AP9" s="21">
        <v>533719619</v>
      </c>
      <c r="AQ9" s="21">
        <v>135337647</v>
      </c>
      <c r="AR9" s="21">
        <v>-62553089</v>
      </c>
      <c r="AS9" s="21">
        <v>123554403</v>
      </c>
      <c r="AT9" s="21">
        <v>-80410244</v>
      </c>
      <c r="AU9" s="21">
        <v>98712292</v>
      </c>
      <c r="AV9" s="21">
        <v>-234778435</v>
      </c>
      <c r="AW9" s="21">
        <v>74732756</v>
      </c>
      <c r="AX9" s="21">
        <v>157809660</v>
      </c>
      <c r="AY9" s="21">
        <v>-89677633</v>
      </c>
      <c r="AZ9" s="21">
        <v>-319397138</v>
      </c>
      <c r="BA9" s="21">
        <v>-310860075</v>
      </c>
      <c r="BB9" s="21">
        <v>122914851</v>
      </c>
      <c r="BC9" s="21">
        <v>1153423069</v>
      </c>
      <c r="BD9" s="21">
        <v>648663539</v>
      </c>
      <c r="BE9" s="21">
        <v>992405617</v>
      </c>
      <c r="BF9" s="21">
        <v>1842107736</v>
      </c>
      <c r="BG9" s="21">
        <v>1456416336</v>
      </c>
      <c r="BH9" s="21">
        <v>784734389</v>
      </c>
      <c r="BI9" s="21">
        <v>883143694</v>
      </c>
      <c r="BJ9" s="21">
        <v>849037633</v>
      </c>
      <c r="BK9" s="21">
        <v>1321270611</v>
      </c>
      <c r="BL9" s="21">
        <v>1330811317</v>
      </c>
      <c r="BM9" s="21">
        <v>571685987</v>
      </c>
      <c r="BN9" s="21">
        <v>1266810966</v>
      </c>
      <c r="BO9" s="536">
        <v>1108265483</v>
      </c>
      <c r="BP9" s="21">
        <v>1623897904</v>
      </c>
      <c r="BQ9" s="21">
        <v>1636668608</v>
      </c>
      <c r="BR9" s="21"/>
      <c r="BS9" s="21"/>
      <c r="BT9" s="21"/>
      <c r="BU9" s="21"/>
      <c r="BV9" s="21"/>
      <c r="BW9" s="21"/>
    </row>
    <row r="10" spans="1:75" x14ac:dyDescent="0.25">
      <c r="A10" s="105">
        <v>7</v>
      </c>
      <c r="B10" s="101" t="s">
        <v>357</v>
      </c>
      <c r="C10" s="105">
        <v>7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>
        <v>0</v>
      </c>
      <c r="BM10" s="21">
        <v>0</v>
      </c>
      <c r="BN10" s="21">
        <v>0</v>
      </c>
      <c r="BO10" s="537">
        <v>0</v>
      </c>
      <c r="BP10" s="21">
        <v>0</v>
      </c>
      <c r="BQ10" s="21">
        <v>0</v>
      </c>
      <c r="BR10" s="21"/>
      <c r="BS10" s="21"/>
      <c r="BT10" s="21"/>
      <c r="BU10" s="21"/>
      <c r="BV10" s="21"/>
      <c r="BW10" s="21"/>
    </row>
    <row r="11" spans="1:75" x14ac:dyDescent="0.25">
      <c r="A11" s="58">
        <v>8</v>
      </c>
      <c r="B11" s="102" t="s">
        <v>359</v>
      </c>
      <c r="C11" s="58">
        <v>7</v>
      </c>
      <c r="D11" s="3">
        <v>318142</v>
      </c>
      <c r="E11" s="3">
        <v>320963</v>
      </c>
      <c r="F11" s="3">
        <v>233602</v>
      </c>
      <c r="G11" s="3">
        <v>61216</v>
      </c>
      <c r="H11" s="3">
        <v>35718</v>
      </c>
      <c r="I11" s="3">
        <v>34791</v>
      </c>
      <c r="J11" s="3">
        <v>12026</v>
      </c>
      <c r="K11" s="3">
        <v>150953</v>
      </c>
      <c r="L11" s="3">
        <v>154805</v>
      </c>
      <c r="M11" s="3">
        <v>33961</v>
      </c>
      <c r="N11" s="3">
        <v>393956</v>
      </c>
      <c r="O11" s="3">
        <v>583723</v>
      </c>
      <c r="P11" s="3">
        <v>188347</v>
      </c>
      <c r="Q11" s="3">
        <v>108270</v>
      </c>
      <c r="R11" s="3">
        <v>116336</v>
      </c>
      <c r="S11" s="3">
        <v>112685</v>
      </c>
      <c r="T11" s="3">
        <v>69856</v>
      </c>
      <c r="U11" s="3">
        <v>58583</v>
      </c>
      <c r="V11" s="3">
        <v>58534</v>
      </c>
      <c r="W11" s="3">
        <v>31901</v>
      </c>
      <c r="X11" s="3">
        <v>52284</v>
      </c>
      <c r="Y11" s="3">
        <v>76465</v>
      </c>
      <c r="Z11" s="3">
        <v>917457</v>
      </c>
      <c r="AA11" s="3">
        <v>836815</v>
      </c>
      <c r="AB11" s="3">
        <v>1927792</v>
      </c>
      <c r="AC11" s="3">
        <v>898359</v>
      </c>
      <c r="AD11" s="3">
        <v>313046</v>
      </c>
      <c r="AE11" s="3">
        <v>305664</v>
      </c>
      <c r="AF11" s="3">
        <v>225244</v>
      </c>
      <c r="AG11" s="3">
        <v>179902</v>
      </c>
      <c r="AH11" s="3">
        <v>290077</v>
      </c>
      <c r="AI11" s="3">
        <v>217696</v>
      </c>
      <c r="AJ11" s="3">
        <v>212651</v>
      </c>
      <c r="AK11" s="3">
        <v>199782</v>
      </c>
      <c r="AL11" s="3">
        <v>37087</v>
      </c>
      <c r="AM11" s="3">
        <v>15737</v>
      </c>
      <c r="AN11" s="3">
        <v>25689</v>
      </c>
      <c r="AO11" s="3">
        <v>15096</v>
      </c>
      <c r="AP11" s="3">
        <v>20265</v>
      </c>
      <c r="AQ11" s="15">
        <v>39658</v>
      </c>
      <c r="AR11" s="15">
        <v>32454</v>
      </c>
      <c r="AS11" s="15">
        <v>31525</v>
      </c>
      <c r="AT11" s="15">
        <v>35902</v>
      </c>
      <c r="AU11" s="15">
        <v>42375</v>
      </c>
      <c r="AV11" s="15">
        <v>48870</v>
      </c>
      <c r="AW11" s="15">
        <v>40410</v>
      </c>
      <c r="AX11" s="15">
        <v>56627</v>
      </c>
      <c r="AY11" s="16">
        <v>49772</v>
      </c>
      <c r="AZ11" s="16">
        <v>29372</v>
      </c>
      <c r="BA11" s="16">
        <v>5534452</v>
      </c>
      <c r="BB11" s="16">
        <v>11730</v>
      </c>
      <c r="BC11" s="16">
        <v>32915</v>
      </c>
      <c r="BD11" s="16">
        <v>29738</v>
      </c>
      <c r="BE11" s="16">
        <v>31894</v>
      </c>
      <c r="BF11" s="16">
        <v>35475</v>
      </c>
      <c r="BG11" s="16">
        <v>52005</v>
      </c>
      <c r="BH11" s="16">
        <v>67306</v>
      </c>
      <c r="BI11" s="16">
        <v>64017</v>
      </c>
      <c r="BJ11" s="16">
        <v>74303</v>
      </c>
      <c r="BK11" s="16">
        <v>19794484</v>
      </c>
      <c r="BL11" s="16">
        <v>21329</v>
      </c>
      <c r="BM11" s="16">
        <v>29022</v>
      </c>
      <c r="BN11" s="16">
        <v>37724173</v>
      </c>
      <c r="BO11" s="534">
        <v>11890904</v>
      </c>
      <c r="BP11" s="16">
        <v>17033</v>
      </c>
      <c r="BQ11" s="16">
        <v>24058607</v>
      </c>
      <c r="BR11" s="16"/>
      <c r="BS11" s="16"/>
      <c r="BT11" s="16"/>
      <c r="BU11" s="16"/>
      <c r="BV11" s="16"/>
      <c r="BW11" s="16"/>
    </row>
    <row r="12" spans="1:75" x14ac:dyDescent="0.25">
      <c r="A12" s="62">
        <v>9</v>
      </c>
      <c r="B12" s="101" t="s">
        <v>360</v>
      </c>
      <c r="C12" s="62">
        <v>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/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/>
      <c r="BK12" s="6"/>
      <c r="BL12" s="6">
        <v>0</v>
      </c>
      <c r="BM12" s="6">
        <v>0</v>
      </c>
      <c r="BN12" s="6">
        <v>0</v>
      </c>
      <c r="BO12" s="527">
        <v>0</v>
      </c>
      <c r="BP12" s="6">
        <v>0</v>
      </c>
      <c r="BQ12" s="6">
        <v>0</v>
      </c>
      <c r="BR12" s="6"/>
      <c r="BS12" s="6"/>
      <c r="BT12" s="6"/>
      <c r="BU12" s="6"/>
      <c r="BV12" s="6"/>
      <c r="BW12" s="6"/>
    </row>
    <row r="13" spans="1:75" x14ac:dyDescent="0.25">
      <c r="A13" s="58">
        <v>10</v>
      </c>
      <c r="B13" s="106" t="s">
        <v>361</v>
      </c>
      <c r="C13" s="58">
        <v>7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/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/>
      <c r="BK13" s="16"/>
      <c r="BL13" s="16">
        <v>0</v>
      </c>
      <c r="BM13" s="16">
        <v>0</v>
      </c>
      <c r="BN13" s="16">
        <v>0</v>
      </c>
      <c r="BO13" s="534">
        <v>0</v>
      </c>
      <c r="BP13" s="16">
        <v>0</v>
      </c>
      <c r="BQ13" s="16">
        <v>0</v>
      </c>
      <c r="BR13" s="16"/>
      <c r="BS13" s="16"/>
      <c r="BT13" s="16"/>
      <c r="BU13" s="16"/>
      <c r="BV13" s="16"/>
      <c r="BW13" s="16"/>
    </row>
    <row r="14" spans="1:75" x14ac:dyDescent="0.25">
      <c r="A14" s="58">
        <v>11</v>
      </c>
      <c r="B14" s="102" t="s">
        <v>362</v>
      </c>
      <c r="C14" s="58">
        <v>7</v>
      </c>
      <c r="D14" s="3">
        <v>124600000</v>
      </c>
      <c r="E14" s="3">
        <v>137482710</v>
      </c>
      <c r="F14" s="3">
        <v>167076390</v>
      </c>
      <c r="G14" s="3">
        <v>43940000</v>
      </c>
      <c r="H14" s="3">
        <v>54150000</v>
      </c>
      <c r="I14" s="3">
        <v>51400000</v>
      </c>
      <c r="J14" s="3">
        <v>31900000</v>
      </c>
      <c r="K14" s="3">
        <v>3257800</v>
      </c>
      <c r="L14" s="3">
        <v>0</v>
      </c>
      <c r="M14" s="3">
        <v>0</v>
      </c>
      <c r="N14" s="3">
        <v>0</v>
      </c>
      <c r="O14" s="3">
        <v>11590909</v>
      </c>
      <c r="P14" s="3">
        <v>19977518</v>
      </c>
      <c r="Q14" s="3">
        <v>32702728</v>
      </c>
      <c r="R14" s="3">
        <v>33368636</v>
      </c>
      <c r="S14" s="3">
        <v>25171391</v>
      </c>
      <c r="T14" s="3">
        <v>41525527</v>
      </c>
      <c r="U14" s="3">
        <v>40466172</v>
      </c>
      <c r="V14" s="3">
        <v>44065127</v>
      </c>
      <c r="W14" s="3">
        <v>49489591</v>
      </c>
      <c r="X14" s="3">
        <v>63884844</v>
      </c>
      <c r="Y14" s="3">
        <v>-800000</v>
      </c>
      <c r="Z14" s="3">
        <v>544659282</v>
      </c>
      <c r="AA14" s="3">
        <v>573099951</v>
      </c>
      <c r="AB14" s="3">
        <v>962814777</v>
      </c>
      <c r="AC14" s="3">
        <v>637316957</v>
      </c>
      <c r="AD14" s="3">
        <v>714463931</v>
      </c>
      <c r="AE14" s="3">
        <v>772770445</v>
      </c>
      <c r="AF14" s="3">
        <v>899348766</v>
      </c>
      <c r="AG14" s="3">
        <v>1010824035</v>
      </c>
      <c r="AH14" s="3">
        <v>741281738</v>
      </c>
      <c r="AI14" s="3">
        <v>719882492</v>
      </c>
      <c r="AJ14" s="3">
        <v>503759926</v>
      </c>
      <c r="AK14" s="3">
        <v>501487798</v>
      </c>
      <c r="AL14" s="3">
        <v>675805769</v>
      </c>
      <c r="AM14" s="3">
        <v>634609472</v>
      </c>
      <c r="AN14" s="3">
        <v>133375123</v>
      </c>
      <c r="AO14" s="3">
        <v>153076705</v>
      </c>
      <c r="AP14" s="3">
        <v>183500000</v>
      </c>
      <c r="AQ14" s="15">
        <v>113500000</v>
      </c>
      <c r="AR14" s="15">
        <v>148600000</v>
      </c>
      <c r="AS14" s="15">
        <v>115000000</v>
      </c>
      <c r="AT14" s="15">
        <v>78000000</v>
      </c>
      <c r="AU14" s="15">
        <v>88000000</v>
      </c>
      <c r="AV14" s="15">
        <v>88400000</v>
      </c>
      <c r="AW14" s="15">
        <v>71100000</v>
      </c>
      <c r="AX14" s="15">
        <v>64500000</v>
      </c>
      <c r="AY14" s="15">
        <v>57000000</v>
      </c>
      <c r="AZ14" s="15">
        <v>37500000</v>
      </c>
      <c r="BA14" s="15">
        <v>70500000</v>
      </c>
      <c r="BB14" s="15">
        <v>103500000</v>
      </c>
      <c r="BC14" s="15">
        <v>129000000</v>
      </c>
      <c r="BD14" s="15">
        <v>111000000</v>
      </c>
      <c r="BE14" s="15">
        <v>116500000</v>
      </c>
      <c r="BF14" s="15">
        <v>172500000</v>
      </c>
      <c r="BG14" s="15">
        <v>164700000</v>
      </c>
      <c r="BH14" s="15">
        <v>127600000</v>
      </c>
      <c r="BI14" s="15">
        <v>115500000</v>
      </c>
      <c r="BJ14" s="15">
        <v>100000000</v>
      </c>
      <c r="BK14" s="15">
        <v>138000000</v>
      </c>
      <c r="BL14" s="15">
        <v>128500000</v>
      </c>
      <c r="BM14" s="15">
        <v>102500000</v>
      </c>
      <c r="BN14" s="15">
        <v>145600000</v>
      </c>
      <c r="BO14" s="538">
        <v>114800000</v>
      </c>
      <c r="BP14" s="15">
        <v>152200000</v>
      </c>
      <c r="BQ14" s="15">
        <v>151500000</v>
      </c>
      <c r="BR14" s="15"/>
      <c r="BS14" s="15"/>
      <c r="BT14" s="15"/>
      <c r="BU14" s="15"/>
      <c r="BV14" s="15"/>
      <c r="BW14" s="15"/>
    </row>
    <row r="15" spans="1:75" x14ac:dyDescent="0.25">
      <c r="A15" s="58">
        <v>12</v>
      </c>
      <c r="B15" s="102" t="s">
        <v>363</v>
      </c>
      <c r="C15" s="58">
        <v>7</v>
      </c>
      <c r="D15" s="3">
        <v>290450887</v>
      </c>
      <c r="E15" s="3">
        <v>130936346</v>
      </c>
      <c r="F15" s="3">
        <v>143934808</v>
      </c>
      <c r="G15" s="3">
        <v>216650285</v>
      </c>
      <c r="H15" s="3">
        <v>149107773</v>
      </c>
      <c r="I15" s="3">
        <v>141204731</v>
      </c>
      <c r="J15" s="3">
        <v>118353303</v>
      </c>
      <c r="K15" s="3">
        <v>97570688</v>
      </c>
      <c r="L15" s="3">
        <v>123041539</v>
      </c>
      <c r="M15" s="3">
        <v>154194004</v>
      </c>
      <c r="N15" s="3">
        <v>201891032</v>
      </c>
      <c r="O15" s="3">
        <v>272556289</v>
      </c>
      <c r="P15" s="3">
        <v>75508157</v>
      </c>
      <c r="Q15" s="3">
        <v>93356278</v>
      </c>
      <c r="R15" s="3">
        <v>70003962</v>
      </c>
      <c r="S15" s="3">
        <v>72286603</v>
      </c>
      <c r="T15" s="3">
        <v>67380693</v>
      </c>
      <c r="U15" s="3">
        <v>90342388</v>
      </c>
      <c r="V15" s="3">
        <v>65440018</v>
      </c>
      <c r="W15" s="3">
        <v>69282072</v>
      </c>
      <c r="X15" s="3">
        <v>67377790</v>
      </c>
      <c r="Y15" s="3">
        <v>95150209</v>
      </c>
      <c r="Z15" s="3">
        <v>549676445</v>
      </c>
      <c r="AA15" s="3">
        <v>611847614</v>
      </c>
      <c r="AB15" s="3">
        <v>437925898</v>
      </c>
      <c r="AC15" s="3">
        <v>280408198</v>
      </c>
      <c r="AD15" s="3">
        <v>331111159</v>
      </c>
      <c r="AE15" s="3">
        <v>406104277</v>
      </c>
      <c r="AF15" s="3">
        <v>397327338</v>
      </c>
      <c r="AG15" s="3">
        <v>419101489</v>
      </c>
      <c r="AH15" s="3">
        <v>339062283</v>
      </c>
      <c r="AI15" s="3">
        <v>323040469</v>
      </c>
      <c r="AJ15" s="3">
        <v>314799888</v>
      </c>
      <c r="AK15" s="3">
        <v>316250411</v>
      </c>
      <c r="AL15" s="3">
        <v>312166512</v>
      </c>
      <c r="AM15" s="3">
        <v>133170212</v>
      </c>
      <c r="AN15" s="3">
        <v>108609904</v>
      </c>
      <c r="AO15" s="3">
        <v>112973768</v>
      </c>
      <c r="AP15" s="3">
        <v>101629977</v>
      </c>
      <c r="AQ15" s="15">
        <v>115745156</v>
      </c>
      <c r="AR15" s="15">
        <v>112729162</v>
      </c>
      <c r="AS15" s="15">
        <v>120069599</v>
      </c>
      <c r="AT15" s="15">
        <v>160850671</v>
      </c>
      <c r="AU15" s="15">
        <v>405694070</v>
      </c>
      <c r="AV15" s="15">
        <v>233540627</v>
      </c>
      <c r="AW15" s="15">
        <v>92522618</v>
      </c>
      <c r="AX15" s="15">
        <v>230673757</v>
      </c>
      <c r="AY15" s="15">
        <v>203190535</v>
      </c>
      <c r="AZ15" s="15">
        <v>352795333</v>
      </c>
      <c r="BA15" s="15">
        <v>295358943</v>
      </c>
      <c r="BB15" s="15">
        <v>271063548</v>
      </c>
      <c r="BC15" s="15">
        <v>313168414</v>
      </c>
      <c r="BD15" s="15">
        <v>312964157</v>
      </c>
      <c r="BE15" s="15">
        <v>275253185</v>
      </c>
      <c r="BF15" s="15">
        <v>348145066</v>
      </c>
      <c r="BG15" s="15">
        <v>329900505</v>
      </c>
      <c r="BH15" s="15">
        <v>317487600</v>
      </c>
      <c r="BI15" s="15">
        <v>350884750</v>
      </c>
      <c r="BJ15" s="15">
        <v>369111823</v>
      </c>
      <c r="BK15" s="15">
        <v>661147544</v>
      </c>
      <c r="BL15" s="15">
        <v>408101430</v>
      </c>
      <c r="BM15" s="15">
        <v>323633206</v>
      </c>
      <c r="BN15" s="15">
        <v>385055662</v>
      </c>
      <c r="BO15" s="538">
        <v>408169527</v>
      </c>
      <c r="BP15" s="15">
        <v>462618957</v>
      </c>
      <c r="BQ15" s="15">
        <v>414526390</v>
      </c>
      <c r="BR15" s="15"/>
      <c r="BS15" s="15"/>
      <c r="BT15" s="15"/>
      <c r="BU15" s="15"/>
      <c r="BV15" s="15"/>
      <c r="BW15" s="15"/>
    </row>
    <row r="16" spans="1:75" x14ac:dyDescent="0.25">
      <c r="A16" s="62">
        <v>13</v>
      </c>
      <c r="B16" s="101" t="s">
        <v>364</v>
      </c>
      <c r="C16" s="62">
        <v>7</v>
      </c>
      <c r="D16" s="5">
        <v>-409381721</v>
      </c>
      <c r="E16" s="5">
        <v>-255852308</v>
      </c>
      <c r="F16" s="5">
        <v>-290372746</v>
      </c>
      <c r="G16" s="5">
        <v>-221158003</v>
      </c>
      <c r="H16" s="5">
        <v>-159748884</v>
      </c>
      <c r="I16" s="5">
        <v>-163311329</v>
      </c>
      <c r="J16" s="5">
        <v>-128277358</v>
      </c>
      <c r="K16" s="5">
        <v>-100677535</v>
      </c>
      <c r="L16" s="5">
        <v>-122886734</v>
      </c>
      <c r="M16" s="5">
        <v>-154160043</v>
      </c>
      <c r="N16" s="5">
        <v>-178082076</v>
      </c>
      <c r="O16" s="5">
        <v>-235623357</v>
      </c>
      <c r="P16" s="5">
        <v>367034115</v>
      </c>
      <c r="Q16" s="5">
        <v>-249826970</v>
      </c>
      <c r="R16" s="5">
        <v>252613936</v>
      </c>
      <c r="S16" s="5">
        <v>89157718</v>
      </c>
      <c r="T16" s="5">
        <v>582092467</v>
      </c>
      <c r="U16" s="5">
        <v>62295741</v>
      </c>
      <c r="V16" s="5">
        <v>245159362</v>
      </c>
      <c r="W16" s="5">
        <v>787564668</v>
      </c>
      <c r="X16" s="5">
        <v>451388729</v>
      </c>
      <c r="Y16" s="5">
        <v>17666769.059290886</v>
      </c>
      <c r="Z16" s="5">
        <v>392611854</v>
      </c>
      <c r="AA16" s="5">
        <v>-2285403713</v>
      </c>
      <c r="AB16" s="5">
        <v>-685775216</v>
      </c>
      <c r="AC16" s="5">
        <v>-412959538</v>
      </c>
      <c r="AD16" s="5">
        <v>-625768206</v>
      </c>
      <c r="AE16" s="5">
        <v>275929961</v>
      </c>
      <c r="AF16" s="5">
        <v>1089914451</v>
      </c>
      <c r="AG16" s="5">
        <v>-187239550</v>
      </c>
      <c r="AH16" s="5">
        <v>-527446246</v>
      </c>
      <c r="AI16" s="5">
        <v>-300137249</v>
      </c>
      <c r="AJ16" s="5">
        <v>-247512811</v>
      </c>
      <c r="AK16" s="5">
        <v>215212564</v>
      </c>
      <c r="AL16" s="5">
        <v>281001910</v>
      </c>
      <c r="AM16" s="5">
        <v>586387733</v>
      </c>
      <c r="AN16" s="5">
        <v>14761583</v>
      </c>
      <c r="AO16" s="5">
        <v>-112782273</v>
      </c>
      <c r="AP16" s="5">
        <v>248609907</v>
      </c>
      <c r="AQ16" s="5">
        <v>-93867851</v>
      </c>
      <c r="AR16" s="5">
        <v>-323849797</v>
      </c>
      <c r="AS16" s="5">
        <v>-111483671</v>
      </c>
      <c r="AT16" s="5">
        <v>-319225013</v>
      </c>
      <c r="AU16" s="5">
        <v>-394314403</v>
      </c>
      <c r="AV16" s="5">
        <v>-556670192</v>
      </c>
      <c r="AW16" s="5">
        <v>-88849452</v>
      </c>
      <c r="AX16" s="5">
        <v>-137307470</v>
      </c>
      <c r="AY16" s="6">
        <v>-349818396</v>
      </c>
      <c r="AZ16" s="6">
        <v>-709663099</v>
      </c>
      <c r="BA16" s="6">
        <v>-671184566</v>
      </c>
      <c r="BB16" s="6">
        <v>-251636967</v>
      </c>
      <c r="BC16" s="6">
        <v>711287570</v>
      </c>
      <c r="BD16" s="6">
        <v>224729120</v>
      </c>
      <c r="BE16" s="6">
        <v>600684326</v>
      </c>
      <c r="BF16" s="6">
        <v>1321498145</v>
      </c>
      <c r="BG16" s="6">
        <v>961867836</v>
      </c>
      <c r="BH16" s="6">
        <v>339714095</v>
      </c>
      <c r="BI16" s="6">
        <v>416822961</v>
      </c>
      <c r="BJ16" s="6">
        <v>380000113</v>
      </c>
      <c r="BK16" s="6">
        <v>541917551</v>
      </c>
      <c r="BL16" s="6">
        <v>794231216</v>
      </c>
      <c r="BM16" s="6">
        <v>145581803</v>
      </c>
      <c r="BN16" s="6">
        <v>773879477</v>
      </c>
      <c r="BO16" s="527">
        <v>597186860</v>
      </c>
      <c r="BP16" s="6">
        <v>1009095980</v>
      </c>
      <c r="BQ16" s="6">
        <v>1094700825</v>
      </c>
      <c r="BR16" s="6"/>
      <c r="BS16" s="6"/>
      <c r="BT16" s="6"/>
      <c r="BU16" s="6"/>
      <c r="BV16" s="6"/>
      <c r="BW16" s="6"/>
    </row>
    <row r="17" spans="1:75" x14ac:dyDescent="0.25">
      <c r="A17" s="58">
        <v>14</v>
      </c>
      <c r="B17" s="102" t="s">
        <v>365</v>
      </c>
      <c r="C17" s="58">
        <v>7</v>
      </c>
      <c r="D17" s="3">
        <v>0</v>
      </c>
      <c r="E17" s="3">
        <v>0</v>
      </c>
      <c r="F17" s="3">
        <v>810000</v>
      </c>
      <c r="G17" s="3">
        <v>0</v>
      </c>
      <c r="H17" s="3">
        <v>960000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334571363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2400200</v>
      </c>
      <c r="Z17" s="3">
        <v>948405000</v>
      </c>
      <c r="AA17" s="3">
        <v>254801000</v>
      </c>
      <c r="AB17" s="3">
        <v>26130000</v>
      </c>
      <c r="AC17" s="3">
        <v>3000000</v>
      </c>
      <c r="AD17" s="3">
        <v>1200000</v>
      </c>
      <c r="AE17" s="3">
        <v>710000</v>
      </c>
      <c r="AF17" s="3">
        <v>200000</v>
      </c>
      <c r="AG17" s="3">
        <v>4200000</v>
      </c>
      <c r="AH17" s="3">
        <v>16400000</v>
      </c>
      <c r="AI17" s="3">
        <v>200000</v>
      </c>
      <c r="AJ17" s="3">
        <v>0</v>
      </c>
      <c r="AK17" s="3">
        <v>200000</v>
      </c>
      <c r="AL17" s="3">
        <v>0</v>
      </c>
      <c r="AM17" s="3">
        <v>101445000</v>
      </c>
      <c r="AN17" s="3">
        <v>0</v>
      </c>
      <c r="AO17" s="3">
        <v>1097349</v>
      </c>
      <c r="AP17" s="3">
        <v>0</v>
      </c>
      <c r="AQ17" s="15">
        <v>0</v>
      </c>
      <c r="AR17" s="15">
        <v>0</v>
      </c>
      <c r="AS17" s="15">
        <v>0</v>
      </c>
      <c r="AT17" s="15">
        <v>927028</v>
      </c>
      <c r="AU17" s="15">
        <v>0</v>
      </c>
      <c r="AV17" s="15">
        <v>0</v>
      </c>
      <c r="AW17" s="15">
        <v>0</v>
      </c>
      <c r="AX17" s="15">
        <v>2134400</v>
      </c>
      <c r="AY17" s="16">
        <v>0</v>
      </c>
      <c r="AZ17" s="16">
        <v>21584470</v>
      </c>
      <c r="BA17" s="16">
        <v>5000000</v>
      </c>
      <c r="BB17" s="16">
        <v>0</v>
      </c>
      <c r="BC17" s="16">
        <v>0</v>
      </c>
      <c r="BD17" s="16">
        <v>0</v>
      </c>
      <c r="BE17" s="16">
        <v>38848871</v>
      </c>
      <c r="BF17" s="16">
        <v>192651</v>
      </c>
      <c r="BG17" s="16">
        <v>244036935</v>
      </c>
      <c r="BH17" s="16">
        <v>60000</v>
      </c>
      <c r="BI17" s="16">
        <v>75000</v>
      </c>
      <c r="BJ17" s="16">
        <v>-84500</v>
      </c>
      <c r="BK17" s="16">
        <v>55923818</v>
      </c>
      <c r="BL17" s="16">
        <v>20577776</v>
      </c>
      <c r="BM17" s="16">
        <v>7185766</v>
      </c>
      <c r="BN17" s="16">
        <v>63682976</v>
      </c>
      <c r="BO17" s="534">
        <v>24609263</v>
      </c>
      <c r="BP17" s="16">
        <v>145437626</v>
      </c>
      <c r="BQ17" s="16">
        <v>80839947</v>
      </c>
      <c r="BR17" s="16"/>
      <c r="BS17" s="16"/>
      <c r="BT17" s="16"/>
      <c r="BU17" s="16"/>
      <c r="BV17" s="16"/>
      <c r="BW17" s="16"/>
    </row>
    <row r="18" spans="1:75" x14ac:dyDescent="0.25">
      <c r="A18" s="58">
        <v>15</v>
      </c>
      <c r="B18" s="102" t="s">
        <v>366</v>
      </c>
      <c r="C18" s="58">
        <v>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265000000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/>
      <c r="Z18" s="3">
        <v>948405000</v>
      </c>
      <c r="AA18" s="3">
        <v>215000000</v>
      </c>
      <c r="AB18" s="3">
        <v>35745455</v>
      </c>
      <c r="AC18" s="3">
        <v>0</v>
      </c>
      <c r="AD18" s="3">
        <v>3125452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21650000</v>
      </c>
      <c r="AO18" s="3">
        <v>0</v>
      </c>
      <c r="AP18" s="3">
        <v>2961692</v>
      </c>
      <c r="AQ18" s="15">
        <v>1535462</v>
      </c>
      <c r="AR18" s="15">
        <v>0</v>
      </c>
      <c r="AS18" s="15">
        <v>0</v>
      </c>
      <c r="AT18" s="15">
        <v>0</v>
      </c>
      <c r="AU18" s="15">
        <v>812640</v>
      </c>
      <c r="AV18" s="15">
        <v>0</v>
      </c>
      <c r="AW18" s="15">
        <v>1609246</v>
      </c>
      <c r="AX18" s="15">
        <v>2151500</v>
      </c>
      <c r="AY18" s="16">
        <v>0</v>
      </c>
      <c r="AZ18" s="16">
        <v>21650000</v>
      </c>
      <c r="BA18" s="16">
        <v>12</v>
      </c>
      <c r="BB18" s="16">
        <v>0</v>
      </c>
      <c r="BC18" s="16">
        <v>0</v>
      </c>
      <c r="BD18" s="16">
        <v>0</v>
      </c>
      <c r="BE18" s="16">
        <v>4346108</v>
      </c>
      <c r="BF18" s="16">
        <v>10140</v>
      </c>
      <c r="BG18" s="16">
        <v>3</v>
      </c>
      <c r="BH18" s="16">
        <v>43112</v>
      </c>
      <c r="BI18" s="16">
        <v>494540</v>
      </c>
      <c r="BJ18" s="16"/>
      <c r="BK18" s="16">
        <v>975</v>
      </c>
      <c r="BL18" s="16">
        <v>-4</v>
      </c>
      <c r="BM18" s="16">
        <v>300000</v>
      </c>
      <c r="BN18" s="16">
        <v>52000</v>
      </c>
      <c r="BO18" s="534">
        <v>220400</v>
      </c>
      <c r="BP18" s="16">
        <v>0</v>
      </c>
      <c r="BQ18" s="16">
        <v>22046718</v>
      </c>
      <c r="BR18" s="16"/>
      <c r="BS18" s="16"/>
      <c r="BT18" s="16"/>
      <c r="BU18" s="16"/>
      <c r="BV18" s="16"/>
      <c r="BW18" s="16"/>
    </row>
    <row r="19" spans="1:75" x14ac:dyDescent="0.25">
      <c r="A19" s="62">
        <v>16</v>
      </c>
      <c r="B19" s="101" t="s">
        <v>367</v>
      </c>
      <c r="C19" s="62">
        <v>7</v>
      </c>
      <c r="D19" s="5">
        <v>0</v>
      </c>
      <c r="E19" s="5">
        <v>0</v>
      </c>
      <c r="F19" s="5">
        <v>810000</v>
      </c>
      <c r="G19" s="5">
        <v>0</v>
      </c>
      <c r="H19" s="5">
        <v>960000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69571363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2400200</v>
      </c>
      <c r="Z19" s="5"/>
      <c r="AA19" s="5">
        <v>39801000</v>
      </c>
      <c r="AB19" s="5">
        <v>-9615455</v>
      </c>
      <c r="AC19" s="5">
        <v>3000000</v>
      </c>
      <c r="AD19" s="5">
        <v>-1925452</v>
      </c>
      <c r="AE19" s="5">
        <v>710000</v>
      </c>
      <c r="AF19" s="5">
        <v>200000</v>
      </c>
      <c r="AG19" s="5">
        <v>4200000</v>
      </c>
      <c r="AH19" s="5">
        <v>16400000</v>
      </c>
      <c r="AI19" s="5">
        <v>200000</v>
      </c>
      <c r="AJ19" s="5">
        <v>0</v>
      </c>
      <c r="AK19" s="5">
        <v>200000</v>
      </c>
      <c r="AL19" s="5">
        <v>0</v>
      </c>
      <c r="AM19" s="5">
        <v>101445000</v>
      </c>
      <c r="AN19" s="5">
        <v>-21650000</v>
      </c>
      <c r="AO19" s="5">
        <v>1097349</v>
      </c>
      <c r="AP19" s="5">
        <v>-2961692</v>
      </c>
      <c r="AQ19" s="5">
        <v>-1535462</v>
      </c>
      <c r="AR19" s="5">
        <v>0</v>
      </c>
      <c r="AS19" s="5">
        <v>0</v>
      </c>
      <c r="AT19" s="5">
        <v>927028</v>
      </c>
      <c r="AU19" s="5">
        <v>-812640</v>
      </c>
      <c r="AV19" s="5">
        <v>0</v>
      </c>
      <c r="AW19" s="5">
        <v>-1609246</v>
      </c>
      <c r="AX19" s="5">
        <v>-17100</v>
      </c>
      <c r="AY19" s="6">
        <v>0</v>
      </c>
      <c r="AZ19" s="6">
        <v>-65530</v>
      </c>
      <c r="BA19" s="6">
        <v>4999988</v>
      </c>
      <c r="BB19" s="6">
        <v>0</v>
      </c>
      <c r="BC19" s="6">
        <v>0</v>
      </c>
      <c r="BD19" s="6">
        <v>0</v>
      </c>
      <c r="BE19" s="6">
        <v>34502763</v>
      </c>
      <c r="BF19" s="6">
        <v>182511</v>
      </c>
      <c r="BG19" s="6">
        <v>244036932</v>
      </c>
      <c r="BH19" s="6">
        <v>16888</v>
      </c>
      <c r="BI19" s="6">
        <v>-419540</v>
      </c>
      <c r="BJ19" s="6">
        <v>-84500</v>
      </c>
      <c r="BK19" s="6">
        <v>55922843</v>
      </c>
      <c r="BL19" s="6">
        <v>20577780</v>
      </c>
      <c r="BM19" s="6">
        <v>6885766</v>
      </c>
      <c r="BN19" s="6">
        <v>63630976</v>
      </c>
      <c r="BO19" s="527">
        <v>24388863</v>
      </c>
      <c r="BP19" s="6">
        <v>145437626</v>
      </c>
      <c r="BQ19" s="6">
        <v>58793229</v>
      </c>
      <c r="BR19" s="6"/>
      <c r="BS19" s="6"/>
      <c r="BT19" s="6"/>
      <c r="BU19" s="6"/>
      <c r="BV19" s="6"/>
      <c r="BW19" s="6"/>
    </row>
    <row r="20" spans="1:75" x14ac:dyDescent="0.25">
      <c r="A20" s="103">
        <v>17</v>
      </c>
      <c r="B20" s="101" t="s">
        <v>368</v>
      </c>
      <c r="C20" s="103">
        <v>7</v>
      </c>
      <c r="D20" s="17">
        <v>-409381721</v>
      </c>
      <c r="E20" s="17">
        <v>-255852308</v>
      </c>
      <c r="F20" s="17">
        <v>-289562746</v>
      </c>
      <c r="G20" s="17">
        <v>-221158003</v>
      </c>
      <c r="H20" s="17">
        <v>-158788884</v>
      </c>
      <c r="I20" s="17">
        <v>-163311329</v>
      </c>
      <c r="J20" s="17">
        <v>-128277358</v>
      </c>
      <c r="K20" s="17">
        <v>-100677535</v>
      </c>
      <c r="L20" s="17">
        <v>-122886734</v>
      </c>
      <c r="M20" s="17">
        <v>-154160043</v>
      </c>
      <c r="N20" s="17">
        <v>-178082076</v>
      </c>
      <c r="O20" s="17">
        <v>-235623357</v>
      </c>
      <c r="P20" s="17">
        <v>436605478</v>
      </c>
      <c r="Q20" s="17">
        <v>-249826970</v>
      </c>
      <c r="R20" s="17">
        <v>252613936</v>
      </c>
      <c r="S20" s="17">
        <v>89157718</v>
      </c>
      <c r="T20" s="17">
        <v>582092467</v>
      </c>
      <c r="U20" s="17">
        <v>62295741</v>
      </c>
      <c r="V20" s="17">
        <v>245159362</v>
      </c>
      <c r="W20" s="17">
        <v>787564668</v>
      </c>
      <c r="X20" s="17">
        <v>451388729</v>
      </c>
      <c r="Y20" s="17">
        <v>20066969.059290901</v>
      </c>
      <c r="Z20" s="17">
        <v>371628946</v>
      </c>
      <c r="AA20" s="17">
        <v>-2245602713</v>
      </c>
      <c r="AB20" s="17">
        <v>-695390671</v>
      </c>
      <c r="AC20" s="17">
        <v>-409959538</v>
      </c>
      <c r="AD20" s="17">
        <v>-627693658</v>
      </c>
      <c r="AE20" s="17">
        <v>276639961</v>
      </c>
      <c r="AF20" s="17">
        <v>1090114451</v>
      </c>
      <c r="AG20" s="17">
        <v>-183039550</v>
      </c>
      <c r="AH20" s="17">
        <v>-511046246</v>
      </c>
      <c r="AI20" s="17">
        <v>-299937249</v>
      </c>
      <c r="AJ20" s="17">
        <v>-247512811</v>
      </c>
      <c r="AK20" s="17">
        <v>215412564</v>
      </c>
      <c r="AL20" s="17">
        <v>281001910</v>
      </c>
      <c r="AM20" s="17">
        <v>687832733</v>
      </c>
      <c r="AN20" s="17">
        <v>-6888417</v>
      </c>
      <c r="AO20" s="17">
        <v>-111684924</v>
      </c>
      <c r="AP20" s="17">
        <v>245648215</v>
      </c>
      <c r="AQ20" s="17">
        <v>-95403313</v>
      </c>
      <c r="AR20" s="17">
        <v>-323849797</v>
      </c>
      <c r="AS20" s="17">
        <v>-111483671</v>
      </c>
      <c r="AT20" s="17">
        <v>-318297985</v>
      </c>
      <c r="AU20" s="17">
        <v>-395752043</v>
      </c>
      <c r="AV20" s="17">
        <v>-556670192</v>
      </c>
      <c r="AW20" s="17">
        <v>-90458698</v>
      </c>
      <c r="AX20" s="17">
        <v>-137324570</v>
      </c>
      <c r="AY20" s="18">
        <v>-349818396</v>
      </c>
      <c r="AZ20" s="18">
        <v>-709728629</v>
      </c>
      <c r="BA20" s="18">
        <v>-666184578</v>
      </c>
      <c r="BB20" s="18">
        <v>-251636967</v>
      </c>
      <c r="BC20" s="18">
        <v>711287570</v>
      </c>
      <c r="BD20" s="18">
        <v>224729120</v>
      </c>
      <c r="BE20" s="18">
        <v>635187089</v>
      </c>
      <c r="BF20" s="18">
        <v>1321680656</v>
      </c>
      <c r="BG20" s="18">
        <v>1205904768</v>
      </c>
      <c r="BH20" s="18">
        <v>339730983</v>
      </c>
      <c r="BI20" s="18">
        <v>416403421</v>
      </c>
      <c r="BJ20" s="18">
        <v>379915613</v>
      </c>
      <c r="BK20" s="18">
        <v>597840394</v>
      </c>
      <c r="BL20" s="18">
        <v>814808996</v>
      </c>
      <c r="BM20" s="18">
        <v>152467569</v>
      </c>
      <c r="BN20" s="18">
        <v>837510453</v>
      </c>
      <c r="BO20" s="527">
        <v>621575723</v>
      </c>
      <c r="BP20" s="18">
        <v>1154533606</v>
      </c>
      <c r="BQ20" s="18">
        <v>1153494054</v>
      </c>
      <c r="BR20" s="18"/>
      <c r="BS20" s="18"/>
      <c r="BT20" s="18"/>
      <c r="BU20" s="18"/>
      <c r="BV20" s="18"/>
      <c r="BW20" s="18"/>
    </row>
    <row r="21" spans="1:75" x14ac:dyDescent="0.25">
      <c r="A21" s="58">
        <v>18</v>
      </c>
      <c r="B21" s="107" t="s">
        <v>369</v>
      </c>
      <c r="C21" s="58">
        <v>7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/>
      <c r="Z21" s="22">
        <v>0</v>
      </c>
      <c r="AA21" s="22">
        <v>0</v>
      </c>
      <c r="AB21" s="22"/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3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32927331</v>
      </c>
      <c r="AV21" s="22">
        <v>0</v>
      </c>
      <c r="AW21" s="22">
        <v>0</v>
      </c>
      <c r="AX21" s="22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3"/>
      <c r="BK21" s="23">
        <v>461321716</v>
      </c>
      <c r="BL21" s="23">
        <v>0</v>
      </c>
      <c r="BM21" s="23">
        <v>0</v>
      </c>
      <c r="BN21" s="23">
        <v>306813793</v>
      </c>
      <c r="BO21" s="539">
        <v>105667873</v>
      </c>
      <c r="BP21" s="23">
        <v>196270713</v>
      </c>
      <c r="BQ21" s="23">
        <v>230698810</v>
      </c>
      <c r="BR21" s="23"/>
      <c r="BS21" s="23"/>
      <c r="BT21" s="23"/>
      <c r="BU21" s="23"/>
      <c r="BV21" s="23"/>
      <c r="BW21" s="23"/>
    </row>
    <row r="22" spans="1:75" x14ac:dyDescent="0.25">
      <c r="A22" s="58">
        <v>19</v>
      </c>
      <c r="B22" s="102" t="s">
        <v>370</v>
      </c>
      <c r="C22" s="58">
        <v>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/>
      <c r="Z22" s="15">
        <v>0</v>
      </c>
      <c r="AA22" s="15">
        <v>0</v>
      </c>
      <c r="AB22" s="15"/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3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/>
      <c r="BK22" s="16"/>
      <c r="BL22" s="16">
        <v>0</v>
      </c>
      <c r="BM22" s="16">
        <v>0</v>
      </c>
      <c r="BN22" s="16">
        <v>0</v>
      </c>
      <c r="BO22" s="534">
        <v>0</v>
      </c>
      <c r="BP22" s="16">
        <v>0</v>
      </c>
      <c r="BQ22" s="16">
        <v>0</v>
      </c>
      <c r="BR22" s="16"/>
      <c r="BS22" s="16"/>
      <c r="BT22" s="16"/>
      <c r="BU22" s="16"/>
      <c r="BV22" s="16"/>
      <c r="BW22" s="16"/>
    </row>
    <row r="23" spans="1:75" x14ac:dyDescent="0.25">
      <c r="A23" s="105">
        <v>20</v>
      </c>
      <c r="B23" s="101" t="s">
        <v>371</v>
      </c>
      <c r="C23" s="105">
        <v>7</v>
      </c>
      <c r="D23" s="21">
        <v>-409381721</v>
      </c>
      <c r="E23" s="21">
        <v>-255852308</v>
      </c>
      <c r="F23" s="21">
        <v>-289562746</v>
      </c>
      <c r="G23" s="21">
        <v>-221158003</v>
      </c>
      <c r="H23" s="21">
        <v>-158788884</v>
      </c>
      <c r="I23" s="21">
        <v>-163311329</v>
      </c>
      <c r="J23" s="21">
        <v>-128277358</v>
      </c>
      <c r="K23" s="21">
        <v>-100677535</v>
      </c>
      <c r="L23" s="21">
        <v>-122886734</v>
      </c>
      <c r="M23" s="21">
        <v>-154160043</v>
      </c>
      <c r="N23" s="21">
        <v>-178082076</v>
      </c>
      <c r="O23" s="21">
        <v>-235623357</v>
      </c>
      <c r="P23" s="21">
        <v>436605478</v>
      </c>
      <c r="Q23" s="21">
        <v>-249826970</v>
      </c>
      <c r="R23" s="21">
        <v>252613936</v>
      </c>
      <c r="S23" s="21">
        <v>89157718</v>
      </c>
      <c r="T23" s="21">
        <v>582092467</v>
      </c>
      <c r="U23" s="21">
        <v>62295741</v>
      </c>
      <c r="V23" s="21">
        <v>245159362</v>
      </c>
      <c r="W23" s="21">
        <v>787564668</v>
      </c>
      <c r="X23" s="21">
        <v>451388729</v>
      </c>
      <c r="Y23" s="21">
        <v>20066969.059290886</v>
      </c>
      <c r="Z23" s="21">
        <v>371628946</v>
      </c>
      <c r="AA23" s="21">
        <v>-2245602713</v>
      </c>
      <c r="AB23" s="21">
        <v>-695390671</v>
      </c>
      <c r="AC23" s="21">
        <v>-409959538</v>
      </c>
      <c r="AD23" s="21">
        <v>-627693658</v>
      </c>
      <c r="AE23" s="21">
        <v>276639961</v>
      </c>
      <c r="AF23" s="21">
        <v>1090114451</v>
      </c>
      <c r="AG23" s="21">
        <v>-183039550</v>
      </c>
      <c r="AH23" s="21">
        <v>-511046246</v>
      </c>
      <c r="AI23" s="21">
        <v>-299937249</v>
      </c>
      <c r="AJ23" s="21">
        <v>-247512811</v>
      </c>
      <c r="AK23" s="21">
        <v>215412564</v>
      </c>
      <c r="AL23" s="21">
        <v>281001910</v>
      </c>
      <c r="AM23" s="21">
        <v>687832733</v>
      </c>
      <c r="AN23" s="21">
        <v>-6888417</v>
      </c>
      <c r="AO23" s="21">
        <v>-111684924</v>
      </c>
      <c r="AP23" s="21">
        <v>245648215</v>
      </c>
      <c r="AQ23" s="21">
        <v>-95403313</v>
      </c>
      <c r="AR23" s="21">
        <v>-323849797</v>
      </c>
      <c r="AS23" s="21">
        <v>-111483671</v>
      </c>
      <c r="AT23" s="21">
        <v>-318297985</v>
      </c>
      <c r="AU23" s="21">
        <v>-428679374</v>
      </c>
      <c r="AV23" s="21">
        <v>-556670192</v>
      </c>
      <c r="AW23" s="21">
        <v>-90458698</v>
      </c>
      <c r="AX23" s="21">
        <v>-137324570</v>
      </c>
      <c r="AY23" s="21">
        <v>-349818396</v>
      </c>
      <c r="AZ23" s="21">
        <v>-709728629</v>
      </c>
      <c r="BA23" s="21">
        <v>-666184578</v>
      </c>
      <c r="BB23" s="21">
        <v>-251636967</v>
      </c>
      <c r="BC23" s="21">
        <v>711287570</v>
      </c>
      <c r="BD23" s="21">
        <v>224729120</v>
      </c>
      <c r="BE23" s="21">
        <v>635187089</v>
      </c>
      <c r="BF23" s="21">
        <v>1321680656</v>
      </c>
      <c r="BG23" s="21">
        <v>1205904768</v>
      </c>
      <c r="BH23" s="21">
        <v>339730983</v>
      </c>
      <c r="BI23" s="21">
        <v>416403421</v>
      </c>
      <c r="BJ23" s="21">
        <v>379915613</v>
      </c>
      <c r="BK23" s="21">
        <v>136518678</v>
      </c>
      <c r="BL23" s="21">
        <v>814808996</v>
      </c>
      <c r="BM23" s="21">
        <v>152467569</v>
      </c>
      <c r="BN23" s="21">
        <v>530696660</v>
      </c>
      <c r="BO23" s="537">
        <v>515907850</v>
      </c>
      <c r="BP23" s="21">
        <v>958262893</v>
      </c>
      <c r="BQ23" s="21">
        <v>922795244</v>
      </c>
      <c r="BR23" s="21"/>
      <c r="BS23" s="21"/>
      <c r="BT23" s="21"/>
      <c r="BU23" s="21"/>
      <c r="BV23" s="21"/>
      <c r="BW23" s="21"/>
    </row>
  </sheetData>
  <sheetProtection algorithmName="SHA-512" hashValue="z1BUXATQX8LIJL9nnqBEz+CtLTRpfu2YZUop47n/HCHYy9tefgp1G3xLSNU+nUbbKU4mQ9AXDYNFFo+MbXOoMA==" saltValue="4J+Q/Q1G6C8IQm640nu8yw==" spinCount="100000" sheet="1" objects="1" scenarios="1"/>
  <protectedRanges>
    <protectedRange sqref="D4:BW23" name="PL"/>
  </protectedRange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0883-561B-4434-A9AB-47D69441C8AC}">
  <sheetPr>
    <tabColor theme="9" tint="0.59999389629810485"/>
  </sheetPr>
  <dimension ref="A1:BW47"/>
  <sheetViews>
    <sheetView showGridLines="0" zoomScale="80" zoomScaleNormal="80" workbookViewId="0">
      <pane xSplit="3" ySplit="3" topLeftCell="D4" activePane="bottomRight" state="frozen"/>
      <selection pane="topRight" activeCell="D8" sqref="D8:E8"/>
      <selection pane="bottomLeft" activeCell="D8" sqref="D8:E8"/>
      <selection pane="bottomRight" activeCell="D5" sqref="D5"/>
    </sheetView>
  </sheetViews>
  <sheetFormatPr defaultRowHeight="15" x14ac:dyDescent="0.25"/>
  <cols>
    <col min="1" max="1" width="7.5703125" hidden="1" customWidth="1"/>
    <col min="2" max="2" width="60.7109375" customWidth="1"/>
    <col min="3" max="3" width="9.140625" hidden="1" customWidth="1"/>
    <col min="4" max="4" width="16.42578125" customWidth="1"/>
    <col min="5" max="6" width="15.85546875" customWidth="1"/>
    <col min="7" max="7" width="16.42578125" customWidth="1"/>
    <col min="8" max="10" width="15.85546875" customWidth="1"/>
    <col min="11" max="11" width="17" customWidth="1"/>
    <col min="12" max="13" width="15.85546875" customWidth="1"/>
    <col min="14" max="14" width="17" customWidth="1"/>
    <col min="15" max="15" width="17.7109375" customWidth="1"/>
    <col min="16" max="16" width="16.42578125" customWidth="1"/>
    <col min="17" max="17" width="15.85546875" customWidth="1"/>
    <col min="18" max="23" width="17.7109375" customWidth="1"/>
    <col min="24" max="24" width="17" customWidth="1"/>
    <col min="25" max="25" width="15.85546875" customWidth="1"/>
    <col min="26" max="29" width="17.7109375" customWidth="1"/>
    <col min="30" max="32" width="15.85546875" customWidth="1"/>
    <col min="33" max="33" width="17" customWidth="1"/>
    <col min="34" max="35" width="17.7109375" customWidth="1"/>
    <col min="36" max="36" width="16.42578125" customWidth="1"/>
    <col min="37" max="38" width="17.7109375" customWidth="1"/>
    <col min="39" max="39" width="15.7109375" customWidth="1"/>
    <col min="40" max="41" width="17.7109375" customWidth="1"/>
    <col min="42" max="42" width="17" customWidth="1"/>
    <col min="43" max="43" width="15.85546875" customWidth="1"/>
    <col min="44" max="44" width="17.7109375" customWidth="1"/>
    <col min="45" max="45" width="15.7109375" customWidth="1"/>
    <col min="46" max="47" width="17" customWidth="1"/>
    <col min="48" max="49" width="17.7109375" customWidth="1"/>
    <col min="50" max="50" width="16.42578125" customWidth="1"/>
    <col min="51" max="51" width="17.7109375" customWidth="1"/>
    <col min="52" max="54" width="17.7109375" bestFit="1" customWidth="1"/>
    <col min="55" max="55" width="15.85546875" bestFit="1" customWidth="1"/>
    <col min="56" max="56" width="17.7109375" bestFit="1" customWidth="1"/>
    <col min="57" max="57" width="17" bestFit="1" customWidth="1"/>
    <col min="58" max="58" width="15.7109375" bestFit="1" customWidth="1"/>
    <col min="59" max="59" width="17" bestFit="1" customWidth="1"/>
    <col min="60" max="60" width="17.7109375" bestFit="1" customWidth="1"/>
    <col min="61" max="62" width="15.85546875" bestFit="1" customWidth="1"/>
    <col min="63" max="64" width="17.7109375" bestFit="1" customWidth="1"/>
    <col min="65" max="75" width="18" customWidth="1"/>
  </cols>
  <sheetData>
    <row r="1" spans="1:75" ht="18.75" x14ac:dyDescent="0.3">
      <c r="B1" s="43" t="s">
        <v>0</v>
      </c>
    </row>
    <row r="2" spans="1:75" x14ac:dyDescent="0.25">
      <c r="B2" s="48" t="s">
        <v>240</v>
      </c>
    </row>
    <row r="3" spans="1:75" ht="28.5" x14ac:dyDescent="0.25">
      <c r="A3" s="112" t="s">
        <v>372</v>
      </c>
      <c r="B3" s="52" t="s">
        <v>373</v>
      </c>
      <c r="C3" s="51" t="s">
        <v>243</v>
      </c>
      <c r="D3" s="53" t="s">
        <v>244</v>
      </c>
      <c r="E3" s="53" t="s">
        <v>245</v>
      </c>
      <c r="F3" s="53" t="s">
        <v>246</v>
      </c>
      <c r="G3" s="53" t="s">
        <v>247</v>
      </c>
      <c r="H3" s="53" t="s">
        <v>248</v>
      </c>
      <c r="I3" s="53" t="s">
        <v>249</v>
      </c>
      <c r="J3" s="53" t="s">
        <v>250</v>
      </c>
      <c r="K3" s="53" t="s">
        <v>251</v>
      </c>
      <c r="L3" s="53" t="s">
        <v>252</v>
      </c>
      <c r="M3" s="53" t="s">
        <v>253</v>
      </c>
      <c r="N3" s="53" t="s">
        <v>254</v>
      </c>
      <c r="O3" s="53" t="s">
        <v>255</v>
      </c>
      <c r="P3" s="53" t="s">
        <v>256</v>
      </c>
      <c r="Q3" s="53" t="s">
        <v>257</v>
      </c>
      <c r="R3" s="53" t="s">
        <v>258</v>
      </c>
      <c r="S3" s="53" t="s">
        <v>259</v>
      </c>
      <c r="T3" s="53" t="s">
        <v>260</v>
      </c>
      <c r="U3" s="53" t="s">
        <v>261</v>
      </c>
      <c r="V3" s="53" t="s">
        <v>262</v>
      </c>
      <c r="W3" s="53" t="s">
        <v>263</v>
      </c>
      <c r="X3" s="53" t="s">
        <v>264</v>
      </c>
      <c r="Y3" s="53" t="s">
        <v>265</v>
      </c>
      <c r="Z3" s="53" t="s">
        <v>266</v>
      </c>
      <c r="AA3" s="53" t="s">
        <v>267</v>
      </c>
      <c r="AB3" s="53" t="s">
        <v>268</v>
      </c>
      <c r="AC3" s="53" t="s">
        <v>269</v>
      </c>
      <c r="AD3" s="53" t="s">
        <v>270</v>
      </c>
      <c r="AE3" s="53" t="s">
        <v>271</v>
      </c>
      <c r="AF3" s="53" t="s">
        <v>272</v>
      </c>
      <c r="AG3" s="53" t="s">
        <v>273</v>
      </c>
      <c r="AH3" s="53" t="s">
        <v>274</v>
      </c>
      <c r="AI3" s="53" t="s">
        <v>275</v>
      </c>
      <c r="AJ3" s="53" t="s">
        <v>276</v>
      </c>
      <c r="AK3" s="53" t="s">
        <v>277</v>
      </c>
      <c r="AL3" s="53" t="s">
        <v>278</v>
      </c>
      <c r="AM3" s="53" t="s">
        <v>279</v>
      </c>
      <c r="AN3" s="51" t="s">
        <v>280</v>
      </c>
      <c r="AO3" s="53" t="s">
        <v>281</v>
      </c>
      <c r="AP3" s="53" t="s">
        <v>282</v>
      </c>
      <c r="AQ3" s="51" t="s">
        <v>283</v>
      </c>
      <c r="AR3" s="51" t="s">
        <v>284</v>
      </c>
      <c r="AS3" s="51" t="s">
        <v>285</v>
      </c>
      <c r="AT3" s="51" t="s">
        <v>286</v>
      </c>
      <c r="AU3" s="53" t="s">
        <v>287</v>
      </c>
      <c r="AV3" s="53" t="s">
        <v>288</v>
      </c>
      <c r="AW3" s="53" t="s">
        <v>289</v>
      </c>
      <c r="AX3" s="53" t="s">
        <v>290</v>
      </c>
      <c r="AY3" s="51" t="s">
        <v>291</v>
      </c>
      <c r="AZ3" s="51" t="s">
        <v>292</v>
      </c>
      <c r="BA3" s="53" t="s">
        <v>293</v>
      </c>
      <c r="BB3" s="53" t="s">
        <v>294</v>
      </c>
      <c r="BC3" s="51" t="s">
        <v>295</v>
      </c>
      <c r="BD3" s="51" t="s">
        <v>296</v>
      </c>
      <c r="BE3" s="51" t="s">
        <v>297</v>
      </c>
      <c r="BF3" s="51" t="s">
        <v>298</v>
      </c>
      <c r="BG3" s="53" t="s">
        <v>299</v>
      </c>
      <c r="BH3" s="53" t="s">
        <v>300</v>
      </c>
      <c r="BI3" s="53" t="s">
        <v>301</v>
      </c>
      <c r="BJ3" s="53" t="s">
        <v>302</v>
      </c>
      <c r="BK3" s="53" t="s">
        <v>303</v>
      </c>
      <c r="BL3" s="53" t="s">
        <v>304</v>
      </c>
      <c r="BM3" s="53" t="s">
        <v>305</v>
      </c>
      <c r="BN3" s="53" t="s">
        <v>306</v>
      </c>
      <c r="BO3" s="53" t="s">
        <v>307</v>
      </c>
      <c r="BP3" s="53" t="s">
        <v>308</v>
      </c>
      <c r="BQ3" s="53" t="s">
        <v>309</v>
      </c>
      <c r="BR3" s="53" t="s">
        <v>310</v>
      </c>
      <c r="BS3" s="53" t="s">
        <v>311</v>
      </c>
      <c r="BT3" s="53" t="s">
        <v>312</v>
      </c>
      <c r="BU3" s="53" t="s">
        <v>313</v>
      </c>
      <c r="BV3" s="53" t="s">
        <v>314</v>
      </c>
      <c r="BW3" s="53" t="s">
        <v>315</v>
      </c>
    </row>
    <row r="4" spans="1:75" x14ac:dyDescent="0.25">
      <c r="A4" s="113">
        <v>1</v>
      </c>
      <c r="B4" s="114" t="s">
        <v>198</v>
      </c>
      <c r="C4" s="115">
        <v>7</v>
      </c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2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2"/>
      <c r="AZ4" s="152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1"/>
      <c r="BL4" s="151"/>
      <c r="BM4" s="151"/>
      <c r="BN4" s="151"/>
      <c r="BO4" s="151"/>
      <c r="BP4" s="151"/>
      <c r="BQ4" s="151"/>
      <c r="BR4" s="151"/>
      <c r="BS4" s="151"/>
      <c r="BT4" s="151"/>
      <c r="BU4" s="151"/>
      <c r="BV4" s="151"/>
      <c r="BW4" s="151"/>
    </row>
    <row r="5" spans="1:75" x14ac:dyDescent="0.25">
      <c r="A5" s="113">
        <v>2</v>
      </c>
      <c r="B5" s="114" t="s">
        <v>374</v>
      </c>
      <c r="C5" s="116">
        <v>7</v>
      </c>
      <c r="D5" s="24">
        <v>-409381721</v>
      </c>
      <c r="E5" s="24">
        <v>-255852308</v>
      </c>
      <c r="F5" s="24">
        <v>-289562746</v>
      </c>
      <c r="G5" s="24">
        <v>-221158003</v>
      </c>
      <c r="H5" s="24">
        <v>-158788884</v>
      </c>
      <c r="I5" s="24">
        <v>-163311329</v>
      </c>
      <c r="J5" s="24">
        <v>-128277358</v>
      </c>
      <c r="K5" s="24">
        <v>-100677535</v>
      </c>
      <c r="L5" s="24">
        <v>-122886734</v>
      </c>
      <c r="M5" s="24">
        <v>-154160043</v>
      </c>
      <c r="N5" s="24">
        <v>-178082076</v>
      </c>
      <c r="O5" s="24">
        <v>-235623357</v>
      </c>
      <c r="P5" s="24">
        <v>436605477</v>
      </c>
      <c r="Q5" s="24">
        <v>-249826969</v>
      </c>
      <c r="R5" s="24">
        <v>252613936</v>
      </c>
      <c r="S5" s="24">
        <v>89157718</v>
      </c>
      <c r="T5" s="24">
        <v>582092468</v>
      </c>
      <c r="U5" s="24">
        <v>62295741</v>
      </c>
      <c r="V5" s="24">
        <v>245159362</v>
      </c>
      <c r="W5" s="24">
        <v>787564668</v>
      </c>
      <c r="X5" s="24">
        <v>451388729</v>
      </c>
      <c r="Y5" s="24">
        <v>20066969.059290886</v>
      </c>
      <c r="Z5" s="24">
        <v>371628946</v>
      </c>
      <c r="AA5" s="24">
        <v>-2245602713</v>
      </c>
      <c r="AB5" s="24">
        <v>-695390671</v>
      </c>
      <c r="AC5" s="24">
        <v>-409959538</v>
      </c>
      <c r="AD5" s="24">
        <v>-627693658</v>
      </c>
      <c r="AE5" s="24">
        <v>276639961</v>
      </c>
      <c r="AF5" s="24">
        <v>1090114451</v>
      </c>
      <c r="AG5" s="24">
        <v>-183039550</v>
      </c>
      <c r="AH5" s="24">
        <v>-511046246</v>
      </c>
      <c r="AI5" s="24">
        <v>-299937249</v>
      </c>
      <c r="AJ5" s="24">
        <v>-247512811</v>
      </c>
      <c r="AK5" s="24">
        <v>215412564</v>
      </c>
      <c r="AL5" s="24">
        <v>281001910</v>
      </c>
      <c r="AM5" s="24">
        <v>687832733</v>
      </c>
      <c r="AN5" s="24">
        <v>-6888417</v>
      </c>
      <c r="AO5" s="24">
        <v>-111684924</v>
      </c>
      <c r="AP5" s="24">
        <v>245648215</v>
      </c>
      <c r="AQ5" s="24">
        <v>-95403313</v>
      </c>
      <c r="AR5" s="24">
        <v>-323849797</v>
      </c>
      <c r="AS5" s="24">
        <v>-111483671</v>
      </c>
      <c r="AT5" s="24">
        <v>-318297985</v>
      </c>
      <c r="AU5" s="24">
        <v>-395752043</v>
      </c>
      <c r="AV5" s="24">
        <v>-556670192</v>
      </c>
      <c r="AW5" s="24">
        <v>-90458698</v>
      </c>
      <c r="AX5" s="24">
        <v>-137324570</v>
      </c>
      <c r="AY5" s="25">
        <v>-349818396</v>
      </c>
      <c r="AZ5" s="25">
        <v>-709728629</v>
      </c>
      <c r="BA5" s="25">
        <v>-666184578</v>
      </c>
      <c r="BB5" s="25">
        <v>-251636967</v>
      </c>
      <c r="BC5" s="25">
        <v>711287570</v>
      </c>
      <c r="BD5" s="25">
        <v>224729120</v>
      </c>
      <c r="BE5" s="25">
        <v>635187089</v>
      </c>
      <c r="BF5" s="25">
        <v>1321680656</v>
      </c>
      <c r="BG5" s="25">
        <v>1205904768</v>
      </c>
      <c r="BH5" s="25">
        <f>'Ket qua kinh doanh'!BH20</f>
        <v>339730983</v>
      </c>
      <c r="BI5" s="25">
        <v>416403421</v>
      </c>
      <c r="BJ5" s="25">
        <v>379915613</v>
      </c>
      <c r="BK5" s="25">
        <v>597840394</v>
      </c>
      <c r="BL5" s="25">
        <v>814808996</v>
      </c>
      <c r="BM5" s="540">
        <v>152467569</v>
      </c>
      <c r="BN5" s="540">
        <v>837510453</v>
      </c>
      <c r="BO5" s="540">
        <v>621575723</v>
      </c>
      <c r="BP5" s="25">
        <v>1154533606</v>
      </c>
      <c r="BQ5" s="25">
        <v>1153494054</v>
      </c>
      <c r="BR5" s="25"/>
      <c r="BS5" s="25"/>
      <c r="BT5" s="25"/>
      <c r="BU5" s="25"/>
      <c r="BV5" s="25"/>
      <c r="BW5" s="25"/>
    </row>
    <row r="6" spans="1:75" x14ac:dyDescent="0.25">
      <c r="A6" s="117">
        <v>3</v>
      </c>
      <c r="B6" s="118" t="s">
        <v>375</v>
      </c>
      <c r="C6" s="119">
        <v>7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26">
        <v>0</v>
      </c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541"/>
      <c r="BN6" s="541"/>
      <c r="BO6" s="541"/>
      <c r="BP6" s="26"/>
      <c r="BQ6" s="26"/>
      <c r="BR6" s="26"/>
      <c r="BS6" s="26"/>
      <c r="BT6" s="26"/>
      <c r="BU6" s="26"/>
      <c r="BV6" s="26"/>
      <c r="BW6" s="26"/>
    </row>
    <row r="7" spans="1:75" x14ac:dyDescent="0.25">
      <c r="A7" s="120">
        <v>4</v>
      </c>
      <c r="B7" s="121" t="s">
        <v>376</v>
      </c>
      <c r="C7" s="122">
        <v>7</v>
      </c>
      <c r="D7" s="153">
        <v>0</v>
      </c>
      <c r="E7" s="153">
        <v>0</v>
      </c>
      <c r="F7" s="153">
        <v>0</v>
      </c>
      <c r="G7" s="153">
        <v>0</v>
      </c>
      <c r="H7" s="153">
        <v>0</v>
      </c>
      <c r="I7" s="153">
        <v>0</v>
      </c>
      <c r="J7" s="153">
        <v>0</v>
      </c>
      <c r="K7" s="153">
        <v>0</v>
      </c>
      <c r="L7" s="153">
        <v>0</v>
      </c>
      <c r="M7" s="153">
        <v>0</v>
      </c>
      <c r="N7" s="153">
        <v>0</v>
      </c>
      <c r="O7" s="153">
        <v>0</v>
      </c>
      <c r="P7" s="153"/>
      <c r="Q7" s="153">
        <v>21113194.18181818</v>
      </c>
      <c r="R7" s="153">
        <v>25974305.292929292</v>
      </c>
      <c r="S7" s="153">
        <v>25974305.292929292</v>
      </c>
      <c r="T7" s="153">
        <v>25974305.292929292</v>
      </c>
      <c r="U7" s="153">
        <v>25974305.292929292</v>
      </c>
      <c r="V7" s="153">
        <v>38153317.638608307</v>
      </c>
      <c r="W7" s="153">
        <v>50433671.805274978</v>
      </c>
      <c r="X7" s="153">
        <v>52383671.805274978</v>
      </c>
      <c r="Y7" s="153">
        <v>50433671.805274978</v>
      </c>
      <c r="Z7" s="153">
        <v>57846171.805274978</v>
      </c>
      <c r="AA7" s="153">
        <v>52383671.805274978</v>
      </c>
      <c r="AB7" s="153">
        <v>68629505</v>
      </c>
      <c r="AC7" s="153">
        <v>68629505</v>
      </c>
      <c r="AD7" s="153">
        <v>91248963</v>
      </c>
      <c r="AE7" s="153">
        <v>89998966</v>
      </c>
      <c r="AF7" s="153">
        <v>89998966</v>
      </c>
      <c r="AG7" s="153">
        <v>89998966</v>
      </c>
      <c r="AH7" s="153">
        <v>89998966</v>
      </c>
      <c r="AI7" s="153">
        <v>89998966</v>
      </c>
      <c r="AJ7" s="153">
        <v>89998966</v>
      </c>
      <c r="AK7" s="153">
        <v>89998966</v>
      </c>
      <c r="AL7" s="153">
        <v>89998966</v>
      </c>
      <c r="AM7" s="153">
        <v>89998966</v>
      </c>
      <c r="AN7" s="153">
        <v>112003532</v>
      </c>
      <c r="AO7" s="153">
        <v>112003532</v>
      </c>
      <c r="AP7" s="153">
        <v>112003532</v>
      </c>
      <c r="AQ7" s="153">
        <v>112003532</v>
      </c>
      <c r="AR7" s="153">
        <v>117514284</v>
      </c>
      <c r="AS7" s="154">
        <v>113003532</v>
      </c>
      <c r="AT7" s="154">
        <v>113003532</v>
      </c>
      <c r="AU7" s="154">
        <v>118836865</v>
      </c>
      <c r="AV7" s="154">
        <v>118836865</v>
      </c>
      <c r="AW7" s="154">
        <v>134265829</v>
      </c>
      <c r="AX7" s="154">
        <v>147408361</v>
      </c>
      <c r="AY7" s="154">
        <v>147770190</v>
      </c>
      <c r="AZ7" s="154">
        <v>153545190</v>
      </c>
      <c r="BA7" s="154">
        <v>155809922</v>
      </c>
      <c r="BB7" s="154">
        <v>155821589</v>
      </c>
      <c r="BC7" s="154">
        <v>182654922</v>
      </c>
      <c r="BD7" s="154">
        <v>161644174</v>
      </c>
      <c r="BE7" s="154">
        <v>162718967</v>
      </c>
      <c r="BF7" s="154">
        <v>178218967</v>
      </c>
      <c r="BG7" s="154">
        <v>153885633</v>
      </c>
      <c r="BH7" s="154">
        <v>177218967</v>
      </c>
      <c r="BI7" s="154">
        <v>177218967</v>
      </c>
      <c r="BJ7" s="154">
        <v>175376378</v>
      </c>
      <c r="BK7" s="154">
        <v>175376375</v>
      </c>
      <c r="BL7" s="516">
        <v>182652675</v>
      </c>
      <c r="BM7" s="532">
        <v>183467237</v>
      </c>
      <c r="BN7" s="532">
        <v>186958884</v>
      </c>
      <c r="BO7" s="532">
        <v>186958885</v>
      </c>
      <c r="BP7" s="154">
        <v>128899640</v>
      </c>
      <c r="BQ7" s="154">
        <v>200424890</v>
      </c>
      <c r="BR7" s="154"/>
      <c r="BS7" s="154"/>
      <c r="BT7" s="154"/>
      <c r="BU7" s="154"/>
      <c r="BV7" s="154"/>
      <c r="BW7" s="154"/>
    </row>
    <row r="8" spans="1:75" x14ac:dyDescent="0.25">
      <c r="A8" s="120">
        <v>5</v>
      </c>
      <c r="B8" s="121" t="s">
        <v>377</v>
      </c>
      <c r="C8" s="122">
        <v>7</v>
      </c>
      <c r="D8" s="153">
        <v>0</v>
      </c>
      <c r="E8" s="153">
        <v>0</v>
      </c>
      <c r="F8" s="153">
        <v>0</v>
      </c>
      <c r="G8" s="153">
        <v>0</v>
      </c>
      <c r="H8" s="153">
        <v>0</v>
      </c>
      <c r="I8" s="153">
        <v>0</v>
      </c>
      <c r="J8" s="153">
        <v>0</v>
      </c>
      <c r="K8" s="153">
        <v>0</v>
      </c>
      <c r="L8" s="153">
        <v>0</v>
      </c>
      <c r="M8" s="153">
        <v>0</v>
      </c>
      <c r="N8" s="153">
        <v>0</v>
      </c>
      <c r="O8" s="153">
        <v>0</v>
      </c>
      <c r="P8" s="153">
        <v>0</v>
      </c>
      <c r="Q8" s="153">
        <v>0</v>
      </c>
      <c r="R8" s="153">
        <v>0</v>
      </c>
      <c r="S8" s="153">
        <v>0</v>
      </c>
      <c r="T8" s="153">
        <v>0</v>
      </c>
      <c r="U8" s="153">
        <v>0</v>
      </c>
      <c r="V8" s="153">
        <v>0</v>
      </c>
      <c r="W8" s="153">
        <v>0</v>
      </c>
      <c r="X8" s="153">
        <v>0</v>
      </c>
      <c r="Y8" s="153"/>
      <c r="Z8" s="153"/>
      <c r="AA8" s="153"/>
      <c r="AB8" s="153"/>
      <c r="AC8" s="153"/>
      <c r="AD8" s="153"/>
      <c r="AE8" s="153">
        <v>0</v>
      </c>
      <c r="AF8" s="153">
        <v>0</v>
      </c>
      <c r="AG8" s="153"/>
      <c r="AH8" s="153">
        <v>0</v>
      </c>
      <c r="AI8" s="153"/>
      <c r="AJ8" s="153">
        <v>0</v>
      </c>
      <c r="AK8" s="153"/>
      <c r="AL8" s="153"/>
      <c r="AM8" s="153"/>
      <c r="AN8" s="153"/>
      <c r="AO8" s="153"/>
      <c r="AP8" s="153"/>
      <c r="AQ8" s="153">
        <v>0</v>
      </c>
      <c r="AR8" s="153">
        <v>0</v>
      </c>
      <c r="AS8" s="153">
        <v>0</v>
      </c>
      <c r="AT8" s="153">
        <v>0</v>
      </c>
      <c r="AU8" s="153"/>
      <c r="AV8" s="153">
        <v>0</v>
      </c>
      <c r="AW8" s="153"/>
      <c r="AX8" s="153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542"/>
      <c r="BN8" s="542"/>
      <c r="BO8" s="542"/>
      <c r="BP8" s="27"/>
      <c r="BQ8" s="27"/>
      <c r="BR8" s="27"/>
      <c r="BS8" s="27"/>
      <c r="BT8" s="27"/>
      <c r="BU8" s="27"/>
      <c r="BV8" s="27"/>
      <c r="BW8" s="27"/>
    </row>
    <row r="9" spans="1:75" x14ac:dyDescent="0.25">
      <c r="A9" s="123">
        <v>6</v>
      </c>
      <c r="B9" s="124" t="s">
        <v>378</v>
      </c>
      <c r="C9" s="125">
        <v>7</v>
      </c>
      <c r="D9" s="155">
        <v>0</v>
      </c>
      <c r="E9" s="155">
        <v>0</v>
      </c>
      <c r="F9" s="155">
        <v>0</v>
      </c>
      <c r="G9" s="155">
        <v>0</v>
      </c>
      <c r="H9" s="155">
        <v>0</v>
      </c>
      <c r="I9" s="155">
        <v>0</v>
      </c>
      <c r="J9" s="155">
        <v>0</v>
      </c>
      <c r="K9" s="155">
        <v>0</v>
      </c>
      <c r="L9" s="155">
        <v>0</v>
      </c>
      <c r="M9" s="155">
        <v>0</v>
      </c>
      <c r="N9" s="155">
        <v>0</v>
      </c>
      <c r="O9" s="155">
        <v>0</v>
      </c>
      <c r="P9" s="155">
        <v>0</v>
      </c>
      <c r="Q9" s="155">
        <v>0</v>
      </c>
      <c r="R9" s="155">
        <v>0</v>
      </c>
      <c r="S9" s="155">
        <v>0</v>
      </c>
      <c r="T9" s="155">
        <v>0</v>
      </c>
      <c r="U9" s="155">
        <v>0</v>
      </c>
      <c r="V9" s="155">
        <v>0</v>
      </c>
      <c r="W9" s="155">
        <v>0</v>
      </c>
      <c r="X9" s="155">
        <v>0</v>
      </c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543"/>
      <c r="BN9" s="543"/>
      <c r="BO9" s="543"/>
      <c r="BP9" s="28"/>
      <c r="BQ9" s="28"/>
      <c r="BR9" s="28"/>
      <c r="BS9" s="28"/>
      <c r="BT9" s="28"/>
      <c r="BU9" s="28"/>
      <c r="BV9" s="28"/>
      <c r="BW9" s="28"/>
    </row>
    <row r="10" spans="1:75" x14ac:dyDescent="0.25">
      <c r="A10" s="120">
        <v>7</v>
      </c>
      <c r="B10" s="121" t="s">
        <v>379</v>
      </c>
      <c r="C10" s="122">
        <v>7</v>
      </c>
      <c r="D10" s="153">
        <v>-318142</v>
      </c>
      <c r="E10" s="153">
        <v>-320963</v>
      </c>
      <c r="F10" s="153">
        <v>-233602</v>
      </c>
      <c r="G10" s="153">
        <v>-61216</v>
      </c>
      <c r="H10" s="153">
        <v>-35718</v>
      </c>
      <c r="I10" s="153">
        <v>-34791</v>
      </c>
      <c r="J10" s="153">
        <v>-12026</v>
      </c>
      <c r="K10" s="153">
        <v>-150953</v>
      </c>
      <c r="L10" s="153">
        <v>-154805</v>
      </c>
      <c r="M10" s="153">
        <v>-33961</v>
      </c>
      <c r="N10" s="153">
        <v>-393956</v>
      </c>
      <c r="O10" s="153">
        <v>-583723</v>
      </c>
      <c r="P10" s="153">
        <v>-188347</v>
      </c>
      <c r="Q10" s="153">
        <v>-108270</v>
      </c>
      <c r="R10" s="153">
        <v>-116336</v>
      </c>
      <c r="S10" s="153">
        <v>-112685</v>
      </c>
      <c r="T10" s="153">
        <v>-69856</v>
      </c>
      <c r="U10" s="153">
        <v>-58583</v>
      </c>
      <c r="V10" s="153">
        <v>-58534</v>
      </c>
      <c r="W10" s="153">
        <v>-31901</v>
      </c>
      <c r="X10" s="153">
        <v>-52284</v>
      </c>
      <c r="Y10" s="153">
        <v>-76465</v>
      </c>
      <c r="Z10" s="153">
        <v>917457</v>
      </c>
      <c r="AA10" s="153">
        <v>836815</v>
      </c>
      <c r="AB10" s="153">
        <v>1927792</v>
      </c>
      <c r="AC10" s="153">
        <v>898359</v>
      </c>
      <c r="AD10" s="153">
        <v>313046</v>
      </c>
      <c r="AE10" s="153">
        <v>-305664</v>
      </c>
      <c r="AF10" s="153">
        <v>-225244</v>
      </c>
      <c r="AG10" s="153">
        <v>-179902</v>
      </c>
      <c r="AH10" s="153">
        <v>-290077</v>
      </c>
      <c r="AI10" s="153">
        <v>-217696</v>
      </c>
      <c r="AJ10" s="153">
        <v>-212651</v>
      </c>
      <c r="AK10" s="153">
        <v>-199782</v>
      </c>
      <c r="AL10" s="153">
        <v>-37087</v>
      </c>
      <c r="AM10" s="153">
        <v>-15737</v>
      </c>
      <c r="AN10" s="153">
        <v>25689</v>
      </c>
      <c r="AO10" s="153">
        <v>15096</v>
      </c>
      <c r="AP10" s="153">
        <v>20265</v>
      </c>
      <c r="AQ10" s="153">
        <v>-39658</v>
      </c>
      <c r="AR10" s="153">
        <v>-32454</v>
      </c>
      <c r="AS10" s="153">
        <v>-31525</v>
      </c>
      <c r="AT10" s="154">
        <v>-35902</v>
      </c>
      <c r="AU10" s="154">
        <v>-42375</v>
      </c>
      <c r="AV10" s="154">
        <v>-48870</v>
      </c>
      <c r="AW10" s="153">
        <v>-40410</v>
      </c>
      <c r="AX10" s="153">
        <v>-56627</v>
      </c>
      <c r="AY10" s="153">
        <v>-56627</v>
      </c>
      <c r="AZ10" s="153">
        <v>-29372</v>
      </c>
      <c r="BA10" s="153">
        <v>-5534452</v>
      </c>
      <c r="BB10" s="153">
        <v>-11730</v>
      </c>
      <c r="BC10" s="153">
        <v>-32915</v>
      </c>
      <c r="BD10" s="153">
        <v>-29738</v>
      </c>
      <c r="BE10" s="153">
        <v>-31894</v>
      </c>
      <c r="BF10" s="153">
        <v>-35475</v>
      </c>
      <c r="BG10" s="153">
        <v>-52005</v>
      </c>
      <c r="BH10" s="153">
        <f>-'Ket qua kinh doanh'!BH11</f>
        <v>-67306</v>
      </c>
      <c r="BI10" s="153">
        <v>-64017</v>
      </c>
      <c r="BJ10" s="153">
        <v>-74303</v>
      </c>
      <c r="BK10" s="153">
        <v>-19794484</v>
      </c>
      <c r="BL10" s="153">
        <v>-21329</v>
      </c>
      <c r="BM10" s="544">
        <v>-29022</v>
      </c>
      <c r="BN10" s="545">
        <v>-37724173</v>
      </c>
      <c r="BO10" s="545">
        <v>-11890904</v>
      </c>
      <c r="BP10" s="153">
        <v>-17033</v>
      </c>
      <c r="BQ10" s="153">
        <v>-24058607</v>
      </c>
      <c r="BR10" s="153"/>
      <c r="BS10" s="153"/>
      <c r="BT10" s="153"/>
      <c r="BU10" s="153"/>
      <c r="BV10" s="153"/>
      <c r="BW10" s="153"/>
    </row>
    <row r="11" spans="1:75" x14ac:dyDescent="0.25">
      <c r="A11" s="120">
        <v>8</v>
      </c>
      <c r="B11" s="121" t="s">
        <v>380</v>
      </c>
      <c r="C11" s="122">
        <v>7</v>
      </c>
      <c r="D11" s="156">
        <v>0</v>
      </c>
      <c r="E11" s="156">
        <v>0</v>
      </c>
      <c r="F11" s="156">
        <v>0</v>
      </c>
      <c r="G11" s="156">
        <v>0</v>
      </c>
      <c r="H11" s="156">
        <v>0</v>
      </c>
      <c r="I11" s="156">
        <v>0</v>
      </c>
      <c r="J11" s="156">
        <v>0</v>
      </c>
      <c r="K11" s="156">
        <v>0</v>
      </c>
      <c r="L11" s="156">
        <v>0</v>
      </c>
      <c r="M11" s="156">
        <v>0</v>
      </c>
      <c r="N11" s="156">
        <v>0</v>
      </c>
      <c r="O11" s="156">
        <v>0</v>
      </c>
      <c r="P11" s="156">
        <v>0</v>
      </c>
      <c r="Q11" s="156">
        <v>0</v>
      </c>
      <c r="R11" s="156">
        <v>0</v>
      </c>
      <c r="S11" s="156">
        <v>0</v>
      </c>
      <c r="T11" s="156">
        <v>0</v>
      </c>
      <c r="U11" s="156">
        <v>0</v>
      </c>
      <c r="V11" s="156">
        <v>0</v>
      </c>
      <c r="W11" s="156">
        <v>0</v>
      </c>
      <c r="X11" s="156">
        <v>0</v>
      </c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7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546"/>
      <c r="BN11" s="547"/>
      <c r="BO11" s="547"/>
      <c r="BP11" s="156"/>
      <c r="BQ11" s="156"/>
      <c r="BR11" s="156"/>
      <c r="BS11" s="156"/>
      <c r="BT11" s="156"/>
      <c r="BU11" s="156"/>
      <c r="BV11" s="156"/>
      <c r="BW11" s="156"/>
    </row>
    <row r="12" spans="1:75" x14ac:dyDescent="0.25">
      <c r="A12" s="120">
        <v>9</v>
      </c>
      <c r="B12" s="121" t="s">
        <v>381</v>
      </c>
      <c r="C12" s="126">
        <v>7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>
        <v>-461321716</v>
      </c>
      <c r="BL12" s="27">
        <v>0</v>
      </c>
      <c r="BM12" s="542">
        <v>0</v>
      </c>
      <c r="BN12" s="542">
        <v>-306813793</v>
      </c>
      <c r="BO12" s="542">
        <v>-105667873</v>
      </c>
      <c r="BP12" s="27">
        <v>-196270713</v>
      </c>
      <c r="BQ12" s="27">
        <v>-285845866</v>
      </c>
      <c r="BR12" s="27"/>
      <c r="BS12" s="27"/>
      <c r="BT12" s="27"/>
      <c r="BU12" s="27"/>
      <c r="BV12" s="27"/>
      <c r="BW12" s="27"/>
    </row>
    <row r="13" spans="1:75" x14ac:dyDescent="0.25">
      <c r="A13" s="127">
        <v>10</v>
      </c>
      <c r="B13" s="128" t="s">
        <v>382</v>
      </c>
      <c r="C13" s="129">
        <v>7</v>
      </c>
      <c r="D13" s="30">
        <v>-409699863</v>
      </c>
      <c r="E13" s="30">
        <v>-256173271</v>
      </c>
      <c r="F13" s="30">
        <v>-289796348</v>
      </c>
      <c r="G13" s="30">
        <f>SUM(G5:G12)</f>
        <v>-221219219</v>
      </c>
      <c r="H13" s="30">
        <v>-158824602</v>
      </c>
      <c r="I13" s="30">
        <v>-163346120</v>
      </c>
      <c r="J13" s="30">
        <v>-128289384</v>
      </c>
      <c r="K13" s="30">
        <v>-100828488</v>
      </c>
      <c r="L13" s="30">
        <v>-123041539</v>
      </c>
      <c r="M13" s="30">
        <v>-154194004</v>
      </c>
      <c r="N13" s="30">
        <v>-178476032</v>
      </c>
      <c r="O13" s="30">
        <v>-236207080</v>
      </c>
      <c r="P13" s="30">
        <v>436417130</v>
      </c>
      <c r="Q13" s="30">
        <v>-228822044.81818181</v>
      </c>
      <c r="R13" s="30">
        <v>278471905.29292929</v>
      </c>
      <c r="S13" s="30">
        <v>115019338.29292929</v>
      </c>
      <c r="T13" s="30">
        <v>607996917.29292929</v>
      </c>
      <c r="U13" s="30">
        <v>88211463.292929292</v>
      </c>
      <c r="V13" s="30">
        <v>283254145.63860834</v>
      </c>
      <c r="W13" s="30">
        <v>837966438.80527496</v>
      </c>
      <c r="X13" s="30">
        <v>503720116.80527496</v>
      </c>
      <c r="Y13" s="30">
        <v>70424175.864565864</v>
      </c>
      <c r="Z13" s="30">
        <v>430392574.80527496</v>
      </c>
      <c r="AA13" s="30">
        <v>-2192382226.194725</v>
      </c>
      <c r="AB13" s="30">
        <v>-624833374</v>
      </c>
      <c r="AC13" s="30">
        <v>-340431674</v>
      </c>
      <c r="AD13" s="30">
        <v>-536131649</v>
      </c>
      <c r="AE13" s="30">
        <v>366333263</v>
      </c>
      <c r="AF13" s="30">
        <v>1179888173</v>
      </c>
      <c r="AG13" s="30">
        <v>-93220486</v>
      </c>
      <c r="AH13" s="30">
        <v>-421337357</v>
      </c>
      <c r="AI13" s="30">
        <v>-210155979</v>
      </c>
      <c r="AJ13" s="30">
        <v>-157726496</v>
      </c>
      <c r="AK13" s="30">
        <v>305211748</v>
      </c>
      <c r="AL13" s="30">
        <v>370963789</v>
      </c>
      <c r="AM13" s="30">
        <v>777815962</v>
      </c>
      <c r="AN13" s="30">
        <v>105140804</v>
      </c>
      <c r="AO13" s="30">
        <v>333704</v>
      </c>
      <c r="AP13" s="30">
        <v>357672012</v>
      </c>
      <c r="AQ13" s="30">
        <v>16560561</v>
      </c>
      <c r="AR13" s="30">
        <v>-206367967</v>
      </c>
      <c r="AS13" s="30">
        <v>1488336</v>
      </c>
      <c r="AT13" s="30">
        <v>-205330355</v>
      </c>
      <c r="AU13" s="30">
        <v>-276957553</v>
      </c>
      <c r="AV13" s="30">
        <v>-437882197</v>
      </c>
      <c r="AW13" s="30">
        <v>43766721</v>
      </c>
      <c r="AX13" s="30">
        <f>SUM(AX5:AX12)</f>
        <v>10027164</v>
      </c>
      <c r="AY13" s="30">
        <f>SUM(AY5:AY12)</f>
        <v>-202104833</v>
      </c>
      <c r="AZ13" s="30">
        <v>-556212811</v>
      </c>
      <c r="BA13" s="30">
        <v>-515909108</v>
      </c>
      <c r="BB13" s="30">
        <v>-95827108</v>
      </c>
      <c r="BC13" s="30">
        <v>893909577</v>
      </c>
      <c r="BD13" s="30">
        <v>386343556</v>
      </c>
      <c r="BE13" s="30">
        <v>797874162</v>
      </c>
      <c r="BF13" s="30">
        <v>1499864148</v>
      </c>
      <c r="BG13" s="30">
        <v>1359738396</v>
      </c>
      <c r="BH13" s="30">
        <f>+SUM(BH5:BH12)</f>
        <v>516882644</v>
      </c>
      <c r="BI13" s="30">
        <v>593558371</v>
      </c>
      <c r="BJ13" s="30">
        <v>555217688</v>
      </c>
      <c r="BK13" s="30">
        <v>292100569</v>
      </c>
      <c r="BL13" s="30">
        <v>997440342</v>
      </c>
      <c r="BM13" s="548">
        <v>335905784</v>
      </c>
      <c r="BN13" s="548">
        <v>679931371</v>
      </c>
      <c r="BO13" s="548">
        <v>690975831</v>
      </c>
      <c r="BP13" s="30">
        <v>1087145500</v>
      </c>
      <c r="BQ13" s="30">
        <v>1044014471</v>
      </c>
      <c r="BR13" s="30"/>
      <c r="BS13" s="30"/>
      <c r="BT13" s="30"/>
      <c r="BU13" s="30"/>
      <c r="BV13" s="30"/>
      <c r="BW13" s="30"/>
    </row>
    <row r="14" spans="1:75" x14ac:dyDescent="0.25">
      <c r="A14" s="130">
        <v>11</v>
      </c>
      <c r="B14" s="131" t="s">
        <v>383</v>
      </c>
      <c r="C14" s="122">
        <v>7</v>
      </c>
      <c r="D14" s="153">
        <v>-402723260</v>
      </c>
      <c r="E14" s="153">
        <v>-681225389</v>
      </c>
      <c r="F14" s="153">
        <v>-780098849</v>
      </c>
      <c r="G14" s="153">
        <v>-24545158</v>
      </c>
      <c r="H14" s="153">
        <v>-698789000</v>
      </c>
      <c r="I14" s="153">
        <v>-297352660</v>
      </c>
      <c r="J14" s="153">
        <v>-195947400</v>
      </c>
      <c r="K14" s="153">
        <v>-202612080</v>
      </c>
      <c r="L14" s="153">
        <v>0</v>
      </c>
      <c r="M14" s="153">
        <v>0</v>
      </c>
      <c r="N14" s="153">
        <v>0</v>
      </c>
      <c r="O14" s="153">
        <v>0</v>
      </c>
      <c r="P14" s="153">
        <v>0</v>
      </c>
      <c r="Q14" s="153">
        <v>-124736070</v>
      </c>
      <c r="R14" s="153">
        <v>-1148931040</v>
      </c>
      <c r="S14" s="153">
        <v>-2602505160</v>
      </c>
      <c r="T14" s="153">
        <v>-1129416360</v>
      </c>
      <c r="U14" s="153">
        <v>-1191001860</v>
      </c>
      <c r="V14" s="153">
        <v>-732912300</v>
      </c>
      <c r="W14" s="153">
        <v>-1413686520</v>
      </c>
      <c r="X14" s="153">
        <v>-893299320</v>
      </c>
      <c r="Y14" s="153">
        <v>-437889455.36000061</v>
      </c>
      <c r="Z14" s="153">
        <v>-2488773417.6399994</v>
      </c>
      <c r="AA14" s="153">
        <v>1210478657</v>
      </c>
      <c r="AB14" s="153">
        <v>-4596579681</v>
      </c>
      <c r="AC14" s="153">
        <v>-790822044</v>
      </c>
      <c r="AD14" s="153">
        <v>410327432</v>
      </c>
      <c r="AE14" s="153">
        <v>745964512</v>
      </c>
      <c r="AF14" s="153">
        <v>-600570317</v>
      </c>
      <c r="AG14" s="153">
        <v>1393938874.8599999</v>
      </c>
      <c r="AH14" s="153">
        <v>-85401727</v>
      </c>
      <c r="AI14" s="153">
        <v>1728251878</v>
      </c>
      <c r="AJ14" s="153">
        <v>-763178771.86000001</v>
      </c>
      <c r="AK14" s="153">
        <v>-1101352659</v>
      </c>
      <c r="AL14" s="153">
        <v>-618403245</v>
      </c>
      <c r="AM14" s="153">
        <v>-25567334</v>
      </c>
      <c r="AN14" s="153">
        <v>1895816840.8599999</v>
      </c>
      <c r="AO14" s="153">
        <v>-1791293940</v>
      </c>
      <c r="AP14" s="153">
        <v>1813224420.1400001</v>
      </c>
      <c r="AQ14" s="153">
        <v>110073800</v>
      </c>
      <c r="AR14" s="153">
        <v>-2381399507.7480001</v>
      </c>
      <c r="AS14" s="153">
        <v>209353936</v>
      </c>
      <c r="AT14" s="153">
        <v>1813826508.23</v>
      </c>
      <c r="AU14" s="153">
        <v>-97308159</v>
      </c>
      <c r="AV14" s="153">
        <v>-895545760</v>
      </c>
      <c r="AW14" s="153">
        <v>625429070</v>
      </c>
      <c r="AX14" s="153">
        <v>-793314641</v>
      </c>
      <c r="AY14" s="153">
        <v>-793314641</v>
      </c>
      <c r="AZ14" s="153">
        <v>93707111.482099995</v>
      </c>
      <c r="BA14" s="153">
        <v>2781886.9998999983</v>
      </c>
      <c r="BB14" s="153">
        <v>1195534347.5180001</v>
      </c>
      <c r="BC14" s="153">
        <v>-120396700.51800001</v>
      </c>
      <c r="BD14" s="153">
        <v>-1364332338</v>
      </c>
      <c r="BE14" s="153">
        <v>1419446094.5180001</v>
      </c>
      <c r="BF14" s="153">
        <v>-75769434</v>
      </c>
      <c r="BG14" s="153">
        <v>168299208</v>
      </c>
      <c r="BH14" s="153">
        <v>-514277155</v>
      </c>
      <c r="BI14" s="153">
        <v>-944391200</v>
      </c>
      <c r="BJ14" s="153">
        <v>-247435085</v>
      </c>
      <c r="BK14" s="153">
        <v>-1208302064</v>
      </c>
      <c r="BL14" s="153">
        <v>1176929148</v>
      </c>
      <c r="BM14" s="544">
        <v>-2280563095</v>
      </c>
      <c r="BN14" s="545">
        <v>-3310040514</v>
      </c>
      <c r="BO14" s="545">
        <v>4276514183</v>
      </c>
      <c r="BP14" s="153">
        <v>-768010979</v>
      </c>
      <c r="BQ14" s="153">
        <v>508983533</v>
      </c>
      <c r="BR14" s="153"/>
      <c r="BS14" s="153"/>
      <c r="BT14" s="153"/>
      <c r="BU14" s="153"/>
      <c r="BV14" s="153"/>
      <c r="BW14" s="153"/>
    </row>
    <row r="15" spans="1:75" x14ac:dyDescent="0.25">
      <c r="A15" s="132">
        <v>12</v>
      </c>
      <c r="B15" s="133" t="s">
        <v>384</v>
      </c>
      <c r="C15" s="122">
        <v>7</v>
      </c>
      <c r="D15" s="153">
        <v>-30031674</v>
      </c>
      <c r="E15" s="153">
        <v>249256505</v>
      </c>
      <c r="F15" s="153">
        <v>237190370</v>
      </c>
      <c r="G15" s="153">
        <v>9510334</v>
      </c>
      <c r="H15" s="153">
        <v>380380686</v>
      </c>
      <c r="I15" s="153">
        <v>248598711</v>
      </c>
      <c r="J15" s="153">
        <v>83250719</v>
      </c>
      <c r="K15" s="153">
        <v>0</v>
      </c>
      <c r="L15" s="153">
        <v>0</v>
      </c>
      <c r="M15" s="153">
        <v>-231521800</v>
      </c>
      <c r="N15" s="153">
        <v>-795634614</v>
      </c>
      <c r="O15" s="153">
        <v>-269118622</v>
      </c>
      <c r="P15" s="153">
        <v>-231231097</v>
      </c>
      <c r="Q15" s="153">
        <v>-498898639</v>
      </c>
      <c r="R15" s="153">
        <v>-327686228</v>
      </c>
      <c r="S15" s="153">
        <v>-81453062</v>
      </c>
      <c r="T15" s="153">
        <v>-671424169</v>
      </c>
      <c r="U15" s="153">
        <v>-366524466</v>
      </c>
      <c r="V15" s="153">
        <v>-2395469004</v>
      </c>
      <c r="W15" s="153">
        <v>-414727787</v>
      </c>
      <c r="X15" s="153">
        <v>-708294965</v>
      </c>
      <c r="Y15" s="153">
        <v>63174313.397183418</v>
      </c>
      <c r="Z15" s="153">
        <v>-1102009851.3971834</v>
      </c>
      <c r="AA15" s="153">
        <v>3371365988</v>
      </c>
      <c r="AB15" s="153">
        <v>-3244492797</v>
      </c>
      <c r="AC15" s="153">
        <v>450933552</v>
      </c>
      <c r="AD15" s="153">
        <v>-429193215</v>
      </c>
      <c r="AE15" s="153">
        <v>-209769698</v>
      </c>
      <c r="AF15" s="153">
        <v>451746049</v>
      </c>
      <c r="AG15" s="153">
        <v>813028882.13999987</v>
      </c>
      <c r="AH15" s="153">
        <v>874759336.00000024</v>
      </c>
      <c r="AI15" s="153">
        <v>-123682802</v>
      </c>
      <c r="AJ15" s="153">
        <v>-454854708</v>
      </c>
      <c r="AK15" s="153">
        <v>-1595273686.0000002</v>
      </c>
      <c r="AL15" s="153">
        <v>-1268105951.9999995</v>
      </c>
      <c r="AM15" s="153">
        <v>144255784</v>
      </c>
      <c r="AN15" s="153">
        <v>-365364141</v>
      </c>
      <c r="AO15" s="153">
        <v>486557668</v>
      </c>
      <c r="AP15" s="153">
        <v>1141030652.9999995</v>
      </c>
      <c r="AQ15" s="153">
        <v>134525146.97800016</v>
      </c>
      <c r="AR15" s="153">
        <v>1269369692.6299999</v>
      </c>
      <c r="AS15" s="153">
        <v>331524506</v>
      </c>
      <c r="AT15" s="153">
        <v>265475356.76999998</v>
      </c>
      <c r="AU15" s="153">
        <v>217745988</v>
      </c>
      <c r="AV15" s="153">
        <v>-1038887134.9999998</v>
      </c>
      <c r="AW15" s="153">
        <v>356164513.99999976</v>
      </c>
      <c r="AX15" s="153">
        <v>225413763</v>
      </c>
      <c r="AY15" s="153">
        <v>225413763</v>
      </c>
      <c r="AZ15" s="153">
        <v>-1749047057.9999998</v>
      </c>
      <c r="BA15" s="153">
        <v>-2445612225.0000005</v>
      </c>
      <c r="BB15" s="153">
        <v>1566955037.0000005</v>
      </c>
      <c r="BC15" s="153">
        <v>351754220</v>
      </c>
      <c r="BD15" s="153">
        <v>480844042</v>
      </c>
      <c r="BE15" s="153">
        <v>-922522298.00000048</v>
      </c>
      <c r="BF15" s="153">
        <v>544143723.00000048</v>
      </c>
      <c r="BG15" s="153">
        <v>-128499241</v>
      </c>
      <c r="BH15" s="153">
        <v>1874694881.9999998</v>
      </c>
      <c r="BI15" s="153">
        <v>725461291</v>
      </c>
      <c r="BJ15" s="153">
        <v>-611859991</v>
      </c>
      <c r="BK15" s="153">
        <v>-843875249.99999988</v>
      </c>
      <c r="BL15" s="153">
        <v>-2305649653</v>
      </c>
      <c r="BM15" s="544">
        <v>-293934846</v>
      </c>
      <c r="BN15" s="545">
        <v>-1103366322</v>
      </c>
      <c r="BO15" s="545">
        <v>860941773</v>
      </c>
      <c r="BP15" s="153">
        <v>-3406913583</v>
      </c>
      <c r="BQ15" s="153">
        <v>-4502125949</v>
      </c>
      <c r="BR15" s="153"/>
      <c r="BS15" s="153"/>
      <c r="BT15" s="153"/>
      <c r="BU15" s="153"/>
      <c r="BV15" s="153"/>
      <c r="BW15" s="153"/>
    </row>
    <row r="16" spans="1:75" x14ac:dyDescent="0.25">
      <c r="A16" s="134">
        <v>13</v>
      </c>
      <c r="B16" s="135" t="s">
        <v>385</v>
      </c>
      <c r="C16" s="125">
        <v>7</v>
      </c>
      <c r="D16" s="158">
        <v>66348698</v>
      </c>
      <c r="E16" s="158">
        <v>438457194</v>
      </c>
      <c r="F16" s="158">
        <v>79525715</v>
      </c>
      <c r="G16" s="158">
        <v>-252869335</v>
      </c>
      <c r="H16" s="158">
        <v>610636474</v>
      </c>
      <c r="I16" s="158">
        <v>79819860</v>
      </c>
      <c r="J16" s="158">
        <v>-158900714</v>
      </c>
      <c r="K16" s="158">
        <v>1422988388</v>
      </c>
      <c r="L16" s="158">
        <v>-510749647</v>
      </c>
      <c r="M16" s="158">
        <v>47693613</v>
      </c>
      <c r="N16" s="158">
        <v>4842167964</v>
      </c>
      <c r="O16" s="158">
        <v>-1598898189</v>
      </c>
      <c r="P16" s="158">
        <v>-685883800</v>
      </c>
      <c r="Q16" s="158">
        <f>962221757-21113194.181818</f>
        <v>941108562.81818199</v>
      </c>
      <c r="R16" s="158">
        <f>2442324654-110737030.292929</f>
        <v>2331587623.7070708</v>
      </c>
      <c r="S16" s="158">
        <f>1054404527-25974305.2929287</f>
        <v>1028430221.7070713</v>
      </c>
      <c r="T16" s="158">
        <f>711515464-25974305.2929287</f>
        <v>685541158.7070713</v>
      </c>
      <c r="U16" s="158">
        <f>1028912468-25974305.2929287</f>
        <v>1002938162.7070713</v>
      </c>
      <c r="V16" s="158">
        <f>-190690891-38153317.6386085</f>
        <v>-228844208.63860852</v>
      </c>
      <c r="W16" s="158">
        <f>2415376775-50433671.805275</f>
        <v>2364943103.194725</v>
      </c>
      <c r="X16" s="158">
        <f>2221420966-52383671.805275</f>
        <v>2169037294.194725</v>
      </c>
      <c r="Y16" s="158">
        <v>372702712.61478364</v>
      </c>
      <c r="Z16" s="158">
        <v>-673973990.61478364</v>
      </c>
      <c r="AA16" s="158">
        <f>-1150150569-52383671.4158282</f>
        <v>-1202534240.4158282</v>
      </c>
      <c r="AB16" s="158">
        <v>-2006637562</v>
      </c>
      <c r="AC16" s="158">
        <v>-1677064415</v>
      </c>
      <c r="AD16" s="158">
        <v>-151103526</v>
      </c>
      <c r="AE16" s="158">
        <v>998175567</v>
      </c>
      <c r="AF16" s="158">
        <v>230454050</v>
      </c>
      <c r="AG16" s="158">
        <v>643730547</v>
      </c>
      <c r="AH16" s="158">
        <v>-1377376182</v>
      </c>
      <c r="AI16" s="158">
        <v>-21849058</v>
      </c>
      <c r="AJ16" s="158">
        <v>146962952.86000061</v>
      </c>
      <c r="AK16" s="158">
        <v>-1001054286</v>
      </c>
      <c r="AL16" s="158">
        <v>1414908858</v>
      </c>
      <c r="AM16" s="158">
        <v>174983557</v>
      </c>
      <c r="AN16" s="158">
        <v>-1042322581.8600006</v>
      </c>
      <c r="AO16" s="158">
        <v>380165439</v>
      </c>
      <c r="AP16" s="158">
        <v>-342295487.13999939</v>
      </c>
      <c r="AQ16" s="158">
        <v>-85234438.978000641</v>
      </c>
      <c r="AR16" s="158">
        <v>-330766313.88199997</v>
      </c>
      <c r="AS16" s="158">
        <v>306614481</v>
      </c>
      <c r="AT16" s="158">
        <v>-499813005</v>
      </c>
      <c r="AU16" s="158">
        <v>2215115228</v>
      </c>
      <c r="AV16" s="158">
        <v>345442318</v>
      </c>
      <c r="AW16" s="158">
        <v>2472137441</v>
      </c>
      <c r="AX16" s="158">
        <v>423979753</v>
      </c>
      <c r="AY16" s="158">
        <v>423979753</v>
      </c>
      <c r="AZ16" s="158">
        <v>-30844221.482000351</v>
      </c>
      <c r="BA16" s="158">
        <v>1616635995</v>
      </c>
      <c r="BB16" s="158">
        <v>-1024284029.5179996</v>
      </c>
      <c r="BC16" s="158">
        <v>-677034919.48200035</v>
      </c>
      <c r="BD16" s="158">
        <v>-91919914</v>
      </c>
      <c r="BE16" s="158">
        <v>496566855.48200035</v>
      </c>
      <c r="BF16" s="158">
        <v>190689054.00009918</v>
      </c>
      <c r="BG16" s="158">
        <v>1623367376</v>
      </c>
      <c r="BH16" s="158">
        <v>-2308161343.0000992</v>
      </c>
      <c r="BI16" s="158">
        <v>-339766486</v>
      </c>
      <c r="BJ16" s="158">
        <v>488919343</v>
      </c>
      <c r="BK16" s="158">
        <v>1586681901.9999995</v>
      </c>
      <c r="BL16" s="158">
        <v>613551497</v>
      </c>
      <c r="BM16" s="549">
        <v>-190631293</v>
      </c>
      <c r="BN16" s="550">
        <v>1057010938</v>
      </c>
      <c r="BO16" s="550">
        <v>-2155984059</v>
      </c>
      <c r="BP16" s="158">
        <v>1488747957</v>
      </c>
      <c r="BQ16" s="158">
        <v>1057618632</v>
      </c>
      <c r="BR16" s="158"/>
      <c r="BS16" s="158"/>
      <c r="BT16" s="158"/>
      <c r="BU16" s="158"/>
      <c r="BV16" s="158"/>
      <c r="BW16" s="158"/>
    </row>
    <row r="17" spans="1:75" x14ac:dyDescent="0.25">
      <c r="A17" s="130">
        <v>14</v>
      </c>
      <c r="B17" s="131" t="s">
        <v>386</v>
      </c>
      <c r="C17" s="122">
        <v>7</v>
      </c>
      <c r="D17" s="153">
        <v>-153227500</v>
      </c>
      <c r="E17" s="153">
        <v>86772500</v>
      </c>
      <c r="F17" s="153">
        <v>86772500</v>
      </c>
      <c r="G17" s="153">
        <v>153227500</v>
      </c>
      <c r="H17" s="153">
        <v>21397500</v>
      </c>
      <c r="I17" s="153">
        <v>82775000</v>
      </c>
      <c r="J17" s="153">
        <v>6605303</v>
      </c>
      <c r="K17" s="153">
        <v>6606303</v>
      </c>
      <c r="L17" s="153">
        <v>6605303</v>
      </c>
      <c r="M17" s="153">
        <v>27141832</v>
      </c>
      <c r="N17" s="153">
        <v>-8116851</v>
      </c>
      <c r="O17" s="153">
        <v>-9122155</v>
      </c>
      <c r="P17" s="153">
        <v>-163832997</v>
      </c>
      <c r="Q17" s="153">
        <v>-3889084</v>
      </c>
      <c r="R17" s="153">
        <v>-502255700</v>
      </c>
      <c r="S17" s="153">
        <v>-82698124</v>
      </c>
      <c r="T17" s="153">
        <v>-58235105</v>
      </c>
      <c r="U17" s="153">
        <v>-10486656</v>
      </c>
      <c r="V17" s="153">
        <v>-36896285</v>
      </c>
      <c r="W17" s="153">
        <v>-9583423</v>
      </c>
      <c r="X17" s="153">
        <v>-52408077</v>
      </c>
      <c r="Y17" s="153">
        <v>-348075187.71125799</v>
      </c>
      <c r="Z17" s="153">
        <v>1181650885.65539</v>
      </c>
      <c r="AA17" s="153">
        <v>2062085576.9965801</v>
      </c>
      <c r="AB17" s="153">
        <v>9937798958</v>
      </c>
      <c r="AC17" s="153">
        <v>593261</v>
      </c>
      <c r="AD17" s="153">
        <v>441816626</v>
      </c>
      <c r="AE17" s="153">
        <v>-202474600</v>
      </c>
      <c r="AF17" s="153">
        <v>211550402</v>
      </c>
      <c r="AG17" s="153">
        <v>109098214</v>
      </c>
      <c r="AH17" s="153">
        <v>94364906</v>
      </c>
      <c r="AI17" s="153">
        <v>151320335</v>
      </c>
      <c r="AJ17" s="153">
        <v>173428508</v>
      </c>
      <c r="AK17" s="153">
        <v>44351244</v>
      </c>
      <c r="AL17" s="153">
        <v>-155497142</v>
      </c>
      <c r="AM17" s="153">
        <v>182166598</v>
      </c>
      <c r="AN17" s="153">
        <v>-151119418</v>
      </c>
      <c r="AO17" s="153">
        <v>-240681523</v>
      </c>
      <c r="AP17" s="153">
        <v>135849008</v>
      </c>
      <c r="AQ17" s="153">
        <v>-244107099</v>
      </c>
      <c r="AR17" s="153">
        <v>53629615</v>
      </c>
      <c r="AS17" s="153">
        <v>201071244</v>
      </c>
      <c r="AT17" s="153">
        <v>-55624373</v>
      </c>
      <c r="AU17" s="153">
        <v>-577809663</v>
      </c>
      <c r="AV17" s="154">
        <v>324737976</v>
      </c>
      <c r="AW17" s="158">
        <v>-1181369555</v>
      </c>
      <c r="AX17" s="158">
        <v>-134283975</v>
      </c>
      <c r="AY17" s="158">
        <f>-134283975+1279553382</f>
        <v>1145269407</v>
      </c>
      <c r="AZ17" s="158">
        <v>-99733827</v>
      </c>
      <c r="BA17" s="158">
        <v>145987661</v>
      </c>
      <c r="BB17" s="158">
        <v>347499120</v>
      </c>
      <c r="BC17" s="158">
        <v>-24842447</v>
      </c>
      <c r="BD17" s="158">
        <v>-131767933</v>
      </c>
      <c r="BE17" s="158">
        <v>-1586056</v>
      </c>
      <c r="BF17" s="158">
        <v>-33612919</v>
      </c>
      <c r="BG17" s="158">
        <v>7038854</v>
      </c>
      <c r="BH17" s="158">
        <v>45266705</v>
      </c>
      <c r="BI17" s="158">
        <v>58727327</v>
      </c>
      <c r="BJ17" s="158">
        <v>-2949748</v>
      </c>
      <c r="BK17" s="158">
        <v>-78188787</v>
      </c>
      <c r="BL17" s="158">
        <v>184849477</v>
      </c>
      <c r="BM17" s="549">
        <v>-234526048</v>
      </c>
      <c r="BN17" s="550">
        <v>175003503</v>
      </c>
      <c r="BO17" s="550">
        <v>87463938</v>
      </c>
      <c r="BP17" s="158">
        <v>175092383</v>
      </c>
      <c r="BQ17" s="158">
        <v>218513176</v>
      </c>
      <c r="BR17" s="158"/>
      <c r="BS17" s="158"/>
      <c r="BT17" s="158"/>
      <c r="BU17" s="158"/>
      <c r="BV17" s="158"/>
      <c r="BW17" s="158"/>
    </row>
    <row r="18" spans="1:75" x14ac:dyDescent="0.25">
      <c r="A18" s="130">
        <v>15</v>
      </c>
      <c r="B18" s="131" t="s">
        <v>387</v>
      </c>
      <c r="C18" s="122">
        <v>7</v>
      </c>
      <c r="D18" s="156">
        <v>0</v>
      </c>
      <c r="E18" s="156">
        <v>0</v>
      </c>
      <c r="F18" s="156">
        <v>0</v>
      </c>
      <c r="G18" s="156">
        <v>0</v>
      </c>
      <c r="H18" s="156">
        <v>0</v>
      </c>
      <c r="I18" s="156">
        <v>0</v>
      </c>
      <c r="J18" s="156">
        <v>0</v>
      </c>
      <c r="K18" s="156">
        <v>0</v>
      </c>
      <c r="L18" s="156">
        <v>0</v>
      </c>
      <c r="M18" s="156">
        <v>0</v>
      </c>
      <c r="N18" s="156">
        <v>0</v>
      </c>
      <c r="O18" s="156">
        <v>0</v>
      </c>
      <c r="P18" s="156">
        <v>0</v>
      </c>
      <c r="Q18" s="156">
        <v>0</v>
      </c>
      <c r="R18" s="156">
        <v>0</v>
      </c>
      <c r="S18" s="156">
        <v>0</v>
      </c>
      <c r="T18" s="156">
        <v>0</v>
      </c>
      <c r="U18" s="156">
        <v>0</v>
      </c>
      <c r="V18" s="156">
        <v>0</v>
      </c>
      <c r="W18" s="156">
        <v>0</v>
      </c>
      <c r="X18" s="156">
        <v>0</v>
      </c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546"/>
      <c r="BN18" s="547"/>
      <c r="BO18" s="547"/>
      <c r="BP18" s="156"/>
      <c r="BQ18" s="156"/>
      <c r="BR18" s="156"/>
      <c r="BS18" s="156"/>
      <c r="BT18" s="156"/>
      <c r="BU18" s="156"/>
      <c r="BV18" s="156"/>
      <c r="BW18" s="156"/>
    </row>
    <row r="19" spans="1:75" x14ac:dyDescent="0.25">
      <c r="A19" s="130">
        <v>16</v>
      </c>
      <c r="B19" s="131" t="s">
        <v>388</v>
      </c>
      <c r="C19" s="122">
        <v>7</v>
      </c>
      <c r="D19" s="153">
        <v>0</v>
      </c>
      <c r="E19" s="153">
        <v>0</v>
      </c>
      <c r="F19" s="153">
        <v>0</v>
      </c>
      <c r="G19" s="153">
        <v>0</v>
      </c>
      <c r="H19" s="153">
        <v>0</v>
      </c>
      <c r="I19" s="153">
        <v>0</v>
      </c>
      <c r="J19" s="153">
        <v>0</v>
      </c>
      <c r="K19" s="153">
        <v>0</v>
      </c>
      <c r="L19" s="153">
        <v>0</v>
      </c>
      <c r="M19" s="153">
        <v>0</v>
      </c>
      <c r="N19" s="153">
        <v>0</v>
      </c>
      <c r="O19" s="153">
        <v>0</v>
      </c>
      <c r="P19" s="153">
        <v>0</v>
      </c>
      <c r="Q19" s="153">
        <v>0</v>
      </c>
      <c r="R19" s="153">
        <v>0</v>
      </c>
      <c r="S19" s="153">
        <v>0</v>
      </c>
      <c r="T19" s="153">
        <v>0</v>
      </c>
      <c r="U19" s="153">
        <v>0</v>
      </c>
      <c r="V19" s="153">
        <v>0</v>
      </c>
      <c r="W19" s="153">
        <v>0</v>
      </c>
      <c r="X19" s="153">
        <v>0</v>
      </c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544"/>
      <c r="BN19" s="545"/>
      <c r="BO19" s="545"/>
      <c r="BP19" s="153"/>
      <c r="BQ19" s="153"/>
      <c r="BR19" s="153"/>
      <c r="BS19" s="153"/>
      <c r="BT19" s="153"/>
      <c r="BU19" s="153"/>
      <c r="BV19" s="153"/>
      <c r="BW19" s="153"/>
    </row>
    <row r="20" spans="1:75" x14ac:dyDescent="0.25">
      <c r="A20" s="130">
        <v>17</v>
      </c>
      <c r="B20" s="131" t="s">
        <v>389</v>
      </c>
      <c r="C20" s="122">
        <v>7</v>
      </c>
      <c r="D20" s="153">
        <v>0</v>
      </c>
      <c r="E20" s="153">
        <v>0</v>
      </c>
      <c r="F20" s="153">
        <v>0</v>
      </c>
      <c r="G20" s="153">
        <v>0</v>
      </c>
      <c r="H20" s="153">
        <v>0</v>
      </c>
      <c r="I20" s="153">
        <v>0</v>
      </c>
      <c r="J20" s="153">
        <v>0</v>
      </c>
      <c r="K20" s="153">
        <v>0</v>
      </c>
      <c r="L20" s="153">
        <v>0</v>
      </c>
      <c r="M20" s="153">
        <v>0</v>
      </c>
      <c r="N20" s="153">
        <v>0</v>
      </c>
      <c r="O20" s="153">
        <v>0</v>
      </c>
      <c r="P20" s="153">
        <v>0</v>
      </c>
      <c r="Q20" s="153">
        <v>0</v>
      </c>
      <c r="R20" s="153">
        <v>0</v>
      </c>
      <c r="S20" s="153">
        <v>0</v>
      </c>
      <c r="T20" s="153">
        <v>0</v>
      </c>
      <c r="U20" s="153">
        <v>0</v>
      </c>
      <c r="V20" s="153">
        <v>0</v>
      </c>
      <c r="W20" s="153">
        <v>0</v>
      </c>
      <c r="X20" s="153">
        <v>0</v>
      </c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153">
        <v>0</v>
      </c>
      <c r="BL20" s="153">
        <v>0</v>
      </c>
      <c r="BM20" s="544">
        <v>0</v>
      </c>
      <c r="BN20" s="545">
        <v>0</v>
      </c>
      <c r="BO20" s="545">
        <v>0</v>
      </c>
      <c r="BP20" s="153">
        <v>0</v>
      </c>
      <c r="BQ20" s="153">
        <v>0</v>
      </c>
      <c r="BR20" s="153"/>
      <c r="BS20" s="153"/>
      <c r="BT20" s="153"/>
      <c r="BU20" s="153"/>
      <c r="BV20" s="153"/>
      <c r="BW20" s="153"/>
    </row>
    <row r="21" spans="1:75" x14ac:dyDescent="0.25">
      <c r="A21" s="130">
        <v>18</v>
      </c>
      <c r="B21" s="131" t="s">
        <v>390</v>
      </c>
      <c r="C21" s="136">
        <v>7</v>
      </c>
      <c r="D21" s="159">
        <v>318142</v>
      </c>
      <c r="E21" s="159">
        <v>0</v>
      </c>
      <c r="F21" s="159">
        <v>74483602</v>
      </c>
      <c r="G21" s="159">
        <v>0</v>
      </c>
      <c r="H21" s="159">
        <v>0</v>
      </c>
      <c r="I21" s="159">
        <v>0</v>
      </c>
      <c r="J21" s="159">
        <v>0</v>
      </c>
      <c r="K21" s="159">
        <v>0</v>
      </c>
      <c r="L21" s="159">
        <v>0</v>
      </c>
      <c r="M21" s="159">
        <v>0</v>
      </c>
      <c r="N21" s="159">
        <v>0</v>
      </c>
      <c r="O21" s="159">
        <v>0</v>
      </c>
      <c r="P21" s="159">
        <v>0</v>
      </c>
      <c r="Q21" s="159">
        <v>0</v>
      </c>
      <c r="R21" s="159">
        <v>0</v>
      </c>
      <c r="S21" s="159">
        <v>0</v>
      </c>
      <c r="T21" s="159">
        <v>0</v>
      </c>
      <c r="U21" s="159">
        <v>0</v>
      </c>
      <c r="V21" s="159">
        <v>0</v>
      </c>
      <c r="W21" s="159">
        <v>0</v>
      </c>
      <c r="X21" s="159">
        <v>0</v>
      </c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551"/>
      <c r="BN21" s="551"/>
      <c r="BO21" s="551"/>
      <c r="BP21" s="159"/>
      <c r="BQ21" s="159"/>
      <c r="BR21" s="159"/>
      <c r="BS21" s="159"/>
      <c r="BT21" s="159"/>
      <c r="BU21" s="159"/>
      <c r="BV21" s="159"/>
      <c r="BW21" s="159"/>
    </row>
    <row r="22" spans="1:75" x14ac:dyDescent="0.25">
      <c r="A22" s="130">
        <v>19</v>
      </c>
      <c r="B22" s="131" t="s">
        <v>391</v>
      </c>
      <c r="C22" s="126">
        <v>7</v>
      </c>
      <c r="D22" s="29">
        <v>0</v>
      </c>
      <c r="E22" s="29">
        <v>-105334124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552"/>
      <c r="BN22" s="552"/>
      <c r="BO22" s="552"/>
      <c r="BP22" s="29"/>
      <c r="BQ22" s="29"/>
      <c r="BR22" s="29"/>
      <c r="BS22" s="29"/>
      <c r="BT22" s="29"/>
      <c r="BU22" s="29"/>
      <c r="BV22" s="29"/>
      <c r="BW22" s="29"/>
    </row>
    <row r="23" spans="1:75" x14ac:dyDescent="0.25">
      <c r="A23" s="113">
        <v>20</v>
      </c>
      <c r="B23" s="137" t="s">
        <v>217</v>
      </c>
      <c r="C23" s="138">
        <v>7</v>
      </c>
      <c r="D23" s="31">
        <f>SUM(D13:D22)</f>
        <v>-929015457</v>
      </c>
      <c r="E23" s="31">
        <f t="shared" ref="E23:BK23" si="0">SUM(E13:E22)</f>
        <v>-268246585</v>
      </c>
      <c r="F23" s="31">
        <f t="shared" si="0"/>
        <v>-591923010</v>
      </c>
      <c r="G23" s="31">
        <f t="shared" si="0"/>
        <v>-335895878</v>
      </c>
      <c r="H23" s="31">
        <f t="shared" si="0"/>
        <v>154801058</v>
      </c>
      <c r="I23" s="31">
        <f t="shared" si="0"/>
        <v>-49505209</v>
      </c>
      <c r="J23" s="31">
        <f t="shared" si="0"/>
        <v>-393281476</v>
      </c>
      <c r="K23" s="31">
        <f t="shared" si="0"/>
        <v>1126154123</v>
      </c>
      <c r="L23" s="31">
        <f t="shared" si="0"/>
        <v>-627185883</v>
      </c>
      <c r="M23" s="31">
        <f t="shared" si="0"/>
        <v>-310880359</v>
      </c>
      <c r="N23" s="31">
        <f t="shared" si="0"/>
        <v>3859940467</v>
      </c>
      <c r="O23" s="31">
        <f t="shared" si="0"/>
        <v>-2113346046</v>
      </c>
      <c r="P23" s="31">
        <f t="shared" si="0"/>
        <v>-644530764</v>
      </c>
      <c r="Q23" s="31">
        <f t="shared" si="0"/>
        <v>84762725.000000238</v>
      </c>
      <c r="R23" s="31">
        <f t="shared" si="0"/>
        <v>631186561</v>
      </c>
      <c r="S23" s="31">
        <f t="shared" si="0"/>
        <v>-1623206785.9999995</v>
      </c>
      <c r="T23" s="31">
        <f t="shared" si="0"/>
        <v>-565537557.99999952</v>
      </c>
      <c r="U23" s="31">
        <f t="shared" si="0"/>
        <v>-476863355.99999952</v>
      </c>
      <c r="V23" s="31">
        <f t="shared" si="0"/>
        <v>-3110867652</v>
      </c>
      <c r="W23" s="31">
        <f t="shared" si="0"/>
        <v>1364911812</v>
      </c>
      <c r="X23" s="31">
        <f t="shared" si="0"/>
        <v>1018755049</v>
      </c>
      <c r="Y23" s="31">
        <f t="shared" si="0"/>
        <v>-279663441.19472569</v>
      </c>
      <c r="Z23" s="31">
        <f t="shared" si="0"/>
        <v>-2652713799.1913013</v>
      </c>
      <c r="AA23" s="31">
        <f t="shared" si="0"/>
        <v>3249013755.3860269</v>
      </c>
      <c r="AB23" s="31">
        <f t="shared" si="0"/>
        <v>-534744456</v>
      </c>
      <c r="AC23" s="31">
        <f t="shared" si="0"/>
        <v>-2356791320</v>
      </c>
      <c r="AD23" s="31">
        <f t="shared" si="0"/>
        <v>-264284332</v>
      </c>
      <c r="AE23" s="31">
        <f t="shared" si="0"/>
        <v>1698229044</v>
      </c>
      <c r="AF23" s="31">
        <f t="shared" si="0"/>
        <v>1473068357</v>
      </c>
      <c r="AG23" s="31">
        <f t="shared" si="0"/>
        <v>2866576032</v>
      </c>
      <c r="AH23" s="31">
        <f t="shared" si="0"/>
        <v>-914991023.99999976</v>
      </c>
      <c r="AI23" s="31">
        <f t="shared" si="0"/>
        <v>1523884374</v>
      </c>
      <c r="AJ23" s="31">
        <f t="shared" si="0"/>
        <v>-1055368514.9999995</v>
      </c>
      <c r="AK23" s="31">
        <f t="shared" si="0"/>
        <v>-3348117639</v>
      </c>
      <c r="AL23" s="31">
        <f t="shared" si="0"/>
        <v>-256133691.99999952</v>
      </c>
      <c r="AM23" s="31">
        <f t="shared" si="0"/>
        <v>1253654567</v>
      </c>
      <c r="AN23" s="31">
        <f t="shared" si="0"/>
        <v>442151503.99999928</v>
      </c>
      <c r="AO23" s="31">
        <f t="shared" si="0"/>
        <v>-1164918652</v>
      </c>
      <c r="AP23" s="31">
        <f t="shared" si="0"/>
        <v>3105480606.0000005</v>
      </c>
      <c r="AQ23" s="31">
        <f t="shared" si="0"/>
        <v>-68182030.000000477</v>
      </c>
      <c r="AR23" s="31">
        <f t="shared" si="0"/>
        <v>-1595534481.0000002</v>
      </c>
      <c r="AS23" s="31">
        <f t="shared" si="0"/>
        <v>1050052503</v>
      </c>
      <c r="AT23" s="31">
        <f t="shared" si="0"/>
        <v>1318534132</v>
      </c>
      <c r="AU23" s="31">
        <f t="shared" si="0"/>
        <v>1480785841</v>
      </c>
      <c r="AV23" s="31">
        <f t="shared" si="0"/>
        <v>-1702134798</v>
      </c>
      <c r="AW23" s="31">
        <f t="shared" si="0"/>
        <v>2316128191</v>
      </c>
      <c r="AX23" s="31">
        <f>SUM(AX13:AX22)</f>
        <v>-268177936</v>
      </c>
      <c r="AY23" s="31">
        <f>SUM(AY13:AY22)</f>
        <v>799243449</v>
      </c>
      <c r="AZ23" s="31">
        <f t="shared" si="0"/>
        <v>-2342130805.9998999</v>
      </c>
      <c r="BA23" s="31">
        <f t="shared" si="0"/>
        <v>-1196115790.0001006</v>
      </c>
      <c r="BB23" s="31">
        <f t="shared" si="0"/>
        <v>1989877367.000001</v>
      </c>
      <c r="BC23" s="31">
        <f t="shared" si="0"/>
        <v>423389729.99999952</v>
      </c>
      <c r="BD23" s="31">
        <f t="shared" si="0"/>
        <v>-720832587</v>
      </c>
      <c r="BE23" s="31">
        <f t="shared" si="0"/>
        <v>1789778758</v>
      </c>
      <c r="BF23" s="31">
        <f t="shared" si="0"/>
        <v>2125314572.0000997</v>
      </c>
      <c r="BG23" s="31">
        <f t="shared" si="0"/>
        <v>3029944593</v>
      </c>
      <c r="BH23" s="31">
        <f t="shared" si="0"/>
        <v>-385594267.00009942</v>
      </c>
      <c r="BI23" s="31">
        <f t="shared" si="0"/>
        <v>93589303</v>
      </c>
      <c r="BJ23" s="31">
        <f t="shared" si="0"/>
        <v>181892207</v>
      </c>
      <c r="BK23" s="31">
        <f t="shared" si="0"/>
        <v>-251583630.00000048</v>
      </c>
      <c r="BL23" s="31">
        <v>667120811</v>
      </c>
      <c r="BM23" s="553">
        <v>-2663749498</v>
      </c>
      <c r="BN23" s="554">
        <v>-2501461024</v>
      </c>
      <c r="BO23" s="554">
        <v>3759911666</v>
      </c>
      <c r="BP23" s="32">
        <v>-1423938722</v>
      </c>
      <c r="BQ23" s="32">
        <v>-1672996137</v>
      </c>
      <c r="BR23" s="32"/>
      <c r="BS23" s="32"/>
      <c r="BT23" s="32"/>
      <c r="BU23" s="32"/>
      <c r="BV23" s="32"/>
      <c r="BW23" s="32"/>
    </row>
    <row r="24" spans="1:75" x14ac:dyDescent="0.25">
      <c r="A24" s="113">
        <v>21</v>
      </c>
      <c r="B24" s="114" t="s">
        <v>218</v>
      </c>
      <c r="C24" s="139">
        <v>7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/>
      <c r="Z24" s="33"/>
      <c r="AA24" s="33"/>
      <c r="AB24" s="33"/>
      <c r="AC24" s="33"/>
      <c r="AD24" s="33"/>
      <c r="AE24" s="33"/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3">
        <v>0</v>
      </c>
      <c r="AM24" s="33">
        <v>0</v>
      </c>
      <c r="AN24" s="33"/>
      <c r="AO24" s="33">
        <v>0</v>
      </c>
      <c r="AP24" s="33">
        <v>0</v>
      </c>
      <c r="AQ24" s="33">
        <v>0</v>
      </c>
      <c r="AR24" s="33"/>
      <c r="AS24" s="33">
        <v>0</v>
      </c>
      <c r="AT24" s="33">
        <v>0</v>
      </c>
      <c r="AU24" s="33">
        <v>0</v>
      </c>
      <c r="AV24" s="33"/>
      <c r="AW24" s="33"/>
      <c r="AX24" s="33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>
        <v>64017</v>
      </c>
      <c r="BJ24" s="34"/>
      <c r="BK24" s="34"/>
      <c r="BL24" s="34"/>
      <c r="BM24" s="555"/>
      <c r="BN24" s="555"/>
      <c r="BO24" s="555"/>
      <c r="BP24" s="34"/>
      <c r="BQ24" s="34"/>
      <c r="BR24" s="34"/>
      <c r="BS24" s="34"/>
      <c r="BT24" s="34"/>
      <c r="BU24" s="34"/>
      <c r="BV24" s="34"/>
      <c r="BW24" s="34"/>
    </row>
    <row r="25" spans="1:75" x14ac:dyDescent="0.25">
      <c r="A25" s="140">
        <v>22</v>
      </c>
      <c r="B25" s="141" t="s">
        <v>392</v>
      </c>
      <c r="C25" s="125">
        <v>7</v>
      </c>
      <c r="D25" s="158">
        <v>0</v>
      </c>
      <c r="E25" s="158">
        <v>0</v>
      </c>
      <c r="F25" s="158">
        <v>-265000000</v>
      </c>
      <c r="G25" s="158">
        <v>-265000000</v>
      </c>
      <c r="H25" s="158">
        <v>0</v>
      </c>
      <c r="I25" s="158">
        <v>0</v>
      </c>
      <c r="J25" s="158">
        <v>0</v>
      </c>
      <c r="K25" s="158">
        <v>0</v>
      </c>
      <c r="L25" s="158">
        <v>0</v>
      </c>
      <c r="M25" s="158">
        <v>0</v>
      </c>
      <c r="N25" s="158">
        <v>0</v>
      </c>
      <c r="O25" s="158">
        <v>0</v>
      </c>
      <c r="P25" s="158">
        <v>0</v>
      </c>
      <c r="Q25" s="158">
        <v>0</v>
      </c>
      <c r="R25" s="158">
        <v>0</v>
      </c>
      <c r="S25" s="158">
        <v>0</v>
      </c>
      <c r="T25" s="158">
        <v>0</v>
      </c>
      <c r="U25" s="158">
        <v>0</v>
      </c>
      <c r="V25" s="158">
        <v>0</v>
      </c>
      <c r="W25" s="158">
        <v>0</v>
      </c>
      <c r="X25" s="158">
        <v>0</v>
      </c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>
        <v>-82000000</v>
      </c>
      <c r="AS25" s="158"/>
      <c r="AT25" s="158"/>
      <c r="AU25" s="158"/>
      <c r="AV25" s="158"/>
      <c r="AW25" s="158"/>
      <c r="AX25" s="158">
        <v>-872317884</v>
      </c>
      <c r="AY25" s="158">
        <v>-872317884</v>
      </c>
      <c r="AZ25" s="158">
        <v>-578095672</v>
      </c>
      <c r="BA25" s="158"/>
      <c r="BB25" s="158"/>
      <c r="BC25" s="158">
        <v>-773000000</v>
      </c>
      <c r="BD25" s="158">
        <v>77500000</v>
      </c>
      <c r="BE25" s="158">
        <v>-509500000</v>
      </c>
      <c r="BF25" s="158"/>
      <c r="BG25" s="158">
        <v>-244000000</v>
      </c>
      <c r="BH25" s="158"/>
      <c r="BI25" s="158"/>
      <c r="BJ25" s="158">
        <v>0</v>
      </c>
      <c r="BK25" s="158">
        <v>0</v>
      </c>
      <c r="BL25" s="158">
        <v>-407747625</v>
      </c>
      <c r="BM25" s="549">
        <v>-145987297</v>
      </c>
      <c r="BN25" s="550">
        <v>0</v>
      </c>
      <c r="BO25" s="550">
        <v>-722760328</v>
      </c>
      <c r="BP25" s="158">
        <v>-85130340</v>
      </c>
      <c r="BQ25" s="158">
        <v>-40000000</v>
      </c>
      <c r="BR25" s="158"/>
      <c r="BS25" s="158"/>
      <c r="BT25" s="158"/>
      <c r="BU25" s="158"/>
      <c r="BV25" s="158"/>
      <c r="BW25" s="158"/>
    </row>
    <row r="26" spans="1:75" x14ac:dyDescent="0.25">
      <c r="A26" s="140">
        <v>23</v>
      </c>
      <c r="B26" s="141" t="s">
        <v>393</v>
      </c>
      <c r="C26" s="136">
        <v>7</v>
      </c>
      <c r="D26" s="160">
        <v>0</v>
      </c>
      <c r="E26" s="160">
        <v>0</v>
      </c>
      <c r="F26" s="160">
        <v>0</v>
      </c>
      <c r="G26" s="160">
        <v>0</v>
      </c>
      <c r="H26" s="160">
        <v>0</v>
      </c>
      <c r="I26" s="160">
        <v>0</v>
      </c>
      <c r="J26" s="160">
        <v>0</v>
      </c>
      <c r="K26" s="160">
        <v>0</v>
      </c>
      <c r="L26" s="160">
        <v>0</v>
      </c>
      <c r="M26" s="160">
        <v>0</v>
      </c>
      <c r="N26" s="160">
        <v>0</v>
      </c>
      <c r="O26" s="160">
        <v>0</v>
      </c>
      <c r="P26" s="160">
        <v>0</v>
      </c>
      <c r="Q26" s="160">
        <v>0</v>
      </c>
      <c r="R26" s="160">
        <v>0</v>
      </c>
      <c r="S26" s="160">
        <v>0</v>
      </c>
      <c r="T26" s="160">
        <v>0</v>
      </c>
      <c r="U26" s="160">
        <v>0</v>
      </c>
      <c r="V26" s="160">
        <v>0</v>
      </c>
      <c r="W26" s="160">
        <v>0</v>
      </c>
      <c r="X26" s="160">
        <v>0</v>
      </c>
      <c r="Y26" s="160"/>
      <c r="Z26" s="160"/>
      <c r="AA26" s="160"/>
      <c r="AB26" s="160"/>
      <c r="AC26" s="160"/>
      <c r="AD26" s="160"/>
      <c r="AE26" s="160">
        <v>75000000</v>
      </c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>
        <v>0</v>
      </c>
      <c r="BK26" s="27"/>
      <c r="BL26" s="27"/>
      <c r="BM26" s="542"/>
      <c r="BN26" s="542"/>
      <c r="BO26" s="542"/>
      <c r="BP26" s="27"/>
      <c r="BQ26" s="27"/>
      <c r="BR26" s="27"/>
      <c r="BS26" s="27"/>
      <c r="BT26" s="27"/>
      <c r="BU26" s="27"/>
      <c r="BV26" s="27"/>
      <c r="BW26" s="27"/>
    </row>
    <row r="27" spans="1:75" x14ac:dyDescent="0.25">
      <c r="A27" s="140">
        <v>24</v>
      </c>
      <c r="B27" s="141" t="s">
        <v>394</v>
      </c>
      <c r="C27" s="136">
        <v>7</v>
      </c>
      <c r="D27" s="161">
        <v>0</v>
      </c>
      <c r="E27" s="161">
        <v>0</v>
      </c>
      <c r="F27" s="161">
        <v>0</v>
      </c>
      <c r="G27" s="161">
        <v>0</v>
      </c>
      <c r="H27" s="161">
        <v>0</v>
      </c>
      <c r="I27" s="161">
        <v>0</v>
      </c>
      <c r="J27" s="161">
        <v>0</v>
      </c>
      <c r="K27" s="161">
        <v>0</v>
      </c>
      <c r="L27" s="161">
        <v>0</v>
      </c>
      <c r="M27" s="161">
        <v>0</v>
      </c>
      <c r="N27" s="161">
        <v>0</v>
      </c>
      <c r="O27" s="161">
        <v>0</v>
      </c>
      <c r="P27" s="161">
        <v>0</v>
      </c>
      <c r="Q27" s="161">
        <v>0</v>
      </c>
      <c r="R27" s="161">
        <v>0</v>
      </c>
      <c r="S27" s="161">
        <v>0</v>
      </c>
      <c r="T27" s="161">
        <v>0</v>
      </c>
      <c r="U27" s="161">
        <v>0</v>
      </c>
      <c r="V27" s="161">
        <v>0</v>
      </c>
      <c r="W27" s="161">
        <v>0</v>
      </c>
      <c r="X27" s="161">
        <v>0</v>
      </c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>
        <v>-2000000000</v>
      </c>
      <c r="BA27" s="161">
        <v>2000000000</v>
      </c>
      <c r="BB27" s="161"/>
      <c r="BC27" s="161"/>
      <c r="BD27" s="161"/>
      <c r="BE27" s="161"/>
      <c r="BF27" s="161"/>
      <c r="BG27" s="161"/>
      <c r="BH27" s="161"/>
      <c r="BI27" s="161"/>
      <c r="BJ27" s="161">
        <v>0</v>
      </c>
      <c r="BK27" s="161">
        <v>0</v>
      </c>
      <c r="BL27" s="161">
        <v>0</v>
      </c>
      <c r="BM27" s="545">
        <v>0</v>
      </c>
      <c r="BN27" s="545">
        <v>0</v>
      </c>
      <c r="BO27" s="545">
        <v>-1000000000</v>
      </c>
      <c r="BP27" s="161">
        <v>0</v>
      </c>
      <c r="BQ27" s="161">
        <v>0</v>
      </c>
      <c r="BR27" s="161"/>
      <c r="BS27" s="161"/>
      <c r="BT27" s="161"/>
      <c r="BU27" s="161"/>
      <c r="BV27" s="161"/>
      <c r="BW27" s="161"/>
    </row>
    <row r="28" spans="1:75" x14ac:dyDescent="0.25">
      <c r="A28" s="140">
        <v>25</v>
      </c>
      <c r="B28" s="141" t="s">
        <v>395</v>
      </c>
      <c r="C28" s="136">
        <v>7</v>
      </c>
      <c r="D28" s="160">
        <v>0</v>
      </c>
      <c r="E28" s="160">
        <v>0</v>
      </c>
      <c r="F28" s="160">
        <v>0</v>
      </c>
      <c r="G28" s="160">
        <v>0</v>
      </c>
      <c r="H28" s="160">
        <v>0</v>
      </c>
      <c r="I28" s="160">
        <v>0</v>
      </c>
      <c r="J28" s="160">
        <v>0</v>
      </c>
      <c r="K28" s="160">
        <v>0</v>
      </c>
      <c r="L28" s="160">
        <v>0</v>
      </c>
      <c r="M28" s="160">
        <v>0</v>
      </c>
      <c r="N28" s="160">
        <v>0</v>
      </c>
      <c r="O28" s="160">
        <v>0</v>
      </c>
      <c r="P28" s="160">
        <v>0</v>
      </c>
      <c r="Q28" s="160">
        <v>0</v>
      </c>
      <c r="R28" s="160">
        <v>0</v>
      </c>
      <c r="S28" s="160">
        <v>0</v>
      </c>
      <c r="T28" s="160">
        <v>0</v>
      </c>
      <c r="U28" s="160">
        <v>0</v>
      </c>
      <c r="V28" s="160">
        <v>0</v>
      </c>
      <c r="W28" s="160">
        <v>0</v>
      </c>
      <c r="X28" s="160">
        <v>0</v>
      </c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>
        <v>0</v>
      </c>
      <c r="BK28" s="27"/>
      <c r="BL28" s="27"/>
      <c r="BM28" s="542"/>
      <c r="BN28" s="542"/>
      <c r="BO28" s="542"/>
      <c r="BP28" s="27"/>
      <c r="BQ28" s="27"/>
      <c r="BR28" s="27"/>
      <c r="BS28" s="27"/>
      <c r="BT28" s="27"/>
      <c r="BU28" s="27"/>
      <c r="BV28" s="27"/>
      <c r="BW28" s="27"/>
    </row>
    <row r="29" spans="1:75" x14ac:dyDescent="0.25">
      <c r="A29" s="140">
        <v>26</v>
      </c>
      <c r="B29" s="141" t="s">
        <v>396</v>
      </c>
      <c r="C29" s="122">
        <v>7</v>
      </c>
      <c r="D29" s="153">
        <v>0</v>
      </c>
      <c r="E29" s="153">
        <v>0</v>
      </c>
      <c r="F29" s="153">
        <v>0</v>
      </c>
      <c r="G29" s="153">
        <v>0</v>
      </c>
      <c r="H29" s="153">
        <v>0</v>
      </c>
      <c r="I29" s="153">
        <v>0</v>
      </c>
      <c r="J29" s="153">
        <v>0</v>
      </c>
      <c r="K29" s="153">
        <v>0</v>
      </c>
      <c r="L29" s="153">
        <v>0</v>
      </c>
      <c r="M29" s="153">
        <v>0</v>
      </c>
      <c r="N29" s="153">
        <v>0</v>
      </c>
      <c r="O29" s="153">
        <v>0</v>
      </c>
      <c r="P29" s="153">
        <v>0</v>
      </c>
      <c r="Q29" s="153">
        <v>0</v>
      </c>
      <c r="R29" s="153">
        <v>0</v>
      </c>
      <c r="S29" s="153">
        <v>0</v>
      </c>
      <c r="T29" s="153">
        <v>0</v>
      </c>
      <c r="U29" s="153">
        <v>0</v>
      </c>
      <c r="V29" s="153">
        <v>0</v>
      </c>
      <c r="W29" s="153">
        <v>0</v>
      </c>
      <c r="X29" s="153">
        <v>0</v>
      </c>
      <c r="Y29" s="153"/>
      <c r="Z29" s="153"/>
      <c r="AA29" s="153"/>
      <c r="AB29" s="153"/>
      <c r="AC29" s="153"/>
      <c r="AD29" s="153"/>
      <c r="AE29" s="153">
        <v>0</v>
      </c>
      <c r="AF29" s="153">
        <v>0</v>
      </c>
      <c r="AG29" s="153"/>
      <c r="AH29" s="153"/>
      <c r="AI29" s="153"/>
      <c r="AJ29" s="153">
        <v>0</v>
      </c>
      <c r="AK29" s="153">
        <v>0</v>
      </c>
      <c r="AL29" s="153">
        <v>0</v>
      </c>
      <c r="AM29" s="153">
        <v>0</v>
      </c>
      <c r="AN29" s="153"/>
      <c r="AO29" s="153">
        <v>0</v>
      </c>
      <c r="AP29" s="153">
        <v>0</v>
      </c>
      <c r="AQ29" s="153">
        <v>0</v>
      </c>
      <c r="AR29" s="153">
        <v>0</v>
      </c>
      <c r="AS29" s="153"/>
      <c r="AT29" s="153"/>
      <c r="AU29" s="153"/>
      <c r="AV29" s="153">
        <v>0</v>
      </c>
      <c r="AW29" s="153">
        <v>0</v>
      </c>
      <c r="AX29" s="153">
        <v>0</v>
      </c>
      <c r="AY29" s="153">
        <v>0</v>
      </c>
      <c r="AZ29" s="153"/>
      <c r="BA29" s="153"/>
      <c r="BB29" s="153"/>
      <c r="BC29" s="153"/>
      <c r="BD29" s="153"/>
      <c r="BE29" s="153"/>
      <c r="BF29" s="153"/>
      <c r="BG29" s="153"/>
      <c r="BH29" s="153">
        <f>-(('Tinh hinh tai chinh'!BH70-'Tinh hinh tai chinh'!BG70)+('Tinh hinh tai chinh'!BH71-'Tinh hinh tai chinh'!BG71)+('Tinh hinh tai chinh'!BH72-'Tinh hinh tai chinh'!BG72))-BH30</f>
        <v>0</v>
      </c>
      <c r="BI29" s="153"/>
      <c r="BJ29" s="153">
        <v>0</v>
      </c>
      <c r="BK29" s="153"/>
      <c r="BL29" s="153"/>
      <c r="BM29" s="544"/>
      <c r="BN29" s="545"/>
      <c r="BO29" s="545"/>
      <c r="BP29" s="153"/>
      <c r="BQ29" s="153"/>
      <c r="BR29" s="153"/>
      <c r="BS29" s="153"/>
      <c r="BT29" s="153"/>
      <c r="BU29" s="153"/>
      <c r="BV29" s="153"/>
      <c r="BW29" s="153"/>
    </row>
    <row r="30" spans="1:75" x14ac:dyDescent="0.25">
      <c r="A30" s="140">
        <v>27</v>
      </c>
      <c r="B30" s="141" t="s">
        <v>397</v>
      </c>
      <c r="C30" s="136">
        <v>7</v>
      </c>
      <c r="D30" s="159">
        <v>0</v>
      </c>
      <c r="E30" s="159">
        <v>0</v>
      </c>
      <c r="F30" s="159">
        <v>0</v>
      </c>
      <c r="G30" s="159">
        <v>0</v>
      </c>
      <c r="H30" s="159">
        <v>0</v>
      </c>
      <c r="I30" s="159">
        <v>0</v>
      </c>
      <c r="J30" s="159">
        <v>0</v>
      </c>
      <c r="K30" s="159">
        <v>0</v>
      </c>
      <c r="L30" s="159">
        <v>0</v>
      </c>
      <c r="M30" s="159">
        <v>0</v>
      </c>
      <c r="N30" s="159">
        <v>0</v>
      </c>
      <c r="O30" s="159">
        <v>0</v>
      </c>
      <c r="P30" s="159">
        <v>0</v>
      </c>
      <c r="Q30" s="159">
        <v>0</v>
      </c>
      <c r="R30" s="159">
        <v>0</v>
      </c>
      <c r="S30" s="159">
        <v>0</v>
      </c>
      <c r="T30" s="159">
        <v>0</v>
      </c>
      <c r="U30" s="159">
        <v>0</v>
      </c>
      <c r="V30" s="159">
        <v>0</v>
      </c>
      <c r="W30" s="159">
        <v>0</v>
      </c>
      <c r="X30" s="159">
        <v>0</v>
      </c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>
        <v>0</v>
      </c>
      <c r="BK30" s="27"/>
      <c r="BL30" s="27"/>
      <c r="BM30" s="542"/>
      <c r="BN30" s="542"/>
      <c r="BO30" s="542"/>
      <c r="BP30" s="27"/>
      <c r="BQ30" s="27"/>
      <c r="BR30" s="27"/>
      <c r="BS30" s="27"/>
      <c r="BT30" s="27"/>
      <c r="BU30" s="27"/>
      <c r="BV30" s="27"/>
      <c r="BW30" s="27"/>
    </row>
    <row r="31" spans="1:75" x14ac:dyDescent="0.25">
      <c r="A31" s="140">
        <v>28</v>
      </c>
      <c r="B31" s="141" t="s">
        <v>398</v>
      </c>
      <c r="C31" s="122">
        <v>7</v>
      </c>
      <c r="D31" s="153">
        <v>0</v>
      </c>
      <c r="E31" s="153">
        <v>0</v>
      </c>
      <c r="F31" s="153">
        <v>0</v>
      </c>
      <c r="G31" s="153">
        <v>0</v>
      </c>
      <c r="H31" s="153">
        <v>0</v>
      </c>
      <c r="I31" s="153">
        <v>0</v>
      </c>
      <c r="J31" s="153">
        <v>0</v>
      </c>
      <c r="K31" s="153">
        <v>0</v>
      </c>
      <c r="L31" s="153">
        <v>0</v>
      </c>
      <c r="M31" s="153">
        <v>0</v>
      </c>
      <c r="N31" s="153">
        <v>0</v>
      </c>
      <c r="O31" s="153">
        <v>0</v>
      </c>
      <c r="P31" s="153">
        <v>0</v>
      </c>
      <c r="Q31" s="153">
        <v>0</v>
      </c>
      <c r="R31" s="153">
        <v>0</v>
      </c>
      <c r="S31" s="153">
        <v>0</v>
      </c>
      <c r="T31" s="153">
        <v>0</v>
      </c>
      <c r="U31" s="153">
        <v>0</v>
      </c>
      <c r="V31" s="153">
        <v>0</v>
      </c>
      <c r="W31" s="153">
        <v>0</v>
      </c>
      <c r="X31" s="153">
        <v>0</v>
      </c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>
        <v>212651</v>
      </c>
      <c r="AK31" s="153">
        <v>199782</v>
      </c>
      <c r="AL31" s="153">
        <v>37087</v>
      </c>
      <c r="AM31" s="153">
        <v>15737</v>
      </c>
      <c r="AN31" s="153">
        <v>25689</v>
      </c>
      <c r="AO31" s="153">
        <v>15096</v>
      </c>
      <c r="AP31" s="153">
        <v>20265</v>
      </c>
      <c r="AQ31" s="153">
        <v>39658</v>
      </c>
      <c r="AR31" s="153">
        <v>32454</v>
      </c>
      <c r="AS31" s="153">
        <v>31525</v>
      </c>
      <c r="AT31" s="153">
        <v>35902</v>
      </c>
      <c r="AU31" s="153">
        <v>42375</v>
      </c>
      <c r="AV31" s="153">
        <v>48870</v>
      </c>
      <c r="AW31" s="153">
        <v>40410</v>
      </c>
      <c r="AX31" s="153">
        <v>56627</v>
      </c>
      <c r="AY31" s="153">
        <v>56627</v>
      </c>
      <c r="AZ31" s="153">
        <v>29372</v>
      </c>
      <c r="BA31" s="153">
        <v>5534452</v>
      </c>
      <c r="BB31" s="153">
        <v>11730</v>
      </c>
      <c r="BC31" s="153">
        <v>32915</v>
      </c>
      <c r="BD31" s="153">
        <v>29738</v>
      </c>
      <c r="BE31" s="153">
        <v>31894</v>
      </c>
      <c r="BF31" s="153">
        <v>35475</v>
      </c>
      <c r="BG31" s="153">
        <v>52005</v>
      </c>
      <c r="BH31" s="153">
        <f>-BH10</f>
        <v>67306</v>
      </c>
      <c r="BI31" s="153">
        <v>64017</v>
      </c>
      <c r="BJ31" s="153">
        <v>74303</v>
      </c>
      <c r="BK31" s="153">
        <v>19794484</v>
      </c>
      <c r="BL31" s="153">
        <v>21329</v>
      </c>
      <c r="BM31" s="544">
        <v>29022</v>
      </c>
      <c r="BN31" s="545">
        <v>37724173</v>
      </c>
      <c r="BO31" s="545">
        <v>11890904</v>
      </c>
      <c r="BP31" s="153">
        <v>17033</v>
      </c>
      <c r="BQ31" s="153">
        <v>24058607</v>
      </c>
      <c r="BR31" s="153"/>
      <c r="BS31" s="153"/>
      <c r="BT31" s="153"/>
      <c r="BU31" s="153"/>
      <c r="BV31" s="153"/>
      <c r="BW31" s="153"/>
    </row>
    <row r="32" spans="1:75" x14ac:dyDescent="0.25">
      <c r="A32" s="113">
        <v>29</v>
      </c>
      <c r="B32" s="114" t="s">
        <v>226</v>
      </c>
      <c r="C32" s="138">
        <v>7</v>
      </c>
      <c r="D32" s="35">
        <f>SUM(D25:D31)</f>
        <v>0</v>
      </c>
      <c r="E32" s="35">
        <f t="shared" ref="E32:BJ32" si="1">SUM(E25:E31)</f>
        <v>0</v>
      </c>
      <c r="F32" s="35">
        <f t="shared" si="1"/>
        <v>-265000000</v>
      </c>
      <c r="G32" s="35">
        <f t="shared" si="1"/>
        <v>-265000000</v>
      </c>
      <c r="H32" s="35">
        <f t="shared" si="1"/>
        <v>0</v>
      </c>
      <c r="I32" s="35">
        <f t="shared" si="1"/>
        <v>0</v>
      </c>
      <c r="J32" s="35">
        <f t="shared" si="1"/>
        <v>0</v>
      </c>
      <c r="K32" s="35">
        <f t="shared" si="1"/>
        <v>0</v>
      </c>
      <c r="L32" s="35">
        <f t="shared" si="1"/>
        <v>0</v>
      </c>
      <c r="M32" s="35">
        <f t="shared" si="1"/>
        <v>0</v>
      </c>
      <c r="N32" s="35">
        <f t="shared" si="1"/>
        <v>0</v>
      </c>
      <c r="O32" s="35">
        <f t="shared" si="1"/>
        <v>0</v>
      </c>
      <c r="P32" s="35">
        <f t="shared" si="1"/>
        <v>0</v>
      </c>
      <c r="Q32" s="35">
        <f t="shared" si="1"/>
        <v>0</v>
      </c>
      <c r="R32" s="35">
        <f t="shared" si="1"/>
        <v>0</v>
      </c>
      <c r="S32" s="35">
        <f t="shared" si="1"/>
        <v>0</v>
      </c>
      <c r="T32" s="35">
        <f t="shared" si="1"/>
        <v>0</v>
      </c>
      <c r="U32" s="35">
        <f t="shared" si="1"/>
        <v>0</v>
      </c>
      <c r="V32" s="35">
        <f t="shared" si="1"/>
        <v>0</v>
      </c>
      <c r="W32" s="35">
        <f t="shared" si="1"/>
        <v>0</v>
      </c>
      <c r="X32" s="35">
        <f t="shared" si="1"/>
        <v>0</v>
      </c>
      <c r="Y32" s="35">
        <f t="shared" si="1"/>
        <v>0</v>
      </c>
      <c r="Z32" s="35">
        <f t="shared" si="1"/>
        <v>0</v>
      </c>
      <c r="AA32" s="35">
        <f t="shared" si="1"/>
        <v>0</v>
      </c>
      <c r="AB32" s="35">
        <f t="shared" si="1"/>
        <v>0</v>
      </c>
      <c r="AC32" s="35">
        <f t="shared" si="1"/>
        <v>0</v>
      </c>
      <c r="AD32" s="35">
        <f t="shared" si="1"/>
        <v>0</v>
      </c>
      <c r="AE32" s="35">
        <f t="shared" si="1"/>
        <v>75000000</v>
      </c>
      <c r="AF32" s="35">
        <f t="shared" si="1"/>
        <v>0</v>
      </c>
      <c r="AG32" s="35">
        <f t="shared" si="1"/>
        <v>0</v>
      </c>
      <c r="AH32" s="35">
        <f t="shared" si="1"/>
        <v>0</v>
      </c>
      <c r="AI32" s="35">
        <f t="shared" si="1"/>
        <v>0</v>
      </c>
      <c r="AJ32" s="35">
        <f t="shared" si="1"/>
        <v>212651</v>
      </c>
      <c r="AK32" s="35">
        <f t="shared" si="1"/>
        <v>199782</v>
      </c>
      <c r="AL32" s="35">
        <f t="shared" si="1"/>
        <v>37087</v>
      </c>
      <c r="AM32" s="35">
        <f t="shared" si="1"/>
        <v>15737</v>
      </c>
      <c r="AN32" s="35">
        <f t="shared" si="1"/>
        <v>25689</v>
      </c>
      <c r="AO32" s="35">
        <f t="shared" si="1"/>
        <v>15096</v>
      </c>
      <c r="AP32" s="35">
        <f t="shared" si="1"/>
        <v>20265</v>
      </c>
      <c r="AQ32" s="35">
        <f t="shared" si="1"/>
        <v>39658</v>
      </c>
      <c r="AR32" s="35">
        <f t="shared" si="1"/>
        <v>-81967546</v>
      </c>
      <c r="AS32" s="35">
        <f t="shared" si="1"/>
        <v>31525</v>
      </c>
      <c r="AT32" s="35">
        <f t="shared" si="1"/>
        <v>35902</v>
      </c>
      <c r="AU32" s="35">
        <f t="shared" si="1"/>
        <v>42375</v>
      </c>
      <c r="AV32" s="35">
        <f t="shared" si="1"/>
        <v>48870</v>
      </c>
      <c r="AW32" s="35">
        <f t="shared" si="1"/>
        <v>40410</v>
      </c>
      <c r="AX32" s="35">
        <f t="shared" si="1"/>
        <v>-872261257</v>
      </c>
      <c r="AY32" s="35">
        <v>-872261257</v>
      </c>
      <c r="AZ32" s="35">
        <f t="shared" si="1"/>
        <v>-2578066300</v>
      </c>
      <c r="BA32" s="35">
        <f t="shared" si="1"/>
        <v>2005534452</v>
      </c>
      <c r="BB32" s="35">
        <f t="shared" si="1"/>
        <v>11730</v>
      </c>
      <c r="BC32" s="35">
        <f t="shared" si="1"/>
        <v>-772967085</v>
      </c>
      <c r="BD32" s="35">
        <f t="shared" si="1"/>
        <v>77529738</v>
      </c>
      <c r="BE32" s="35">
        <f t="shared" si="1"/>
        <v>-509468106</v>
      </c>
      <c r="BF32" s="35">
        <f t="shared" si="1"/>
        <v>35475</v>
      </c>
      <c r="BG32" s="35">
        <f t="shared" si="1"/>
        <v>-243947995</v>
      </c>
      <c r="BH32" s="35">
        <f t="shared" si="1"/>
        <v>67306</v>
      </c>
      <c r="BI32" s="35">
        <f t="shared" si="1"/>
        <v>64017</v>
      </c>
      <c r="BJ32" s="35">
        <f t="shared" si="1"/>
        <v>74303</v>
      </c>
      <c r="BK32" s="35">
        <v>19794484</v>
      </c>
      <c r="BL32" s="35">
        <v>-407726296</v>
      </c>
      <c r="BM32" s="556">
        <v>-145958275</v>
      </c>
      <c r="BN32" s="556">
        <v>37724173</v>
      </c>
      <c r="BO32" s="556">
        <v>-1710869424</v>
      </c>
      <c r="BP32" s="35">
        <v>-85113307</v>
      </c>
      <c r="BQ32" s="35">
        <v>-15941393</v>
      </c>
      <c r="BR32" s="35"/>
      <c r="BS32" s="35"/>
      <c r="BT32" s="35"/>
      <c r="BU32" s="35"/>
      <c r="BV32" s="35"/>
      <c r="BW32" s="35"/>
    </row>
    <row r="33" spans="1:75" x14ac:dyDescent="0.25">
      <c r="A33" s="113">
        <v>30</v>
      </c>
      <c r="B33" s="114" t="s">
        <v>227</v>
      </c>
      <c r="C33" s="139">
        <v>7</v>
      </c>
      <c r="D33" s="33"/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/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555"/>
      <c r="BN33" s="555"/>
      <c r="BO33" s="555"/>
      <c r="BP33" s="34"/>
      <c r="BQ33" s="34"/>
      <c r="BR33" s="34"/>
      <c r="BS33" s="34"/>
      <c r="BT33" s="34"/>
      <c r="BU33" s="34"/>
      <c r="BV33" s="34"/>
      <c r="BW33" s="34"/>
    </row>
    <row r="34" spans="1:75" x14ac:dyDescent="0.25">
      <c r="A34" s="140">
        <v>31</v>
      </c>
      <c r="B34" s="141" t="s">
        <v>399</v>
      </c>
      <c r="C34" s="126">
        <v>7</v>
      </c>
      <c r="D34" s="29">
        <v>2000000000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5000000000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542"/>
      <c r="BN34" s="542"/>
      <c r="BO34" s="542"/>
      <c r="BP34" s="27"/>
      <c r="BQ34" s="27"/>
      <c r="BR34" s="27"/>
      <c r="BS34" s="27"/>
      <c r="BT34" s="27"/>
      <c r="BU34" s="27"/>
      <c r="BV34" s="27"/>
      <c r="BW34" s="27"/>
    </row>
    <row r="35" spans="1:75" x14ac:dyDescent="0.25">
      <c r="A35" s="142">
        <v>32</v>
      </c>
      <c r="B35" s="143" t="s">
        <v>400</v>
      </c>
      <c r="C35" s="144">
        <v>7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543"/>
      <c r="BN35" s="543"/>
      <c r="BO35" s="543"/>
      <c r="BP35" s="28"/>
      <c r="BQ35" s="28"/>
      <c r="BR35" s="28"/>
      <c r="BS35" s="28"/>
      <c r="BT35" s="28"/>
      <c r="BU35" s="28"/>
      <c r="BV35" s="28"/>
      <c r="BW35" s="28"/>
    </row>
    <row r="36" spans="1:75" x14ac:dyDescent="0.25">
      <c r="A36" s="140">
        <v>33</v>
      </c>
      <c r="B36" s="141" t="s">
        <v>401</v>
      </c>
      <c r="C36" s="122">
        <v>7</v>
      </c>
      <c r="D36" s="160">
        <v>0</v>
      </c>
      <c r="E36" s="160">
        <v>0</v>
      </c>
      <c r="F36" s="160">
        <v>0</v>
      </c>
      <c r="G36" s="160">
        <v>0</v>
      </c>
      <c r="H36" s="160">
        <v>0</v>
      </c>
      <c r="I36" s="160">
        <v>0</v>
      </c>
      <c r="J36" s="160">
        <v>0</v>
      </c>
      <c r="K36" s="160">
        <v>0</v>
      </c>
      <c r="L36" s="160">
        <v>0</v>
      </c>
      <c r="M36" s="160">
        <v>0</v>
      </c>
      <c r="N36" s="160">
        <v>0</v>
      </c>
      <c r="O36" s="160">
        <v>0</v>
      </c>
      <c r="P36" s="160">
        <v>0</v>
      </c>
      <c r="Q36" s="160">
        <v>0</v>
      </c>
      <c r="R36" s="160">
        <v>0</v>
      </c>
      <c r="S36" s="160">
        <v>0</v>
      </c>
      <c r="T36" s="160">
        <v>0</v>
      </c>
      <c r="U36" s="160">
        <v>0</v>
      </c>
      <c r="V36" s="160">
        <v>0</v>
      </c>
      <c r="W36" s="160">
        <v>0</v>
      </c>
      <c r="X36" s="160">
        <v>0</v>
      </c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53"/>
      <c r="AO36" s="160"/>
      <c r="AP36" s="160"/>
      <c r="AQ36" s="160"/>
      <c r="AR36" s="160"/>
      <c r="AS36" s="160"/>
      <c r="AT36" s="160"/>
      <c r="AU36" s="160"/>
      <c r="AV36" s="160"/>
      <c r="AW36" s="160"/>
      <c r="AX36" s="160"/>
      <c r="AY36" s="160"/>
      <c r="AZ36" s="160"/>
      <c r="BA36" s="160"/>
      <c r="BB36" s="160"/>
      <c r="BC36" s="160"/>
      <c r="BD36" s="160"/>
      <c r="BE36" s="160"/>
      <c r="BF36" s="160"/>
      <c r="BG36" s="160"/>
      <c r="BH36" s="160"/>
      <c r="BI36" s="160"/>
      <c r="BJ36" s="160"/>
      <c r="BK36" s="160"/>
      <c r="BL36" s="160"/>
      <c r="BM36" s="547"/>
      <c r="BN36" s="547"/>
      <c r="BO36" s="547"/>
      <c r="BP36" s="160"/>
      <c r="BQ36" s="160"/>
      <c r="BR36" s="160"/>
      <c r="BS36" s="160"/>
      <c r="BT36" s="160"/>
      <c r="BU36" s="160"/>
      <c r="BV36" s="160"/>
      <c r="BW36" s="160"/>
    </row>
    <row r="37" spans="1:75" x14ac:dyDescent="0.25">
      <c r="A37" s="140">
        <v>34</v>
      </c>
      <c r="B37" s="141" t="s">
        <v>402</v>
      </c>
      <c r="C37" s="122">
        <v>7</v>
      </c>
      <c r="D37" s="153">
        <v>0</v>
      </c>
      <c r="E37" s="153">
        <v>0</v>
      </c>
      <c r="F37" s="153">
        <v>0</v>
      </c>
      <c r="G37" s="153">
        <v>0</v>
      </c>
      <c r="H37" s="153">
        <v>0</v>
      </c>
      <c r="I37" s="153">
        <v>0</v>
      </c>
      <c r="J37" s="153">
        <v>0</v>
      </c>
      <c r="K37" s="153">
        <v>0</v>
      </c>
      <c r="L37" s="153">
        <v>0</v>
      </c>
      <c r="M37" s="153">
        <v>0</v>
      </c>
      <c r="N37" s="153">
        <v>0</v>
      </c>
      <c r="O37" s="153">
        <v>0</v>
      </c>
      <c r="P37" s="153">
        <v>0</v>
      </c>
      <c r="Q37" s="153">
        <v>0</v>
      </c>
      <c r="R37" s="153">
        <v>0</v>
      </c>
      <c r="S37" s="153">
        <v>0</v>
      </c>
      <c r="T37" s="153">
        <v>0</v>
      </c>
      <c r="U37" s="153">
        <v>0</v>
      </c>
      <c r="V37" s="153">
        <v>0</v>
      </c>
      <c r="W37" s="153">
        <v>0</v>
      </c>
      <c r="X37" s="153">
        <v>0</v>
      </c>
      <c r="Y37" s="153"/>
      <c r="Z37" s="153"/>
      <c r="AA37" s="153"/>
      <c r="AB37" s="153"/>
      <c r="AC37" s="153"/>
      <c r="AD37" s="153"/>
      <c r="AE37" s="153">
        <v>0</v>
      </c>
      <c r="AF37" s="153">
        <v>0</v>
      </c>
      <c r="AG37" s="153">
        <v>0</v>
      </c>
      <c r="AH37" s="153">
        <v>0</v>
      </c>
      <c r="AI37" s="153">
        <v>-2000000000</v>
      </c>
      <c r="AJ37" s="153">
        <v>0</v>
      </c>
      <c r="AK37" s="153">
        <v>0</v>
      </c>
      <c r="AL37" s="153">
        <v>0</v>
      </c>
      <c r="AM37" s="153">
        <v>0</v>
      </c>
      <c r="AN37" s="153">
        <v>0</v>
      </c>
      <c r="AO37" s="153"/>
      <c r="AP37" s="153"/>
      <c r="AQ37" s="153">
        <v>0</v>
      </c>
      <c r="AR37" s="153">
        <v>0</v>
      </c>
      <c r="AS37" s="153">
        <v>0</v>
      </c>
      <c r="AT37" s="153">
        <v>0</v>
      </c>
      <c r="AU37" s="153">
        <v>0</v>
      </c>
      <c r="AV37" s="153">
        <v>0</v>
      </c>
      <c r="AW37" s="153">
        <v>0</v>
      </c>
      <c r="AX37" s="153">
        <v>0</v>
      </c>
      <c r="AY37" s="153">
        <v>0</v>
      </c>
      <c r="AZ37" s="153"/>
      <c r="BA37" s="153"/>
      <c r="BB37" s="153"/>
      <c r="BC37" s="153"/>
      <c r="BD37" s="153"/>
      <c r="BE37" s="153"/>
      <c r="BF37" s="153"/>
      <c r="BG37" s="153"/>
      <c r="BH37" s="153"/>
      <c r="BI37" s="153"/>
      <c r="BJ37" s="153"/>
      <c r="BK37" s="153"/>
      <c r="BL37" s="153"/>
      <c r="BM37" s="544"/>
      <c r="BN37" s="545"/>
      <c r="BO37" s="545"/>
      <c r="BP37" s="153"/>
      <c r="BQ37" s="153"/>
      <c r="BR37" s="153"/>
      <c r="BS37" s="153"/>
      <c r="BT37" s="153"/>
      <c r="BU37" s="153"/>
      <c r="BV37" s="153"/>
      <c r="BW37" s="153"/>
    </row>
    <row r="38" spans="1:75" x14ac:dyDescent="0.25">
      <c r="A38" s="140">
        <v>35</v>
      </c>
      <c r="B38" s="141" t="s">
        <v>403</v>
      </c>
      <c r="C38" s="122">
        <v>7</v>
      </c>
      <c r="D38" s="153">
        <v>0</v>
      </c>
      <c r="E38" s="153">
        <v>0</v>
      </c>
      <c r="F38" s="153">
        <v>0</v>
      </c>
      <c r="G38" s="153">
        <v>0</v>
      </c>
      <c r="H38" s="153">
        <v>0</v>
      </c>
      <c r="I38" s="153">
        <v>0</v>
      </c>
      <c r="J38" s="153">
        <v>0</v>
      </c>
      <c r="K38" s="153">
        <v>0</v>
      </c>
      <c r="L38" s="153">
        <v>0</v>
      </c>
      <c r="M38" s="153">
        <v>0</v>
      </c>
      <c r="N38" s="153">
        <v>0</v>
      </c>
      <c r="O38" s="153">
        <v>0</v>
      </c>
      <c r="P38" s="153">
        <v>0</v>
      </c>
      <c r="Q38" s="153">
        <v>0</v>
      </c>
      <c r="R38" s="153">
        <v>0</v>
      </c>
      <c r="S38" s="153">
        <v>0</v>
      </c>
      <c r="T38" s="153">
        <v>0</v>
      </c>
      <c r="U38" s="153">
        <v>0</v>
      </c>
      <c r="V38" s="153">
        <v>0</v>
      </c>
      <c r="W38" s="153">
        <v>0</v>
      </c>
      <c r="X38" s="153">
        <v>0</v>
      </c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153"/>
      <c r="BH38" s="153"/>
      <c r="BI38" s="153"/>
      <c r="BJ38" s="153"/>
      <c r="BK38" s="153"/>
      <c r="BL38" s="153">
        <f>BK41+BK42-BK44</f>
        <v>0</v>
      </c>
      <c r="BM38" s="544">
        <f>BJ44-BK42</f>
        <v>0</v>
      </c>
      <c r="BN38" s="545"/>
      <c r="BO38" s="545"/>
      <c r="BP38" s="153"/>
      <c r="BQ38" s="153"/>
      <c r="BR38" s="153"/>
      <c r="BS38" s="153"/>
      <c r="BT38" s="153"/>
      <c r="BU38" s="153"/>
      <c r="BV38" s="153"/>
      <c r="BW38" s="153"/>
    </row>
    <row r="39" spans="1:75" x14ac:dyDescent="0.25">
      <c r="A39" s="140">
        <v>36</v>
      </c>
      <c r="B39" s="141" t="s">
        <v>404</v>
      </c>
      <c r="C39" s="126">
        <v>7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552"/>
      <c r="BN39" s="552"/>
      <c r="BO39" s="552"/>
      <c r="BP39" s="29"/>
      <c r="BQ39" s="29"/>
      <c r="BR39" s="29"/>
      <c r="BS39" s="29"/>
      <c r="BT39" s="29"/>
      <c r="BU39" s="29"/>
      <c r="BV39" s="29"/>
      <c r="BW39" s="29"/>
    </row>
    <row r="40" spans="1:75" x14ac:dyDescent="0.25">
      <c r="A40" s="113">
        <v>37</v>
      </c>
      <c r="B40" s="114" t="s">
        <v>405</v>
      </c>
      <c r="C40" s="138">
        <v>7</v>
      </c>
      <c r="D40" s="35">
        <f>SUM(D34:D39)</f>
        <v>2000000000</v>
      </c>
      <c r="E40" s="35">
        <f t="shared" ref="E40:BI40" si="2">SUM(E34:E39)</f>
        <v>0</v>
      </c>
      <c r="F40" s="35">
        <f t="shared" si="2"/>
        <v>0</v>
      </c>
      <c r="G40" s="35">
        <f t="shared" si="2"/>
        <v>0</v>
      </c>
      <c r="H40" s="35">
        <f t="shared" si="2"/>
        <v>0</v>
      </c>
      <c r="I40" s="35">
        <f t="shared" si="2"/>
        <v>0</v>
      </c>
      <c r="J40" s="35">
        <f t="shared" si="2"/>
        <v>0</v>
      </c>
      <c r="K40" s="35">
        <f t="shared" si="2"/>
        <v>0</v>
      </c>
      <c r="L40" s="35">
        <f t="shared" si="2"/>
        <v>0</v>
      </c>
      <c r="M40" s="35">
        <f t="shared" si="2"/>
        <v>0</v>
      </c>
      <c r="N40" s="35">
        <f t="shared" si="2"/>
        <v>0</v>
      </c>
      <c r="O40" s="35">
        <f t="shared" si="2"/>
        <v>0</v>
      </c>
      <c r="P40" s="35">
        <f t="shared" si="2"/>
        <v>5000000000</v>
      </c>
      <c r="Q40" s="35">
        <f t="shared" si="2"/>
        <v>0</v>
      </c>
      <c r="R40" s="35">
        <f t="shared" si="2"/>
        <v>0</v>
      </c>
      <c r="S40" s="35">
        <f t="shared" si="2"/>
        <v>0</v>
      </c>
      <c r="T40" s="35">
        <f t="shared" si="2"/>
        <v>0</v>
      </c>
      <c r="U40" s="35">
        <f t="shared" si="2"/>
        <v>0</v>
      </c>
      <c r="V40" s="35">
        <f t="shared" si="2"/>
        <v>0</v>
      </c>
      <c r="W40" s="35">
        <f t="shared" si="2"/>
        <v>0</v>
      </c>
      <c r="X40" s="35">
        <f t="shared" si="2"/>
        <v>0</v>
      </c>
      <c r="Y40" s="35">
        <f t="shared" si="2"/>
        <v>0</v>
      </c>
      <c r="Z40" s="35">
        <f t="shared" si="2"/>
        <v>0</v>
      </c>
      <c r="AA40" s="35">
        <f t="shared" si="2"/>
        <v>0</v>
      </c>
      <c r="AB40" s="35">
        <f t="shared" si="2"/>
        <v>0</v>
      </c>
      <c r="AC40" s="35">
        <f t="shared" si="2"/>
        <v>0</v>
      </c>
      <c r="AD40" s="35">
        <f t="shared" si="2"/>
        <v>0</v>
      </c>
      <c r="AE40" s="35">
        <f t="shared" si="2"/>
        <v>0</v>
      </c>
      <c r="AF40" s="35">
        <f t="shared" si="2"/>
        <v>0</v>
      </c>
      <c r="AG40" s="35">
        <f t="shared" si="2"/>
        <v>0</v>
      </c>
      <c r="AH40" s="35">
        <f t="shared" si="2"/>
        <v>0</v>
      </c>
      <c r="AI40" s="35">
        <f t="shared" si="2"/>
        <v>-2000000000</v>
      </c>
      <c r="AJ40" s="35">
        <f t="shared" si="2"/>
        <v>0</v>
      </c>
      <c r="AK40" s="35">
        <f t="shared" si="2"/>
        <v>0</v>
      </c>
      <c r="AL40" s="35">
        <f t="shared" si="2"/>
        <v>0</v>
      </c>
      <c r="AM40" s="35">
        <f t="shared" si="2"/>
        <v>0</v>
      </c>
      <c r="AN40" s="35">
        <f t="shared" si="2"/>
        <v>0</v>
      </c>
      <c r="AO40" s="35">
        <f t="shared" si="2"/>
        <v>0</v>
      </c>
      <c r="AP40" s="35">
        <f t="shared" si="2"/>
        <v>0</v>
      </c>
      <c r="AQ40" s="35">
        <f t="shared" si="2"/>
        <v>0</v>
      </c>
      <c r="AR40" s="35">
        <f t="shared" si="2"/>
        <v>0</v>
      </c>
      <c r="AS40" s="35">
        <f t="shared" si="2"/>
        <v>0</v>
      </c>
      <c r="AT40" s="35">
        <f t="shared" si="2"/>
        <v>0</v>
      </c>
      <c r="AU40" s="35">
        <f t="shared" si="2"/>
        <v>0</v>
      </c>
      <c r="AV40" s="35">
        <f t="shared" si="2"/>
        <v>0</v>
      </c>
      <c r="AW40" s="35">
        <f t="shared" si="2"/>
        <v>0</v>
      </c>
      <c r="AX40" s="35">
        <f t="shared" si="2"/>
        <v>0</v>
      </c>
      <c r="AY40" s="35">
        <v>0</v>
      </c>
      <c r="AZ40" s="35">
        <f t="shared" si="2"/>
        <v>0</v>
      </c>
      <c r="BA40" s="35">
        <f t="shared" si="2"/>
        <v>0</v>
      </c>
      <c r="BB40" s="35">
        <f t="shared" si="2"/>
        <v>0</v>
      </c>
      <c r="BC40" s="35">
        <f t="shared" si="2"/>
        <v>0</v>
      </c>
      <c r="BD40" s="35">
        <f t="shared" si="2"/>
        <v>0</v>
      </c>
      <c r="BE40" s="35">
        <f t="shared" si="2"/>
        <v>0</v>
      </c>
      <c r="BF40" s="35">
        <f t="shared" si="2"/>
        <v>0</v>
      </c>
      <c r="BG40" s="35">
        <f t="shared" si="2"/>
        <v>0</v>
      </c>
      <c r="BH40" s="35">
        <f t="shared" si="2"/>
        <v>0</v>
      </c>
      <c r="BI40" s="35">
        <f t="shared" si="2"/>
        <v>0</v>
      </c>
      <c r="BJ40" s="35">
        <v>0</v>
      </c>
      <c r="BK40" s="35">
        <v>0</v>
      </c>
      <c r="BL40" s="35">
        <v>0</v>
      </c>
      <c r="BM40" s="556">
        <v>0</v>
      </c>
      <c r="BN40" s="556">
        <v>0</v>
      </c>
      <c r="BO40" s="556">
        <v>0</v>
      </c>
      <c r="BP40" s="35">
        <v>0</v>
      </c>
      <c r="BQ40" s="35">
        <v>0</v>
      </c>
      <c r="BR40" s="35"/>
      <c r="BS40" s="35"/>
      <c r="BT40" s="35"/>
      <c r="BU40" s="35"/>
      <c r="BV40" s="35"/>
      <c r="BW40" s="35"/>
    </row>
    <row r="41" spans="1:75" x14ac:dyDescent="0.25">
      <c r="A41" s="145">
        <v>38</v>
      </c>
      <c r="B41" s="146" t="s">
        <v>235</v>
      </c>
      <c r="C41" s="147">
        <v>7</v>
      </c>
      <c r="D41" s="37">
        <f>SUM(D23,D32,D40)</f>
        <v>1070984543</v>
      </c>
      <c r="E41" s="37">
        <f t="shared" ref="E41:BO41" si="3">SUM(E23,E32,E40)</f>
        <v>-268246585</v>
      </c>
      <c r="F41" s="37">
        <f t="shared" si="3"/>
        <v>-856923010</v>
      </c>
      <c r="G41" s="37">
        <f t="shared" si="3"/>
        <v>-600895878</v>
      </c>
      <c r="H41" s="37">
        <f t="shared" si="3"/>
        <v>154801058</v>
      </c>
      <c r="I41" s="37">
        <f t="shared" si="3"/>
        <v>-49505209</v>
      </c>
      <c r="J41" s="37">
        <f t="shared" si="3"/>
        <v>-393281476</v>
      </c>
      <c r="K41" s="37">
        <f t="shared" si="3"/>
        <v>1126154123</v>
      </c>
      <c r="L41" s="37">
        <f t="shared" si="3"/>
        <v>-627185883</v>
      </c>
      <c r="M41" s="37">
        <f t="shared" si="3"/>
        <v>-310880359</v>
      </c>
      <c r="N41" s="37">
        <f t="shared" si="3"/>
        <v>3859940467</v>
      </c>
      <c r="O41" s="37">
        <f t="shared" si="3"/>
        <v>-2113346046</v>
      </c>
      <c r="P41" s="37">
        <f t="shared" si="3"/>
        <v>4355469236</v>
      </c>
      <c r="Q41" s="37">
        <f t="shared" si="3"/>
        <v>84762725.000000238</v>
      </c>
      <c r="R41" s="37">
        <f t="shared" si="3"/>
        <v>631186561</v>
      </c>
      <c r="S41" s="37">
        <f t="shared" si="3"/>
        <v>-1623206785.9999995</v>
      </c>
      <c r="T41" s="37">
        <f t="shared" si="3"/>
        <v>-565537557.99999952</v>
      </c>
      <c r="U41" s="37">
        <f t="shared" si="3"/>
        <v>-476863355.99999952</v>
      </c>
      <c r="V41" s="37">
        <f t="shared" si="3"/>
        <v>-3110867652</v>
      </c>
      <c r="W41" s="37">
        <f t="shared" si="3"/>
        <v>1364911812</v>
      </c>
      <c r="X41" s="37">
        <f t="shared" si="3"/>
        <v>1018755049</v>
      </c>
      <c r="Y41" s="37">
        <f t="shared" si="3"/>
        <v>-279663441.19472569</v>
      </c>
      <c r="Z41" s="37">
        <f t="shared" si="3"/>
        <v>-2652713799.1913013</v>
      </c>
      <c r="AA41" s="37">
        <f t="shared" si="3"/>
        <v>3249013755.3860269</v>
      </c>
      <c r="AB41" s="37">
        <f t="shared" si="3"/>
        <v>-534744456</v>
      </c>
      <c r="AC41" s="37">
        <f t="shared" si="3"/>
        <v>-2356791320</v>
      </c>
      <c r="AD41" s="37">
        <f t="shared" si="3"/>
        <v>-264284332</v>
      </c>
      <c r="AE41" s="37">
        <f t="shared" si="3"/>
        <v>1773229044</v>
      </c>
      <c r="AF41" s="37">
        <f t="shared" si="3"/>
        <v>1473068357</v>
      </c>
      <c r="AG41" s="37">
        <f t="shared" si="3"/>
        <v>2866576032</v>
      </c>
      <c r="AH41" s="37">
        <f t="shared" si="3"/>
        <v>-914991023.99999976</v>
      </c>
      <c r="AI41" s="37">
        <f t="shared" si="3"/>
        <v>-476115626</v>
      </c>
      <c r="AJ41" s="37">
        <f t="shared" si="3"/>
        <v>-1055155863.9999995</v>
      </c>
      <c r="AK41" s="37">
        <f t="shared" si="3"/>
        <v>-3347917857</v>
      </c>
      <c r="AL41" s="37">
        <f t="shared" si="3"/>
        <v>-256096604.99999952</v>
      </c>
      <c r="AM41" s="37">
        <f t="shared" si="3"/>
        <v>1253670304</v>
      </c>
      <c r="AN41" s="37">
        <f t="shared" si="3"/>
        <v>442177192.99999928</v>
      </c>
      <c r="AO41" s="37">
        <f t="shared" si="3"/>
        <v>-1164903556</v>
      </c>
      <c r="AP41" s="37">
        <f t="shared" si="3"/>
        <v>3105500871.0000005</v>
      </c>
      <c r="AQ41" s="37">
        <f t="shared" si="3"/>
        <v>-68142372.000000477</v>
      </c>
      <c r="AR41" s="37">
        <f t="shared" si="3"/>
        <v>-1677502027.0000002</v>
      </c>
      <c r="AS41" s="37">
        <f t="shared" si="3"/>
        <v>1050084028</v>
      </c>
      <c r="AT41" s="37">
        <f t="shared" si="3"/>
        <v>1318570034</v>
      </c>
      <c r="AU41" s="37">
        <f t="shared" si="3"/>
        <v>1480828216</v>
      </c>
      <c r="AV41" s="37">
        <f t="shared" si="3"/>
        <v>-1702085928</v>
      </c>
      <c r="AW41" s="37">
        <f t="shared" si="3"/>
        <v>2316168601</v>
      </c>
      <c r="AX41" s="37">
        <f t="shared" si="3"/>
        <v>-1140439193</v>
      </c>
      <c r="AY41" s="37">
        <f>SUM(AY23,AY32,AY40)</f>
        <v>-73017808</v>
      </c>
      <c r="AZ41" s="37">
        <f t="shared" si="3"/>
        <v>-4920197105.9998999</v>
      </c>
      <c r="BA41" s="37">
        <f t="shared" si="3"/>
        <v>809418661.99989939</v>
      </c>
      <c r="BB41" s="37">
        <f t="shared" si="3"/>
        <v>1989889097.000001</v>
      </c>
      <c r="BC41" s="37">
        <f t="shared" si="3"/>
        <v>-349577355.00000048</v>
      </c>
      <c r="BD41" s="37">
        <f t="shared" si="3"/>
        <v>-643302849</v>
      </c>
      <c r="BE41" s="37">
        <f t="shared" si="3"/>
        <v>1280310652</v>
      </c>
      <c r="BF41" s="37">
        <f t="shared" si="3"/>
        <v>2125350047.0000997</v>
      </c>
      <c r="BG41" s="37">
        <f t="shared" si="3"/>
        <v>2785996598</v>
      </c>
      <c r="BH41" s="37">
        <f t="shared" si="3"/>
        <v>-385526961.00009942</v>
      </c>
      <c r="BI41" s="37">
        <f t="shared" si="3"/>
        <v>93653320</v>
      </c>
      <c r="BJ41" s="37">
        <f t="shared" si="3"/>
        <v>181966510</v>
      </c>
      <c r="BK41" s="37">
        <f t="shared" ref="BK41:BQ41" si="4">SUM(BK23,BK32,BK40)</f>
        <v>-231789146.00000048</v>
      </c>
      <c r="BL41" s="37">
        <f t="shared" si="4"/>
        <v>259394515</v>
      </c>
      <c r="BM41" s="557">
        <f t="shared" si="4"/>
        <v>-2809707773</v>
      </c>
      <c r="BN41" s="557">
        <f t="shared" si="4"/>
        <v>-2463736851</v>
      </c>
      <c r="BO41" s="557">
        <f t="shared" si="4"/>
        <v>2049042242</v>
      </c>
      <c r="BP41" s="37">
        <f t="shared" si="4"/>
        <v>-1509052029</v>
      </c>
      <c r="BQ41" s="37">
        <f t="shared" si="4"/>
        <v>-1688937530</v>
      </c>
      <c r="BR41" s="37"/>
      <c r="BS41" s="37"/>
      <c r="BT41" s="37"/>
      <c r="BU41" s="37"/>
      <c r="BV41" s="37"/>
      <c r="BW41" s="37"/>
    </row>
    <row r="42" spans="1:75" x14ac:dyDescent="0.25">
      <c r="A42" s="113">
        <v>39</v>
      </c>
      <c r="B42" s="114" t="s">
        <v>236</v>
      </c>
      <c r="C42" s="138">
        <v>7</v>
      </c>
      <c r="D42" s="35">
        <v>969316337</v>
      </c>
      <c r="E42" s="35">
        <f>D44</f>
        <v>2040300880</v>
      </c>
      <c r="F42" s="35">
        <f t="shared" ref="F42:BH42" si="5">E44</f>
        <v>1772054295</v>
      </c>
      <c r="G42" s="35">
        <f t="shared" si="5"/>
        <v>915131285</v>
      </c>
      <c r="H42" s="35">
        <f t="shared" si="5"/>
        <v>314235407</v>
      </c>
      <c r="I42" s="35">
        <f t="shared" si="5"/>
        <v>469036465</v>
      </c>
      <c r="J42" s="35">
        <f t="shared" si="5"/>
        <v>419531256</v>
      </c>
      <c r="K42" s="35">
        <f t="shared" si="5"/>
        <v>26249780</v>
      </c>
      <c r="L42" s="35">
        <f t="shared" si="5"/>
        <v>1152403903</v>
      </c>
      <c r="M42" s="35">
        <f t="shared" si="5"/>
        <v>525218020</v>
      </c>
      <c r="N42" s="35">
        <f t="shared" si="5"/>
        <v>214337661</v>
      </c>
      <c r="O42" s="35">
        <f t="shared" si="5"/>
        <v>4074278128</v>
      </c>
      <c r="P42" s="35">
        <f t="shared" si="5"/>
        <v>1960932082</v>
      </c>
      <c r="Q42" s="35">
        <f t="shared" si="5"/>
        <v>6316401318</v>
      </c>
      <c r="R42" s="35">
        <f t="shared" si="5"/>
        <v>6401164043</v>
      </c>
      <c r="S42" s="35">
        <f t="shared" si="5"/>
        <v>7032350604</v>
      </c>
      <c r="T42" s="35">
        <f t="shared" si="5"/>
        <v>5409143818</v>
      </c>
      <c r="U42" s="35">
        <f t="shared" si="5"/>
        <v>4843606260</v>
      </c>
      <c r="V42" s="35">
        <f t="shared" si="5"/>
        <v>4366742904</v>
      </c>
      <c r="W42" s="35">
        <f t="shared" si="5"/>
        <v>1255875252</v>
      </c>
      <c r="X42" s="35">
        <f t="shared" si="5"/>
        <v>2620787064</v>
      </c>
      <c r="Y42" s="35">
        <f t="shared" si="5"/>
        <v>3639542113</v>
      </c>
      <c r="Z42" s="35">
        <f t="shared" si="5"/>
        <v>3359878671.8052745</v>
      </c>
      <c r="AA42" s="35">
        <f t="shared" si="5"/>
        <v>707164872.61397314</v>
      </c>
      <c r="AB42" s="35">
        <f t="shared" si="5"/>
        <v>3956178628</v>
      </c>
      <c r="AC42" s="35">
        <f t="shared" si="5"/>
        <v>3421434172</v>
      </c>
      <c r="AD42" s="35">
        <f t="shared" si="5"/>
        <v>1064642852</v>
      </c>
      <c r="AE42" s="35">
        <f t="shared" si="5"/>
        <v>800358520</v>
      </c>
      <c r="AF42" s="35">
        <f t="shared" si="5"/>
        <v>2573587564</v>
      </c>
      <c r="AG42" s="35">
        <f t="shared" si="5"/>
        <v>4046655921</v>
      </c>
      <c r="AH42" s="35">
        <f t="shared" si="5"/>
        <v>6913231953</v>
      </c>
      <c r="AI42" s="35">
        <f t="shared" si="5"/>
        <v>5998240929</v>
      </c>
      <c r="AJ42" s="35">
        <f t="shared" si="5"/>
        <v>5522125303</v>
      </c>
      <c r="AK42" s="35">
        <f t="shared" si="5"/>
        <v>4466969439</v>
      </c>
      <c r="AL42" s="35">
        <f t="shared" si="5"/>
        <v>1119051582</v>
      </c>
      <c r="AM42" s="35">
        <f t="shared" si="5"/>
        <v>862954977.00000048</v>
      </c>
      <c r="AN42" s="35">
        <f t="shared" si="5"/>
        <v>2116625281.0000005</v>
      </c>
      <c r="AO42" s="35">
        <f t="shared" si="5"/>
        <v>2558802474</v>
      </c>
      <c r="AP42" s="35">
        <f t="shared" si="5"/>
        <v>1393898918</v>
      </c>
      <c r="AQ42" s="35">
        <f t="shared" si="5"/>
        <v>4499399789</v>
      </c>
      <c r="AR42" s="35">
        <f t="shared" si="5"/>
        <v>4431257417</v>
      </c>
      <c r="AS42" s="35">
        <f t="shared" si="5"/>
        <v>2753755390</v>
      </c>
      <c r="AT42" s="35">
        <f t="shared" si="5"/>
        <v>3803839418</v>
      </c>
      <c r="AU42" s="35">
        <f t="shared" si="5"/>
        <v>5122409452</v>
      </c>
      <c r="AV42" s="35">
        <f t="shared" si="5"/>
        <v>6603237668</v>
      </c>
      <c r="AW42" s="35">
        <f t="shared" si="5"/>
        <v>4901151740</v>
      </c>
      <c r="AX42" s="35">
        <f t="shared" si="5"/>
        <v>7217320341</v>
      </c>
      <c r="AY42" s="35">
        <f t="shared" si="5"/>
        <v>6076881148</v>
      </c>
      <c r="AZ42" s="35">
        <f t="shared" si="5"/>
        <v>6003863340</v>
      </c>
      <c r="BA42" s="35">
        <f t="shared" si="5"/>
        <v>1083666234.0001001</v>
      </c>
      <c r="BB42" s="35">
        <f t="shared" si="5"/>
        <v>1893084895.9999995</v>
      </c>
      <c r="BC42" s="35">
        <f t="shared" si="5"/>
        <v>3882973993.0000005</v>
      </c>
      <c r="BD42" s="35">
        <f t="shared" si="5"/>
        <v>3533396638</v>
      </c>
      <c r="BE42" s="35">
        <f t="shared" si="5"/>
        <v>2890093789</v>
      </c>
      <c r="BF42" s="35">
        <f t="shared" si="5"/>
        <v>4170404441</v>
      </c>
      <c r="BG42" s="35">
        <f t="shared" si="5"/>
        <v>6295754488.0000992</v>
      </c>
      <c r="BH42" s="35">
        <f t="shared" si="5"/>
        <v>9081751086.0000992</v>
      </c>
      <c r="BI42" s="35">
        <f t="shared" ref="BI42" si="6">BH44</f>
        <v>8696224125</v>
      </c>
      <c r="BJ42" s="35">
        <f t="shared" ref="BJ42:BK42" si="7">BI44</f>
        <v>8789877445</v>
      </c>
      <c r="BK42" s="35">
        <f t="shared" ref="BK42" si="8">BJ44</f>
        <v>8971843955</v>
      </c>
      <c r="BL42" s="35">
        <f t="shared" ref="BL42" si="9">BK44</f>
        <v>8740054809</v>
      </c>
      <c r="BM42" s="556">
        <f t="shared" ref="BM42" si="10">BL44</f>
        <v>8999449324</v>
      </c>
      <c r="BN42" s="555">
        <f t="shared" ref="BN42" si="11">BM44</f>
        <v>6189741551</v>
      </c>
      <c r="BO42" s="555">
        <f t="shared" ref="BO42" si="12">BN44</f>
        <v>3726004700</v>
      </c>
      <c r="BP42" s="38">
        <f t="shared" ref="BP42" si="13">BO44</f>
        <v>5775046942</v>
      </c>
      <c r="BQ42" s="38">
        <f t="shared" ref="BQ42" si="14">BP44</f>
        <v>4265994913</v>
      </c>
      <c r="BR42" s="38"/>
      <c r="BS42" s="38"/>
      <c r="BT42" s="38"/>
      <c r="BU42" s="38"/>
      <c r="BV42" s="38"/>
      <c r="BW42" s="38"/>
    </row>
    <row r="43" spans="1:75" x14ac:dyDescent="0.25">
      <c r="A43" s="148">
        <v>40</v>
      </c>
      <c r="B43" s="149" t="s">
        <v>237</v>
      </c>
      <c r="C43" s="150">
        <v>7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40"/>
      <c r="AZ43" s="41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558"/>
      <c r="BN43" s="558"/>
      <c r="BO43" s="558"/>
      <c r="BP43" s="40"/>
      <c r="BQ43" s="40"/>
      <c r="BR43" s="40"/>
      <c r="BS43" s="40"/>
      <c r="BT43" s="40"/>
      <c r="BU43" s="40"/>
      <c r="BV43" s="40"/>
      <c r="BW43" s="40"/>
    </row>
    <row r="44" spans="1:75" x14ac:dyDescent="0.25">
      <c r="A44" s="113">
        <v>41</v>
      </c>
      <c r="B44" s="114" t="s">
        <v>238</v>
      </c>
      <c r="C44" s="138">
        <v>7</v>
      </c>
      <c r="D44" s="35">
        <f>SUM(D41:D43)</f>
        <v>2040300880</v>
      </c>
      <c r="E44" s="35">
        <f t="shared" ref="E44:BO44" si="15">SUM(E41:E43)</f>
        <v>1772054295</v>
      </c>
      <c r="F44" s="35">
        <f t="shared" si="15"/>
        <v>915131285</v>
      </c>
      <c r="G44" s="35">
        <f t="shared" si="15"/>
        <v>314235407</v>
      </c>
      <c r="H44" s="35">
        <f t="shared" si="15"/>
        <v>469036465</v>
      </c>
      <c r="I44" s="35">
        <f t="shared" si="15"/>
        <v>419531256</v>
      </c>
      <c r="J44" s="35">
        <f t="shared" si="15"/>
        <v>26249780</v>
      </c>
      <c r="K44" s="35">
        <f t="shared" si="15"/>
        <v>1152403903</v>
      </c>
      <c r="L44" s="35">
        <f t="shared" si="15"/>
        <v>525218020</v>
      </c>
      <c r="M44" s="35">
        <f t="shared" si="15"/>
        <v>214337661</v>
      </c>
      <c r="N44" s="35">
        <f t="shared" si="15"/>
        <v>4074278128</v>
      </c>
      <c r="O44" s="35">
        <f t="shared" si="15"/>
        <v>1960932082</v>
      </c>
      <c r="P44" s="35">
        <f t="shared" si="15"/>
        <v>6316401318</v>
      </c>
      <c r="Q44" s="35">
        <f t="shared" si="15"/>
        <v>6401164043</v>
      </c>
      <c r="R44" s="35">
        <f t="shared" si="15"/>
        <v>7032350604</v>
      </c>
      <c r="S44" s="35">
        <f t="shared" si="15"/>
        <v>5409143818</v>
      </c>
      <c r="T44" s="35">
        <f t="shared" si="15"/>
        <v>4843606260</v>
      </c>
      <c r="U44" s="35">
        <f t="shared" si="15"/>
        <v>4366742904</v>
      </c>
      <c r="V44" s="35">
        <f t="shared" si="15"/>
        <v>1255875252</v>
      </c>
      <c r="W44" s="35">
        <f t="shared" si="15"/>
        <v>2620787064</v>
      </c>
      <c r="X44" s="35">
        <f t="shared" si="15"/>
        <v>3639542113</v>
      </c>
      <c r="Y44" s="35">
        <f t="shared" si="15"/>
        <v>3359878671.8052745</v>
      </c>
      <c r="Z44" s="35">
        <f t="shared" si="15"/>
        <v>707164872.61397314</v>
      </c>
      <c r="AA44" s="35">
        <f t="shared" si="15"/>
        <v>3956178628</v>
      </c>
      <c r="AB44" s="35">
        <f t="shared" si="15"/>
        <v>3421434172</v>
      </c>
      <c r="AC44" s="35">
        <f t="shared" si="15"/>
        <v>1064642852</v>
      </c>
      <c r="AD44" s="35">
        <f t="shared" si="15"/>
        <v>800358520</v>
      </c>
      <c r="AE44" s="35">
        <f t="shared" si="15"/>
        <v>2573587564</v>
      </c>
      <c r="AF44" s="35">
        <f t="shared" si="15"/>
        <v>4046655921</v>
      </c>
      <c r="AG44" s="35">
        <f t="shared" si="15"/>
        <v>6913231953</v>
      </c>
      <c r="AH44" s="35">
        <f t="shared" si="15"/>
        <v>5998240929</v>
      </c>
      <c r="AI44" s="35">
        <f t="shared" si="15"/>
        <v>5522125303</v>
      </c>
      <c r="AJ44" s="35">
        <f t="shared" si="15"/>
        <v>4466969439</v>
      </c>
      <c r="AK44" s="35">
        <f t="shared" si="15"/>
        <v>1119051582</v>
      </c>
      <c r="AL44" s="35">
        <f t="shared" si="15"/>
        <v>862954977.00000048</v>
      </c>
      <c r="AM44" s="35">
        <f t="shared" si="15"/>
        <v>2116625281.0000005</v>
      </c>
      <c r="AN44" s="35">
        <f t="shared" si="15"/>
        <v>2558802474</v>
      </c>
      <c r="AO44" s="35">
        <f t="shared" si="15"/>
        <v>1393898918</v>
      </c>
      <c r="AP44" s="35">
        <f t="shared" si="15"/>
        <v>4499399789</v>
      </c>
      <c r="AQ44" s="35">
        <f t="shared" si="15"/>
        <v>4431257417</v>
      </c>
      <c r="AR44" s="35">
        <f t="shared" si="15"/>
        <v>2753755390</v>
      </c>
      <c r="AS44" s="35">
        <f t="shared" si="15"/>
        <v>3803839418</v>
      </c>
      <c r="AT44" s="35">
        <f t="shared" si="15"/>
        <v>5122409452</v>
      </c>
      <c r="AU44" s="35">
        <f t="shared" si="15"/>
        <v>6603237668</v>
      </c>
      <c r="AV44" s="35">
        <f t="shared" si="15"/>
        <v>4901151740</v>
      </c>
      <c r="AW44" s="35">
        <f t="shared" si="15"/>
        <v>7217320341</v>
      </c>
      <c r="AX44" s="35">
        <f t="shared" si="15"/>
        <v>6076881148</v>
      </c>
      <c r="AY44" s="35">
        <f>SUM(AY41:AY43)</f>
        <v>6003863340</v>
      </c>
      <c r="AZ44" s="35">
        <f t="shared" si="15"/>
        <v>1083666234.0001001</v>
      </c>
      <c r="BA44" s="35">
        <f t="shared" si="15"/>
        <v>1893084895.9999995</v>
      </c>
      <c r="BB44" s="35">
        <f t="shared" si="15"/>
        <v>3882973993.0000005</v>
      </c>
      <c r="BC44" s="35">
        <f t="shared" si="15"/>
        <v>3533396638</v>
      </c>
      <c r="BD44" s="35">
        <f t="shared" si="15"/>
        <v>2890093789</v>
      </c>
      <c r="BE44" s="35">
        <f t="shared" si="15"/>
        <v>4170404441</v>
      </c>
      <c r="BF44" s="35">
        <f t="shared" si="15"/>
        <v>6295754488.0000992</v>
      </c>
      <c r="BG44" s="35">
        <f t="shared" si="15"/>
        <v>9081751086.0000992</v>
      </c>
      <c r="BH44" s="35">
        <f t="shared" si="15"/>
        <v>8696224125</v>
      </c>
      <c r="BI44" s="35">
        <f t="shared" si="15"/>
        <v>8789877445</v>
      </c>
      <c r="BJ44" s="35">
        <f t="shared" si="15"/>
        <v>8971843955</v>
      </c>
      <c r="BK44" s="35">
        <f t="shared" ref="BK44:BQ44" si="16">SUM(BK41:BK43)</f>
        <v>8740054809</v>
      </c>
      <c r="BL44" s="35">
        <f t="shared" si="16"/>
        <v>8999449324</v>
      </c>
      <c r="BM44" s="556">
        <f t="shared" si="16"/>
        <v>6189741551</v>
      </c>
      <c r="BN44" s="556">
        <f t="shared" si="16"/>
        <v>3726004700</v>
      </c>
      <c r="BO44" s="556">
        <f t="shared" si="16"/>
        <v>5775046942</v>
      </c>
      <c r="BP44" s="35">
        <f t="shared" si="16"/>
        <v>4265994913</v>
      </c>
      <c r="BQ44" s="35">
        <f t="shared" si="16"/>
        <v>2577057383</v>
      </c>
      <c r="BR44" s="35"/>
      <c r="BS44" s="35"/>
      <c r="BT44" s="35"/>
      <c r="BU44" s="35"/>
      <c r="BV44" s="35"/>
      <c r="BW44" s="35"/>
    </row>
    <row r="46" spans="1:75" x14ac:dyDescent="0.25">
      <c r="D46" s="521"/>
      <c r="E46" s="521"/>
      <c r="F46" s="521"/>
      <c r="G46" s="521"/>
      <c r="H46" s="521"/>
      <c r="I46" s="521"/>
      <c r="J46" s="521"/>
      <c r="K46" s="521"/>
      <c r="L46" s="521"/>
      <c r="M46" s="521"/>
      <c r="N46" s="521"/>
      <c r="O46" s="521"/>
      <c r="P46" s="521"/>
      <c r="Q46" s="521"/>
      <c r="R46" s="521"/>
      <c r="S46" s="521"/>
      <c r="T46" s="521"/>
      <c r="U46" s="521"/>
      <c r="V46" s="521"/>
      <c r="W46" s="521"/>
      <c r="X46" s="521"/>
      <c r="Y46" s="521"/>
      <c r="Z46" s="521"/>
      <c r="AA46" s="521"/>
      <c r="AB46" s="521"/>
      <c r="AC46" s="521"/>
      <c r="AD46" s="521"/>
      <c r="AE46" s="521"/>
      <c r="AF46" s="521"/>
      <c r="AG46" s="521"/>
      <c r="AH46" s="521"/>
      <c r="AI46" s="521"/>
      <c r="AJ46" s="521"/>
      <c r="AK46" s="521"/>
      <c r="AL46" s="521"/>
      <c r="AM46" s="521"/>
      <c r="AN46" s="521"/>
      <c r="AO46" s="521"/>
      <c r="AP46" s="521"/>
      <c r="AQ46" s="521"/>
      <c r="AR46" s="521"/>
      <c r="AS46" s="521"/>
      <c r="AT46" s="521"/>
      <c r="AU46" s="521"/>
      <c r="AV46" s="521"/>
      <c r="AW46" s="521"/>
      <c r="AX46" s="521"/>
      <c r="AY46" s="521"/>
      <c r="AZ46" s="521"/>
      <c r="BA46" s="521"/>
      <c r="BB46" s="521"/>
      <c r="BC46" s="521"/>
      <c r="BD46" s="521"/>
      <c r="BE46" s="521"/>
      <c r="BF46" s="521"/>
      <c r="BG46" s="521"/>
      <c r="BH46" s="521"/>
      <c r="BI46" s="521"/>
      <c r="BJ46" s="521"/>
      <c r="BK46" s="521"/>
      <c r="BL46" s="521"/>
      <c r="BM46" s="521"/>
    </row>
    <row r="47" spans="1:75" x14ac:dyDescent="0.25">
      <c r="D47" s="521"/>
    </row>
  </sheetData>
  <sheetProtection algorithmName="SHA-512" hashValue="tGj7FL921qA2RbcHTfZ2OaIlgjlA4XYXjGR9VbYceIAlLuHZBFpBHoo4nANcQQf6HPn7yjIj1kEjr0x/dNAX1A==" saltValue="WDTJGopXS3KxBtdlXbt66A==" spinCount="100000" sheet="1" objects="1" scenarios="1"/>
  <protectedRanges>
    <protectedRange sqref="D4:BW44" name="CF"/>
  </protectedRange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4F93-E611-4830-8FFB-7CEFF9A2A075}">
  <sheetPr>
    <tabColor theme="9" tint="0.59999389629810485"/>
  </sheetPr>
  <dimension ref="A1:BW57"/>
  <sheetViews>
    <sheetView showGridLines="0" zoomScale="80" zoomScaleNormal="80" workbookViewId="0">
      <pane xSplit="3" ySplit="3" topLeftCell="BF43" activePane="bottomRight" state="frozen"/>
      <selection pane="topRight" activeCell="D8" sqref="D8:E8"/>
      <selection pane="bottomLeft" activeCell="D8" sqref="D8:E8"/>
      <selection pane="bottomRight" activeCell="BG65" sqref="BG65"/>
    </sheetView>
  </sheetViews>
  <sheetFormatPr defaultRowHeight="15" x14ac:dyDescent="0.25"/>
  <cols>
    <col min="1" max="1" width="10.7109375" hidden="1" customWidth="1"/>
    <col min="2" max="2" width="47.140625" customWidth="1"/>
    <col min="3" max="3" width="9.140625" hidden="1" customWidth="1"/>
    <col min="4" max="26" width="13.7109375" customWidth="1"/>
    <col min="27" max="27" width="14.42578125" customWidth="1"/>
    <col min="28" max="31" width="13.7109375" customWidth="1"/>
    <col min="32" max="32" width="14.85546875" customWidth="1"/>
    <col min="33" max="51" width="13.7109375" customWidth="1"/>
    <col min="52" max="75" width="16.28515625" bestFit="1" customWidth="1"/>
  </cols>
  <sheetData>
    <row r="1" spans="1:75" ht="18.75" x14ac:dyDescent="0.3">
      <c r="B1" s="43" t="s">
        <v>0</v>
      </c>
    </row>
    <row r="2" spans="1:75" x14ac:dyDescent="0.25">
      <c r="B2" s="48" t="s">
        <v>240</v>
      </c>
    </row>
    <row r="3" spans="1:75" ht="28.5" x14ac:dyDescent="0.25">
      <c r="A3" s="162" t="s">
        <v>406</v>
      </c>
      <c r="B3" s="163" t="s">
        <v>407</v>
      </c>
      <c r="C3" s="164" t="s">
        <v>243</v>
      </c>
      <c r="D3" s="165" t="s">
        <v>244</v>
      </c>
      <c r="E3" s="165" t="s">
        <v>245</v>
      </c>
      <c r="F3" s="165" t="s">
        <v>246</v>
      </c>
      <c r="G3" s="165" t="s">
        <v>247</v>
      </c>
      <c r="H3" s="165" t="s">
        <v>248</v>
      </c>
      <c r="I3" s="165" t="s">
        <v>249</v>
      </c>
      <c r="J3" s="165" t="s">
        <v>250</v>
      </c>
      <c r="K3" s="165" t="s">
        <v>251</v>
      </c>
      <c r="L3" s="165" t="s">
        <v>252</v>
      </c>
      <c r="M3" s="165" t="s">
        <v>253</v>
      </c>
      <c r="N3" s="165" t="s">
        <v>254</v>
      </c>
      <c r="O3" s="165" t="s">
        <v>255</v>
      </c>
      <c r="P3" s="165" t="s">
        <v>256</v>
      </c>
      <c r="Q3" s="165" t="s">
        <v>257</v>
      </c>
      <c r="R3" s="165" t="s">
        <v>258</v>
      </c>
      <c r="S3" s="165" t="s">
        <v>259</v>
      </c>
      <c r="T3" s="165" t="s">
        <v>260</v>
      </c>
      <c r="U3" s="165" t="s">
        <v>261</v>
      </c>
      <c r="V3" s="165" t="s">
        <v>262</v>
      </c>
      <c r="W3" s="165" t="s">
        <v>263</v>
      </c>
      <c r="X3" s="165" t="s">
        <v>264</v>
      </c>
      <c r="Y3" s="165" t="s">
        <v>265</v>
      </c>
      <c r="Z3" s="165" t="s">
        <v>266</v>
      </c>
      <c r="AA3" s="165" t="s">
        <v>267</v>
      </c>
      <c r="AB3" s="165" t="s">
        <v>268</v>
      </c>
      <c r="AC3" s="165" t="s">
        <v>269</v>
      </c>
      <c r="AD3" s="165" t="s">
        <v>270</v>
      </c>
      <c r="AE3" s="165" t="s">
        <v>271</v>
      </c>
      <c r="AF3" s="165" t="s">
        <v>272</v>
      </c>
      <c r="AG3" s="165" t="s">
        <v>273</v>
      </c>
      <c r="AH3" s="165" t="s">
        <v>274</v>
      </c>
      <c r="AI3" s="165" t="s">
        <v>275</v>
      </c>
      <c r="AJ3" s="165" t="s">
        <v>276</v>
      </c>
      <c r="AK3" s="165" t="s">
        <v>277</v>
      </c>
      <c r="AL3" s="165" t="s">
        <v>278</v>
      </c>
      <c r="AM3" s="165" t="s">
        <v>279</v>
      </c>
      <c r="AN3" s="165" t="s">
        <v>280</v>
      </c>
      <c r="AO3" s="165" t="s">
        <v>281</v>
      </c>
      <c r="AP3" s="165" t="s">
        <v>282</v>
      </c>
      <c r="AQ3" s="165" t="s">
        <v>283</v>
      </c>
      <c r="AR3" s="165" t="s">
        <v>284</v>
      </c>
      <c r="AS3" s="165" t="s">
        <v>285</v>
      </c>
      <c r="AT3" s="165" t="s">
        <v>286</v>
      </c>
      <c r="AU3" s="165" t="s">
        <v>287</v>
      </c>
      <c r="AV3" s="165" t="s">
        <v>288</v>
      </c>
      <c r="AW3" s="165" t="s">
        <v>289</v>
      </c>
      <c r="AX3" s="165" t="s">
        <v>290</v>
      </c>
      <c r="AY3" s="165" t="s">
        <v>291</v>
      </c>
      <c r="AZ3" s="165" t="s">
        <v>292</v>
      </c>
      <c r="BA3" s="165" t="s">
        <v>293</v>
      </c>
      <c r="BB3" s="165" t="s">
        <v>294</v>
      </c>
      <c r="BC3" s="165" t="s">
        <v>295</v>
      </c>
      <c r="BD3" s="165" t="s">
        <v>296</v>
      </c>
      <c r="BE3" s="165" t="s">
        <v>297</v>
      </c>
      <c r="BF3" s="165" t="s">
        <v>298</v>
      </c>
      <c r="BG3" s="165" t="s">
        <v>299</v>
      </c>
      <c r="BH3" s="165" t="s">
        <v>300</v>
      </c>
      <c r="BI3" s="165" t="s">
        <v>301</v>
      </c>
      <c r="BJ3" s="165" t="s">
        <v>302</v>
      </c>
      <c r="BK3" s="165" t="s">
        <v>303</v>
      </c>
      <c r="BL3" s="165" t="s">
        <v>304</v>
      </c>
      <c r="BM3" s="165" t="s">
        <v>305</v>
      </c>
      <c r="BN3" s="165" t="s">
        <v>306</v>
      </c>
      <c r="BO3" s="165" t="s">
        <v>307</v>
      </c>
      <c r="BP3" s="165" t="s">
        <v>308</v>
      </c>
      <c r="BQ3" s="165" t="s">
        <v>309</v>
      </c>
      <c r="BR3" s="165" t="s">
        <v>310</v>
      </c>
      <c r="BS3" s="165" t="s">
        <v>311</v>
      </c>
      <c r="BT3" s="165" t="s">
        <v>312</v>
      </c>
      <c r="BU3" s="165" t="s">
        <v>313</v>
      </c>
      <c r="BV3" s="165" t="s">
        <v>314</v>
      </c>
      <c r="BW3" s="165" t="s">
        <v>315</v>
      </c>
    </row>
    <row r="4" spans="1:75" x14ac:dyDescent="0.25">
      <c r="A4" s="166">
        <v>1</v>
      </c>
      <c r="B4" s="167" t="s">
        <v>408</v>
      </c>
      <c r="C4" s="168">
        <v>7</v>
      </c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>
        <v>47</v>
      </c>
      <c r="AO4" s="186">
        <v>45</v>
      </c>
      <c r="AP4" s="186">
        <v>44</v>
      </c>
      <c r="AQ4" s="186">
        <v>45</v>
      </c>
      <c r="AR4" s="186">
        <v>43</v>
      </c>
      <c r="AS4" s="186">
        <v>42</v>
      </c>
      <c r="AT4" s="186">
        <v>41</v>
      </c>
      <c r="AU4" s="186">
        <v>40</v>
      </c>
      <c r="AV4" s="186">
        <v>40</v>
      </c>
      <c r="AW4" s="186">
        <v>44</v>
      </c>
      <c r="AX4" s="186">
        <v>44</v>
      </c>
      <c r="AY4" s="186">
        <v>44</v>
      </c>
      <c r="AZ4" s="186">
        <v>46</v>
      </c>
      <c r="BA4" s="186">
        <v>49</v>
      </c>
      <c r="BB4" s="186">
        <v>65</v>
      </c>
      <c r="BC4" s="186">
        <v>53</v>
      </c>
      <c r="BD4" s="186">
        <v>56</v>
      </c>
      <c r="BE4" s="186">
        <v>66</v>
      </c>
      <c r="BF4" s="186">
        <v>58</v>
      </c>
      <c r="BG4" s="186">
        <v>55</v>
      </c>
      <c r="BH4" s="186">
        <v>54</v>
      </c>
      <c r="BI4" s="186">
        <v>51</v>
      </c>
      <c r="BJ4" s="186">
        <v>52</v>
      </c>
      <c r="BK4" s="186">
        <v>57</v>
      </c>
      <c r="BL4" s="186">
        <v>68</v>
      </c>
      <c r="BM4" s="186">
        <v>65</v>
      </c>
      <c r="BN4" s="186">
        <v>62</v>
      </c>
      <c r="BO4" s="186">
        <v>62</v>
      </c>
      <c r="BP4" s="186">
        <v>59</v>
      </c>
      <c r="BQ4" s="186">
        <v>87</v>
      </c>
      <c r="BR4" s="186"/>
      <c r="BS4" s="186"/>
      <c r="BT4" s="186"/>
      <c r="BU4" s="186"/>
      <c r="BV4" s="186"/>
      <c r="BW4" s="186"/>
    </row>
    <row r="5" spans="1:75" x14ac:dyDescent="0.25">
      <c r="A5" s="166">
        <v>2</v>
      </c>
      <c r="B5" s="167" t="s">
        <v>409</v>
      </c>
      <c r="C5" s="168">
        <v>7</v>
      </c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>
        <v>43</v>
      </c>
      <c r="AO5" s="186">
        <v>41</v>
      </c>
      <c r="AP5" s="186">
        <v>40</v>
      </c>
      <c r="AQ5" s="186">
        <v>41</v>
      </c>
      <c r="AR5" s="186">
        <v>39</v>
      </c>
      <c r="AS5" s="186">
        <v>38</v>
      </c>
      <c r="AT5" s="186">
        <v>37</v>
      </c>
      <c r="AU5" s="186">
        <v>36</v>
      </c>
      <c r="AV5" s="186">
        <v>36</v>
      </c>
      <c r="AW5" s="186">
        <v>40</v>
      </c>
      <c r="AX5" s="186">
        <v>40</v>
      </c>
      <c r="AY5" s="186">
        <v>40</v>
      </c>
      <c r="AZ5" s="186">
        <v>40</v>
      </c>
      <c r="BA5" s="186">
        <v>43</v>
      </c>
      <c r="BB5" s="186">
        <v>60</v>
      </c>
      <c r="BC5" s="186">
        <v>47</v>
      </c>
      <c r="BD5" s="186">
        <v>51</v>
      </c>
      <c r="BE5" s="186">
        <v>59</v>
      </c>
      <c r="BF5" s="186">
        <v>51</v>
      </c>
      <c r="BG5" s="186">
        <v>49</v>
      </c>
      <c r="BH5" s="186">
        <v>48</v>
      </c>
      <c r="BI5" s="186">
        <v>45</v>
      </c>
      <c r="BJ5" s="186">
        <v>45</v>
      </c>
      <c r="BK5" s="186">
        <v>49</v>
      </c>
      <c r="BL5" s="186">
        <v>59</v>
      </c>
      <c r="BM5" s="186">
        <v>54</v>
      </c>
      <c r="BN5" s="186">
        <v>49</v>
      </c>
      <c r="BO5" s="186">
        <v>47</v>
      </c>
      <c r="BP5" s="186">
        <v>51</v>
      </c>
      <c r="BQ5" s="186">
        <v>80</v>
      </c>
      <c r="BR5" s="186"/>
      <c r="BS5" s="186"/>
      <c r="BT5" s="186"/>
      <c r="BU5" s="186"/>
      <c r="BV5" s="186"/>
      <c r="BW5" s="186"/>
    </row>
    <row r="6" spans="1:75" x14ac:dyDescent="0.25">
      <c r="A6" s="166">
        <v>3</v>
      </c>
      <c r="B6" s="167" t="s">
        <v>410</v>
      </c>
      <c r="C6" s="168">
        <v>7</v>
      </c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>
        <v>1222</v>
      </c>
      <c r="AO6" s="186">
        <v>945</v>
      </c>
      <c r="AP6" s="186">
        <v>1100</v>
      </c>
      <c r="AQ6" s="186">
        <v>1170</v>
      </c>
      <c r="AR6" s="186">
        <v>1032</v>
      </c>
      <c r="AS6" s="186">
        <v>1092</v>
      </c>
      <c r="AT6" s="186">
        <v>1066</v>
      </c>
      <c r="AU6" s="186">
        <v>1040</v>
      </c>
      <c r="AV6" s="186">
        <v>1000</v>
      </c>
      <c r="AW6" s="186">
        <v>1144</v>
      </c>
      <c r="AX6" s="186">
        <v>1144</v>
      </c>
      <c r="AY6" s="186">
        <v>1144</v>
      </c>
      <c r="AZ6" s="186">
        <v>1196</v>
      </c>
      <c r="BA6" s="186">
        <v>980</v>
      </c>
      <c r="BB6" s="186">
        <v>1560</v>
      </c>
      <c r="BC6" s="186">
        <v>1378</v>
      </c>
      <c r="BD6" s="186">
        <v>1288</v>
      </c>
      <c r="BE6" s="186">
        <v>1782</v>
      </c>
      <c r="BF6" s="186">
        <v>1508</v>
      </c>
      <c r="BG6" s="186">
        <v>1430</v>
      </c>
      <c r="BH6" s="186">
        <v>1350</v>
      </c>
      <c r="BI6" s="186">
        <v>1326</v>
      </c>
      <c r="BJ6" s="186">
        <v>1352</v>
      </c>
      <c r="BK6" s="186">
        <v>1482</v>
      </c>
      <c r="BL6" s="186">
        <v>1397</v>
      </c>
      <c r="BM6" s="186">
        <v>1002</v>
      </c>
      <c r="BN6" s="186">
        <f>786+489</f>
        <v>1275</v>
      </c>
      <c r="BO6" s="186">
        <v>1475</v>
      </c>
      <c r="BP6" s="186">
        <v>1261</v>
      </c>
      <c r="BQ6" s="186">
        <v>2060.125</v>
      </c>
      <c r="BR6" s="186"/>
      <c r="BS6" s="186"/>
      <c r="BT6" s="186"/>
      <c r="BU6" s="186"/>
      <c r="BV6" s="186"/>
      <c r="BW6" s="186"/>
    </row>
    <row r="7" spans="1:75" x14ac:dyDescent="0.25">
      <c r="A7" s="166">
        <v>4</v>
      </c>
      <c r="B7" s="167" t="s">
        <v>411</v>
      </c>
      <c r="C7" s="168">
        <v>7</v>
      </c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>
        <v>450.24099999999999</v>
      </c>
      <c r="AO7" s="186">
        <v>342.25049999999999</v>
      </c>
      <c r="AP7" s="186">
        <v>505.54750000000001</v>
      </c>
      <c r="AQ7" s="186">
        <v>367.63200000000001</v>
      </c>
      <c r="AR7" s="186">
        <v>453.95949999999999</v>
      </c>
      <c r="AS7" s="186">
        <v>463.81099999999998</v>
      </c>
      <c r="AT7" s="186">
        <v>396.25599999999997</v>
      </c>
      <c r="AU7" s="186">
        <v>387.16800000000001</v>
      </c>
      <c r="AV7" s="186">
        <v>353.56299999999999</v>
      </c>
      <c r="AW7" s="186">
        <v>457.37900000000002</v>
      </c>
      <c r="AX7" s="186">
        <v>425.54599999999999</v>
      </c>
      <c r="AY7" s="186">
        <v>390.69400000000002</v>
      </c>
      <c r="AZ7" s="186">
        <v>286.41199999999998</v>
      </c>
      <c r="BA7" s="186">
        <v>457.23599999999999</v>
      </c>
      <c r="BB7" s="186">
        <v>683.60759999999993</v>
      </c>
      <c r="BC7" s="186">
        <v>588.322</v>
      </c>
      <c r="BD7" s="186">
        <v>549.20249999999999</v>
      </c>
      <c r="BE7" s="186">
        <v>559.7428000000001</v>
      </c>
      <c r="BF7" s="186">
        <v>796.45159999999998</v>
      </c>
      <c r="BG7" s="186">
        <v>727.20399999999972</v>
      </c>
      <c r="BH7" s="186">
        <v>664.36189999999999</v>
      </c>
      <c r="BI7" s="186">
        <v>602.0562000000001</v>
      </c>
      <c r="BJ7" s="186">
        <v>546.20870000000002</v>
      </c>
      <c r="BK7" s="186">
        <v>635.89549999999997</v>
      </c>
      <c r="BL7" s="186">
        <v>749</v>
      </c>
      <c r="BM7" s="186">
        <v>447.11900000000003</v>
      </c>
      <c r="BN7" s="186">
        <v>773.37400000000002</v>
      </c>
      <c r="BO7" s="186">
        <v>769</v>
      </c>
      <c r="BP7" s="186">
        <v>761.67859999999996</v>
      </c>
      <c r="BQ7" s="186">
        <v>878.37239999999997</v>
      </c>
      <c r="BR7" s="186"/>
      <c r="BS7" s="186"/>
      <c r="BT7" s="186"/>
      <c r="BU7" s="186"/>
      <c r="BV7" s="186"/>
      <c r="BW7" s="186"/>
    </row>
    <row r="8" spans="1:75" x14ac:dyDescent="0.25">
      <c r="A8" s="166">
        <v>5</v>
      </c>
      <c r="B8" s="167" t="s">
        <v>412</v>
      </c>
      <c r="C8" s="168">
        <v>7</v>
      </c>
      <c r="D8" s="186">
        <f>'Ket qua kinh doanh'!D4</f>
        <v>32</v>
      </c>
      <c r="E8" s="186">
        <f>'Ket qua kinh doanh'!E4</f>
        <v>61</v>
      </c>
      <c r="F8" s="186">
        <f>'Ket qua kinh doanh'!F4</f>
        <v>92</v>
      </c>
      <c r="G8" s="186">
        <f>'Ket qua kinh doanh'!G4</f>
        <v>57</v>
      </c>
      <c r="H8" s="186">
        <f>'Ket qua kinh doanh'!H4</f>
        <v>39</v>
      </c>
      <c r="I8" s="186">
        <f>'Ket qua kinh doanh'!I4</f>
        <v>24</v>
      </c>
      <c r="J8" s="186">
        <f>'Ket qua kinh doanh'!J4</f>
        <v>16</v>
      </c>
      <c r="K8" s="186">
        <f>'Ket qua kinh doanh'!K4</f>
        <v>0</v>
      </c>
      <c r="L8" s="186">
        <f>'Ket qua kinh doanh'!L4</f>
        <v>0</v>
      </c>
      <c r="M8" s="186">
        <f>'Ket qua kinh doanh'!M4</f>
        <v>0</v>
      </c>
      <c r="N8" s="186">
        <f>'Ket qua kinh doanh'!N4</f>
        <v>0.15609999999999999</v>
      </c>
      <c r="O8" s="186">
        <f>'Ket qua kinh doanh'!O4</f>
        <v>96</v>
      </c>
      <c r="P8" s="186">
        <f>'Ket qua kinh doanh'!P4</f>
        <v>60</v>
      </c>
      <c r="Q8" s="186">
        <f>'Ket qua kinh doanh'!Q4</f>
        <v>145</v>
      </c>
      <c r="R8" s="186">
        <f>'Ket qua kinh doanh'!R4</f>
        <v>194</v>
      </c>
      <c r="S8" s="186">
        <f>'Ket qua kinh doanh'!S4</f>
        <v>178</v>
      </c>
      <c r="T8" s="186">
        <f>'Ket qua kinh doanh'!T4</f>
        <v>181</v>
      </c>
      <c r="U8" s="186">
        <f>'Ket qua kinh doanh'!U4</f>
        <v>245</v>
      </c>
      <c r="V8" s="186">
        <f>'Ket qua kinh doanh'!V4</f>
        <v>161</v>
      </c>
      <c r="W8" s="186">
        <f>'Ket qua kinh doanh'!W4</f>
        <v>268</v>
      </c>
      <c r="X8" s="186">
        <f>'Ket qua kinh doanh'!X4</f>
        <v>329</v>
      </c>
      <c r="Y8" s="186">
        <f>'Ket qua kinh doanh'!Y4</f>
        <v>282</v>
      </c>
      <c r="Z8" s="186">
        <f>'Ket qua kinh doanh'!Z4</f>
        <v>414</v>
      </c>
      <c r="AA8" s="186">
        <f>'Ket qua kinh doanh'!AA4</f>
        <v>572</v>
      </c>
      <c r="AB8" s="186">
        <f>'Ket qua kinh doanh'!AB4</f>
        <v>186</v>
      </c>
      <c r="AC8" s="186">
        <f>'Ket qua kinh doanh'!AC4</f>
        <v>413.61700000000002</v>
      </c>
      <c r="AD8" s="186">
        <f>'Ket qua kinh doanh'!AD4</f>
        <v>514</v>
      </c>
      <c r="AE8" s="186">
        <f>'Ket qua kinh doanh'!AE4</f>
        <v>543.4</v>
      </c>
      <c r="AF8" s="186">
        <f>'Ket qua kinh doanh'!AF4</f>
        <v>667.93100000000004</v>
      </c>
      <c r="AG8" s="186">
        <f>'Ket qua kinh doanh'!AG4</f>
        <v>538</v>
      </c>
      <c r="AH8" s="186">
        <f>'Ket qua kinh doanh'!AH4</f>
        <v>508</v>
      </c>
      <c r="AI8" s="186">
        <f>'Ket qua kinh doanh'!AI4</f>
        <v>456</v>
      </c>
      <c r="AJ8" s="186">
        <f>'Ket qua kinh doanh'!AJ4</f>
        <v>327</v>
      </c>
      <c r="AK8" s="186">
        <f>'Ket qua kinh doanh'!AK4</f>
        <v>392</v>
      </c>
      <c r="AL8" s="186">
        <f>'Ket qua kinh doanh'!AL4</f>
        <v>512</v>
      </c>
      <c r="AM8" s="186">
        <f>'Ket qua kinh doanh'!AM4</f>
        <v>593.79999999999995</v>
      </c>
      <c r="AN8" s="186">
        <f>'Ket qua kinh doanh'!AN4</f>
        <v>454</v>
      </c>
      <c r="AO8" s="186">
        <f>'Ket qua kinh doanh'!AO4</f>
        <v>427</v>
      </c>
      <c r="AP8" s="186">
        <f>'Ket qua kinh doanh'!AP4</f>
        <v>528</v>
      </c>
      <c r="AQ8" s="186">
        <f>'Ket qua kinh doanh'!AQ4</f>
        <v>341</v>
      </c>
      <c r="AR8" s="186">
        <f>'Ket qua kinh doanh'!AR4</f>
        <v>491</v>
      </c>
      <c r="AS8" s="186">
        <f>'Ket qua kinh doanh'!AS4</f>
        <v>473</v>
      </c>
      <c r="AT8" s="186">
        <f>'Ket qua kinh doanh'!AT4</f>
        <v>370</v>
      </c>
      <c r="AU8" s="186">
        <f>'Ket qua kinh doanh'!AU4</f>
        <v>406</v>
      </c>
      <c r="AV8" s="186">
        <f>'Ket qua kinh doanh'!AV4</f>
        <v>299</v>
      </c>
      <c r="AW8" s="186">
        <f>'Ket qua kinh doanh'!AW4</f>
        <v>409</v>
      </c>
      <c r="AX8" s="186">
        <f>'Ket qua kinh doanh'!AX4</f>
        <v>383</v>
      </c>
      <c r="AY8" s="186">
        <f>'Ket qua kinh doanh'!AY4</f>
        <v>323</v>
      </c>
      <c r="AZ8" s="186">
        <f>'Ket qua kinh doanh'!AZ4</f>
        <v>242.078</v>
      </c>
      <c r="BA8" s="186">
        <f>'Ket qua kinh doanh'!BA4</f>
        <v>310.59300000000002</v>
      </c>
      <c r="BB8" s="186">
        <f>'Ket qua kinh doanh'!BB4</f>
        <v>475.98700000000002</v>
      </c>
      <c r="BC8" s="186">
        <f>'Ket qua kinh doanh'!BC4</f>
        <v>519.90300000000002</v>
      </c>
      <c r="BD8" s="186">
        <f>'Ket qua kinh doanh'!BD4</f>
        <v>467.35599999999999</v>
      </c>
      <c r="BE8" s="186">
        <f>'Ket qua kinh doanh'!BE4</f>
        <v>510.435</v>
      </c>
      <c r="BF8" s="186">
        <f>'Ket qua kinh doanh'!BF4</f>
        <v>718.97</v>
      </c>
      <c r="BG8" s="186">
        <f>'Ket qua kinh doanh'!BG4</f>
        <v>711.69899999999996</v>
      </c>
      <c r="BH8" s="186">
        <f>'Ket qua kinh doanh'!BH4</f>
        <v>591.82399999999996</v>
      </c>
      <c r="BI8" s="186">
        <f>'Ket qua kinh doanh'!BI4</f>
        <v>543.36400000000003</v>
      </c>
      <c r="BJ8" s="186">
        <f>'Ket qua kinh doanh'!BJ4</f>
        <v>454.67200000000003</v>
      </c>
      <c r="BK8" s="186">
        <v>613.73900000000003</v>
      </c>
      <c r="BL8" s="186">
        <v>580.27200000000005</v>
      </c>
      <c r="BM8" s="186">
        <v>464.90899999999999</v>
      </c>
      <c r="BN8" s="186">
        <v>656.06799999999998</v>
      </c>
      <c r="BO8" s="186">
        <v>641.11400000000003</v>
      </c>
      <c r="BP8" s="186">
        <v>776.00599999999997</v>
      </c>
      <c r="BQ8" s="186">
        <v>846.26599999999996</v>
      </c>
      <c r="BR8" s="186"/>
      <c r="BS8" s="186"/>
      <c r="BT8" s="186"/>
      <c r="BU8" s="186"/>
      <c r="BV8" s="186"/>
      <c r="BW8" s="186"/>
    </row>
    <row r="9" spans="1:75" x14ac:dyDescent="0.25">
      <c r="A9" s="169">
        <v>6</v>
      </c>
      <c r="B9" s="170" t="s">
        <v>413</v>
      </c>
      <c r="C9" s="171">
        <v>7</v>
      </c>
      <c r="D9" s="187">
        <f>'Ket qua kinh doanh'!D5</f>
        <v>312737600</v>
      </c>
      <c r="E9" s="187">
        <f>'Ket qua kinh doanh'!E5</f>
        <v>606797380</v>
      </c>
      <c r="F9" s="187">
        <f>'Ket qua kinh doanh'!F5</f>
        <v>903716800</v>
      </c>
      <c r="G9" s="187">
        <f>'Ket qua kinh doanh'!G5</f>
        <v>584483600</v>
      </c>
      <c r="H9" s="187">
        <f>'Ket qua kinh doanh'!H5</f>
        <v>473255400</v>
      </c>
      <c r="I9" s="187">
        <f>'Ket qua kinh doanh'!I5</f>
        <v>327063600</v>
      </c>
      <c r="J9" s="187">
        <f>'Ket qua kinh doanh'!J5</f>
        <v>212259000</v>
      </c>
      <c r="K9" s="187">
        <f>'Ket qua kinh doanh'!K5</f>
        <v>0</v>
      </c>
      <c r="L9" s="187">
        <f>'Ket qua kinh doanh'!L5</f>
        <v>0</v>
      </c>
      <c r="M9" s="187">
        <f>'Ket qua kinh doanh'!M5</f>
        <v>0</v>
      </c>
      <c r="N9" s="187">
        <f>'Ket qua kinh doanh'!N5</f>
        <v>23415000</v>
      </c>
      <c r="O9" s="187">
        <f>'Ket qua kinh doanh'!O5</f>
        <v>1040979770</v>
      </c>
      <c r="P9" s="187">
        <f>'Ket qua kinh doanh'!P5</f>
        <v>1387649940</v>
      </c>
      <c r="Q9" s="187">
        <f>'Ket qua kinh doanh'!Q5</f>
        <v>1583445960</v>
      </c>
      <c r="R9" s="187">
        <f>'Ket qua kinh doanh'!R5</f>
        <v>2573716230</v>
      </c>
      <c r="S9" s="187">
        <f>'Ket qua kinh doanh'!S5</f>
        <v>2789415475</v>
      </c>
      <c r="T9" s="187">
        <f>'Ket qua kinh doanh'!T5</f>
        <v>3061211620</v>
      </c>
      <c r="U9" s="187">
        <f>'Ket qua kinh doanh'!U5</f>
        <v>4013573585</v>
      </c>
      <c r="V9" s="187">
        <f>'Ket qua kinh doanh'!V5</f>
        <v>2566597774</v>
      </c>
      <c r="W9" s="187">
        <f>'Ket qua kinh doanh'!W5</f>
        <v>4244037032</v>
      </c>
      <c r="X9" s="187">
        <f>'Ket qua kinh doanh'!X5</f>
        <v>4500455270</v>
      </c>
      <c r="Y9" s="187">
        <f>'Ket qua kinh doanh'!Y5</f>
        <v>4093507967</v>
      </c>
      <c r="Z9" s="187">
        <f>'Ket qua kinh doanh'!Z5</f>
        <v>6936881675</v>
      </c>
      <c r="AA9" s="187">
        <f>'Ket qua kinh doanh'!AA5</f>
        <v>8017342248</v>
      </c>
      <c r="AB9" s="187">
        <f>'Ket qua kinh doanh'!AB5</f>
        <v>2672344837</v>
      </c>
      <c r="AC9" s="187">
        <f>'Ket qua kinh doanh'!AC5</f>
        <v>4854309360</v>
      </c>
      <c r="AD9" s="187">
        <f>'Ket qua kinh doanh'!AD5</f>
        <v>6533069323</v>
      </c>
      <c r="AE9" s="187">
        <f>'Ket qua kinh doanh'!AE5</f>
        <v>8443399962</v>
      </c>
      <c r="AF9" s="187">
        <f>'Ket qua kinh doanh'!AF5</f>
        <v>10076762540</v>
      </c>
      <c r="AG9" s="187">
        <f>'Ket qua kinh doanh'!AG5</f>
        <v>6865915296</v>
      </c>
      <c r="AH9" s="187">
        <f>'Ket qua kinh doanh'!AH5</f>
        <v>6253371756</v>
      </c>
      <c r="AI9" s="187">
        <f>'Ket qua kinh doanh'!AI5</f>
        <v>5694464185</v>
      </c>
      <c r="AJ9" s="187">
        <f>'Ket qua kinh doanh'!AJ5</f>
        <v>4475524426</v>
      </c>
      <c r="AK9" s="187">
        <f>'Ket qua kinh doanh'!AK5</f>
        <v>6155131250</v>
      </c>
      <c r="AL9" s="187">
        <f>'Ket qua kinh doanh'!AL5</f>
        <v>7975368000</v>
      </c>
      <c r="AM9" s="187">
        <f>'Ket qua kinh doanh'!AM5</f>
        <v>8916004334</v>
      </c>
      <c r="AN9" s="187">
        <f>'Ket qua kinh doanh'!AN5</f>
        <v>6816503925</v>
      </c>
      <c r="AO9" s="187">
        <f>'Ket qua kinh doanh'!AO5</f>
        <v>6039598500</v>
      </c>
      <c r="AP9" s="187">
        <f>'Ket qua kinh doanh'!AP5</f>
        <v>7858071500</v>
      </c>
      <c r="AQ9" s="187">
        <f>'Ket qua kinh doanh'!AQ5</f>
        <v>5360336000</v>
      </c>
      <c r="AR9" s="187">
        <f>'Ket qua kinh doanh'!AR5</f>
        <v>7701926000</v>
      </c>
      <c r="AS9" s="187">
        <f>'Ket qua kinh doanh'!AS5</f>
        <v>7405493500</v>
      </c>
      <c r="AT9" s="187">
        <f>'Ket qua kinh doanh'!AT5</f>
        <v>5356795000</v>
      </c>
      <c r="AU9" s="187">
        <f>'Ket qua kinh doanh'!AU5</f>
        <v>5872209850</v>
      </c>
      <c r="AV9" s="187">
        <f>'Ket qua kinh doanh'!AV5</f>
        <v>4632824810</v>
      </c>
      <c r="AW9" s="187">
        <f>'Ket qua kinh doanh'!AW5</f>
        <v>6376620000</v>
      </c>
      <c r="AX9" s="187">
        <f>'Ket qua kinh doanh'!AX5</f>
        <v>6008306800</v>
      </c>
      <c r="AY9" s="187">
        <f>'Ket qua kinh doanh'!AY5</f>
        <v>5094418200</v>
      </c>
      <c r="AZ9" s="187">
        <f>'Ket qua kinh doanh'!AZ5</f>
        <v>3795897480</v>
      </c>
      <c r="BA9" s="187">
        <f>'Ket qua kinh doanh'!BA5</f>
        <v>5012982676</v>
      </c>
      <c r="BB9" s="187">
        <f>'Ket qua kinh doanh'!BB5</f>
        <v>8087243089</v>
      </c>
      <c r="BC9" s="187">
        <f>'Ket qua kinh doanh'!BC5</f>
        <v>9694585314</v>
      </c>
      <c r="BD9" s="187">
        <f>'Ket qua kinh doanh'!BD5</f>
        <v>8388349104</v>
      </c>
      <c r="BE9" s="187">
        <f>'Ket qua kinh doanh'!BE5</f>
        <v>9515421651</v>
      </c>
      <c r="BF9" s="187">
        <f>'Ket qua kinh doanh'!BF5</f>
        <v>13592588554</v>
      </c>
      <c r="BG9" s="187">
        <f>'Ket qua kinh doanh'!BG5</f>
        <v>12421660930</v>
      </c>
      <c r="BH9" s="187">
        <f>'Ket qua kinh doanh'!BH5</f>
        <v>8808063400</v>
      </c>
      <c r="BI9" s="187">
        <f>'Ket qua kinh doanh'!BI5</f>
        <v>7719934000</v>
      </c>
      <c r="BJ9" s="187">
        <f>'Ket qua kinh doanh'!BJ5</f>
        <v>6532057500</v>
      </c>
      <c r="BK9" s="187">
        <v>8694231720</v>
      </c>
      <c r="BL9" s="187">
        <f>'Ket qua kinh doanh'!BL5</f>
        <v>8331190500</v>
      </c>
      <c r="BM9" s="187">
        <f>'Ket qua kinh doanh'!BM5</f>
        <v>6640520862</v>
      </c>
      <c r="BN9" s="187">
        <f>'Ket qua kinh doanh'!BN5</f>
        <v>9363644480</v>
      </c>
      <c r="BO9" s="187">
        <v>9143059160</v>
      </c>
      <c r="BP9" s="187">
        <v>12123223250</v>
      </c>
      <c r="BQ9" s="187">
        <v>13689537870</v>
      </c>
      <c r="BR9" s="187">
        <f>'Ket qua kinh doanh'!BR5</f>
        <v>0</v>
      </c>
      <c r="BS9" s="187">
        <f>'Ket qua kinh doanh'!BS5</f>
        <v>0</v>
      </c>
      <c r="BT9" s="187">
        <f>'Ket qua kinh doanh'!BT5</f>
        <v>0</v>
      </c>
      <c r="BU9" s="187">
        <f>'Ket qua kinh doanh'!BU5</f>
        <v>0</v>
      </c>
      <c r="BV9" s="187">
        <f>'Ket qua kinh doanh'!BV5</f>
        <v>0</v>
      </c>
      <c r="BW9" s="187">
        <f>'Ket qua kinh doanh'!BW5</f>
        <v>0</v>
      </c>
    </row>
    <row r="10" spans="1:75" x14ac:dyDescent="0.25">
      <c r="A10" s="172">
        <v>7</v>
      </c>
      <c r="B10" s="173" t="s">
        <v>414</v>
      </c>
      <c r="C10" s="174">
        <v>7</v>
      </c>
      <c r="D10" s="188">
        <f>'Ket qua kinh doanh'!D6</f>
        <v>0</v>
      </c>
      <c r="E10" s="188">
        <f>'Ket qua kinh doanh'!E6</f>
        <v>0</v>
      </c>
      <c r="F10" s="188">
        <f>'Ket qua kinh doanh'!F6</f>
        <v>0</v>
      </c>
      <c r="G10" s="188">
        <f>'Ket qua kinh doanh'!G6</f>
        <v>0</v>
      </c>
      <c r="H10" s="188">
        <f>'Ket qua kinh doanh'!H6</f>
        <v>0</v>
      </c>
      <c r="I10" s="188">
        <f>'Ket qua kinh doanh'!I6</f>
        <v>0</v>
      </c>
      <c r="J10" s="188">
        <f>'Ket qua kinh doanh'!J6</f>
        <v>0</v>
      </c>
      <c r="K10" s="188">
        <f>'Ket qua kinh doanh'!K6</f>
        <v>0</v>
      </c>
      <c r="L10" s="188">
        <f>'Ket qua kinh doanh'!L6</f>
        <v>0</v>
      </c>
      <c r="M10" s="188">
        <f>'Ket qua kinh doanh'!M6</f>
        <v>0</v>
      </c>
      <c r="N10" s="188">
        <f>'Ket qua kinh doanh'!N6</f>
        <v>0</v>
      </c>
      <c r="O10" s="188">
        <f>'Ket qua kinh doanh'!O6</f>
        <v>0</v>
      </c>
      <c r="P10" s="188">
        <f>'Ket qua kinh doanh'!P6</f>
        <v>0</v>
      </c>
      <c r="Q10" s="188">
        <f>'Ket qua kinh doanh'!Q6</f>
        <v>0</v>
      </c>
      <c r="R10" s="188">
        <f>'Ket qua kinh doanh'!R6</f>
        <v>0</v>
      </c>
      <c r="S10" s="188">
        <f>'Ket qua kinh doanh'!S6</f>
        <v>0</v>
      </c>
      <c r="T10" s="188">
        <f>'Ket qua kinh doanh'!T6</f>
        <v>0</v>
      </c>
      <c r="U10" s="188">
        <f>'Ket qua kinh doanh'!U6</f>
        <v>0</v>
      </c>
      <c r="V10" s="188">
        <f>'Ket qua kinh doanh'!V6</f>
        <v>0</v>
      </c>
      <c r="W10" s="188">
        <f>'Ket qua kinh doanh'!W6</f>
        <v>0</v>
      </c>
      <c r="X10" s="188">
        <f>'Ket qua kinh doanh'!X6</f>
        <v>0</v>
      </c>
      <c r="Y10" s="188">
        <f>'Ket qua kinh doanh'!Y6</f>
        <v>0</v>
      </c>
      <c r="Z10" s="188" t="str">
        <f>'Ket qua kinh doanh'!Z6</f>
        <v xml:space="preserve">   </v>
      </c>
      <c r="AA10" s="188">
        <f>'Ket qua kinh doanh'!AA6</f>
        <v>0</v>
      </c>
      <c r="AB10" s="188">
        <f>'Ket qua kinh doanh'!AB6</f>
        <v>0</v>
      </c>
      <c r="AC10" s="188">
        <f>'Ket qua kinh doanh'!AC6</f>
        <v>0</v>
      </c>
      <c r="AD10" s="188">
        <f>'Ket qua kinh doanh'!AD6</f>
        <v>0</v>
      </c>
      <c r="AE10" s="188">
        <f>'Ket qua kinh doanh'!AE6</f>
        <v>0</v>
      </c>
      <c r="AF10" s="188">
        <f>'Ket qua kinh doanh'!AF6</f>
        <v>0</v>
      </c>
      <c r="AG10" s="188">
        <f>'Ket qua kinh doanh'!AG6</f>
        <v>0</v>
      </c>
      <c r="AH10" s="188">
        <f>'Ket qua kinh doanh'!AH6</f>
        <v>0</v>
      </c>
      <c r="AI10" s="188">
        <f>'Ket qua kinh doanh'!AI6</f>
        <v>0</v>
      </c>
      <c r="AJ10" s="188">
        <f>'Ket qua kinh doanh'!AJ6</f>
        <v>0</v>
      </c>
      <c r="AK10" s="188">
        <f>'Ket qua kinh doanh'!AK6</f>
        <v>0</v>
      </c>
      <c r="AL10" s="188">
        <f>'Ket qua kinh doanh'!AL6</f>
        <v>0</v>
      </c>
      <c r="AM10" s="188">
        <f>'Ket qua kinh doanh'!AM6</f>
        <v>0</v>
      </c>
      <c r="AN10" s="188">
        <f>'Ket qua kinh doanh'!AN6</f>
        <v>0</v>
      </c>
      <c r="AO10" s="188">
        <f>'Ket qua kinh doanh'!AO6</f>
        <v>0</v>
      </c>
      <c r="AP10" s="188">
        <f>'Ket qua kinh doanh'!AP6</f>
        <v>0</v>
      </c>
      <c r="AQ10" s="188">
        <f>'Ket qua kinh doanh'!AQ6</f>
        <v>0</v>
      </c>
      <c r="AR10" s="188">
        <f>'Ket qua kinh doanh'!AR6</f>
        <v>0</v>
      </c>
      <c r="AS10" s="188">
        <f>'Ket qua kinh doanh'!AS6</f>
        <v>0</v>
      </c>
      <c r="AT10" s="188">
        <f>'Ket qua kinh doanh'!AT6</f>
        <v>0</v>
      </c>
      <c r="AU10" s="188">
        <f>'Ket qua kinh doanh'!AU6</f>
        <v>0</v>
      </c>
      <c r="AV10" s="188">
        <f>'Ket qua kinh doanh'!AV6</f>
        <v>0</v>
      </c>
      <c r="AW10" s="188">
        <f>'Ket qua kinh doanh'!AW6</f>
        <v>0</v>
      </c>
      <c r="AX10" s="188">
        <f>'Ket qua kinh doanh'!AX6</f>
        <v>0</v>
      </c>
      <c r="AY10" s="188">
        <f>'Ket qua kinh doanh'!AY6</f>
        <v>0</v>
      </c>
      <c r="AZ10" s="188">
        <f>'Ket qua kinh doanh'!AZ6</f>
        <v>0</v>
      </c>
      <c r="BA10" s="188">
        <f>'Ket qua kinh doanh'!BA6</f>
        <v>0</v>
      </c>
      <c r="BB10" s="188">
        <f>'Ket qua kinh doanh'!BB6</f>
        <v>0</v>
      </c>
      <c r="BC10" s="188">
        <f>'Ket qua kinh doanh'!BC6</f>
        <v>0</v>
      </c>
      <c r="BD10" s="188">
        <f>'Ket qua kinh doanh'!BD6</f>
        <v>0</v>
      </c>
      <c r="BE10" s="188">
        <f>'Ket qua kinh doanh'!BE6</f>
        <v>0</v>
      </c>
      <c r="BF10" s="188">
        <f>'Ket qua kinh doanh'!BF6</f>
        <v>0</v>
      </c>
      <c r="BG10" s="188">
        <f>'Ket qua kinh doanh'!BG6</f>
        <v>0</v>
      </c>
      <c r="BH10" s="188">
        <f>'Ket qua kinh doanh'!BH6</f>
        <v>0</v>
      </c>
      <c r="BI10" s="188">
        <f>'Ket qua kinh doanh'!BI6</f>
        <v>0</v>
      </c>
      <c r="BJ10" s="188">
        <f>'Ket qua kinh doanh'!BJ6</f>
        <v>0</v>
      </c>
      <c r="BK10" s="188">
        <v>0</v>
      </c>
      <c r="BL10" s="188">
        <f>'Ket qua kinh doanh'!BL6</f>
        <v>0</v>
      </c>
      <c r="BM10" s="188">
        <f>'Ket qua kinh doanh'!BM6</f>
        <v>0</v>
      </c>
      <c r="BN10" s="188">
        <f>'Ket qua kinh doanh'!BN6</f>
        <v>0</v>
      </c>
      <c r="BO10" s="188">
        <v>0</v>
      </c>
      <c r="BP10" s="188">
        <v>0</v>
      </c>
      <c r="BQ10" s="188">
        <v>0</v>
      </c>
      <c r="BR10" s="188">
        <f>'Ket qua kinh doanh'!BR6</f>
        <v>0</v>
      </c>
      <c r="BS10" s="188">
        <f>'Ket qua kinh doanh'!BS6</f>
        <v>0</v>
      </c>
      <c r="BT10" s="188">
        <f>'Ket qua kinh doanh'!BT6</f>
        <v>0</v>
      </c>
      <c r="BU10" s="188">
        <f>'Ket qua kinh doanh'!BU6</f>
        <v>0</v>
      </c>
      <c r="BV10" s="188">
        <f>'Ket qua kinh doanh'!BV6</f>
        <v>0</v>
      </c>
      <c r="BW10" s="188">
        <f>'Ket qua kinh doanh'!BW6</f>
        <v>0</v>
      </c>
    </row>
    <row r="11" spans="1:75" x14ac:dyDescent="0.25">
      <c r="A11" s="172">
        <v>8</v>
      </c>
      <c r="B11" s="173" t="s">
        <v>415</v>
      </c>
      <c r="C11" s="175">
        <v>7</v>
      </c>
      <c r="D11" s="189">
        <f t="shared" ref="D11:AI11" si="0">IFERROR(D10/D9,"")</f>
        <v>0</v>
      </c>
      <c r="E11" s="189">
        <f t="shared" si="0"/>
        <v>0</v>
      </c>
      <c r="F11" s="189">
        <f t="shared" si="0"/>
        <v>0</v>
      </c>
      <c r="G11" s="189">
        <f t="shared" si="0"/>
        <v>0</v>
      </c>
      <c r="H11" s="189">
        <f t="shared" si="0"/>
        <v>0</v>
      </c>
      <c r="I11" s="189">
        <f t="shared" si="0"/>
        <v>0</v>
      </c>
      <c r="J11" s="189">
        <f t="shared" si="0"/>
        <v>0</v>
      </c>
      <c r="K11" s="189" t="str">
        <f t="shared" si="0"/>
        <v/>
      </c>
      <c r="L11" s="189" t="str">
        <f t="shared" si="0"/>
        <v/>
      </c>
      <c r="M11" s="189" t="str">
        <f t="shared" si="0"/>
        <v/>
      </c>
      <c r="N11" s="189">
        <f t="shared" si="0"/>
        <v>0</v>
      </c>
      <c r="O11" s="189">
        <f t="shared" si="0"/>
        <v>0</v>
      </c>
      <c r="P11" s="189">
        <f t="shared" si="0"/>
        <v>0</v>
      </c>
      <c r="Q11" s="189">
        <f t="shared" si="0"/>
        <v>0</v>
      </c>
      <c r="R11" s="189">
        <f t="shared" si="0"/>
        <v>0</v>
      </c>
      <c r="S11" s="189">
        <f t="shared" si="0"/>
        <v>0</v>
      </c>
      <c r="T11" s="189">
        <f t="shared" si="0"/>
        <v>0</v>
      </c>
      <c r="U11" s="189">
        <f t="shared" si="0"/>
        <v>0</v>
      </c>
      <c r="V11" s="189">
        <f t="shared" si="0"/>
        <v>0</v>
      </c>
      <c r="W11" s="189">
        <f t="shared" si="0"/>
        <v>0</v>
      </c>
      <c r="X11" s="189">
        <f t="shared" si="0"/>
        <v>0</v>
      </c>
      <c r="Y11" s="189">
        <f t="shared" si="0"/>
        <v>0</v>
      </c>
      <c r="Z11" s="189" t="str">
        <f t="shared" si="0"/>
        <v/>
      </c>
      <c r="AA11" s="189">
        <f t="shared" si="0"/>
        <v>0</v>
      </c>
      <c r="AB11" s="189">
        <f t="shared" si="0"/>
        <v>0</v>
      </c>
      <c r="AC11" s="189">
        <f t="shared" si="0"/>
        <v>0</v>
      </c>
      <c r="AD11" s="189">
        <f t="shared" si="0"/>
        <v>0</v>
      </c>
      <c r="AE11" s="189">
        <f t="shared" si="0"/>
        <v>0</v>
      </c>
      <c r="AF11" s="189">
        <f t="shared" si="0"/>
        <v>0</v>
      </c>
      <c r="AG11" s="189">
        <f t="shared" si="0"/>
        <v>0</v>
      </c>
      <c r="AH11" s="189">
        <f t="shared" si="0"/>
        <v>0</v>
      </c>
      <c r="AI11" s="189">
        <f t="shared" si="0"/>
        <v>0</v>
      </c>
      <c r="AJ11" s="189">
        <f t="shared" ref="AJ11:BJ11" si="1">IFERROR(AJ10/AJ9,"")</f>
        <v>0</v>
      </c>
      <c r="AK11" s="189">
        <f t="shared" si="1"/>
        <v>0</v>
      </c>
      <c r="AL11" s="189">
        <f t="shared" si="1"/>
        <v>0</v>
      </c>
      <c r="AM11" s="189">
        <f t="shared" si="1"/>
        <v>0</v>
      </c>
      <c r="AN11" s="189">
        <f t="shared" si="1"/>
        <v>0</v>
      </c>
      <c r="AO11" s="189">
        <f t="shared" si="1"/>
        <v>0</v>
      </c>
      <c r="AP11" s="189">
        <f t="shared" si="1"/>
        <v>0</v>
      </c>
      <c r="AQ11" s="189">
        <f t="shared" si="1"/>
        <v>0</v>
      </c>
      <c r="AR11" s="189">
        <f t="shared" si="1"/>
        <v>0</v>
      </c>
      <c r="AS11" s="189">
        <f t="shared" si="1"/>
        <v>0</v>
      </c>
      <c r="AT11" s="189">
        <f t="shared" si="1"/>
        <v>0</v>
      </c>
      <c r="AU11" s="189">
        <f t="shared" si="1"/>
        <v>0</v>
      </c>
      <c r="AV11" s="189">
        <f t="shared" si="1"/>
        <v>0</v>
      </c>
      <c r="AW11" s="189">
        <f t="shared" si="1"/>
        <v>0</v>
      </c>
      <c r="AX11" s="189">
        <f t="shared" si="1"/>
        <v>0</v>
      </c>
      <c r="AY11" s="189">
        <f t="shared" si="1"/>
        <v>0</v>
      </c>
      <c r="AZ11" s="189">
        <f t="shared" si="1"/>
        <v>0</v>
      </c>
      <c r="BA11" s="189">
        <f t="shared" si="1"/>
        <v>0</v>
      </c>
      <c r="BB11" s="189">
        <f t="shared" si="1"/>
        <v>0</v>
      </c>
      <c r="BC11" s="189">
        <f t="shared" si="1"/>
        <v>0</v>
      </c>
      <c r="BD11" s="189">
        <f t="shared" si="1"/>
        <v>0</v>
      </c>
      <c r="BE11" s="189">
        <f t="shared" si="1"/>
        <v>0</v>
      </c>
      <c r="BF11" s="189">
        <f t="shared" si="1"/>
        <v>0</v>
      </c>
      <c r="BG11" s="189">
        <f t="shared" si="1"/>
        <v>0</v>
      </c>
      <c r="BH11" s="189">
        <f t="shared" si="1"/>
        <v>0</v>
      </c>
      <c r="BI11" s="189">
        <f t="shared" si="1"/>
        <v>0</v>
      </c>
      <c r="BJ11" s="189">
        <f t="shared" si="1"/>
        <v>0</v>
      </c>
      <c r="BK11" s="189">
        <v>0</v>
      </c>
      <c r="BL11" s="189">
        <f t="shared" ref="BL11" si="2">IFERROR(BL10/BL9,"")</f>
        <v>0</v>
      </c>
      <c r="BM11" s="189">
        <f t="shared" ref="BM11" si="3">IFERROR(BM10/BM9,"")</f>
        <v>0</v>
      </c>
      <c r="BN11" s="189">
        <f t="shared" ref="BN11" si="4">IFERROR(BN10/BN9,"")</f>
        <v>0</v>
      </c>
      <c r="BO11" s="189">
        <v>0</v>
      </c>
      <c r="BP11" s="189">
        <v>0</v>
      </c>
      <c r="BQ11" s="189">
        <v>0</v>
      </c>
      <c r="BR11" s="189" t="str">
        <f t="shared" ref="BR11" si="5">IFERROR(BR10/BR9,"")</f>
        <v/>
      </c>
      <c r="BS11" s="189" t="str">
        <f t="shared" ref="BS11" si="6">IFERROR(BS10/BS9,"")</f>
        <v/>
      </c>
      <c r="BT11" s="189" t="str">
        <f t="shared" ref="BT11" si="7">IFERROR(BT10/BT9,"")</f>
        <v/>
      </c>
      <c r="BU11" s="189" t="str">
        <f t="shared" ref="BU11" si="8">IFERROR(BU10/BU9,"")</f>
        <v/>
      </c>
      <c r="BV11" s="189" t="str">
        <f t="shared" ref="BV11" si="9">IFERROR(BV10/BV9,"")</f>
        <v/>
      </c>
      <c r="BW11" s="189" t="str">
        <f t="shared" ref="BW11" si="10">IFERROR(BW10/BW9,"")</f>
        <v/>
      </c>
    </row>
    <row r="12" spans="1:75" x14ac:dyDescent="0.25">
      <c r="A12" s="169">
        <v>9</v>
      </c>
      <c r="B12" s="170" t="s">
        <v>416</v>
      </c>
      <c r="C12" s="176">
        <v>7</v>
      </c>
      <c r="D12" s="190">
        <f>'Ket qua kinh doanh'!D7</f>
        <v>312737600</v>
      </c>
      <c r="E12" s="190">
        <f>'Ket qua kinh doanh'!E7</f>
        <v>606797380</v>
      </c>
      <c r="F12" s="190">
        <f>'Ket qua kinh doanh'!F7</f>
        <v>903716800</v>
      </c>
      <c r="G12" s="190">
        <f>'Ket qua kinh doanh'!G7</f>
        <v>584483600</v>
      </c>
      <c r="H12" s="190">
        <f>'Ket qua kinh doanh'!H7</f>
        <v>473255400</v>
      </c>
      <c r="I12" s="190">
        <f>'Ket qua kinh doanh'!I7</f>
        <v>327063600</v>
      </c>
      <c r="J12" s="190">
        <f>'Ket qua kinh doanh'!J7</f>
        <v>212259000</v>
      </c>
      <c r="K12" s="190">
        <f>'Ket qua kinh doanh'!K7</f>
        <v>0</v>
      </c>
      <c r="L12" s="190">
        <f>'Ket qua kinh doanh'!L7</f>
        <v>0</v>
      </c>
      <c r="M12" s="190">
        <f>'Ket qua kinh doanh'!M7</f>
        <v>0</v>
      </c>
      <c r="N12" s="190">
        <f>'Ket qua kinh doanh'!N7</f>
        <v>23415000</v>
      </c>
      <c r="O12" s="190">
        <f>'Ket qua kinh doanh'!O7</f>
        <v>1040979770</v>
      </c>
      <c r="P12" s="190">
        <f>'Ket qua kinh doanh'!P7</f>
        <v>1387649940</v>
      </c>
      <c r="Q12" s="190">
        <f>'Ket qua kinh doanh'!Q7</f>
        <v>1583445960</v>
      </c>
      <c r="R12" s="190">
        <f>'Ket qua kinh doanh'!R7</f>
        <v>2573716230</v>
      </c>
      <c r="S12" s="190">
        <f>'Ket qua kinh doanh'!S7</f>
        <v>2789415475</v>
      </c>
      <c r="T12" s="190">
        <f>'Ket qua kinh doanh'!T7</f>
        <v>3061211620</v>
      </c>
      <c r="U12" s="190">
        <f>'Ket qua kinh doanh'!U7</f>
        <v>4013573585</v>
      </c>
      <c r="V12" s="190">
        <f>'Ket qua kinh doanh'!V7</f>
        <v>2566597774</v>
      </c>
      <c r="W12" s="190">
        <f>'Ket qua kinh doanh'!W7</f>
        <v>4244037032</v>
      </c>
      <c r="X12" s="190">
        <f>'Ket qua kinh doanh'!X7</f>
        <v>4500455270</v>
      </c>
      <c r="Y12" s="190">
        <f>'Ket qua kinh doanh'!Y7</f>
        <v>4093507967</v>
      </c>
      <c r="Z12" s="190">
        <f>'Ket qua kinh doanh'!Z7</f>
        <v>6936881675</v>
      </c>
      <c r="AA12" s="190">
        <f>'Ket qua kinh doanh'!AA7</f>
        <v>8017342248</v>
      </c>
      <c r="AB12" s="190">
        <f>'Ket qua kinh doanh'!AB7</f>
        <v>2672344837</v>
      </c>
      <c r="AC12" s="190">
        <f>'Ket qua kinh doanh'!AC7</f>
        <v>4854309360</v>
      </c>
      <c r="AD12" s="190">
        <f>'Ket qua kinh doanh'!AD7</f>
        <v>6533069323</v>
      </c>
      <c r="AE12" s="190">
        <f>'Ket qua kinh doanh'!AE7</f>
        <v>8443399962</v>
      </c>
      <c r="AF12" s="190">
        <f>'Ket qua kinh doanh'!AF7</f>
        <v>10076762540</v>
      </c>
      <c r="AG12" s="190">
        <f>'Ket qua kinh doanh'!AG7</f>
        <v>6865915296</v>
      </c>
      <c r="AH12" s="190">
        <f>'Ket qua kinh doanh'!AH7</f>
        <v>6253371756</v>
      </c>
      <c r="AI12" s="190">
        <f>'Ket qua kinh doanh'!AI7</f>
        <v>5694464185</v>
      </c>
      <c r="AJ12" s="190">
        <f>'Ket qua kinh doanh'!AJ7</f>
        <v>4475524426</v>
      </c>
      <c r="AK12" s="190">
        <f>'Ket qua kinh doanh'!AK7</f>
        <v>6155131250</v>
      </c>
      <c r="AL12" s="190">
        <f>'Ket qua kinh doanh'!AL7</f>
        <v>7975368000</v>
      </c>
      <c r="AM12" s="190">
        <f>'Ket qua kinh doanh'!AM7</f>
        <v>8916004334</v>
      </c>
      <c r="AN12" s="190">
        <f>'Ket qua kinh doanh'!AN7</f>
        <v>6816503925</v>
      </c>
      <c r="AO12" s="190">
        <f>'Ket qua kinh doanh'!AO7</f>
        <v>6039598500</v>
      </c>
      <c r="AP12" s="190">
        <f>'Ket qua kinh doanh'!AP7</f>
        <v>7858071500</v>
      </c>
      <c r="AQ12" s="190">
        <f>'Ket qua kinh doanh'!AQ7</f>
        <v>5360336000</v>
      </c>
      <c r="AR12" s="190">
        <f>'Ket qua kinh doanh'!AR7</f>
        <v>7701926000</v>
      </c>
      <c r="AS12" s="190">
        <f>'Ket qua kinh doanh'!AS7</f>
        <v>7405493500</v>
      </c>
      <c r="AT12" s="190">
        <f>'Ket qua kinh doanh'!AT7</f>
        <v>5356795000</v>
      </c>
      <c r="AU12" s="190">
        <f>'Ket qua kinh doanh'!AU7</f>
        <v>5872209850</v>
      </c>
      <c r="AV12" s="190">
        <f>'Ket qua kinh doanh'!AV7</f>
        <v>4632824810</v>
      </c>
      <c r="AW12" s="190">
        <f>'Ket qua kinh doanh'!AW7</f>
        <v>6376620000</v>
      </c>
      <c r="AX12" s="190">
        <f>'Ket qua kinh doanh'!AX7</f>
        <v>6008306800</v>
      </c>
      <c r="AY12" s="190">
        <f>'Ket qua kinh doanh'!AY7</f>
        <v>5094418200</v>
      </c>
      <c r="AZ12" s="190">
        <f>'Ket qua kinh doanh'!AZ7</f>
        <v>3795897480</v>
      </c>
      <c r="BA12" s="190">
        <f>'Ket qua kinh doanh'!BA7</f>
        <v>5012982676</v>
      </c>
      <c r="BB12" s="190">
        <f>'Ket qua kinh doanh'!BB7</f>
        <v>8087243089</v>
      </c>
      <c r="BC12" s="190">
        <f>'Ket qua kinh doanh'!BC7</f>
        <v>9694585314</v>
      </c>
      <c r="BD12" s="190">
        <f>'Ket qua kinh doanh'!BD7</f>
        <v>8388349104</v>
      </c>
      <c r="BE12" s="190">
        <f>'Ket qua kinh doanh'!BE7</f>
        <v>9515421651</v>
      </c>
      <c r="BF12" s="190">
        <f>'Ket qua kinh doanh'!BF7</f>
        <v>13592588554</v>
      </c>
      <c r="BG12" s="190">
        <f>'Ket qua kinh doanh'!BG7</f>
        <v>12421660930</v>
      </c>
      <c r="BH12" s="190">
        <f>'Ket qua kinh doanh'!BH7</f>
        <v>8808063400</v>
      </c>
      <c r="BI12" s="190">
        <f>'Ket qua kinh doanh'!BI7</f>
        <v>7719934000</v>
      </c>
      <c r="BJ12" s="190">
        <f>'Ket qua kinh doanh'!BJ7</f>
        <v>6532057500</v>
      </c>
      <c r="BK12" s="190">
        <v>8694231720</v>
      </c>
      <c r="BL12" s="190">
        <f>'Ket qua kinh doanh'!BL7</f>
        <v>8331190500</v>
      </c>
      <c r="BM12" s="190">
        <f>'Ket qua kinh doanh'!BM7</f>
        <v>6640520862</v>
      </c>
      <c r="BN12" s="190">
        <f>'Ket qua kinh doanh'!BN7</f>
        <v>9363644480</v>
      </c>
      <c r="BO12" s="190">
        <v>9143059160</v>
      </c>
      <c r="BP12" s="190">
        <v>12123223250</v>
      </c>
      <c r="BQ12" s="190">
        <v>13689537870</v>
      </c>
      <c r="BR12" s="190">
        <f>'Ket qua kinh doanh'!BR7</f>
        <v>0</v>
      </c>
      <c r="BS12" s="190">
        <f>'Ket qua kinh doanh'!BS7</f>
        <v>0</v>
      </c>
      <c r="BT12" s="190">
        <f>'Ket qua kinh doanh'!BT7</f>
        <v>0</v>
      </c>
      <c r="BU12" s="190">
        <f>'Ket qua kinh doanh'!BU7</f>
        <v>0</v>
      </c>
      <c r="BV12" s="190">
        <f>'Ket qua kinh doanh'!BV7</f>
        <v>0</v>
      </c>
      <c r="BW12" s="190">
        <f>'Ket qua kinh doanh'!BW7</f>
        <v>0</v>
      </c>
    </row>
    <row r="13" spans="1:75" x14ac:dyDescent="0.25">
      <c r="A13" s="166">
        <v>10</v>
      </c>
      <c r="B13" s="167" t="s">
        <v>417</v>
      </c>
      <c r="C13" s="177">
        <v>7</v>
      </c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91"/>
      <c r="AV13" s="191"/>
      <c r="AW13" s="191"/>
      <c r="AX13" s="191"/>
      <c r="AY13" s="191"/>
      <c r="AZ13" s="191"/>
      <c r="BA13" s="191"/>
      <c r="BB13" s="191"/>
      <c r="BC13" s="191"/>
      <c r="BD13" s="191"/>
      <c r="BE13" s="191"/>
      <c r="BF13" s="191"/>
      <c r="BG13" s="191"/>
      <c r="BH13" s="191"/>
      <c r="BI13" s="191"/>
      <c r="BJ13" s="191"/>
      <c r="BK13" s="191"/>
      <c r="BL13" s="191"/>
      <c r="BM13" s="191"/>
      <c r="BN13" s="191"/>
      <c r="BO13" s="191"/>
      <c r="BP13" s="191"/>
      <c r="BQ13" s="191"/>
      <c r="BR13" s="191"/>
      <c r="BS13" s="191"/>
      <c r="BT13" s="191"/>
      <c r="BU13" s="191"/>
      <c r="BV13" s="191"/>
      <c r="BW13" s="191"/>
    </row>
    <row r="14" spans="1:75" x14ac:dyDescent="0.25">
      <c r="A14" s="166">
        <v>11</v>
      </c>
      <c r="B14" s="167" t="s">
        <v>418</v>
      </c>
      <c r="C14" s="177">
        <v>7</v>
      </c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>
        <v>6816503925</v>
      </c>
      <c r="AO14" s="191">
        <v>6039598500</v>
      </c>
      <c r="AP14" s="191">
        <v>7858071500</v>
      </c>
      <c r="AQ14" s="191">
        <v>5360336000</v>
      </c>
      <c r="AR14" s="191">
        <v>7701926000</v>
      </c>
      <c r="AS14" s="191">
        <v>7405493500</v>
      </c>
      <c r="AT14" s="191">
        <v>5356795000</v>
      </c>
      <c r="AU14" s="191">
        <v>5872209850</v>
      </c>
      <c r="AV14" s="191">
        <v>4632824810</v>
      </c>
      <c r="AW14" s="191">
        <v>6376620000</v>
      </c>
      <c r="AX14" s="191">
        <v>6008306800</v>
      </c>
      <c r="AY14" s="191">
        <v>5094418200</v>
      </c>
      <c r="AZ14" s="191">
        <v>3795897480</v>
      </c>
      <c r="BA14" s="191">
        <v>5012982676</v>
      </c>
      <c r="BB14" s="191">
        <v>8087243089</v>
      </c>
      <c r="BC14" s="191">
        <v>9694585314</v>
      </c>
      <c r="BD14" s="191">
        <v>8388349104</v>
      </c>
      <c r="BE14" s="191">
        <v>9515421651</v>
      </c>
      <c r="BF14" s="191">
        <v>13592588554</v>
      </c>
      <c r="BG14" s="191">
        <v>12421660930</v>
      </c>
      <c r="BH14" s="191">
        <v>8808063400</v>
      </c>
      <c r="BI14" s="191">
        <v>7719934000</v>
      </c>
      <c r="BJ14" s="191">
        <v>6532057500</v>
      </c>
      <c r="BK14" s="191">
        <v>8694231720</v>
      </c>
      <c r="BL14" s="191">
        <f>BL12</f>
        <v>8331190500</v>
      </c>
      <c r="BM14" s="191">
        <v>6640520862</v>
      </c>
      <c r="BN14" s="191">
        <v>9363644480</v>
      </c>
      <c r="BO14" s="191">
        <v>9143059160</v>
      </c>
      <c r="BP14" s="191">
        <v>12123223250</v>
      </c>
      <c r="BQ14" s="191">
        <v>13689537870</v>
      </c>
      <c r="BR14" s="191"/>
      <c r="BS14" s="191"/>
      <c r="BT14" s="191"/>
      <c r="BU14" s="191"/>
      <c r="BV14" s="191"/>
      <c r="BW14" s="191"/>
    </row>
    <row r="15" spans="1:75" x14ac:dyDescent="0.25">
      <c r="A15" s="166">
        <v>12</v>
      </c>
      <c r="B15" s="167" t="s">
        <v>419</v>
      </c>
      <c r="C15" s="177">
        <v>7</v>
      </c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/>
      <c r="AV15" s="191"/>
      <c r="AW15" s="191"/>
      <c r="AX15" s="191"/>
      <c r="AY15" s="191"/>
      <c r="AZ15" s="191"/>
      <c r="BA15" s="191"/>
      <c r="BB15" s="191"/>
      <c r="BC15" s="191"/>
      <c r="BD15" s="191"/>
      <c r="BE15" s="191"/>
      <c r="BF15" s="191"/>
      <c r="BG15" s="191"/>
      <c r="BH15" s="191"/>
      <c r="BI15" s="191"/>
      <c r="BJ15" s="191"/>
      <c r="BK15" s="191"/>
      <c r="BL15" s="191"/>
      <c r="BM15" s="191"/>
      <c r="BN15" s="191"/>
      <c r="BO15" s="191"/>
      <c r="BP15" s="191"/>
      <c r="BQ15" s="191"/>
      <c r="BR15" s="191"/>
      <c r="BS15" s="191"/>
      <c r="BT15" s="191"/>
      <c r="BU15" s="191"/>
      <c r="BV15" s="191"/>
      <c r="BW15" s="191"/>
    </row>
    <row r="16" spans="1:75" x14ac:dyDescent="0.25">
      <c r="A16" s="169">
        <v>13</v>
      </c>
      <c r="B16" s="170" t="s">
        <v>420</v>
      </c>
      <c r="C16" s="171">
        <v>7</v>
      </c>
      <c r="D16" s="187">
        <f>'Ket qua kinh doanh'!D8</f>
        <v>307386576</v>
      </c>
      <c r="E16" s="187">
        <f>'Ket qua kinh doanh'!E8</f>
        <v>594551595</v>
      </c>
      <c r="F16" s="187">
        <f>'Ket qua kinh doanh'!F8</f>
        <v>883311950</v>
      </c>
      <c r="G16" s="187">
        <f>'Ket qua kinh doanh'!G8</f>
        <v>545112534</v>
      </c>
      <c r="H16" s="187">
        <f>'Ket qua kinh doanh'!H8</f>
        <v>429782229</v>
      </c>
      <c r="I16" s="187">
        <f>'Ket qua kinh doanh'!I8</f>
        <v>297804989</v>
      </c>
      <c r="J16" s="187">
        <f>'Ket qua kinh doanh'!J8</f>
        <v>190295081</v>
      </c>
      <c r="K16" s="187">
        <f>'Ket qua kinh doanh'!K8</f>
        <v>0</v>
      </c>
      <c r="L16" s="187">
        <f>'Ket qua kinh doanh'!L8</f>
        <v>0</v>
      </c>
      <c r="M16" s="187">
        <f>'Ket qua kinh doanh'!M8</f>
        <v>0</v>
      </c>
      <c r="N16" s="187">
        <f>'Ket qua kinh doanh'!N8</f>
        <v>0</v>
      </c>
      <c r="O16" s="187">
        <f>'Ket qua kinh doanh'!O8</f>
        <v>993039652</v>
      </c>
      <c r="P16" s="187">
        <f>'Ket qua kinh doanh'!P8</f>
        <v>925318497</v>
      </c>
      <c r="Q16" s="187">
        <f>'Ket qua kinh doanh'!Q8</f>
        <v>1707322194</v>
      </c>
      <c r="R16" s="187">
        <f>'Ket qua kinh doanh'!R8</f>
        <v>2217846032</v>
      </c>
      <c r="S16" s="187">
        <f>'Ket qua kinh doanh'!S8</f>
        <v>2602912448</v>
      </c>
      <c r="T16" s="187">
        <f>'Ket qua kinh doanh'!T8</f>
        <v>2370282789</v>
      </c>
      <c r="U16" s="187">
        <f>'Ket qua kinh doanh'!U8</f>
        <v>3820527867</v>
      </c>
      <c r="V16" s="187">
        <f>'Ket qua kinh doanh'!V8</f>
        <v>2211991801</v>
      </c>
      <c r="W16" s="187">
        <f>'Ket qua kinh doanh'!W8</f>
        <v>3337732602</v>
      </c>
      <c r="X16" s="187">
        <f>'Ket qua kinh doanh'!X8</f>
        <v>3917856191</v>
      </c>
      <c r="Y16" s="187">
        <f>'Ket qua kinh doanh'!Y8</f>
        <v>3981567453.9407091</v>
      </c>
      <c r="Z16" s="187">
        <f>'Ket qua kinh doanh'!Z8</f>
        <v>5471834459</v>
      </c>
      <c r="AA16" s="187">
        <f>'Ket qua kinh doanh'!AA8</f>
        <v>9118635211</v>
      </c>
      <c r="AB16" s="187">
        <f>'Ket qua kinh doanh'!AB8</f>
        <v>1959307170</v>
      </c>
      <c r="AC16" s="187">
        <f>'Ket qua kinh doanh'!AC8</f>
        <v>4350442102</v>
      </c>
      <c r="AD16" s="187">
        <f>'Ket qua kinh doanh'!AD8</f>
        <v>6113575485</v>
      </c>
      <c r="AE16" s="187">
        <f>'Ket qua kinh doanh'!AE8</f>
        <v>6988900943</v>
      </c>
      <c r="AF16" s="187">
        <f>'Ket qua kinh doanh'!AF8</f>
        <v>7690397229</v>
      </c>
      <c r="AG16" s="187">
        <f>'Ket qua kinh doanh'!AG8</f>
        <v>5623409224</v>
      </c>
      <c r="AH16" s="187">
        <f>'Ket qua kinh doanh'!AH8</f>
        <v>5700764058</v>
      </c>
      <c r="AI16" s="187">
        <f>'Ket qua kinh doanh'!AI8</f>
        <v>4951896169</v>
      </c>
      <c r="AJ16" s="187">
        <f>'Ket qua kinh doanh'!AJ8</f>
        <v>3904690074</v>
      </c>
      <c r="AK16" s="187">
        <f>'Ket qua kinh doanh'!AK8</f>
        <v>5122380259</v>
      </c>
      <c r="AL16" s="187">
        <f>'Ket qua kinh doanh'!AL8</f>
        <v>6706430896</v>
      </c>
      <c r="AM16" s="187">
        <f>'Ket qua kinh doanh'!AM8</f>
        <v>7561852654</v>
      </c>
      <c r="AN16" s="187">
        <f>'Ket qua kinh doanh'!AN8</f>
        <v>6559783004</v>
      </c>
      <c r="AO16" s="187">
        <f>'Ket qua kinh doanh'!AO8</f>
        <v>5886345396</v>
      </c>
      <c r="AP16" s="187">
        <f>'Ket qua kinh doanh'!AP8</f>
        <v>7324351881</v>
      </c>
      <c r="AQ16" s="187">
        <f>'Ket qua kinh doanh'!AQ8</f>
        <v>5224998353</v>
      </c>
      <c r="AR16" s="187">
        <f>'Ket qua kinh doanh'!AR8</f>
        <v>7764479089</v>
      </c>
      <c r="AS16" s="187">
        <f>'Ket qua kinh doanh'!AS8</f>
        <v>7281939097</v>
      </c>
      <c r="AT16" s="187">
        <f>'Ket qua kinh doanh'!AT8</f>
        <v>5437205244</v>
      </c>
      <c r="AU16" s="187">
        <f>'Ket qua kinh doanh'!AU8</f>
        <v>5773497558</v>
      </c>
      <c r="AV16" s="187">
        <f>'Ket qua kinh doanh'!AV8</f>
        <v>4867603245</v>
      </c>
      <c r="AW16" s="187">
        <f>'Ket qua kinh doanh'!AW8</f>
        <v>6301887244</v>
      </c>
      <c r="AX16" s="187">
        <f>'Ket qua kinh doanh'!AX8</f>
        <v>5850497140</v>
      </c>
      <c r="AY16" s="187">
        <f>'Ket qua kinh doanh'!AY8</f>
        <v>5184095833</v>
      </c>
      <c r="AZ16" s="187">
        <f>'Ket qua kinh doanh'!AZ8</f>
        <v>4115294618</v>
      </c>
      <c r="BA16" s="187">
        <f>'Ket qua kinh doanh'!BA8</f>
        <v>5323842751</v>
      </c>
      <c r="BB16" s="187">
        <f>'Ket qua kinh doanh'!BB8</f>
        <v>7964328238</v>
      </c>
      <c r="BC16" s="187">
        <f>'Ket qua kinh doanh'!BC8</f>
        <v>8541162245</v>
      </c>
      <c r="BD16" s="187">
        <f>'Ket qua kinh doanh'!BD8</f>
        <v>7739685565</v>
      </c>
      <c r="BE16" s="187">
        <f>'Ket qua kinh doanh'!BE8</f>
        <v>8523016034</v>
      </c>
      <c r="BF16" s="187">
        <f>'Ket qua kinh doanh'!BF8</f>
        <v>11750480818</v>
      </c>
      <c r="BG16" s="187">
        <f>'Ket qua kinh doanh'!BG8</f>
        <v>10965244594</v>
      </c>
      <c r="BH16" s="187">
        <f>'Ket qua kinh doanh'!BH8</f>
        <v>8023329011</v>
      </c>
      <c r="BI16" s="187">
        <f>'Ket qua kinh doanh'!BI8</f>
        <v>6836790306</v>
      </c>
      <c r="BJ16" s="187">
        <f>'Ket qua kinh doanh'!BJ8</f>
        <v>5683019867</v>
      </c>
      <c r="BK16" s="187">
        <v>7372961109</v>
      </c>
      <c r="BL16" s="187">
        <f>'Ket qua kinh doanh'!BL8</f>
        <v>7000379183</v>
      </c>
      <c r="BM16" s="187">
        <f>'Ket qua kinh doanh'!BM8</f>
        <v>6068834875</v>
      </c>
      <c r="BN16" s="187">
        <f>'Ket qua kinh doanh'!BN8</f>
        <v>8096833514</v>
      </c>
      <c r="BO16" s="187">
        <v>8034793677</v>
      </c>
      <c r="BP16" s="187">
        <v>10499325346</v>
      </c>
      <c r="BQ16" s="187">
        <v>12052869262</v>
      </c>
      <c r="BR16" s="187">
        <f>'Ket qua kinh doanh'!BR8</f>
        <v>0</v>
      </c>
      <c r="BS16" s="187">
        <f>'Ket qua kinh doanh'!BS8</f>
        <v>0</v>
      </c>
      <c r="BT16" s="187">
        <f>'Ket qua kinh doanh'!BT8</f>
        <v>0</v>
      </c>
      <c r="BU16" s="187">
        <f>'Ket qua kinh doanh'!BU8</f>
        <v>0</v>
      </c>
      <c r="BV16" s="187">
        <f>'Ket qua kinh doanh'!BV8</f>
        <v>0</v>
      </c>
      <c r="BW16" s="187">
        <f>'Ket qua kinh doanh'!BW8</f>
        <v>0</v>
      </c>
    </row>
    <row r="17" spans="1:75" x14ac:dyDescent="0.25">
      <c r="A17" s="166">
        <v>14</v>
      </c>
      <c r="B17" s="167" t="s">
        <v>421</v>
      </c>
      <c r="C17" s="177">
        <v>7</v>
      </c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>
        <v>5755973393</v>
      </c>
      <c r="AO17" s="191">
        <v>5169915730</v>
      </c>
      <c r="AP17" s="191">
        <v>6571736365</v>
      </c>
      <c r="AQ17" s="191">
        <v>4492350209</v>
      </c>
      <c r="AR17" s="191">
        <v>7044338777</v>
      </c>
      <c r="AS17" s="191">
        <v>6548108407</v>
      </c>
      <c r="AT17" s="191">
        <v>4709923925</v>
      </c>
      <c r="AU17" s="191">
        <v>5081319702</v>
      </c>
      <c r="AV17" s="191">
        <v>3997945258</v>
      </c>
      <c r="AW17" s="191">
        <v>5423877645</v>
      </c>
      <c r="AX17" s="191">
        <v>5029196187</v>
      </c>
      <c r="AY17" s="191">
        <v>4291277198</v>
      </c>
      <c r="AZ17" s="191">
        <v>3246863941</v>
      </c>
      <c r="BA17" s="191">
        <v>4401674885</v>
      </c>
      <c r="BB17" s="191">
        <v>6986365857</v>
      </c>
      <c r="BC17" s="191">
        <v>7513957887</v>
      </c>
      <c r="BD17" s="191">
        <v>6728171816</v>
      </c>
      <c r="BE17" s="191">
        <v>7487959358</v>
      </c>
      <c r="BF17" s="191">
        <v>10604107231</v>
      </c>
      <c r="BG17" s="191">
        <v>9902902190</v>
      </c>
      <c r="BH17" s="191">
        <v>6985023161</v>
      </c>
      <c r="BI17" s="191">
        <v>5821329853</v>
      </c>
      <c r="BJ17" s="191">
        <v>4764723611</v>
      </c>
      <c r="BK17" s="191">
        <v>6134156746</v>
      </c>
      <c r="BL17" s="191">
        <v>6983601256</v>
      </c>
      <c r="BM17" s="191">
        <v>4108803542</v>
      </c>
      <c r="BN17" s="191">
        <v>7108907863</v>
      </c>
      <c r="BO17" s="191">
        <v>7278874080</v>
      </c>
      <c r="BP17" s="191">
        <v>7680833092</v>
      </c>
      <c r="BQ17" s="191">
        <v>10468199825</v>
      </c>
      <c r="BR17" s="191"/>
      <c r="BS17" s="191"/>
      <c r="BT17" s="191"/>
      <c r="BU17" s="191"/>
      <c r="BV17" s="191"/>
      <c r="BW17" s="191"/>
    </row>
    <row r="18" spans="1:75" x14ac:dyDescent="0.25">
      <c r="A18" s="166">
        <v>15</v>
      </c>
      <c r="B18" s="167" t="s">
        <v>422</v>
      </c>
      <c r="C18" s="177">
        <v>7</v>
      </c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>
        <v>31205300</v>
      </c>
      <c r="AO18" s="191">
        <v>22219000</v>
      </c>
      <c r="AP18" s="191">
        <v>31088900</v>
      </c>
      <c r="AQ18" s="191">
        <v>26746300</v>
      </c>
      <c r="AR18" s="191">
        <v>31877600</v>
      </c>
      <c r="AS18" s="191">
        <v>34175400</v>
      </c>
      <c r="AT18" s="191">
        <v>27729600</v>
      </c>
      <c r="AU18" s="191">
        <v>41612376</v>
      </c>
      <c r="AV18" s="191">
        <v>32469011</v>
      </c>
      <c r="AW18" s="191">
        <v>39339080</v>
      </c>
      <c r="AX18" s="191">
        <v>36445498</v>
      </c>
      <c r="AY18" s="191">
        <v>22274744</v>
      </c>
      <c r="AZ18" s="191">
        <v>21783537</v>
      </c>
      <c r="BA18" s="191">
        <v>25110006</v>
      </c>
      <c r="BB18" s="191">
        <v>35465899</v>
      </c>
      <c r="BC18" s="191">
        <v>38843778</v>
      </c>
      <c r="BD18" s="191">
        <v>36435793</v>
      </c>
      <c r="BE18" s="191">
        <v>38605384</v>
      </c>
      <c r="BF18" s="191">
        <v>55086679</v>
      </c>
      <c r="BG18" s="191">
        <v>47559092</v>
      </c>
      <c r="BH18" s="191">
        <v>41047405</v>
      </c>
      <c r="BI18" s="191">
        <v>38020576</v>
      </c>
      <c r="BJ18" s="191">
        <v>34757780</v>
      </c>
      <c r="BK18" s="191">
        <v>39844151</v>
      </c>
      <c r="BL18" s="191">
        <v>37353269</v>
      </c>
      <c r="BM18" s="191">
        <v>26927151</v>
      </c>
      <c r="BN18" s="191">
        <v>43474135</v>
      </c>
      <c r="BO18" s="191">
        <v>40579572</v>
      </c>
      <c r="BP18" s="191">
        <v>43866008</v>
      </c>
      <c r="BQ18" s="191">
        <v>49988505</v>
      </c>
      <c r="BR18" s="191"/>
      <c r="BS18" s="191"/>
      <c r="BT18" s="191"/>
      <c r="BU18" s="191"/>
      <c r="BV18" s="191"/>
      <c r="BW18" s="191"/>
    </row>
    <row r="19" spans="1:75" x14ac:dyDescent="0.25">
      <c r="A19" s="166">
        <v>16</v>
      </c>
      <c r="B19" s="167" t="s">
        <v>423</v>
      </c>
      <c r="C19" s="177">
        <v>7</v>
      </c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91"/>
      <c r="AV19" s="191"/>
      <c r="AW19" s="191"/>
      <c r="AX19" s="191"/>
      <c r="AY19" s="191"/>
      <c r="AZ19" s="191"/>
      <c r="BA19" s="191"/>
      <c r="BB19" s="191"/>
      <c r="BC19" s="191"/>
      <c r="BD19" s="191"/>
      <c r="BE19" s="191"/>
      <c r="BF19" s="191"/>
      <c r="BG19" s="191"/>
      <c r="BH19" s="191"/>
      <c r="BI19" s="191"/>
      <c r="BJ19" s="191"/>
      <c r="BK19" s="191"/>
      <c r="BL19" s="191"/>
      <c r="BM19" s="191"/>
      <c r="BN19" s="191"/>
      <c r="BO19" s="191"/>
      <c r="BP19" s="191"/>
      <c r="BQ19" s="191"/>
      <c r="BR19" s="191"/>
      <c r="BS19" s="191"/>
      <c r="BT19" s="191"/>
      <c r="BU19" s="191"/>
      <c r="BV19" s="191"/>
      <c r="BW19" s="191"/>
    </row>
    <row r="20" spans="1:75" x14ac:dyDescent="0.25">
      <c r="A20" s="166">
        <v>17</v>
      </c>
      <c r="B20" s="167" t="s">
        <v>424</v>
      </c>
      <c r="C20" s="177">
        <v>7</v>
      </c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>
        <v>5011022572</v>
      </c>
      <c r="AN20" s="191">
        <v>374388475</v>
      </c>
      <c r="AO20" s="191">
        <v>336032711</v>
      </c>
      <c r="AP20" s="191">
        <v>335588965</v>
      </c>
      <c r="AQ20" s="191">
        <v>340488472</v>
      </c>
      <c r="AR20" s="191">
        <v>304749839</v>
      </c>
      <c r="AS20" s="191">
        <v>314840387</v>
      </c>
      <c r="AT20" s="191">
        <v>253055767</v>
      </c>
      <c r="AU20" s="191">
        <v>267262509</v>
      </c>
      <c r="AV20" s="191">
        <v>289944618</v>
      </c>
      <c r="AW20" s="191">
        <v>301013430</v>
      </c>
      <c r="AX20" s="191">
        <v>283200000</v>
      </c>
      <c r="AY20" s="191">
        <v>258836540</v>
      </c>
      <c r="AZ20" s="191">
        <v>313398044</v>
      </c>
      <c r="BA20" s="191">
        <v>334053041</v>
      </c>
      <c r="BB20" s="191">
        <v>389512950</v>
      </c>
      <c r="BC20" s="191">
        <v>386175704</v>
      </c>
      <c r="BD20" s="191">
        <v>315774843</v>
      </c>
      <c r="BE20" s="191">
        <v>366425376</v>
      </c>
      <c r="BF20" s="191">
        <v>375580418</v>
      </c>
      <c r="BG20" s="191">
        <v>365311869</v>
      </c>
      <c r="BH20" s="191">
        <v>326101430</v>
      </c>
      <c r="BI20" s="191">
        <v>299133133</v>
      </c>
      <c r="BJ20" s="191">
        <v>274860695</v>
      </c>
      <c r="BK20" s="191">
        <v>343166255</v>
      </c>
      <c r="BL20" s="191">
        <v>421281145</v>
      </c>
      <c r="BM20" s="191">
        <v>421015614</v>
      </c>
      <c r="BN20" s="191">
        <v>347748843</v>
      </c>
      <c r="BO20" s="191">
        <v>409691385</v>
      </c>
      <c r="BP20" s="191">
        <v>408380347</v>
      </c>
      <c r="BQ20" s="191">
        <v>610223056</v>
      </c>
      <c r="BR20" s="191"/>
      <c r="BS20" s="191"/>
      <c r="BT20" s="191"/>
      <c r="BU20" s="191"/>
      <c r="BV20" s="191"/>
      <c r="BW20" s="191"/>
    </row>
    <row r="21" spans="1:75" x14ac:dyDescent="0.25">
      <c r="A21" s="166">
        <v>18</v>
      </c>
      <c r="B21" s="167" t="s">
        <v>425</v>
      </c>
      <c r="C21" s="177">
        <v>7</v>
      </c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>
        <v>13473077</v>
      </c>
      <c r="AO21" s="191">
        <v>11911538</v>
      </c>
      <c r="AP21" s="191">
        <v>13609388</v>
      </c>
      <c r="AQ21" s="191">
        <v>13246154</v>
      </c>
      <c r="AR21" s="191">
        <v>12746154</v>
      </c>
      <c r="AS21" s="191">
        <v>12296154</v>
      </c>
      <c r="AT21" s="191">
        <v>13000000</v>
      </c>
      <c r="AU21" s="191">
        <v>13409620</v>
      </c>
      <c r="AV21" s="191">
        <v>15918769</v>
      </c>
      <c r="AW21" s="191">
        <v>24024050</v>
      </c>
      <c r="AX21" s="191">
        <v>22615385</v>
      </c>
      <c r="AY21" s="191">
        <v>23006924</v>
      </c>
      <c r="AZ21" s="191">
        <v>26318423</v>
      </c>
      <c r="BA21" s="191">
        <v>23613486</v>
      </c>
      <c r="BB21" s="191">
        <v>16908804</v>
      </c>
      <c r="BC21" s="191">
        <v>56205520</v>
      </c>
      <c r="BD21" s="191">
        <v>78766134</v>
      </c>
      <c r="BE21" s="191">
        <v>63210856</v>
      </c>
      <c r="BF21" s="191">
        <v>65304158</v>
      </c>
      <c r="BG21" s="191">
        <v>68385464</v>
      </c>
      <c r="BH21" s="191">
        <v>72676235</v>
      </c>
      <c r="BI21" s="191">
        <v>68775609</v>
      </c>
      <c r="BJ21" s="191">
        <v>68808066</v>
      </c>
      <c r="BK21" s="191">
        <v>69721432</v>
      </c>
      <c r="BL21" s="191">
        <v>135788940</v>
      </c>
      <c r="BM21" s="191">
        <v>248651999</v>
      </c>
      <c r="BN21" s="191">
        <v>162466061</v>
      </c>
      <c r="BO21" s="191">
        <v>163355360</v>
      </c>
      <c r="BP21" s="191">
        <v>105494549</v>
      </c>
      <c r="BQ21" s="191">
        <v>166750721</v>
      </c>
      <c r="BR21" s="191"/>
      <c r="BS21" s="191"/>
      <c r="BT21" s="191"/>
      <c r="BU21" s="191"/>
      <c r="BV21" s="191"/>
      <c r="BW21" s="191"/>
    </row>
    <row r="22" spans="1:75" x14ac:dyDescent="0.25">
      <c r="A22" s="166">
        <v>19</v>
      </c>
      <c r="B22" s="178" t="s">
        <v>426</v>
      </c>
      <c r="C22" s="177">
        <v>7</v>
      </c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>
        <v>1209041286</v>
      </c>
      <c r="AN22" s="191">
        <v>92998593</v>
      </c>
      <c r="AO22" s="191">
        <v>86115600</v>
      </c>
      <c r="AP22" s="191">
        <v>94018108</v>
      </c>
      <c r="AQ22" s="191">
        <v>81993109</v>
      </c>
      <c r="AR22" s="191">
        <v>88714445</v>
      </c>
      <c r="AS22" s="191">
        <v>78595619</v>
      </c>
      <c r="AT22" s="191">
        <v>76096522</v>
      </c>
      <c r="AU22" s="191">
        <v>78150529</v>
      </c>
      <c r="AV22" s="191">
        <v>74987026</v>
      </c>
      <c r="AW22" s="191">
        <v>100277416</v>
      </c>
      <c r="AX22" s="191">
        <v>88525267</v>
      </c>
      <c r="AY22" s="191">
        <v>67766935</v>
      </c>
      <c r="AZ22" s="191">
        <v>85934357</v>
      </c>
      <c r="BA22" s="191">
        <v>92813270</v>
      </c>
      <c r="BB22" s="191">
        <v>91691776</v>
      </c>
      <c r="BC22" s="191">
        <v>92345265</v>
      </c>
      <c r="BD22" s="191">
        <v>92973478</v>
      </c>
      <c r="BE22" s="191">
        <v>98435266</v>
      </c>
      <c r="BF22" s="191">
        <v>143860688</v>
      </c>
      <c r="BG22" s="191">
        <v>69858085</v>
      </c>
      <c r="BH22" s="191">
        <v>90839359</v>
      </c>
      <c r="BI22" s="191">
        <v>105448461</v>
      </c>
      <c r="BJ22" s="191">
        <v>84725008</v>
      </c>
      <c r="BK22" s="191">
        <v>220379909</v>
      </c>
      <c r="BL22" s="191">
        <v>0</v>
      </c>
      <c r="BM22" s="191">
        <v>-8774835</v>
      </c>
      <c r="BN22" s="191">
        <v>49309505</v>
      </c>
      <c r="BO22" s="191">
        <v>37365546</v>
      </c>
      <c r="BP22" s="191">
        <v>108534134</v>
      </c>
      <c r="BQ22" s="191">
        <v>126094373</v>
      </c>
      <c r="BR22" s="191"/>
      <c r="BS22" s="191"/>
      <c r="BT22" s="191"/>
      <c r="BU22" s="191"/>
      <c r="BV22" s="191"/>
      <c r="BW22" s="191"/>
    </row>
    <row r="23" spans="1:75" x14ac:dyDescent="0.25">
      <c r="A23" s="166">
        <v>20</v>
      </c>
      <c r="B23" s="167" t="s">
        <v>427</v>
      </c>
      <c r="C23" s="177">
        <v>7</v>
      </c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>
        <v>39350032</v>
      </c>
      <c r="AO23" s="191">
        <v>15303494</v>
      </c>
      <c r="AP23" s="191">
        <v>22668077</v>
      </c>
      <c r="AQ23" s="191">
        <v>28073168</v>
      </c>
      <c r="AR23" s="191">
        <v>29923827</v>
      </c>
      <c r="AS23" s="191">
        <v>39347157</v>
      </c>
      <c r="AT23" s="191">
        <v>30647799</v>
      </c>
      <c r="AU23" s="191">
        <v>37426352</v>
      </c>
      <c r="AV23" s="191">
        <v>60525578</v>
      </c>
      <c r="AW23" s="191">
        <v>55204327</v>
      </c>
      <c r="AX23" s="191">
        <v>54082442</v>
      </c>
      <c r="AY23" s="191">
        <v>148464797</v>
      </c>
      <c r="AZ23" s="191">
        <v>95679073</v>
      </c>
      <c r="BA23" s="191">
        <v>92910174</v>
      </c>
      <c r="BB23" s="191">
        <v>84300650</v>
      </c>
      <c r="BC23" s="191">
        <v>69752706</v>
      </c>
      <c r="BD23" s="191">
        <v>108641179</v>
      </c>
      <c r="BE23" s="191">
        <v>87526893</v>
      </c>
      <c r="BF23" s="191">
        <v>118335745</v>
      </c>
      <c r="BG23" s="191">
        <v>112699354</v>
      </c>
      <c r="BH23" s="191">
        <v>114465803</v>
      </c>
      <c r="BI23" s="191">
        <v>111040070</v>
      </c>
      <c r="BJ23" s="191">
        <v>89564557</v>
      </c>
      <c r="BK23" s="191">
        <v>77464169</v>
      </c>
      <c r="BL23" s="191">
        <v>85520386</v>
      </c>
      <c r="BM23" s="191">
        <v>76680136</v>
      </c>
      <c r="BN23" s="191">
        <v>81929750</v>
      </c>
      <c r="BO23" s="191">
        <v>90409329</v>
      </c>
      <c r="BP23" s="191">
        <v>114880589</v>
      </c>
      <c r="BQ23" s="191">
        <v>115290868</v>
      </c>
      <c r="BR23" s="191"/>
      <c r="BS23" s="191"/>
      <c r="BT23" s="191"/>
      <c r="BU23" s="191"/>
      <c r="BV23" s="191"/>
      <c r="BW23" s="191"/>
    </row>
    <row r="24" spans="1:75" x14ac:dyDescent="0.25">
      <c r="A24" s="179">
        <v>21</v>
      </c>
      <c r="B24" s="178" t="s">
        <v>428</v>
      </c>
      <c r="C24" s="177">
        <v>7</v>
      </c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>
        <v>140390602</v>
      </c>
      <c r="AO24" s="191">
        <v>132843791</v>
      </c>
      <c r="AP24" s="191">
        <v>143638546</v>
      </c>
      <c r="AQ24" s="191">
        <v>130097409</v>
      </c>
      <c r="AR24" s="191">
        <v>134614163</v>
      </c>
      <c r="AS24" s="191">
        <v>135739108</v>
      </c>
      <c r="AT24" s="191">
        <v>207914766</v>
      </c>
      <c r="AU24" s="191">
        <v>135479605</v>
      </c>
      <c r="AV24" s="191">
        <v>276976120</v>
      </c>
      <c r="AW24" s="191">
        <v>192359517</v>
      </c>
      <c r="AX24" s="191">
        <v>189024000</v>
      </c>
      <c r="AY24" s="191">
        <v>228558433</v>
      </c>
      <c r="AZ24" s="191">
        <v>171772053</v>
      </c>
      <c r="BA24" s="191">
        <v>200122699</v>
      </c>
      <c r="BB24" s="191">
        <v>206537112</v>
      </c>
      <c r="BC24" s="191">
        <v>203502862</v>
      </c>
      <c r="BD24" s="191">
        <v>219554547</v>
      </c>
      <c r="BE24" s="191">
        <v>202260042</v>
      </c>
      <c r="BF24" s="191">
        <v>209986932</v>
      </c>
      <c r="BG24" s="191">
        <v>221309573</v>
      </c>
      <c r="BH24" s="191">
        <v>215956651</v>
      </c>
      <c r="BI24" s="191">
        <v>215823637</v>
      </c>
      <c r="BJ24" s="191">
        <v>190203772</v>
      </c>
      <c r="BK24" s="191">
        <v>312852072</v>
      </c>
      <c r="BL24" s="191">
        <v>354774068</v>
      </c>
      <c r="BM24" s="191">
        <v>343179961</v>
      </c>
      <c r="BN24" s="191">
        <v>482215115</v>
      </c>
      <c r="BO24" s="191">
        <v>428658517</v>
      </c>
      <c r="BP24" s="191">
        <v>461785892</v>
      </c>
      <c r="BQ24" s="191">
        <v>216798719</v>
      </c>
      <c r="BR24" s="191"/>
      <c r="BS24" s="191"/>
      <c r="BT24" s="191"/>
      <c r="BU24" s="191"/>
      <c r="BV24" s="191"/>
      <c r="BW24" s="191"/>
    </row>
    <row r="25" spans="1:75" x14ac:dyDescent="0.25">
      <c r="A25" s="166">
        <v>22</v>
      </c>
      <c r="B25" s="167" t="s">
        <v>429</v>
      </c>
      <c r="C25" s="177">
        <v>7</v>
      </c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>
        <v>112003532</v>
      </c>
      <c r="AO25" s="191">
        <v>112003532</v>
      </c>
      <c r="AP25" s="191">
        <v>112003532</v>
      </c>
      <c r="AQ25" s="191">
        <v>112003532</v>
      </c>
      <c r="AR25" s="191">
        <v>117514284</v>
      </c>
      <c r="AS25" s="191">
        <v>118836865</v>
      </c>
      <c r="AT25" s="191">
        <v>118836865</v>
      </c>
      <c r="AU25" s="191">
        <v>118836865</v>
      </c>
      <c r="AV25" s="191">
        <v>118836865</v>
      </c>
      <c r="AW25" s="191">
        <v>134265829</v>
      </c>
      <c r="AX25" s="191">
        <v>147408361</v>
      </c>
      <c r="AY25" s="191">
        <v>143910262</v>
      </c>
      <c r="AZ25" s="191">
        <v>153545190</v>
      </c>
      <c r="BA25" s="191">
        <v>153545190</v>
      </c>
      <c r="BB25" s="191">
        <v>153545190</v>
      </c>
      <c r="BC25" s="191">
        <v>180378523</v>
      </c>
      <c r="BD25" s="191">
        <v>159367775</v>
      </c>
      <c r="BE25" s="191">
        <v>178592859</v>
      </c>
      <c r="BF25" s="191">
        <v>178218967</v>
      </c>
      <c r="BG25" s="191">
        <v>177218967</v>
      </c>
      <c r="BH25" s="191">
        <v>177218967</v>
      </c>
      <c r="BI25" s="191">
        <v>177218967</v>
      </c>
      <c r="BJ25" s="191">
        <v>175376378</v>
      </c>
      <c r="BK25" s="191">
        <v>175376375</v>
      </c>
      <c r="BL25" s="191">
        <v>176190833</v>
      </c>
      <c r="BM25" s="191">
        <v>177005396</v>
      </c>
      <c r="BN25" s="191">
        <v>177819959</v>
      </c>
      <c r="BO25" s="191">
        <v>177819960</v>
      </c>
      <c r="BP25" s="191">
        <v>177819958</v>
      </c>
      <c r="BQ25" s="191">
        <v>191285965</v>
      </c>
      <c r="BR25" s="191"/>
      <c r="BS25" s="191"/>
      <c r="BT25" s="191"/>
      <c r="BU25" s="191"/>
      <c r="BV25" s="191"/>
      <c r="BW25" s="191"/>
    </row>
    <row r="26" spans="1:75" x14ac:dyDescent="0.25">
      <c r="A26" s="166">
        <v>23</v>
      </c>
      <c r="B26" s="167" t="s">
        <v>430</v>
      </c>
      <c r="C26" s="177">
        <v>7</v>
      </c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91"/>
      <c r="BN26" s="191"/>
      <c r="BO26" s="191"/>
      <c r="BP26" s="191"/>
      <c r="BQ26" s="191"/>
      <c r="BR26" s="191"/>
      <c r="BS26" s="191"/>
      <c r="BT26" s="191"/>
      <c r="BU26" s="191"/>
      <c r="BV26" s="191"/>
      <c r="BW26" s="191"/>
    </row>
    <row r="27" spans="1:75" x14ac:dyDescent="0.25">
      <c r="A27" s="166">
        <v>24</v>
      </c>
      <c r="B27" s="167" t="s">
        <v>431</v>
      </c>
      <c r="C27" s="177">
        <v>7</v>
      </c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  <c r="BD27" s="191"/>
      <c r="BE27" s="191"/>
      <c r="BF27" s="191"/>
      <c r="BG27" s="191"/>
      <c r="BH27" s="191"/>
      <c r="BI27" s="191"/>
      <c r="BJ27" s="191"/>
      <c r="BK27" s="191"/>
      <c r="BL27" s="191"/>
      <c r="BM27" s="191"/>
      <c r="BN27" s="191"/>
      <c r="BO27" s="191"/>
      <c r="BP27" s="191"/>
      <c r="BQ27" s="191"/>
      <c r="BR27" s="191"/>
      <c r="BS27" s="191"/>
      <c r="BT27" s="191"/>
      <c r="BU27" s="191"/>
      <c r="BV27" s="191"/>
      <c r="BW27" s="191"/>
    </row>
    <row r="28" spans="1:75" x14ac:dyDescent="0.25">
      <c r="A28" s="166">
        <v>25</v>
      </c>
      <c r="B28" s="167" t="s">
        <v>432</v>
      </c>
      <c r="C28" s="177">
        <v>7</v>
      </c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  <c r="BD28" s="191"/>
      <c r="BE28" s="191"/>
      <c r="BF28" s="191"/>
      <c r="BG28" s="191"/>
      <c r="BH28" s="191"/>
      <c r="BI28" s="191"/>
      <c r="BJ28" s="191"/>
      <c r="BK28" s="191"/>
      <c r="BL28" s="191">
        <v>-1194130714</v>
      </c>
      <c r="BM28" s="191">
        <v>675345911</v>
      </c>
      <c r="BN28" s="191">
        <v>-357037717</v>
      </c>
      <c r="BO28" s="191">
        <v>-591960072</v>
      </c>
      <c r="BP28" s="191">
        <v>1397730777</v>
      </c>
      <c r="BQ28" s="191">
        <v>108237230</v>
      </c>
      <c r="BR28" s="191"/>
      <c r="BS28" s="191"/>
      <c r="BT28" s="191"/>
      <c r="BU28" s="191"/>
      <c r="BV28" s="191"/>
      <c r="BW28" s="191"/>
    </row>
    <row r="29" spans="1:75" x14ac:dyDescent="0.25">
      <c r="A29" s="172">
        <v>26</v>
      </c>
      <c r="B29" s="173" t="s">
        <v>433</v>
      </c>
      <c r="C29" s="180">
        <v>7</v>
      </c>
      <c r="D29" s="192">
        <f t="shared" ref="D29:AI29" si="11">IFERROR(D16/D12,"")</f>
        <v>0.9828897324786019</v>
      </c>
      <c r="E29" s="192">
        <f t="shared" si="11"/>
        <v>0.97981898834170966</v>
      </c>
      <c r="F29" s="192">
        <f t="shared" si="11"/>
        <v>0.97742118991259208</v>
      </c>
      <c r="G29" s="192">
        <f t="shared" si="11"/>
        <v>0.93263957106752016</v>
      </c>
      <c r="H29" s="192">
        <f t="shared" si="11"/>
        <v>0.90814014800465037</v>
      </c>
      <c r="I29" s="192">
        <f t="shared" si="11"/>
        <v>0.91054152464535953</v>
      </c>
      <c r="J29" s="192">
        <f t="shared" si="11"/>
        <v>0.89652302611432255</v>
      </c>
      <c r="K29" s="192" t="str">
        <f t="shared" si="11"/>
        <v/>
      </c>
      <c r="L29" s="192" t="str">
        <f t="shared" si="11"/>
        <v/>
      </c>
      <c r="M29" s="192" t="str">
        <f t="shared" si="11"/>
        <v/>
      </c>
      <c r="N29" s="192">
        <f t="shared" si="11"/>
        <v>0</v>
      </c>
      <c r="O29" s="192">
        <f t="shared" si="11"/>
        <v>0.95394711849203373</v>
      </c>
      <c r="P29" s="192">
        <f t="shared" si="11"/>
        <v>0.6668241537919859</v>
      </c>
      <c r="Q29" s="192">
        <f t="shared" si="11"/>
        <v>1.0782320566216228</v>
      </c>
      <c r="R29" s="192">
        <f t="shared" si="11"/>
        <v>0.86172904617382784</v>
      </c>
      <c r="S29" s="192">
        <f t="shared" si="11"/>
        <v>0.93313902906486168</v>
      </c>
      <c r="T29" s="192">
        <f t="shared" si="11"/>
        <v>0.77429563298208048</v>
      </c>
      <c r="U29" s="192">
        <f t="shared" si="11"/>
        <v>0.9519017867963171</v>
      </c>
      <c r="V29" s="192">
        <f t="shared" si="11"/>
        <v>0.86183812025701534</v>
      </c>
      <c r="W29" s="192">
        <f t="shared" si="11"/>
        <v>0.78645228041921567</v>
      </c>
      <c r="X29" s="192">
        <f t="shared" si="11"/>
        <v>0.87054663494078011</v>
      </c>
      <c r="Y29" s="192">
        <f t="shared" si="11"/>
        <v>0.97265413577750326</v>
      </c>
      <c r="Z29" s="192">
        <f t="shared" si="11"/>
        <v>0.78880319938569521</v>
      </c>
      <c r="AA29" s="192">
        <f t="shared" si="11"/>
        <v>1.1373638456403339</v>
      </c>
      <c r="AB29" s="192">
        <f t="shared" si="11"/>
        <v>0.73317902048881423</v>
      </c>
      <c r="AC29" s="192">
        <f t="shared" si="11"/>
        <v>0.89620207106042371</v>
      </c>
      <c r="AD29" s="192">
        <f t="shared" si="11"/>
        <v>0.93578916474632368</v>
      </c>
      <c r="AE29" s="192">
        <f t="shared" si="11"/>
        <v>0.82773538793068491</v>
      </c>
      <c r="AF29" s="192">
        <f t="shared" si="11"/>
        <v>0.76318134901688373</v>
      </c>
      <c r="AG29" s="192">
        <f t="shared" si="11"/>
        <v>0.81903271181864579</v>
      </c>
      <c r="AH29" s="192">
        <f t="shared" si="11"/>
        <v>0.91163044201397703</v>
      </c>
      <c r="AI29" s="192">
        <f t="shared" si="11"/>
        <v>0.86959826387950145</v>
      </c>
      <c r="AJ29" s="192">
        <f t="shared" ref="AJ29:BJ29" si="12">IFERROR(AJ16/AJ12,"")</f>
        <v>0.87245419806362601</v>
      </c>
      <c r="AK29" s="192">
        <f t="shared" si="12"/>
        <v>0.83221300260656506</v>
      </c>
      <c r="AL29" s="192">
        <f t="shared" si="12"/>
        <v>0.84089297145912267</v>
      </c>
      <c r="AM29" s="192">
        <f t="shared" si="12"/>
        <v>0.84812124026946445</v>
      </c>
      <c r="AN29" s="192">
        <f t="shared" si="12"/>
        <v>0.96233833005531499</v>
      </c>
      <c r="AO29" s="192">
        <f t="shared" si="12"/>
        <v>0.97462528278990734</v>
      </c>
      <c r="AP29" s="192">
        <f t="shared" si="12"/>
        <v>0.93208007600847098</v>
      </c>
      <c r="AQ29" s="192">
        <f t="shared" si="12"/>
        <v>0.97475202170162467</v>
      </c>
      <c r="AR29" s="192">
        <f t="shared" si="12"/>
        <v>1.0081217463008603</v>
      </c>
      <c r="AS29" s="192">
        <f t="shared" si="12"/>
        <v>0.98331584478468581</v>
      </c>
      <c r="AT29" s="192">
        <f t="shared" si="12"/>
        <v>1.0150108869202574</v>
      </c>
      <c r="AU29" s="192">
        <f t="shared" si="12"/>
        <v>0.98318992431784435</v>
      </c>
      <c r="AV29" s="192">
        <f t="shared" si="12"/>
        <v>1.0506771666593626</v>
      </c>
      <c r="AW29" s="192">
        <f t="shared" si="12"/>
        <v>0.98828019295488834</v>
      </c>
      <c r="AX29" s="192">
        <f t="shared" si="12"/>
        <v>0.97373475335846693</v>
      </c>
      <c r="AY29" s="192">
        <f t="shared" si="12"/>
        <v>1.0176031157002383</v>
      </c>
      <c r="AZ29" s="192">
        <f t="shared" si="12"/>
        <v>1.0841427197870475</v>
      </c>
      <c r="BA29" s="192">
        <f t="shared" si="12"/>
        <v>1.0620110012524608</v>
      </c>
      <c r="BB29" s="192">
        <f t="shared" si="12"/>
        <v>0.98480139033199277</v>
      </c>
      <c r="BC29" s="192">
        <f t="shared" si="12"/>
        <v>0.88102399105876805</v>
      </c>
      <c r="BD29" s="192">
        <f t="shared" si="12"/>
        <v>0.92267089376493838</v>
      </c>
      <c r="BE29" s="192">
        <f t="shared" si="12"/>
        <v>0.8957055553186436</v>
      </c>
      <c r="BF29" s="192">
        <f t="shared" si="12"/>
        <v>0.86447704727603869</v>
      </c>
      <c r="BG29" s="192">
        <f t="shared" si="12"/>
        <v>0.88275188445350683</v>
      </c>
      <c r="BH29" s="192">
        <f t="shared" si="12"/>
        <v>0.91090727287453443</v>
      </c>
      <c r="BI29" s="192">
        <f t="shared" si="12"/>
        <v>0.88560217043306333</v>
      </c>
      <c r="BJ29" s="192">
        <f t="shared" si="12"/>
        <v>0.87001987765723132</v>
      </c>
      <c r="BK29" s="192">
        <v>0.84802905494678948</v>
      </c>
      <c r="BL29" s="192">
        <f t="shared" ref="BL29:BW29" si="13">IFERROR(BL16/BL12,"")</f>
        <v>0.84026156681929187</v>
      </c>
      <c r="BM29" s="192">
        <f t="shared" si="13"/>
        <v>0.91390946600718626</v>
      </c>
      <c r="BN29" s="192">
        <f t="shared" si="13"/>
        <v>0.86470962575460786</v>
      </c>
      <c r="BO29" s="192">
        <v>0.879</v>
      </c>
      <c r="BP29" s="192">
        <v>0.86605064754540428</v>
      </c>
      <c r="BQ29" s="192">
        <v>0.88044383794819803</v>
      </c>
      <c r="BR29" s="192" t="str">
        <f t="shared" si="13"/>
        <v/>
      </c>
      <c r="BS29" s="192" t="str">
        <f t="shared" si="13"/>
        <v/>
      </c>
      <c r="BT29" s="192" t="str">
        <f t="shared" si="13"/>
        <v/>
      </c>
      <c r="BU29" s="192" t="str">
        <f t="shared" si="13"/>
        <v/>
      </c>
      <c r="BV29" s="192" t="str">
        <f t="shared" si="13"/>
        <v/>
      </c>
      <c r="BW29" s="192" t="str">
        <f t="shared" si="13"/>
        <v/>
      </c>
    </row>
    <row r="30" spans="1:75" x14ac:dyDescent="0.25">
      <c r="A30" s="169">
        <v>27</v>
      </c>
      <c r="B30" s="170" t="s">
        <v>434</v>
      </c>
      <c r="C30" s="171">
        <v>7</v>
      </c>
      <c r="D30" s="187">
        <f>'Ket qua kinh doanh'!D9</f>
        <v>5351024</v>
      </c>
      <c r="E30" s="187">
        <f>'Ket qua kinh doanh'!E9</f>
        <v>12245785</v>
      </c>
      <c r="F30" s="187">
        <f>'Ket qua kinh doanh'!F9</f>
        <v>20404850</v>
      </c>
      <c r="G30" s="187">
        <f>'Ket qua kinh doanh'!G9</f>
        <v>39371066</v>
      </c>
      <c r="H30" s="187">
        <f>'Ket qua kinh doanh'!H9</f>
        <v>43473171</v>
      </c>
      <c r="I30" s="187">
        <f>'Ket qua kinh doanh'!I9</f>
        <v>29258611</v>
      </c>
      <c r="J30" s="187">
        <f>'Ket qua kinh doanh'!J9</f>
        <v>21963919</v>
      </c>
      <c r="K30" s="187">
        <f>'Ket qua kinh doanh'!K9</f>
        <v>0</v>
      </c>
      <c r="L30" s="187">
        <f>'Ket qua kinh doanh'!L9</f>
        <v>0</v>
      </c>
      <c r="M30" s="187">
        <f>'Ket qua kinh doanh'!M9</f>
        <v>0</v>
      </c>
      <c r="N30" s="187">
        <f>'Ket qua kinh doanh'!N9</f>
        <v>23415000</v>
      </c>
      <c r="O30" s="187">
        <f>'Ket qua kinh doanh'!O9</f>
        <v>47940118</v>
      </c>
      <c r="P30" s="187">
        <f>'Ket qua kinh doanh'!P9</f>
        <v>462331443</v>
      </c>
      <c r="Q30" s="187">
        <f>'Ket qua kinh doanh'!Q9</f>
        <v>-123876234</v>
      </c>
      <c r="R30" s="187">
        <f>'Ket qua kinh doanh'!R9</f>
        <v>355870198</v>
      </c>
      <c r="S30" s="187">
        <f>'Ket qua kinh doanh'!S9</f>
        <v>186503027</v>
      </c>
      <c r="T30" s="187">
        <f>'Ket qua kinh doanh'!T9</f>
        <v>690928831</v>
      </c>
      <c r="U30" s="187">
        <f>'Ket qua kinh doanh'!U9</f>
        <v>193045718</v>
      </c>
      <c r="V30" s="187">
        <f>'Ket qua kinh doanh'!V9</f>
        <v>354605973</v>
      </c>
      <c r="W30" s="187">
        <f>'Ket qua kinh doanh'!W9</f>
        <v>906304430</v>
      </c>
      <c r="X30" s="187">
        <f>'Ket qua kinh doanh'!X9</f>
        <v>582599079</v>
      </c>
      <c r="Y30" s="187">
        <f>'Ket qua kinh doanh'!Y9</f>
        <v>111940513.05929089</v>
      </c>
      <c r="Z30" s="187">
        <f>'Ket qua kinh doanh'!Z9</f>
        <v>1486030124</v>
      </c>
      <c r="AA30" s="187">
        <f>'Ket qua kinh doanh'!AA9</f>
        <v>-1101292963</v>
      </c>
      <c r="AB30" s="187">
        <f>'Ket qua kinh doanh'!AB9</f>
        <v>713037667</v>
      </c>
      <c r="AC30" s="187">
        <f>'Ket qua kinh doanh'!AC9</f>
        <v>503867258</v>
      </c>
      <c r="AD30" s="187">
        <f>'Ket qua kinh doanh'!AD9</f>
        <v>419493838</v>
      </c>
      <c r="AE30" s="187">
        <f>'Ket qua kinh doanh'!AE9</f>
        <v>1454499019</v>
      </c>
      <c r="AF30" s="187">
        <f>'Ket qua kinh doanh'!AF9</f>
        <v>2386365311</v>
      </c>
      <c r="AG30" s="187">
        <f>'Ket qua kinh doanh'!AG9</f>
        <v>1242506072</v>
      </c>
      <c r="AH30" s="187">
        <f>'Ket qua kinh doanh'!AH9</f>
        <v>552607698</v>
      </c>
      <c r="AI30" s="187">
        <f>'Ket qua kinh doanh'!AI9</f>
        <v>742568016</v>
      </c>
      <c r="AJ30" s="187">
        <f>'Ket qua kinh doanh'!AJ9</f>
        <v>570834352</v>
      </c>
      <c r="AK30" s="187">
        <f>'Ket qua kinh doanh'!AK9</f>
        <v>1032750991</v>
      </c>
      <c r="AL30" s="187">
        <f>'Ket qua kinh doanh'!AL9</f>
        <v>1268937104</v>
      </c>
      <c r="AM30" s="187">
        <f>'Ket qua kinh doanh'!AM9</f>
        <v>1354151680</v>
      </c>
      <c r="AN30" s="187">
        <f>'Ket qua kinh doanh'!AN9</f>
        <v>256720921</v>
      </c>
      <c r="AO30" s="187">
        <f>'Ket qua kinh doanh'!AO9</f>
        <v>153253104</v>
      </c>
      <c r="AP30" s="187">
        <f>'Ket qua kinh doanh'!AP9</f>
        <v>533719619</v>
      </c>
      <c r="AQ30" s="187">
        <f>'Ket qua kinh doanh'!AQ9</f>
        <v>135337647</v>
      </c>
      <c r="AR30" s="187">
        <f>'Ket qua kinh doanh'!AR9</f>
        <v>-62553089</v>
      </c>
      <c r="AS30" s="187">
        <f>'Ket qua kinh doanh'!AS9</f>
        <v>123554403</v>
      </c>
      <c r="AT30" s="187">
        <f>'Ket qua kinh doanh'!AT9</f>
        <v>-80410244</v>
      </c>
      <c r="AU30" s="187">
        <f>'Ket qua kinh doanh'!AU9</f>
        <v>98712292</v>
      </c>
      <c r="AV30" s="187">
        <f>'Ket qua kinh doanh'!AV9</f>
        <v>-234778435</v>
      </c>
      <c r="AW30" s="187">
        <f>'Ket qua kinh doanh'!AW9</f>
        <v>74732756</v>
      </c>
      <c r="AX30" s="187">
        <f>'Ket qua kinh doanh'!AX9</f>
        <v>157809660</v>
      </c>
      <c r="AY30" s="187">
        <f>'Ket qua kinh doanh'!AY9</f>
        <v>-89677633</v>
      </c>
      <c r="AZ30" s="187">
        <f>'Ket qua kinh doanh'!AZ9</f>
        <v>-319397138</v>
      </c>
      <c r="BA30" s="187">
        <f>'Ket qua kinh doanh'!BA9</f>
        <v>-310860075</v>
      </c>
      <c r="BB30" s="187">
        <f>'Ket qua kinh doanh'!BB9</f>
        <v>122914851</v>
      </c>
      <c r="BC30" s="187">
        <f>'Ket qua kinh doanh'!BC9</f>
        <v>1153423069</v>
      </c>
      <c r="BD30" s="187">
        <f>'Ket qua kinh doanh'!BD9</f>
        <v>648663539</v>
      </c>
      <c r="BE30" s="187">
        <f>'Ket qua kinh doanh'!BE9</f>
        <v>992405617</v>
      </c>
      <c r="BF30" s="187">
        <f>'Ket qua kinh doanh'!BF9</f>
        <v>1842107736</v>
      </c>
      <c r="BG30" s="187">
        <f>'Ket qua kinh doanh'!BG9</f>
        <v>1456416336</v>
      </c>
      <c r="BH30" s="187">
        <f>'Ket qua kinh doanh'!BH9</f>
        <v>784734389</v>
      </c>
      <c r="BI30" s="187">
        <f>'Ket qua kinh doanh'!BI9</f>
        <v>883143694</v>
      </c>
      <c r="BJ30" s="187">
        <f>'Ket qua kinh doanh'!BJ9</f>
        <v>849037633</v>
      </c>
      <c r="BK30" s="187">
        <v>1321270611</v>
      </c>
      <c r="BL30" s="187">
        <f>'Ket qua kinh doanh'!BL9</f>
        <v>1330811317</v>
      </c>
      <c r="BM30" s="187">
        <f>'Ket qua kinh doanh'!BM9</f>
        <v>571685987</v>
      </c>
      <c r="BN30" s="187">
        <f>'Ket qua kinh doanh'!BN9</f>
        <v>1266810966</v>
      </c>
      <c r="BO30" s="187">
        <v>1108265483</v>
      </c>
      <c r="BP30" s="187">
        <v>1623897904</v>
      </c>
      <c r="BQ30" s="187">
        <v>1636668608</v>
      </c>
      <c r="BR30" s="187">
        <f>'Ket qua kinh doanh'!BR9</f>
        <v>0</v>
      </c>
      <c r="BS30" s="187">
        <f>'Ket qua kinh doanh'!BS9</f>
        <v>0</v>
      </c>
      <c r="BT30" s="187">
        <f>'Ket qua kinh doanh'!BT9</f>
        <v>0</v>
      </c>
      <c r="BU30" s="187">
        <f>'Ket qua kinh doanh'!BU9</f>
        <v>0</v>
      </c>
      <c r="BV30" s="187">
        <f>'Ket qua kinh doanh'!BV9</f>
        <v>0</v>
      </c>
      <c r="BW30" s="187">
        <f>'Ket qua kinh doanh'!BW9</f>
        <v>0</v>
      </c>
    </row>
    <row r="31" spans="1:75" x14ac:dyDescent="0.25">
      <c r="A31" s="172">
        <v>28</v>
      </c>
      <c r="B31" s="173" t="s">
        <v>435</v>
      </c>
      <c r="C31" s="175">
        <v>7</v>
      </c>
      <c r="D31" s="189">
        <f t="shared" ref="D31:AI31" si="14">IFERROR(D30/D12,"")</f>
        <v>1.7110267521398131E-2</v>
      </c>
      <c r="E31" s="189">
        <f t="shared" si="14"/>
        <v>2.0181011658290286E-2</v>
      </c>
      <c r="F31" s="189">
        <f t="shared" si="14"/>
        <v>2.2578810087407912E-2</v>
      </c>
      <c r="G31" s="189">
        <f t="shared" si="14"/>
        <v>6.7360428932479885E-2</v>
      </c>
      <c r="H31" s="189">
        <f t="shared" si="14"/>
        <v>9.1859851995349656E-2</v>
      </c>
      <c r="I31" s="189">
        <f t="shared" si="14"/>
        <v>8.9458475354640507E-2</v>
      </c>
      <c r="J31" s="189">
        <f t="shared" si="14"/>
        <v>0.10347697388567741</v>
      </c>
      <c r="K31" s="189" t="str">
        <f t="shared" si="14"/>
        <v/>
      </c>
      <c r="L31" s="189" t="str">
        <f t="shared" si="14"/>
        <v/>
      </c>
      <c r="M31" s="189" t="str">
        <f t="shared" si="14"/>
        <v/>
      </c>
      <c r="N31" s="189">
        <f t="shared" si="14"/>
        <v>1</v>
      </c>
      <c r="O31" s="189">
        <f t="shared" si="14"/>
        <v>4.6052881507966291E-2</v>
      </c>
      <c r="P31" s="189">
        <f t="shared" si="14"/>
        <v>0.3331758462080141</v>
      </c>
      <c r="Q31" s="189">
        <f t="shared" si="14"/>
        <v>-7.8232056621622886E-2</v>
      </c>
      <c r="R31" s="189">
        <f t="shared" si="14"/>
        <v>0.13827095382617222</v>
      </c>
      <c r="S31" s="189">
        <f t="shared" si="14"/>
        <v>6.6860970935138306E-2</v>
      </c>
      <c r="T31" s="189">
        <f t="shared" si="14"/>
        <v>0.22570436701791952</v>
      </c>
      <c r="U31" s="189">
        <f t="shared" si="14"/>
        <v>4.8098213203682919E-2</v>
      </c>
      <c r="V31" s="189">
        <f t="shared" si="14"/>
        <v>0.13816187974298461</v>
      </c>
      <c r="W31" s="189">
        <f t="shared" si="14"/>
        <v>0.21354771958078428</v>
      </c>
      <c r="X31" s="189">
        <f t="shared" si="14"/>
        <v>0.12945336505921989</v>
      </c>
      <c r="Y31" s="189">
        <f t="shared" si="14"/>
        <v>2.7345864222496793E-2</v>
      </c>
      <c r="Z31" s="189">
        <f t="shared" si="14"/>
        <v>0.21422163352670998</v>
      </c>
      <c r="AA31" s="189">
        <f t="shared" si="14"/>
        <v>-0.13736384564033396</v>
      </c>
      <c r="AB31" s="189">
        <f t="shared" si="14"/>
        <v>0.26682097951118572</v>
      </c>
      <c r="AC31" s="189">
        <f t="shared" si="14"/>
        <v>0.10379792893957628</v>
      </c>
      <c r="AD31" s="189">
        <f t="shared" si="14"/>
        <v>6.4210835253676365E-2</v>
      </c>
      <c r="AE31" s="189">
        <f t="shared" si="14"/>
        <v>0.17226461206931512</v>
      </c>
      <c r="AF31" s="189">
        <f t="shared" si="14"/>
        <v>0.23681865098311625</v>
      </c>
      <c r="AG31" s="189">
        <f t="shared" si="14"/>
        <v>0.18096728818135421</v>
      </c>
      <c r="AH31" s="189">
        <f t="shared" si="14"/>
        <v>8.8369557986022931E-2</v>
      </c>
      <c r="AI31" s="189">
        <f t="shared" si="14"/>
        <v>0.13040173612049857</v>
      </c>
      <c r="AJ31" s="189">
        <f t="shared" ref="AJ31:BJ31" si="15">IFERROR(AJ30/AJ12,"")</f>
        <v>0.12754580193637402</v>
      </c>
      <c r="AK31" s="189">
        <f t="shared" si="15"/>
        <v>0.16778699739343494</v>
      </c>
      <c r="AL31" s="189">
        <f t="shared" si="15"/>
        <v>0.15910702854087735</v>
      </c>
      <c r="AM31" s="189">
        <f t="shared" si="15"/>
        <v>0.15187875973053558</v>
      </c>
      <c r="AN31" s="189">
        <f t="shared" si="15"/>
        <v>3.7661669944685026E-2</v>
      </c>
      <c r="AO31" s="189">
        <f t="shared" si="15"/>
        <v>2.5374717210092691E-2</v>
      </c>
      <c r="AP31" s="189">
        <f t="shared" si="15"/>
        <v>6.7919923991528963E-2</v>
      </c>
      <c r="AQ31" s="189">
        <f t="shared" si="15"/>
        <v>2.5247978298375325E-2</v>
      </c>
      <c r="AR31" s="189">
        <f t="shared" si="15"/>
        <v>-8.1217463008603306E-3</v>
      </c>
      <c r="AS31" s="189">
        <f t="shared" si="15"/>
        <v>1.6684155215314144E-2</v>
      </c>
      <c r="AT31" s="189">
        <f t="shared" si="15"/>
        <v>-1.5010886920257356E-2</v>
      </c>
      <c r="AU31" s="189">
        <f t="shared" si="15"/>
        <v>1.6810075682155669E-2</v>
      </c>
      <c r="AV31" s="189">
        <f t="shared" si="15"/>
        <v>-5.067716665936263E-2</v>
      </c>
      <c r="AW31" s="189">
        <f t="shared" si="15"/>
        <v>1.1719807045111674E-2</v>
      </c>
      <c r="AX31" s="189">
        <f t="shared" si="15"/>
        <v>2.626524664153302E-2</v>
      </c>
      <c r="AY31" s="189">
        <f t="shared" si="15"/>
        <v>-1.7603115700238352E-2</v>
      </c>
      <c r="AZ31" s="189">
        <f t="shared" si="15"/>
        <v>-8.4142719787047571E-2</v>
      </c>
      <c r="BA31" s="189">
        <f t="shared" si="15"/>
        <v>-6.2011001252460743E-2</v>
      </c>
      <c r="BB31" s="189">
        <f t="shared" si="15"/>
        <v>1.5198609668007223E-2</v>
      </c>
      <c r="BC31" s="189">
        <f t="shared" si="15"/>
        <v>0.11897600894123196</v>
      </c>
      <c r="BD31" s="189">
        <f t="shared" si="15"/>
        <v>7.7329106235061632E-2</v>
      </c>
      <c r="BE31" s="189">
        <f t="shared" si="15"/>
        <v>0.10429444468135635</v>
      </c>
      <c r="BF31" s="189">
        <f t="shared" si="15"/>
        <v>0.13552295272396134</v>
      </c>
      <c r="BG31" s="189">
        <f t="shared" si="15"/>
        <v>0.11724811554649318</v>
      </c>
      <c r="BH31" s="189">
        <f t="shared" si="15"/>
        <v>8.909272712546551E-2</v>
      </c>
      <c r="BI31" s="189">
        <f t="shared" si="15"/>
        <v>0.11439782956693671</v>
      </c>
      <c r="BJ31" s="189">
        <f t="shared" si="15"/>
        <v>0.12998012234276873</v>
      </c>
      <c r="BK31" s="189">
        <v>0.15197094505321052</v>
      </c>
      <c r="BL31" s="189">
        <f t="shared" ref="BL31" si="16">IFERROR(BL30/BL12,"")</f>
        <v>0.1597384331807081</v>
      </c>
      <c r="BM31" s="189">
        <f t="shared" ref="BM31" si="17">IFERROR(BM30/BM12,"")</f>
        <v>8.6090533992813773E-2</v>
      </c>
      <c r="BN31" s="189">
        <f t="shared" ref="BN31" si="18">IFERROR(BN30/BN12,"")</f>
        <v>0.13529037424539211</v>
      </c>
      <c r="BO31" s="189">
        <v>0.121</v>
      </c>
      <c r="BP31" s="189">
        <v>0.13394935245459577</v>
      </c>
      <c r="BQ31" s="189">
        <v>0.11955616205180197</v>
      </c>
      <c r="BR31" s="189" t="str">
        <f t="shared" ref="BR31" si="19">IFERROR(BR30/BR12,"")</f>
        <v/>
      </c>
      <c r="BS31" s="189" t="str">
        <f t="shared" ref="BS31" si="20">IFERROR(BS30/BS12,"")</f>
        <v/>
      </c>
      <c r="BT31" s="189" t="str">
        <f t="shared" ref="BT31" si="21">IFERROR(BT30/BT12,"")</f>
        <v/>
      </c>
      <c r="BU31" s="189" t="str">
        <f t="shared" ref="BU31" si="22">IFERROR(BU30/BU12,"")</f>
        <v/>
      </c>
      <c r="BV31" s="189" t="str">
        <f t="shared" ref="BV31" si="23">IFERROR(BV30/BV12,"")</f>
        <v/>
      </c>
      <c r="BW31" s="189" t="str">
        <f t="shared" ref="BW31" si="24">IFERROR(BW30/BW12,"")</f>
        <v/>
      </c>
    </row>
    <row r="32" spans="1:75" x14ac:dyDescent="0.25">
      <c r="A32" s="169">
        <v>29</v>
      </c>
      <c r="B32" s="170" t="s">
        <v>436</v>
      </c>
      <c r="C32" s="171">
        <v>7</v>
      </c>
      <c r="D32" s="187">
        <f>'Ket qua kinh doanh'!D20</f>
        <v>-409381721</v>
      </c>
      <c r="E32" s="187">
        <f>'Ket qua kinh doanh'!E20</f>
        <v>-255852308</v>
      </c>
      <c r="F32" s="187">
        <f>'Ket qua kinh doanh'!F20</f>
        <v>-289562746</v>
      </c>
      <c r="G32" s="187">
        <f>'Ket qua kinh doanh'!G20</f>
        <v>-221158003</v>
      </c>
      <c r="H32" s="187">
        <f>'Ket qua kinh doanh'!H20</f>
        <v>-158788884</v>
      </c>
      <c r="I32" s="187">
        <f>'Ket qua kinh doanh'!I20</f>
        <v>-163311329</v>
      </c>
      <c r="J32" s="187">
        <f>'Ket qua kinh doanh'!J20</f>
        <v>-128277358</v>
      </c>
      <c r="K32" s="187">
        <f>'Ket qua kinh doanh'!K20</f>
        <v>-100677535</v>
      </c>
      <c r="L32" s="187">
        <f>'Ket qua kinh doanh'!L20</f>
        <v>-122886734</v>
      </c>
      <c r="M32" s="187">
        <f>'Ket qua kinh doanh'!M20</f>
        <v>-154160043</v>
      </c>
      <c r="N32" s="187">
        <f>'Ket qua kinh doanh'!N20</f>
        <v>-178082076</v>
      </c>
      <c r="O32" s="187">
        <f>'Ket qua kinh doanh'!O20</f>
        <v>-235623357</v>
      </c>
      <c r="P32" s="187">
        <f>'Ket qua kinh doanh'!P20</f>
        <v>436605478</v>
      </c>
      <c r="Q32" s="187">
        <f>'Ket qua kinh doanh'!Q20</f>
        <v>-249826970</v>
      </c>
      <c r="R32" s="187">
        <f>'Ket qua kinh doanh'!R20</f>
        <v>252613936</v>
      </c>
      <c r="S32" s="187">
        <f>'Ket qua kinh doanh'!S20</f>
        <v>89157718</v>
      </c>
      <c r="T32" s="187">
        <f>'Ket qua kinh doanh'!T20</f>
        <v>582092467</v>
      </c>
      <c r="U32" s="187">
        <f>'Ket qua kinh doanh'!U20</f>
        <v>62295741</v>
      </c>
      <c r="V32" s="187">
        <f>'Ket qua kinh doanh'!V20</f>
        <v>245159362</v>
      </c>
      <c r="W32" s="187">
        <f>'Ket qua kinh doanh'!W20</f>
        <v>787564668</v>
      </c>
      <c r="X32" s="187">
        <f>'Ket qua kinh doanh'!X20</f>
        <v>451388729</v>
      </c>
      <c r="Y32" s="187">
        <f>'Ket qua kinh doanh'!Y20</f>
        <v>20066969.059290901</v>
      </c>
      <c r="Z32" s="187">
        <f>'Ket qua kinh doanh'!Z20</f>
        <v>371628946</v>
      </c>
      <c r="AA32" s="187">
        <f>'Ket qua kinh doanh'!AA20</f>
        <v>-2245602713</v>
      </c>
      <c r="AB32" s="187">
        <f>'Ket qua kinh doanh'!AB20</f>
        <v>-695390671</v>
      </c>
      <c r="AC32" s="187">
        <f>'Ket qua kinh doanh'!AC20</f>
        <v>-409959538</v>
      </c>
      <c r="AD32" s="187">
        <f>'Ket qua kinh doanh'!AD20</f>
        <v>-627693658</v>
      </c>
      <c r="AE32" s="187">
        <f>'Ket qua kinh doanh'!AE20</f>
        <v>276639961</v>
      </c>
      <c r="AF32" s="187">
        <f>'Ket qua kinh doanh'!AF20</f>
        <v>1090114451</v>
      </c>
      <c r="AG32" s="187">
        <f>'Ket qua kinh doanh'!AG20</f>
        <v>-183039550</v>
      </c>
      <c r="AH32" s="187">
        <f>'Ket qua kinh doanh'!AH20</f>
        <v>-511046246</v>
      </c>
      <c r="AI32" s="187">
        <f>'Ket qua kinh doanh'!AI20</f>
        <v>-299937249</v>
      </c>
      <c r="AJ32" s="187">
        <f>'Ket qua kinh doanh'!AJ20</f>
        <v>-247512811</v>
      </c>
      <c r="AK32" s="187">
        <f>'Ket qua kinh doanh'!AK20</f>
        <v>215412564</v>
      </c>
      <c r="AL32" s="187">
        <f>'Ket qua kinh doanh'!AL20</f>
        <v>281001910</v>
      </c>
      <c r="AM32" s="187">
        <f>'Ket qua kinh doanh'!AM20</f>
        <v>687832733</v>
      </c>
      <c r="AN32" s="187">
        <f>'Ket qua kinh doanh'!AN20</f>
        <v>-6888417</v>
      </c>
      <c r="AO32" s="187">
        <f>'Ket qua kinh doanh'!AO20</f>
        <v>-111684924</v>
      </c>
      <c r="AP32" s="187">
        <f>'Ket qua kinh doanh'!AP20</f>
        <v>245648215</v>
      </c>
      <c r="AQ32" s="187">
        <f>'Ket qua kinh doanh'!AQ20</f>
        <v>-95403313</v>
      </c>
      <c r="AR32" s="187">
        <f>'Ket qua kinh doanh'!AR20</f>
        <v>-323849797</v>
      </c>
      <c r="AS32" s="187">
        <f>'Ket qua kinh doanh'!AS20</f>
        <v>-111483671</v>
      </c>
      <c r="AT32" s="187">
        <f>'Ket qua kinh doanh'!AT20</f>
        <v>-318297985</v>
      </c>
      <c r="AU32" s="187">
        <f>'Ket qua kinh doanh'!AU20</f>
        <v>-395752043</v>
      </c>
      <c r="AV32" s="187">
        <f>'Ket qua kinh doanh'!AV20</f>
        <v>-556670192</v>
      </c>
      <c r="AW32" s="187">
        <f>'Ket qua kinh doanh'!AW20</f>
        <v>-90458698</v>
      </c>
      <c r="AX32" s="187">
        <f>'Ket qua kinh doanh'!AX20</f>
        <v>-137324570</v>
      </c>
      <c r="AY32" s="187">
        <f>'Ket qua kinh doanh'!AY20</f>
        <v>-349818396</v>
      </c>
      <c r="AZ32" s="187">
        <f>'Ket qua kinh doanh'!AZ20</f>
        <v>-709728629</v>
      </c>
      <c r="BA32" s="187">
        <f>'Ket qua kinh doanh'!BA20</f>
        <v>-666184578</v>
      </c>
      <c r="BB32" s="187">
        <f>'Ket qua kinh doanh'!BB20</f>
        <v>-251636967</v>
      </c>
      <c r="BC32" s="187">
        <f>'Ket qua kinh doanh'!BC20</f>
        <v>711287570</v>
      </c>
      <c r="BD32" s="187">
        <f>'Ket qua kinh doanh'!BD20</f>
        <v>224729120</v>
      </c>
      <c r="BE32" s="187">
        <f>'Ket qua kinh doanh'!BE20</f>
        <v>635187089</v>
      </c>
      <c r="BF32" s="187">
        <f>'Ket qua kinh doanh'!BF20</f>
        <v>1321680656</v>
      </c>
      <c r="BG32" s="187">
        <f>'Ket qua kinh doanh'!BG20</f>
        <v>1205904768</v>
      </c>
      <c r="BH32" s="187">
        <f>'Ket qua kinh doanh'!BH20</f>
        <v>339730983</v>
      </c>
      <c r="BI32" s="187">
        <f>'Ket qua kinh doanh'!BI20</f>
        <v>416403421</v>
      </c>
      <c r="BJ32" s="187">
        <f>'Ket qua kinh doanh'!BJ20</f>
        <v>379915613</v>
      </c>
      <c r="BK32" s="187">
        <v>597840394</v>
      </c>
      <c r="BL32" s="187">
        <f>'Ket qua kinh doanh'!BL20</f>
        <v>814808996</v>
      </c>
      <c r="BM32" s="187">
        <f>'Ket qua kinh doanh'!BM20</f>
        <v>152467569</v>
      </c>
      <c r="BN32" s="187">
        <f>'Ket qua kinh doanh'!BN20</f>
        <v>837510453</v>
      </c>
      <c r="BO32" s="187">
        <v>621575723</v>
      </c>
      <c r="BP32" s="187">
        <v>1154533606</v>
      </c>
      <c r="BQ32" s="187">
        <v>1153494054</v>
      </c>
      <c r="BR32" s="187">
        <f>'Ket qua kinh doanh'!BR20</f>
        <v>0</v>
      </c>
      <c r="BS32" s="187">
        <f>'Ket qua kinh doanh'!BS20</f>
        <v>0</v>
      </c>
      <c r="BT32" s="187">
        <f>'Ket qua kinh doanh'!BT20</f>
        <v>0</v>
      </c>
      <c r="BU32" s="187">
        <f>'Ket qua kinh doanh'!BU20</f>
        <v>0</v>
      </c>
      <c r="BV32" s="187">
        <f>'Ket qua kinh doanh'!BV20</f>
        <v>0</v>
      </c>
      <c r="BW32" s="187">
        <f>'Ket qua kinh doanh'!BW20</f>
        <v>0</v>
      </c>
    </row>
    <row r="33" spans="1:75" x14ac:dyDescent="0.25">
      <c r="A33" s="172">
        <v>30</v>
      </c>
      <c r="B33" s="173" t="s">
        <v>437</v>
      </c>
      <c r="C33" s="175">
        <v>7</v>
      </c>
      <c r="D33" s="189">
        <f t="shared" ref="D33:AI33" si="25">IFERROR(D32/D12,"")</f>
        <v>-1.3090262283780396</v>
      </c>
      <c r="E33" s="189">
        <f t="shared" si="25"/>
        <v>-0.42164372562056879</v>
      </c>
      <c r="F33" s="189">
        <f t="shared" si="25"/>
        <v>-0.3204131493405899</v>
      </c>
      <c r="G33" s="189">
        <f t="shared" si="25"/>
        <v>-0.37838187932048051</v>
      </c>
      <c r="H33" s="189">
        <f t="shared" si="25"/>
        <v>-0.33552471667518213</v>
      </c>
      <c r="I33" s="189">
        <f t="shared" si="25"/>
        <v>-0.49932590786623765</v>
      </c>
      <c r="J33" s="189">
        <f t="shared" si="25"/>
        <v>-0.60434355198130585</v>
      </c>
      <c r="K33" s="189" t="str">
        <f t="shared" si="25"/>
        <v/>
      </c>
      <c r="L33" s="189" t="str">
        <f t="shared" si="25"/>
        <v/>
      </c>
      <c r="M33" s="189" t="str">
        <f t="shared" si="25"/>
        <v/>
      </c>
      <c r="N33" s="189">
        <f t="shared" si="25"/>
        <v>-7.6054698270339527</v>
      </c>
      <c r="O33" s="189">
        <f t="shared" si="25"/>
        <v>-0.22634768108894182</v>
      </c>
      <c r="P33" s="189">
        <f t="shared" si="25"/>
        <v>0.3146366136116433</v>
      </c>
      <c r="Q33" s="189">
        <f t="shared" si="25"/>
        <v>-0.15777423184053593</v>
      </c>
      <c r="R33" s="189">
        <f t="shared" si="25"/>
        <v>9.8151432957315585E-2</v>
      </c>
      <c r="S33" s="189">
        <f t="shared" si="25"/>
        <v>3.1962867776088463E-2</v>
      </c>
      <c r="T33" s="189">
        <f t="shared" si="25"/>
        <v>0.19015100530684645</v>
      </c>
      <c r="U33" s="189">
        <f t="shared" si="25"/>
        <v>1.5521265446040152E-2</v>
      </c>
      <c r="V33" s="189">
        <f t="shared" si="25"/>
        <v>9.5519198404790631E-2</v>
      </c>
      <c r="W33" s="189">
        <f t="shared" si="25"/>
        <v>0.18556969745121676</v>
      </c>
      <c r="X33" s="189">
        <f t="shared" si="25"/>
        <v>0.10029845913789073</v>
      </c>
      <c r="Y33" s="189">
        <f t="shared" si="25"/>
        <v>4.9021448647618817E-3</v>
      </c>
      <c r="Z33" s="189">
        <f t="shared" si="25"/>
        <v>5.3572911202928945E-2</v>
      </c>
      <c r="AA33" s="189">
        <f t="shared" si="25"/>
        <v>-0.28009315849777855</v>
      </c>
      <c r="AB33" s="189">
        <f t="shared" si="25"/>
        <v>-0.26021741706831975</v>
      </c>
      <c r="AC33" s="189">
        <f t="shared" si="25"/>
        <v>-8.4452701218036913E-2</v>
      </c>
      <c r="AD33" s="189">
        <f t="shared" si="25"/>
        <v>-9.6079442443718271E-2</v>
      </c>
      <c r="AE33" s="189">
        <f t="shared" si="25"/>
        <v>3.2764047924418338E-2</v>
      </c>
      <c r="AF33" s="189">
        <f t="shared" si="25"/>
        <v>0.10818102011164392</v>
      </c>
      <c r="AG33" s="189">
        <f t="shared" si="25"/>
        <v>-2.6659162268814568E-2</v>
      </c>
      <c r="AH33" s="189">
        <f t="shared" si="25"/>
        <v>-8.1723311189625045E-2</v>
      </c>
      <c r="AI33" s="189">
        <f t="shared" si="25"/>
        <v>-5.2671724547864548E-2</v>
      </c>
      <c r="AJ33" s="189">
        <f t="shared" ref="AJ33:BJ33" si="26">IFERROR(AJ32/AJ12,"")</f>
        <v>-5.5303644319781887E-2</v>
      </c>
      <c r="AK33" s="189">
        <f t="shared" si="26"/>
        <v>3.4997233243401593E-2</v>
      </c>
      <c r="AL33" s="189">
        <f t="shared" si="26"/>
        <v>3.523372338430026E-2</v>
      </c>
      <c r="AM33" s="189">
        <f t="shared" si="26"/>
        <v>7.7145850005595124E-2</v>
      </c>
      <c r="AN33" s="189">
        <f t="shared" si="26"/>
        <v>-1.0105498472224529E-3</v>
      </c>
      <c r="AO33" s="189">
        <f t="shared" si="26"/>
        <v>-1.8492110692457455E-2</v>
      </c>
      <c r="AP33" s="189">
        <f t="shared" si="26"/>
        <v>3.1260623551211009E-2</v>
      </c>
      <c r="AQ33" s="189">
        <f t="shared" si="26"/>
        <v>-1.7798009863560792E-2</v>
      </c>
      <c r="AR33" s="189">
        <f t="shared" si="26"/>
        <v>-4.2047897759599349E-2</v>
      </c>
      <c r="AS33" s="189">
        <f t="shared" si="26"/>
        <v>-1.505418524774885E-2</v>
      </c>
      <c r="AT33" s="189">
        <f t="shared" si="26"/>
        <v>-5.9419482171709018E-2</v>
      </c>
      <c r="AU33" s="189">
        <f t="shared" si="26"/>
        <v>-6.7394056600344421E-2</v>
      </c>
      <c r="AV33" s="189">
        <f t="shared" si="26"/>
        <v>-0.12015783346661882</v>
      </c>
      <c r="AW33" s="189">
        <f t="shared" si="26"/>
        <v>-1.4185994774661185E-2</v>
      </c>
      <c r="AX33" s="189">
        <f t="shared" si="26"/>
        <v>-2.2855785260499681E-2</v>
      </c>
      <c r="AY33" s="189">
        <f t="shared" si="26"/>
        <v>-6.8666996360840574E-2</v>
      </c>
      <c r="AZ33" s="189">
        <f t="shared" si="26"/>
        <v>-0.18697254937454211</v>
      </c>
      <c r="BA33" s="189">
        <f t="shared" si="26"/>
        <v>-0.13289185721494801</v>
      </c>
      <c r="BB33" s="189">
        <f t="shared" si="26"/>
        <v>-3.1115296551709724E-2</v>
      </c>
      <c r="BC33" s="189">
        <f t="shared" si="26"/>
        <v>7.3369571463033703E-2</v>
      </c>
      <c r="BD33" s="189">
        <f t="shared" si="26"/>
        <v>2.6790625570511543E-2</v>
      </c>
      <c r="BE33" s="189">
        <f t="shared" si="26"/>
        <v>6.6753435874620071E-2</v>
      </c>
      <c r="BF33" s="189">
        <f t="shared" si="26"/>
        <v>9.7235390503382702E-2</v>
      </c>
      <c r="BG33" s="189">
        <f t="shared" si="26"/>
        <v>9.7080799000685655E-2</v>
      </c>
      <c r="BH33" s="189">
        <f t="shared" si="26"/>
        <v>3.8570451593252612E-2</v>
      </c>
      <c r="BI33" s="189">
        <f t="shared" si="26"/>
        <v>5.393872810311591E-2</v>
      </c>
      <c r="BJ33" s="189">
        <f t="shared" si="26"/>
        <v>5.8161706782281081E-2</v>
      </c>
      <c r="BK33" s="189">
        <v>6.87628778773796E-2</v>
      </c>
      <c r="BL33" s="189">
        <f t="shared" ref="BL33" si="27">IFERROR(BL32/BL12,"")</f>
        <v>9.780222838500692E-2</v>
      </c>
      <c r="BM33" s="189">
        <f t="shared" ref="BM33" si="28">IFERROR(BM32/BM12,"")</f>
        <v>2.2960182215899197E-2</v>
      </c>
      <c r="BN33" s="189">
        <f t="shared" ref="BN33" si="29">IFERROR(BN32/BN12,"")</f>
        <v>8.944278638396147E-2</v>
      </c>
      <c r="BO33" s="189">
        <v>6.8000000000000005E-2</v>
      </c>
      <c r="BP33" s="189">
        <v>9.523322157743816E-2</v>
      </c>
      <c r="BQ33" s="189">
        <v>8.4260992953445843E-2</v>
      </c>
      <c r="BR33" s="189" t="str">
        <f t="shared" ref="BR33" si="30">IFERROR(BR32/BR12,"")</f>
        <v/>
      </c>
      <c r="BS33" s="189" t="str">
        <f t="shared" ref="BS33" si="31">IFERROR(BS32/BS12,"")</f>
        <v/>
      </c>
      <c r="BT33" s="189" t="str">
        <f t="shared" ref="BT33" si="32">IFERROR(BT32/BT12,"")</f>
        <v/>
      </c>
      <c r="BU33" s="189" t="str">
        <f t="shared" ref="BU33" si="33">IFERROR(BU32/BU12,"")</f>
        <v/>
      </c>
      <c r="BV33" s="189" t="str">
        <f t="shared" ref="BV33" si="34">IFERROR(BV32/BV12,"")</f>
        <v/>
      </c>
      <c r="BW33" s="189" t="str">
        <f t="shared" ref="BW33" si="35">IFERROR(BW32/BW12,"")</f>
        <v/>
      </c>
    </row>
    <row r="34" spans="1:75" x14ac:dyDescent="0.25">
      <c r="A34" s="169">
        <v>31</v>
      </c>
      <c r="B34" s="170" t="s">
        <v>438</v>
      </c>
      <c r="C34" s="171">
        <v>7</v>
      </c>
      <c r="D34" s="187">
        <f>'Ket qua kinh doanh'!D20+'Ket qua kinh doanh'!D13+'Luu chuyen tien te'!D7</f>
        <v>-409381721</v>
      </c>
      <c r="E34" s="187">
        <f>'Ket qua kinh doanh'!E20+'Ket qua kinh doanh'!E13+'Luu chuyen tien te'!E7</f>
        <v>-255852308</v>
      </c>
      <c r="F34" s="187">
        <f>'Ket qua kinh doanh'!F20+'Ket qua kinh doanh'!F13+'Luu chuyen tien te'!F7</f>
        <v>-289562746</v>
      </c>
      <c r="G34" s="187">
        <f>'Ket qua kinh doanh'!G20+'Ket qua kinh doanh'!G13+'Luu chuyen tien te'!G7</f>
        <v>-221158003</v>
      </c>
      <c r="H34" s="187">
        <f>'Ket qua kinh doanh'!H20+'Ket qua kinh doanh'!H13+'Luu chuyen tien te'!H7</f>
        <v>-158788884</v>
      </c>
      <c r="I34" s="187">
        <f>'Ket qua kinh doanh'!I20+'Ket qua kinh doanh'!I13+'Luu chuyen tien te'!I7</f>
        <v>-163311329</v>
      </c>
      <c r="J34" s="187">
        <f>'Ket qua kinh doanh'!J20+'Ket qua kinh doanh'!J13+'Luu chuyen tien te'!J7</f>
        <v>-128277358</v>
      </c>
      <c r="K34" s="187">
        <f>'Ket qua kinh doanh'!K20+'Ket qua kinh doanh'!K13+'Luu chuyen tien te'!K7</f>
        <v>-100677535</v>
      </c>
      <c r="L34" s="187">
        <f>'Ket qua kinh doanh'!L20+'Ket qua kinh doanh'!L13+'Luu chuyen tien te'!L7</f>
        <v>-122886734</v>
      </c>
      <c r="M34" s="187">
        <f>'Ket qua kinh doanh'!M20+'Ket qua kinh doanh'!M13+'Luu chuyen tien te'!M7</f>
        <v>-154160043</v>
      </c>
      <c r="N34" s="187">
        <f>'Ket qua kinh doanh'!N20+'Ket qua kinh doanh'!N13+'Luu chuyen tien te'!N7</f>
        <v>-178082076</v>
      </c>
      <c r="O34" s="187">
        <f>'Ket qua kinh doanh'!O20+'Ket qua kinh doanh'!O13+'Luu chuyen tien te'!O7</f>
        <v>-235623357</v>
      </c>
      <c r="P34" s="187">
        <f>'Ket qua kinh doanh'!P20+'Ket qua kinh doanh'!P13+'Luu chuyen tien te'!P7</f>
        <v>436605478</v>
      </c>
      <c r="Q34" s="187">
        <f>'Ket qua kinh doanh'!Q20+'Ket qua kinh doanh'!Q13+'Luu chuyen tien te'!Q7</f>
        <v>-228713775.81818181</v>
      </c>
      <c r="R34" s="187">
        <f>'Ket qua kinh doanh'!R20+'Ket qua kinh doanh'!R13+'Luu chuyen tien te'!R7</f>
        <v>278588241.29292929</v>
      </c>
      <c r="S34" s="187">
        <f>'Ket qua kinh doanh'!S20+'Ket qua kinh doanh'!S13+'Luu chuyen tien te'!S7</f>
        <v>115132023.29292929</v>
      </c>
      <c r="T34" s="187">
        <f>'Ket qua kinh doanh'!T20+'Ket qua kinh doanh'!T13+'Luu chuyen tien te'!T7</f>
        <v>608066772.29292929</v>
      </c>
      <c r="U34" s="187">
        <f>'Ket qua kinh doanh'!U20+'Ket qua kinh doanh'!U13+'Luu chuyen tien te'!U7</f>
        <v>88270046.292929292</v>
      </c>
      <c r="V34" s="187">
        <f>'Ket qua kinh doanh'!V20+'Ket qua kinh doanh'!V13+'Luu chuyen tien te'!V7</f>
        <v>283312679.63860834</v>
      </c>
      <c r="W34" s="187">
        <f>'Ket qua kinh doanh'!W20+'Ket qua kinh doanh'!W13+'Luu chuyen tien te'!W7</f>
        <v>837998339.80527496</v>
      </c>
      <c r="X34" s="187">
        <f>'Ket qua kinh doanh'!X20+'Ket qua kinh doanh'!X13+'Luu chuyen tien te'!X7</f>
        <v>503772400.80527496</v>
      </c>
      <c r="Y34" s="187">
        <f>'Ket qua kinh doanh'!Y20+'Ket qua kinh doanh'!Y13+'Luu chuyen tien te'!Y7</f>
        <v>70500640.864565879</v>
      </c>
      <c r="Z34" s="187">
        <f>'Ket qua kinh doanh'!Z20+'Ket qua kinh doanh'!Z13+'Luu chuyen tien te'!Z7</f>
        <v>429475117.80527496</v>
      </c>
      <c r="AA34" s="187">
        <f>'Ket qua kinh doanh'!AA20+'Ket qua kinh doanh'!AA13+'Luu chuyen tien te'!AA7</f>
        <v>-2193219041.194725</v>
      </c>
      <c r="AB34" s="187">
        <f>'Ket qua kinh doanh'!AB20+'Ket qua kinh doanh'!AB13+'Luu chuyen tien te'!AB7</f>
        <v>-626761166</v>
      </c>
      <c r="AC34" s="187">
        <f>'Ket qua kinh doanh'!AC20+'Ket qua kinh doanh'!AC13+'Luu chuyen tien te'!AC7</f>
        <v>-341330033</v>
      </c>
      <c r="AD34" s="187">
        <f>'Ket qua kinh doanh'!AD20+'Ket qua kinh doanh'!AD13+'Luu chuyen tien te'!AD7</f>
        <v>-536444695</v>
      </c>
      <c r="AE34" s="187">
        <f>'Ket qua kinh doanh'!AE20+'Ket qua kinh doanh'!AE13+'Luu chuyen tien te'!AE7</f>
        <v>366638927</v>
      </c>
      <c r="AF34" s="187">
        <f>'Ket qua kinh doanh'!AF20+'Ket qua kinh doanh'!AF13+'Luu chuyen tien te'!AF7</f>
        <v>1180113417</v>
      </c>
      <c r="AG34" s="187">
        <f>'Ket qua kinh doanh'!AG20+'Ket qua kinh doanh'!AG13+'Luu chuyen tien te'!AG7</f>
        <v>-93040584</v>
      </c>
      <c r="AH34" s="187">
        <f>'Ket qua kinh doanh'!AH20+'Ket qua kinh doanh'!AH13+'Luu chuyen tien te'!AH7</f>
        <v>-421047280</v>
      </c>
      <c r="AI34" s="187">
        <f>'Ket qua kinh doanh'!AI20+'Ket qua kinh doanh'!AI13+'Luu chuyen tien te'!AI7</f>
        <v>-209938283</v>
      </c>
      <c r="AJ34" s="187">
        <f>'Ket qua kinh doanh'!AJ20+'Ket qua kinh doanh'!AJ13+'Luu chuyen tien te'!AJ7</f>
        <v>-157513845</v>
      </c>
      <c r="AK34" s="187">
        <f>'Ket qua kinh doanh'!AK20+'Ket qua kinh doanh'!AK13+'Luu chuyen tien te'!AK7</f>
        <v>305411530</v>
      </c>
      <c r="AL34" s="187">
        <f>'Ket qua kinh doanh'!AL20+'Ket qua kinh doanh'!AL13+'Luu chuyen tien te'!AL7</f>
        <v>371000876</v>
      </c>
      <c r="AM34" s="187">
        <f>'Ket qua kinh doanh'!AM20+'Ket qua kinh doanh'!AM13+'Luu chuyen tien te'!AM7</f>
        <v>777831699</v>
      </c>
      <c r="AN34" s="187">
        <f>'Ket qua kinh doanh'!AN20+'Ket qua kinh doanh'!AN13+'Luu chuyen tien te'!AN7</f>
        <v>105115115</v>
      </c>
      <c r="AO34" s="187">
        <f>'Ket qua kinh doanh'!AO20+'Ket qua kinh doanh'!AO13+'Luu chuyen tien te'!AO7</f>
        <v>318608</v>
      </c>
      <c r="AP34" s="187">
        <f>'Ket qua kinh doanh'!AP20+'Ket qua kinh doanh'!AP13+'Luu chuyen tien te'!AP7</f>
        <v>357651747</v>
      </c>
      <c r="AQ34" s="187">
        <f>'Ket qua kinh doanh'!AQ20+'Ket qua kinh doanh'!AQ13+'Luu chuyen tien te'!AQ7</f>
        <v>16600219</v>
      </c>
      <c r="AR34" s="187">
        <f>'Ket qua kinh doanh'!AR20+'Ket qua kinh doanh'!AR13+'Luu chuyen tien te'!AR7</f>
        <v>-206335513</v>
      </c>
      <c r="AS34" s="187">
        <f>'Ket qua kinh doanh'!AS20+'Ket qua kinh doanh'!AS13+'Luu chuyen tien te'!AS7</f>
        <v>1519861</v>
      </c>
      <c r="AT34" s="187">
        <f>'Ket qua kinh doanh'!AT20+'Ket qua kinh doanh'!AT13+'Luu chuyen tien te'!AT7</f>
        <v>-205294453</v>
      </c>
      <c r="AU34" s="187">
        <f>'Ket qua kinh doanh'!AU20+'Ket qua kinh doanh'!AU13+'Luu chuyen tien te'!AU7</f>
        <v>-276915178</v>
      </c>
      <c r="AV34" s="187">
        <f>'Ket qua kinh doanh'!AV20+'Ket qua kinh doanh'!AV13+'Luu chuyen tien te'!AV7</f>
        <v>-437833327</v>
      </c>
      <c r="AW34" s="187">
        <f>'Ket qua kinh doanh'!AW20+'Ket qua kinh doanh'!AW13+'Luu chuyen tien te'!AW7</f>
        <v>43807131</v>
      </c>
      <c r="AX34" s="187">
        <f>'Ket qua kinh doanh'!AX20+'Ket qua kinh doanh'!AX13+'Luu chuyen tien te'!AX7</f>
        <v>10083791</v>
      </c>
      <c r="AY34" s="187">
        <f>'Ket qua kinh doanh'!AY20+'Ket qua kinh doanh'!AY13+'Luu chuyen tien te'!AY7</f>
        <v>-202048206</v>
      </c>
      <c r="AZ34" s="187">
        <f>'Ket qua kinh doanh'!AZ20+'Ket qua kinh doanh'!AZ13+'Luu chuyen tien te'!AZ7</f>
        <v>-556183439</v>
      </c>
      <c r="BA34" s="187">
        <f>'Ket qua kinh doanh'!BA20+'Ket qua kinh doanh'!BA13+'Luu chuyen tien te'!BA7</f>
        <v>-510374656</v>
      </c>
      <c r="BB34" s="187">
        <f>'Ket qua kinh doanh'!BB20+'Ket qua kinh doanh'!BB13+'Luu chuyen tien te'!BB7</f>
        <v>-95815378</v>
      </c>
      <c r="BC34" s="187">
        <f>'Ket qua kinh doanh'!BC20+'Ket qua kinh doanh'!BC13+'Luu chuyen tien te'!BC7</f>
        <v>893942492</v>
      </c>
      <c r="BD34" s="187">
        <f>'Ket qua kinh doanh'!BD20+'Ket qua kinh doanh'!BD13+'Luu chuyen tien te'!BD7</f>
        <v>386373294</v>
      </c>
      <c r="BE34" s="187">
        <f>'Ket qua kinh doanh'!BE20+'Ket qua kinh doanh'!BE13+'Luu chuyen tien te'!BE7</f>
        <v>797906056</v>
      </c>
      <c r="BF34" s="187">
        <f>'Ket qua kinh doanh'!BF20+'Ket qua kinh doanh'!BF13+'Luu chuyen tien te'!BF7</f>
        <v>1499899623</v>
      </c>
      <c r="BG34" s="187">
        <f>'Ket qua kinh doanh'!BG20+'Ket qua kinh doanh'!BG13+'Luu chuyen tien te'!BG7</f>
        <v>1359790401</v>
      </c>
      <c r="BH34" s="187">
        <f>'Ket qua kinh doanh'!BH20+'Ket qua kinh doanh'!BH13+'Luu chuyen tien te'!BH7</f>
        <v>516949950</v>
      </c>
      <c r="BI34" s="187">
        <f>'Ket qua kinh doanh'!BI20+'Ket qua kinh doanh'!BI13+'Luu chuyen tien te'!BI7</f>
        <v>593622388</v>
      </c>
      <c r="BJ34" s="187">
        <f>'Ket qua kinh doanh'!BJ20+'Ket qua kinh doanh'!BJ13+'Luu chuyen tien te'!BJ7</f>
        <v>555291991</v>
      </c>
      <c r="BK34" s="187">
        <v>773216769</v>
      </c>
      <c r="BL34" s="187">
        <f>'Ket qua kinh doanh'!BL20+'Ket qua kinh doanh'!BL13+'Luu chuyen tien te'!BL7</f>
        <v>997461671</v>
      </c>
      <c r="BM34" s="187">
        <f>'Ket qua kinh doanh'!BM20+'Ket qua kinh doanh'!BM13+'Luu chuyen tien te'!BM7</f>
        <v>335934806</v>
      </c>
      <c r="BN34" s="187">
        <f>'Ket qua kinh doanh'!BN20+'Ket qua kinh doanh'!BN13+'Luu chuyen tien te'!BN7</f>
        <v>1024469337</v>
      </c>
      <c r="BO34" s="187">
        <v>808534608</v>
      </c>
      <c r="BP34" s="187">
        <v>1341492489</v>
      </c>
      <c r="BQ34" s="187">
        <v>1353918944</v>
      </c>
      <c r="BR34" s="187">
        <f>'Ket qua kinh doanh'!BR20+'Ket qua kinh doanh'!BR13+'Luu chuyen tien te'!BR7</f>
        <v>0</v>
      </c>
      <c r="BS34" s="187">
        <f>'Ket qua kinh doanh'!BS20+'Ket qua kinh doanh'!BS13+'Luu chuyen tien te'!BS7</f>
        <v>0</v>
      </c>
      <c r="BT34" s="187">
        <f>'Ket qua kinh doanh'!BT20+'Ket qua kinh doanh'!BT13+'Luu chuyen tien te'!BT7</f>
        <v>0</v>
      </c>
      <c r="BU34" s="187">
        <f>'Ket qua kinh doanh'!BU20+'Ket qua kinh doanh'!BU13+'Luu chuyen tien te'!BU7</f>
        <v>0</v>
      </c>
      <c r="BV34" s="187">
        <f>'Ket qua kinh doanh'!BV20+'Ket qua kinh doanh'!BV13+'Luu chuyen tien te'!BV7</f>
        <v>0</v>
      </c>
      <c r="BW34" s="187">
        <f>'Ket qua kinh doanh'!BW20+'Ket qua kinh doanh'!BW13+'Luu chuyen tien te'!BW7</f>
        <v>0</v>
      </c>
    </row>
    <row r="35" spans="1:75" x14ac:dyDescent="0.25">
      <c r="A35" s="172">
        <v>32</v>
      </c>
      <c r="B35" s="173" t="s">
        <v>439</v>
      </c>
      <c r="C35" s="175">
        <v>7</v>
      </c>
      <c r="D35" s="189">
        <f t="shared" ref="D35:AI35" si="36">IFERROR(D34/D12,"")</f>
        <v>-1.3090262283780396</v>
      </c>
      <c r="E35" s="189">
        <f t="shared" si="36"/>
        <v>-0.42164372562056879</v>
      </c>
      <c r="F35" s="189">
        <f t="shared" si="36"/>
        <v>-0.3204131493405899</v>
      </c>
      <c r="G35" s="189">
        <f t="shared" si="36"/>
        <v>-0.37838187932048051</v>
      </c>
      <c r="H35" s="189">
        <f t="shared" si="36"/>
        <v>-0.33552471667518213</v>
      </c>
      <c r="I35" s="189">
        <f t="shared" si="36"/>
        <v>-0.49932590786623765</v>
      </c>
      <c r="J35" s="189">
        <f t="shared" si="36"/>
        <v>-0.60434355198130585</v>
      </c>
      <c r="K35" s="189" t="str">
        <f t="shared" si="36"/>
        <v/>
      </c>
      <c r="L35" s="189" t="str">
        <f t="shared" si="36"/>
        <v/>
      </c>
      <c r="M35" s="189" t="str">
        <f t="shared" si="36"/>
        <v/>
      </c>
      <c r="N35" s="189">
        <f t="shared" si="36"/>
        <v>-7.6054698270339527</v>
      </c>
      <c r="O35" s="189">
        <f t="shared" si="36"/>
        <v>-0.22634768108894182</v>
      </c>
      <c r="P35" s="189">
        <f t="shared" si="36"/>
        <v>0.3146366136116433</v>
      </c>
      <c r="Q35" s="189">
        <f t="shared" si="36"/>
        <v>-0.14444053134480309</v>
      </c>
      <c r="R35" s="189">
        <f t="shared" si="36"/>
        <v>0.10824357326018388</v>
      </c>
      <c r="S35" s="189">
        <f t="shared" si="36"/>
        <v>4.1274605495235268E-2</v>
      </c>
      <c r="T35" s="189">
        <f t="shared" si="36"/>
        <v>0.19863598070783792</v>
      </c>
      <c r="U35" s="189">
        <f t="shared" si="36"/>
        <v>2.1992881013275178E-2</v>
      </c>
      <c r="V35" s="189">
        <f t="shared" si="36"/>
        <v>0.1103845263596057</v>
      </c>
      <c r="W35" s="189">
        <f t="shared" si="36"/>
        <v>0.19745311680524349</v>
      </c>
      <c r="X35" s="189">
        <f t="shared" si="36"/>
        <v>0.11193809749947253</v>
      </c>
      <c r="Y35" s="189">
        <f t="shared" si="36"/>
        <v>1.7222548834131993E-2</v>
      </c>
      <c r="Z35" s="189">
        <f t="shared" si="36"/>
        <v>6.1911841361381587E-2</v>
      </c>
      <c r="AA35" s="189">
        <f t="shared" si="36"/>
        <v>-0.27355936335907871</v>
      </c>
      <c r="AB35" s="189">
        <f t="shared" si="36"/>
        <v>-0.23453603641347728</v>
      </c>
      <c r="AC35" s="189">
        <f t="shared" si="36"/>
        <v>-7.0314849690585032E-2</v>
      </c>
      <c r="AD35" s="189">
        <f t="shared" si="36"/>
        <v>-8.2112200020810946E-2</v>
      </c>
      <c r="AE35" s="189">
        <f t="shared" si="36"/>
        <v>4.3423138623075924E-2</v>
      </c>
      <c r="AF35" s="189">
        <f t="shared" si="36"/>
        <v>0.11711235749731183</v>
      </c>
      <c r="AG35" s="189">
        <f t="shared" si="36"/>
        <v>-1.3551082410557021E-2</v>
      </c>
      <c r="AH35" s="189">
        <f t="shared" si="36"/>
        <v>-6.7331240877533394E-2</v>
      </c>
      <c r="AI35" s="189">
        <f t="shared" si="36"/>
        <v>-3.6867082868482386E-2</v>
      </c>
      <c r="AJ35" s="189">
        <f t="shared" ref="AJ35:BJ35" si="37">IFERROR(AJ34/AJ12,"")</f>
        <v>-3.5194500131636643E-2</v>
      </c>
      <c r="AK35" s="189">
        <f t="shared" si="37"/>
        <v>4.9619011779805669E-2</v>
      </c>
      <c r="AL35" s="189">
        <f t="shared" si="37"/>
        <v>4.6518339467219567E-2</v>
      </c>
      <c r="AM35" s="189">
        <f t="shared" si="37"/>
        <v>8.7239941779059263E-2</v>
      </c>
      <c r="AN35" s="189">
        <f t="shared" si="37"/>
        <v>1.5420678423507252E-2</v>
      </c>
      <c r="AO35" s="189">
        <f t="shared" si="37"/>
        <v>5.2753175562912008E-5</v>
      </c>
      <c r="AP35" s="189">
        <f t="shared" si="37"/>
        <v>4.5513933921318993E-2</v>
      </c>
      <c r="AQ35" s="189">
        <f t="shared" si="37"/>
        <v>3.096861651956146E-3</v>
      </c>
      <c r="AR35" s="189">
        <f t="shared" si="37"/>
        <v>-2.6790118861178359E-2</v>
      </c>
      <c r="AS35" s="189">
        <f t="shared" si="37"/>
        <v>2.0523426291576652E-4</v>
      </c>
      <c r="AT35" s="189">
        <f t="shared" si="37"/>
        <v>-3.8324119739508417E-2</v>
      </c>
      <c r="AU35" s="189">
        <f t="shared" si="37"/>
        <v>-4.7156894094988785E-2</v>
      </c>
      <c r="AV35" s="189">
        <f t="shared" si="37"/>
        <v>-9.4506773935187929E-2</v>
      </c>
      <c r="AW35" s="189">
        <f t="shared" si="37"/>
        <v>6.8699610451932215E-3</v>
      </c>
      <c r="AX35" s="189">
        <f t="shared" si="37"/>
        <v>1.6783082714750851E-3</v>
      </c>
      <c r="AY35" s="189">
        <f t="shared" si="37"/>
        <v>-3.9660702766804654E-2</v>
      </c>
      <c r="AZ35" s="189">
        <f t="shared" si="37"/>
        <v>-0.14652224985802303</v>
      </c>
      <c r="BA35" s="189">
        <f t="shared" si="37"/>
        <v>-0.10181057645450359</v>
      </c>
      <c r="BB35" s="189">
        <f t="shared" si="37"/>
        <v>-1.1847718307160186E-2</v>
      </c>
      <c r="BC35" s="189">
        <f t="shared" si="37"/>
        <v>9.221049307896162E-2</v>
      </c>
      <c r="BD35" s="189">
        <f t="shared" si="37"/>
        <v>4.6060707441915739E-2</v>
      </c>
      <c r="BE35" s="189">
        <f t="shared" si="37"/>
        <v>8.3853988321804532E-2</v>
      </c>
      <c r="BF35" s="189">
        <f t="shared" si="37"/>
        <v>0.11034687153526858</v>
      </c>
      <c r="BG35" s="189">
        <f t="shared" si="37"/>
        <v>0.10946928986895153</v>
      </c>
      <c r="BH35" s="189">
        <f t="shared" si="37"/>
        <v>5.8690534629893786E-2</v>
      </c>
      <c r="BI35" s="189">
        <f t="shared" si="37"/>
        <v>7.6894749100186607E-2</v>
      </c>
      <c r="BJ35" s="189">
        <f t="shared" si="37"/>
        <v>8.5010272949985519E-2</v>
      </c>
      <c r="BK35" s="189">
        <v>8.8934456074055507E-2</v>
      </c>
      <c r="BL35" s="189">
        <f t="shared" ref="BL35" si="38">IFERROR(BL34/BL12,"")</f>
        <v>0.11972618691170248</v>
      </c>
      <c r="BM35" s="189">
        <f t="shared" ref="BM35" si="39">IFERROR(BM34/BM12,"")</f>
        <v>5.0588622938054099E-2</v>
      </c>
      <c r="BN35" s="189">
        <f t="shared" ref="BN35" si="40">IFERROR(BN34/BN12,"")</f>
        <v>0.10940925183438831</v>
      </c>
      <c r="BO35" s="189">
        <v>8.7999999999999995E-2</v>
      </c>
      <c r="BP35" s="189">
        <v>0.11065477071042142</v>
      </c>
      <c r="BQ35" s="189">
        <v>9.8901727498563102E-2</v>
      </c>
      <c r="BR35" s="189" t="str">
        <f t="shared" ref="BR35" si="41">IFERROR(BR34/BR12,"")</f>
        <v/>
      </c>
      <c r="BS35" s="189" t="str">
        <f t="shared" ref="BS35" si="42">IFERROR(BS34/BS12,"")</f>
        <v/>
      </c>
      <c r="BT35" s="189" t="str">
        <f t="shared" ref="BT35" si="43">IFERROR(BT34/BT12,"")</f>
        <v/>
      </c>
      <c r="BU35" s="189" t="str">
        <f t="shared" ref="BU35" si="44">IFERROR(BU34/BU12,"")</f>
        <v/>
      </c>
      <c r="BV35" s="189" t="str">
        <f t="shared" ref="BV35" si="45">IFERROR(BV34/BV12,"")</f>
        <v/>
      </c>
      <c r="BW35" s="189" t="str">
        <f t="shared" ref="BW35" si="46">IFERROR(BW34/BW12,"")</f>
        <v/>
      </c>
    </row>
    <row r="36" spans="1:75" x14ac:dyDescent="0.25">
      <c r="A36" s="169">
        <v>33</v>
      </c>
      <c r="B36" s="170" t="s">
        <v>440</v>
      </c>
      <c r="C36" s="171">
        <v>7</v>
      </c>
      <c r="D36" s="187">
        <f>'Ket qua kinh doanh'!D21+'Ket qua kinh doanh'!D22</f>
        <v>0</v>
      </c>
      <c r="E36" s="187">
        <f>'Ket qua kinh doanh'!E21+'Ket qua kinh doanh'!E22</f>
        <v>0</v>
      </c>
      <c r="F36" s="187">
        <f>'Ket qua kinh doanh'!F21+'Ket qua kinh doanh'!F22</f>
        <v>0</v>
      </c>
      <c r="G36" s="187">
        <f>'Ket qua kinh doanh'!G21+'Ket qua kinh doanh'!G22</f>
        <v>0</v>
      </c>
      <c r="H36" s="187">
        <f>'Ket qua kinh doanh'!H21+'Ket qua kinh doanh'!H22</f>
        <v>0</v>
      </c>
      <c r="I36" s="187">
        <f>'Ket qua kinh doanh'!I21+'Ket qua kinh doanh'!I22</f>
        <v>0</v>
      </c>
      <c r="J36" s="187">
        <f>'Ket qua kinh doanh'!J21+'Ket qua kinh doanh'!J22</f>
        <v>0</v>
      </c>
      <c r="K36" s="187">
        <f>'Ket qua kinh doanh'!K21+'Ket qua kinh doanh'!K22</f>
        <v>0</v>
      </c>
      <c r="L36" s="187">
        <f>'Ket qua kinh doanh'!L21+'Ket qua kinh doanh'!L22</f>
        <v>0</v>
      </c>
      <c r="M36" s="187">
        <f>'Ket qua kinh doanh'!M21+'Ket qua kinh doanh'!M22</f>
        <v>0</v>
      </c>
      <c r="N36" s="187">
        <f>'Ket qua kinh doanh'!N21+'Ket qua kinh doanh'!N22</f>
        <v>0</v>
      </c>
      <c r="O36" s="187">
        <f>'Ket qua kinh doanh'!O21+'Ket qua kinh doanh'!O22</f>
        <v>0</v>
      </c>
      <c r="P36" s="187">
        <f>'Ket qua kinh doanh'!P21+'Ket qua kinh doanh'!P22</f>
        <v>0</v>
      </c>
      <c r="Q36" s="187">
        <f>'Ket qua kinh doanh'!Q21+'Ket qua kinh doanh'!Q22</f>
        <v>0</v>
      </c>
      <c r="R36" s="187">
        <f>'Ket qua kinh doanh'!R21+'Ket qua kinh doanh'!R22</f>
        <v>0</v>
      </c>
      <c r="S36" s="187">
        <f>'Ket qua kinh doanh'!S21+'Ket qua kinh doanh'!S22</f>
        <v>0</v>
      </c>
      <c r="T36" s="187">
        <f>'Ket qua kinh doanh'!T21+'Ket qua kinh doanh'!T22</f>
        <v>0</v>
      </c>
      <c r="U36" s="187">
        <f>'Ket qua kinh doanh'!U21+'Ket qua kinh doanh'!U22</f>
        <v>0</v>
      </c>
      <c r="V36" s="187">
        <f>'Ket qua kinh doanh'!V21+'Ket qua kinh doanh'!V22</f>
        <v>0</v>
      </c>
      <c r="W36" s="187">
        <f>'Ket qua kinh doanh'!W21+'Ket qua kinh doanh'!W22</f>
        <v>0</v>
      </c>
      <c r="X36" s="187">
        <f>'Ket qua kinh doanh'!X21+'Ket qua kinh doanh'!X22</f>
        <v>0</v>
      </c>
      <c r="Y36" s="187">
        <f>'Ket qua kinh doanh'!Y21+'Ket qua kinh doanh'!Y22</f>
        <v>0</v>
      </c>
      <c r="Z36" s="187">
        <f>'Ket qua kinh doanh'!Z21+'Ket qua kinh doanh'!Z22</f>
        <v>0</v>
      </c>
      <c r="AA36" s="187">
        <f>'Ket qua kinh doanh'!AA21+'Ket qua kinh doanh'!AA22</f>
        <v>0</v>
      </c>
      <c r="AB36" s="187">
        <f>'Ket qua kinh doanh'!AB21+'Ket qua kinh doanh'!AB22</f>
        <v>0</v>
      </c>
      <c r="AC36" s="187">
        <f>'Ket qua kinh doanh'!AC21+'Ket qua kinh doanh'!AC22</f>
        <v>0</v>
      </c>
      <c r="AD36" s="187">
        <f>'Ket qua kinh doanh'!AD21+'Ket qua kinh doanh'!AD22</f>
        <v>0</v>
      </c>
      <c r="AE36" s="187">
        <f>'Ket qua kinh doanh'!AE21+'Ket qua kinh doanh'!AE22</f>
        <v>0</v>
      </c>
      <c r="AF36" s="187">
        <f>'Ket qua kinh doanh'!AF21+'Ket qua kinh doanh'!AF22</f>
        <v>0</v>
      </c>
      <c r="AG36" s="187">
        <f>'Ket qua kinh doanh'!AG21+'Ket qua kinh doanh'!AG22</f>
        <v>0</v>
      </c>
      <c r="AH36" s="187">
        <f>'Ket qua kinh doanh'!AH21+'Ket qua kinh doanh'!AH22</f>
        <v>0</v>
      </c>
      <c r="AI36" s="187">
        <f>'Ket qua kinh doanh'!AI21+'Ket qua kinh doanh'!AI22</f>
        <v>0</v>
      </c>
      <c r="AJ36" s="187">
        <f>'Ket qua kinh doanh'!AJ21+'Ket qua kinh doanh'!AJ22</f>
        <v>0</v>
      </c>
      <c r="AK36" s="187">
        <f>'Ket qua kinh doanh'!AK21+'Ket qua kinh doanh'!AK22</f>
        <v>0</v>
      </c>
      <c r="AL36" s="187">
        <f>'Ket qua kinh doanh'!AL21+'Ket qua kinh doanh'!AL22</f>
        <v>0</v>
      </c>
      <c r="AM36" s="187">
        <f>'Ket qua kinh doanh'!AM21+'Ket qua kinh doanh'!AM22</f>
        <v>0</v>
      </c>
      <c r="AN36" s="187">
        <f>'Ket qua kinh doanh'!AN21+'Ket qua kinh doanh'!AN22</f>
        <v>0</v>
      </c>
      <c r="AO36" s="187">
        <f>'Ket qua kinh doanh'!AO21+'Ket qua kinh doanh'!AO22</f>
        <v>0</v>
      </c>
      <c r="AP36" s="187">
        <f>'Ket qua kinh doanh'!AP21+'Ket qua kinh doanh'!AP22</f>
        <v>0</v>
      </c>
      <c r="AQ36" s="187">
        <f>'Ket qua kinh doanh'!AQ21+'Ket qua kinh doanh'!AQ22</f>
        <v>0</v>
      </c>
      <c r="AR36" s="187">
        <f>'Ket qua kinh doanh'!AR21+'Ket qua kinh doanh'!AR22</f>
        <v>0</v>
      </c>
      <c r="AS36" s="187">
        <f>'Ket qua kinh doanh'!AS21+'Ket qua kinh doanh'!AS22</f>
        <v>0</v>
      </c>
      <c r="AT36" s="187">
        <f>'Ket qua kinh doanh'!AT21+'Ket qua kinh doanh'!AT22</f>
        <v>0</v>
      </c>
      <c r="AU36" s="187">
        <f>'Ket qua kinh doanh'!AU21+'Ket qua kinh doanh'!AU22</f>
        <v>32927331</v>
      </c>
      <c r="AV36" s="187">
        <f>'Ket qua kinh doanh'!AV21+'Ket qua kinh doanh'!AV22</f>
        <v>0</v>
      </c>
      <c r="AW36" s="187">
        <f>'Ket qua kinh doanh'!AW21+'Ket qua kinh doanh'!AW22</f>
        <v>0</v>
      </c>
      <c r="AX36" s="187">
        <f>'Ket qua kinh doanh'!AX21+'Ket qua kinh doanh'!AX22</f>
        <v>0</v>
      </c>
      <c r="AY36" s="187">
        <f>'Ket qua kinh doanh'!AY21+'Ket qua kinh doanh'!AY22</f>
        <v>0</v>
      </c>
      <c r="AZ36" s="187">
        <f>'Ket qua kinh doanh'!AZ21+'Ket qua kinh doanh'!AZ22</f>
        <v>0</v>
      </c>
      <c r="BA36" s="187">
        <f>'Ket qua kinh doanh'!BA21+'Ket qua kinh doanh'!BA22</f>
        <v>0</v>
      </c>
      <c r="BB36" s="187">
        <f>'Ket qua kinh doanh'!BB21+'Ket qua kinh doanh'!BB22</f>
        <v>0</v>
      </c>
      <c r="BC36" s="187">
        <f>'Ket qua kinh doanh'!BC21+'Ket qua kinh doanh'!BC22</f>
        <v>0</v>
      </c>
      <c r="BD36" s="187">
        <f>'Ket qua kinh doanh'!BD21+'Ket qua kinh doanh'!BD22</f>
        <v>0</v>
      </c>
      <c r="BE36" s="187">
        <f>'Ket qua kinh doanh'!BE21+'Ket qua kinh doanh'!BE22</f>
        <v>0</v>
      </c>
      <c r="BF36" s="187">
        <f>'Ket qua kinh doanh'!BF21+'Ket qua kinh doanh'!BF22</f>
        <v>0</v>
      </c>
      <c r="BG36" s="187">
        <f>'Ket qua kinh doanh'!BG21+'Ket qua kinh doanh'!BG22</f>
        <v>0</v>
      </c>
      <c r="BH36" s="187">
        <f>'Ket qua kinh doanh'!BH21+'Ket qua kinh doanh'!BH22</f>
        <v>0</v>
      </c>
      <c r="BI36" s="187">
        <f>'Ket qua kinh doanh'!BI21+'Ket qua kinh doanh'!BI22</f>
        <v>0</v>
      </c>
      <c r="BJ36" s="187">
        <f>'Ket qua kinh doanh'!BJ21+'Ket qua kinh doanh'!BJ22</f>
        <v>0</v>
      </c>
      <c r="BK36" s="187">
        <v>461321716</v>
      </c>
      <c r="BL36" s="187">
        <f>'Ket qua kinh doanh'!BL21+'Ket qua kinh doanh'!BL22</f>
        <v>0</v>
      </c>
      <c r="BM36" s="187">
        <f>'Ket qua kinh doanh'!BM21+'Ket qua kinh doanh'!BM22</f>
        <v>0</v>
      </c>
      <c r="BN36" s="187">
        <f>'Ket qua kinh doanh'!BN21+'Ket qua kinh doanh'!BN22</f>
        <v>306813793</v>
      </c>
      <c r="BO36" s="187">
        <v>105667873</v>
      </c>
      <c r="BP36" s="187">
        <v>196270713</v>
      </c>
      <c r="BQ36" s="187">
        <v>230698810</v>
      </c>
      <c r="BR36" s="187">
        <f>'Ket qua kinh doanh'!BR21+'Ket qua kinh doanh'!BR22</f>
        <v>0</v>
      </c>
      <c r="BS36" s="187">
        <f>'Ket qua kinh doanh'!BS21+'Ket qua kinh doanh'!BS22</f>
        <v>0</v>
      </c>
      <c r="BT36" s="187">
        <f>'Ket qua kinh doanh'!BT21+'Ket qua kinh doanh'!BT22</f>
        <v>0</v>
      </c>
      <c r="BU36" s="187">
        <f>'Ket qua kinh doanh'!BU21+'Ket qua kinh doanh'!BU22</f>
        <v>0</v>
      </c>
      <c r="BV36" s="187">
        <f>'Ket qua kinh doanh'!BV21+'Ket qua kinh doanh'!BV22</f>
        <v>0</v>
      </c>
      <c r="BW36" s="187">
        <f>'Ket qua kinh doanh'!BW21+'Ket qua kinh doanh'!BW22</f>
        <v>0</v>
      </c>
    </row>
    <row r="37" spans="1:75" x14ac:dyDescent="0.25">
      <c r="A37" s="172">
        <v>34</v>
      </c>
      <c r="B37" s="173" t="s">
        <v>441</v>
      </c>
      <c r="C37" s="175">
        <v>7</v>
      </c>
      <c r="D37" s="189">
        <f t="shared" ref="D37:AI37" si="47">IFERROR(D36/D12,"")</f>
        <v>0</v>
      </c>
      <c r="E37" s="189">
        <f t="shared" si="47"/>
        <v>0</v>
      </c>
      <c r="F37" s="189">
        <f t="shared" si="47"/>
        <v>0</v>
      </c>
      <c r="G37" s="189">
        <f t="shared" si="47"/>
        <v>0</v>
      </c>
      <c r="H37" s="189">
        <f t="shared" si="47"/>
        <v>0</v>
      </c>
      <c r="I37" s="189">
        <f t="shared" si="47"/>
        <v>0</v>
      </c>
      <c r="J37" s="189">
        <f t="shared" si="47"/>
        <v>0</v>
      </c>
      <c r="K37" s="189" t="str">
        <f t="shared" si="47"/>
        <v/>
      </c>
      <c r="L37" s="189" t="str">
        <f t="shared" si="47"/>
        <v/>
      </c>
      <c r="M37" s="189" t="str">
        <f t="shared" si="47"/>
        <v/>
      </c>
      <c r="N37" s="189">
        <f t="shared" si="47"/>
        <v>0</v>
      </c>
      <c r="O37" s="189">
        <f t="shared" si="47"/>
        <v>0</v>
      </c>
      <c r="P37" s="189">
        <f t="shared" si="47"/>
        <v>0</v>
      </c>
      <c r="Q37" s="189">
        <f t="shared" si="47"/>
        <v>0</v>
      </c>
      <c r="R37" s="189">
        <f t="shared" si="47"/>
        <v>0</v>
      </c>
      <c r="S37" s="189">
        <f t="shared" si="47"/>
        <v>0</v>
      </c>
      <c r="T37" s="189">
        <f t="shared" si="47"/>
        <v>0</v>
      </c>
      <c r="U37" s="189">
        <f t="shared" si="47"/>
        <v>0</v>
      </c>
      <c r="V37" s="189">
        <f t="shared" si="47"/>
        <v>0</v>
      </c>
      <c r="W37" s="189">
        <f t="shared" si="47"/>
        <v>0</v>
      </c>
      <c r="X37" s="189">
        <f t="shared" si="47"/>
        <v>0</v>
      </c>
      <c r="Y37" s="189">
        <f t="shared" si="47"/>
        <v>0</v>
      </c>
      <c r="Z37" s="189">
        <f t="shared" si="47"/>
        <v>0</v>
      </c>
      <c r="AA37" s="189">
        <f t="shared" si="47"/>
        <v>0</v>
      </c>
      <c r="AB37" s="189">
        <f t="shared" si="47"/>
        <v>0</v>
      </c>
      <c r="AC37" s="189">
        <f t="shared" si="47"/>
        <v>0</v>
      </c>
      <c r="AD37" s="189">
        <f t="shared" si="47"/>
        <v>0</v>
      </c>
      <c r="AE37" s="189">
        <f t="shared" si="47"/>
        <v>0</v>
      </c>
      <c r="AF37" s="189">
        <f t="shared" si="47"/>
        <v>0</v>
      </c>
      <c r="AG37" s="189">
        <f t="shared" si="47"/>
        <v>0</v>
      </c>
      <c r="AH37" s="189">
        <f t="shared" si="47"/>
        <v>0</v>
      </c>
      <c r="AI37" s="189">
        <f t="shared" si="47"/>
        <v>0</v>
      </c>
      <c r="AJ37" s="189">
        <f t="shared" ref="AJ37:BJ37" si="48">IFERROR(AJ36/AJ12,"")</f>
        <v>0</v>
      </c>
      <c r="AK37" s="189">
        <f t="shared" si="48"/>
        <v>0</v>
      </c>
      <c r="AL37" s="189">
        <f t="shared" si="48"/>
        <v>0</v>
      </c>
      <c r="AM37" s="189">
        <f t="shared" si="48"/>
        <v>0</v>
      </c>
      <c r="AN37" s="189">
        <f t="shared" si="48"/>
        <v>0</v>
      </c>
      <c r="AO37" s="189">
        <f t="shared" si="48"/>
        <v>0</v>
      </c>
      <c r="AP37" s="189">
        <f t="shared" si="48"/>
        <v>0</v>
      </c>
      <c r="AQ37" s="189">
        <f t="shared" si="48"/>
        <v>0</v>
      </c>
      <c r="AR37" s="189">
        <f t="shared" si="48"/>
        <v>0</v>
      </c>
      <c r="AS37" s="189">
        <f t="shared" si="48"/>
        <v>0</v>
      </c>
      <c r="AT37" s="189">
        <f t="shared" si="48"/>
        <v>0</v>
      </c>
      <c r="AU37" s="189">
        <f t="shared" si="48"/>
        <v>5.6073151064245427E-3</v>
      </c>
      <c r="AV37" s="189">
        <f t="shared" si="48"/>
        <v>0</v>
      </c>
      <c r="AW37" s="189">
        <f t="shared" si="48"/>
        <v>0</v>
      </c>
      <c r="AX37" s="189">
        <f t="shared" si="48"/>
        <v>0</v>
      </c>
      <c r="AY37" s="189">
        <f t="shared" si="48"/>
        <v>0</v>
      </c>
      <c r="AZ37" s="189">
        <f t="shared" si="48"/>
        <v>0</v>
      </c>
      <c r="BA37" s="189">
        <f t="shared" si="48"/>
        <v>0</v>
      </c>
      <c r="BB37" s="189">
        <f t="shared" si="48"/>
        <v>0</v>
      </c>
      <c r="BC37" s="189">
        <f t="shared" si="48"/>
        <v>0</v>
      </c>
      <c r="BD37" s="189">
        <f t="shared" si="48"/>
        <v>0</v>
      </c>
      <c r="BE37" s="189">
        <f t="shared" si="48"/>
        <v>0</v>
      </c>
      <c r="BF37" s="189">
        <f t="shared" si="48"/>
        <v>0</v>
      </c>
      <c r="BG37" s="189">
        <f t="shared" si="48"/>
        <v>0</v>
      </c>
      <c r="BH37" s="189">
        <f t="shared" si="48"/>
        <v>0</v>
      </c>
      <c r="BI37" s="189">
        <f t="shared" si="48"/>
        <v>0</v>
      </c>
      <c r="BJ37" s="189">
        <f t="shared" si="48"/>
        <v>0</v>
      </c>
      <c r="BK37" s="189">
        <v>5.3060664916347547E-2</v>
      </c>
      <c r="BL37" s="189">
        <f t="shared" ref="BL37" si="49">IFERROR(BL36/BL12,"")</f>
        <v>0</v>
      </c>
      <c r="BM37" s="189">
        <f t="shared" ref="BM37" si="50">IFERROR(BM36/BM12,"")</f>
        <v>0</v>
      </c>
      <c r="BN37" s="189">
        <f t="shared" ref="BN37" si="51">IFERROR(BN36/BN12,"")</f>
        <v>3.2766493180655235E-2</v>
      </c>
      <c r="BO37" s="189">
        <v>1.2E-2</v>
      </c>
      <c r="BP37" s="189">
        <v>1.6189647666514762E-2</v>
      </c>
      <c r="BQ37" s="189">
        <v>1.6852198532250381E-2</v>
      </c>
      <c r="BR37" s="189" t="str">
        <f t="shared" ref="BR37" si="52">IFERROR(BR36/BR12,"")</f>
        <v/>
      </c>
      <c r="BS37" s="189" t="str">
        <f t="shared" ref="BS37" si="53">IFERROR(BS36/BS12,"")</f>
        <v/>
      </c>
      <c r="BT37" s="189" t="str">
        <f t="shared" ref="BT37" si="54">IFERROR(BT36/BT12,"")</f>
        <v/>
      </c>
      <c r="BU37" s="189" t="str">
        <f t="shared" ref="BU37" si="55">IFERROR(BU36/BU12,"")</f>
        <v/>
      </c>
      <c r="BV37" s="189" t="str">
        <f t="shared" ref="BV37" si="56">IFERROR(BV36/BV12,"")</f>
        <v/>
      </c>
      <c r="BW37" s="189" t="str">
        <f t="shared" ref="BW37" si="57">IFERROR(BW36/BW12,"")</f>
        <v/>
      </c>
    </row>
    <row r="38" spans="1:75" x14ac:dyDescent="0.25">
      <c r="A38" s="169">
        <v>35</v>
      </c>
      <c r="B38" s="170" t="s">
        <v>442</v>
      </c>
      <c r="C38" s="171">
        <v>7</v>
      </c>
      <c r="D38" s="187">
        <f>'Ket qua kinh doanh'!D23</f>
        <v>-409381721</v>
      </c>
      <c r="E38" s="187">
        <f>'Ket qua kinh doanh'!E23</f>
        <v>-255852308</v>
      </c>
      <c r="F38" s="187">
        <f>'Ket qua kinh doanh'!F23</f>
        <v>-289562746</v>
      </c>
      <c r="G38" s="187">
        <f>'Ket qua kinh doanh'!G23</f>
        <v>-221158003</v>
      </c>
      <c r="H38" s="187">
        <f>'Ket qua kinh doanh'!H23</f>
        <v>-158788884</v>
      </c>
      <c r="I38" s="187">
        <f>'Ket qua kinh doanh'!I23</f>
        <v>-163311329</v>
      </c>
      <c r="J38" s="187">
        <f>'Ket qua kinh doanh'!J23</f>
        <v>-128277358</v>
      </c>
      <c r="K38" s="187">
        <f>'Ket qua kinh doanh'!K23</f>
        <v>-100677535</v>
      </c>
      <c r="L38" s="187">
        <f>'Ket qua kinh doanh'!L23</f>
        <v>-122886734</v>
      </c>
      <c r="M38" s="187">
        <f>'Ket qua kinh doanh'!M23</f>
        <v>-154160043</v>
      </c>
      <c r="N38" s="187">
        <f>'Ket qua kinh doanh'!N23</f>
        <v>-178082076</v>
      </c>
      <c r="O38" s="187">
        <f>'Ket qua kinh doanh'!O23</f>
        <v>-235623357</v>
      </c>
      <c r="P38" s="187">
        <f>'Ket qua kinh doanh'!P23</f>
        <v>436605478</v>
      </c>
      <c r="Q38" s="187">
        <f>'Ket qua kinh doanh'!Q23</f>
        <v>-249826970</v>
      </c>
      <c r="R38" s="187">
        <f>'Ket qua kinh doanh'!R23</f>
        <v>252613936</v>
      </c>
      <c r="S38" s="187">
        <f>'Ket qua kinh doanh'!S23</f>
        <v>89157718</v>
      </c>
      <c r="T38" s="187">
        <f>'Ket qua kinh doanh'!T23</f>
        <v>582092467</v>
      </c>
      <c r="U38" s="187">
        <f>'Ket qua kinh doanh'!U23</f>
        <v>62295741</v>
      </c>
      <c r="V38" s="187">
        <f>'Ket qua kinh doanh'!V23</f>
        <v>245159362</v>
      </c>
      <c r="W38" s="187">
        <f>'Ket qua kinh doanh'!W23</f>
        <v>787564668</v>
      </c>
      <c r="X38" s="187">
        <f>'Ket qua kinh doanh'!X23</f>
        <v>451388729</v>
      </c>
      <c r="Y38" s="187">
        <f>'Ket qua kinh doanh'!Y23</f>
        <v>20066969.059290886</v>
      </c>
      <c r="Z38" s="187">
        <f>'Ket qua kinh doanh'!Z23</f>
        <v>371628946</v>
      </c>
      <c r="AA38" s="187">
        <f>'Ket qua kinh doanh'!AA23</f>
        <v>-2245602713</v>
      </c>
      <c r="AB38" s="187">
        <f>'Ket qua kinh doanh'!AB23</f>
        <v>-695390671</v>
      </c>
      <c r="AC38" s="187">
        <f>'Ket qua kinh doanh'!AC23</f>
        <v>-409959538</v>
      </c>
      <c r="AD38" s="187">
        <f>'Ket qua kinh doanh'!AD23</f>
        <v>-627693658</v>
      </c>
      <c r="AE38" s="187">
        <f>'Ket qua kinh doanh'!AE23</f>
        <v>276639961</v>
      </c>
      <c r="AF38" s="187">
        <f>'Ket qua kinh doanh'!AF23</f>
        <v>1090114451</v>
      </c>
      <c r="AG38" s="187">
        <f>'Ket qua kinh doanh'!AG23</f>
        <v>-183039550</v>
      </c>
      <c r="AH38" s="187">
        <f>'Ket qua kinh doanh'!AH23</f>
        <v>-511046246</v>
      </c>
      <c r="AI38" s="187">
        <f>'Ket qua kinh doanh'!AI23</f>
        <v>-299937249</v>
      </c>
      <c r="AJ38" s="187">
        <f>'Ket qua kinh doanh'!AJ23</f>
        <v>-247512811</v>
      </c>
      <c r="AK38" s="187">
        <f>'Ket qua kinh doanh'!AK23</f>
        <v>215412564</v>
      </c>
      <c r="AL38" s="187">
        <f>'Ket qua kinh doanh'!AL23</f>
        <v>281001910</v>
      </c>
      <c r="AM38" s="187">
        <f>'Ket qua kinh doanh'!AM23</f>
        <v>687832733</v>
      </c>
      <c r="AN38" s="187">
        <f>'Ket qua kinh doanh'!AN23</f>
        <v>-6888417</v>
      </c>
      <c r="AO38" s="187">
        <f>'Ket qua kinh doanh'!AO23</f>
        <v>-111684924</v>
      </c>
      <c r="AP38" s="187">
        <f>'Ket qua kinh doanh'!AP23</f>
        <v>245648215</v>
      </c>
      <c r="AQ38" s="187">
        <f>'Ket qua kinh doanh'!AQ23</f>
        <v>-95403313</v>
      </c>
      <c r="AR38" s="187">
        <f>'Ket qua kinh doanh'!AR23</f>
        <v>-323849797</v>
      </c>
      <c r="AS38" s="187">
        <f>'Ket qua kinh doanh'!AS23</f>
        <v>-111483671</v>
      </c>
      <c r="AT38" s="187">
        <f>'Ket qua kinh doanh'!AT23</f>
        <v>-318297985</v>
      </c>
      <c r="AU38" s="187">
        <f>'Ket qua kinh doanh'!AU23</f>
        <v>-428679374</v>
      </c>
      <c r="AV38" s="187">
        <f>'Ket qua kinh doanh'!AV23</f>
        <v>-556670192</v>
      </c>
      <c r="AW38" s="187">
        <f>'Ket qua kinh doanh'!AW23</f>
        <v>-90458698</v>
      </c>
      <c r="AX38" s="187">
        <f>'Ket qua kinh doanh'!AX23</f>
        <v>-137324570</v>
      </c>
      <c r="AY38" s="187">
        <f>'Ket qua kinh doanh'!AY23</f>
        <v>-349818396</v>
      </c>
      <c r="AZ38" s="187">
        <f>'Ket qua kinh doanh'!AZ23</f>
        <v>-709728629</v>
      </c>
      <c r="BA38" s="187">
        <f>'Ket qua kinh doanh'!BA23</f>
        <v>-666184578</v>
      </c>
      <c r="BB38" s="187">
        <f>'Ket qua kinh doanh'!BB23</f>
        <v>-251636967</v>
      </c>
      <c r="BC38" s="187">
        <f>'Ket qua kinh doanh'!BC23</f>
        <v>711287570</v>
      </c>
      <c r="BD38" s="187">
        <f>'Ket qua kinh doanh'!BD23</f>
        <v>224729120</v>
      </c>
      <c r="BE38" s="187">
        <f>'Ket qua kinh doanh'!BE23</f>
        <v>635187089</v>
      </c>
      <c r="BF38" s="187">
        <f>'Ket qua kinh doanh'!BF23</f>
        <v>1321680656</v>
      </c>
      <c r="BG38" s="187">
        <f>'Ket qua kinh doanh'!BG23</f>
        <v>1205904768</v>
      </c>
      <c r="BH38" s="187">
        <f>'Ket qua kinh doanh'!BH23</f>
        <v>339730983</v>
      </c>
      <c r="BI38" s="187">
        <f>'Ket qua kinh doanh'!BI23</f>
        <v>416403421</v>
      </c>
      <c r="BJ38" s="187">
        <f>'Ket qua kinh doanh'!BJ23</f>
        <v>379915613</v>
      </c>
      <c r="BK38" s="187">
        <v>136518678</v>
      </c>
      <c r="BL38" s="187">
        <f>'Ket qua kinh doanh'!BL23</f>
        <v>814808996</v>
      </c>
      <c r="BM38" s="187">
        <f>'Ket qua kinh doanh'!BM23</f>
        <v>152467569</v>
      </c>
      <c r="BN38" s="187">
        <f>'Ket qua kinh doanh'!BN23</f>
        <v>530696660</v>
      </c>
      <c r="BO38" s="187">
        <v>515907850</v>
      </c>
      <c r="BP38" s="187">
        <f>'Ket qua kinh doanh'!BP23</f>
        <v>958262893</v>
      </c>
      <c r="BQ38" s="187">
        <f>BQ32-BQ36</f>
        <v>922795244</v>
      </c>
      <c r="BR38" s="187">
        <f>'Ket qua kinh doanh'!BR23</f>
        <v>0</v>
      </c>
      <c r="BS38" s="187">
        <f>'Ket qua kinh doanh'!BS23</f>
        <v>0</v>
      </c>
      <c r="BT38" s="187">
        <f>'Ket qua kinh doanh'!BT23</f>
        <v>0</v>
      </c>
      <c r="BU38" s="187">
        <f>'Ket qua kinh doanh'!BU23</f>
        <v>0</v>
      </c>
      <c r="BV38" s="187">
        <f>'Ket qua kinh doanh'!BV23</f>
        <v>0</v>
      </c>
      <c r="BW38" s="187">
        <f>'Ket qua kinh doanh'!BW23</f>
        <v>0</v>
      </c>
    </row>
    <row r="39" spans="1:75" x14ac:dyDescent="0.25">
      <c r="A39" s="172">
        <v>36</v>
      </c>
      <c r="B39" s="173" t="s">
        <v>443</v>
      </c>
      <c r="C39" s="175">
        <v>7</v>
      </c>
      <c r="D39" s="189">
        <f t="shared" ref="D39:AI39" si="58">IFERROR(D38/D12,"")</f>
        <v>-1.3090262283780396</v>
      </c>
      <c r="E39" s="189">
        <f t="shared" si="58"/>
        <v>-0.42164372562056879</v>
      </c>
      <c r="F39" s="189">
        <f t="shared" si="58"/>
        <v>-0.3204131493405899</v>
      </c>
      <c r="G39" s="189">
        <f t="shared" si="58"/>
        <v>-0.37838187932048051</v>
      </c>
      <c r="H39" s="189">
        <f t="shared" si="58"/>
        <v>-0.33552471667518213</v>
      </c>
      <c r="I39" s="189">
        <f t="shared" si="58"/>
        <v>-0.49932590786623765</v>
      </c>
      <c r="J39" s="189">
        <f t="shared" si="58"/>
        <v>-0.60434355198130585</v>
      </c>
      <c r="K39" s="189" t="str">
        <f t="shared" si="58"/>
        <v/>
      </c>
      <c r="L39" s="189" t="str">
        <f t="shared" si="58"/>
        <v/>
      </c>
      <c r="M39" s="189" t="str">
        <f t="shared" si="58"/>
        <v/>
      </c>
      <c r="N39" s="189">
        <f t="shared" si="58"/>
        <v>-7.6054698270339527</v>
      </c>
      <c r="O39" s="189">
        <f t="shared" si="58"/>
        <v>-0.22634768108894182</v>
      </c>
      <c r="P39" s="189">
        <f t="shared" si="58"/>
        <v>0.3146366136116433</v>
      </c>
      <c r="Q39" s="189">
        <f t="shared" si="58"/>
        <v>-0.15777423184053593</v>
      </c>
      <c r="R39" s="189">
        <f t="shared" si="58"/>
        <v>9.8151432957315585E-2</v>
      </c>
      <c r="S39" s="189">
        <f t="shared" si="58"/>
        <v>3.1962867776088463E-2</v>
      </c>
      <c r="T39" s="189">
        <f t="shared" si="58"/>
        <v>0.19015100530684645</v>
      </c>
      <c r="U39" s="189">
        <f t="shared" si="58"/>
        <v>1.5521265446040152E-2</v>
      </c>
      <c r="V39" s="189">
        <f t="shared" si="58"/>
        <v>9.5519198404790631E-2</v>
      </c>
      <c r="W39" s="189">
        <f t="shared" si="58"/>
        <v>0.18556969745121676</v>
      </c>
      <c r="X39" s="189">
        <f t="shared" si="58"/>
        <v>0.10029845913789073</v>
      </c>
      <c r="Y39" s="189">
        <f t="shared" si="58"/>
        <v>4.9021448647618782E-3</v>
      </c>
      <c r="Z39" s="189">
        <f t="shared" si="58"/>
        <v>5.3572911202928945E-2</v>
      </c>
      <c r="AA39" s="189">
        <f t="shared" si="58"/>
        <v>-0.28009315849777855</v>
      </c>
      <c r="AB39" s="189">
        <f t="shared" si="58"/>
        <v>-0.26021741706831975</v>
      </c>
      <c r="AC39" s="189">
        <f t="shared" si="58"/>
        <v>-8.4452701218036913E-2</v>
      </c>
      <c r="AD39" s="189">
        <f t="shared" si="58"/>
        <v>-9.6079442443718271E-2</v>
      </c>
      <c r="AE39" s="189">
        <f t="shared" si="58"/>
        <v>3.2764047924418338E-2</v>
      </c>
      <c r="AF39" s="189">
        <f t="shared" si="58"/>
        <v>0.10818102011164392</v>
      </c>
      <c r="AG39" s="189">
        <f t="shared" si="58"/>
        <v>-2.6659162268814568E-2</v>
      </c>
      <c r="AH39" s="189">
        <f t="shared" si="58"/>
        <v>-8.1723311189625045E-2</v>
      </c>
      <c r="AI39" s="189">
        <f t="shared" si="58"/>
        <v>-5.2671724547864548E-2</v>
      </c>
      <c r="AJ39" s="189">
        <f t="shared" ref="AJ39:BJ39" si="59">IFERROR(AJ38/AJ12,"")</f>
        <v>-5.5303644319781887E-2</v>
      </c>
      <c r="AK39" s="189">
        <f t="shared" si="59"/>
        <v>3.4997233243401593E-2</v>
      </c>
      <c r="AL39" s="189">
        <f t="shared" si="59"/>
        <v>3.523372338430026E-2</v>
      </c>
      <c r="AM39" s="189">
        <f t="shared" si="59"/>
        <v>7.7145850005595124E-2</v>
      </c>
      <c r="AN39" s="189">
        <f t="shared" si="59"/>
        <v>-1.0105498472224529E-3</v>
      </c>
      <c r="AO39" s="189">
        <f t="shared" si="59"/>
        <v>-1.8492110692457455E-2</v>
      </c>
      <c r="AP39" s="189">
        <f t="shared" si="59"/>
        <v>3.1260623551211009E-2</v>
      </c>
      <c r="AQ39" s="189">
        <f t="shared" si="59"/>
        <v>-1.7798009863560792E-2</v>
      </c>
      <c r="AR39" s="189">
        <f t="shared" si="59"/>
        <v>-4.2047897759599349E-2</v>
      </c>
      <c r="AS39" s="189">
        <f t="shared" si="59"/>
        <v>-1.505418524774885E-2</v>
      </c>
      <c r="AT39" s="189">
        <f t="shared" si="59"/>
        <v>-5.9419482171709018E-2</v>
      </c>
      <c r="AU39" s="189">
        <f t="shared" si="59"/>
        <v>-7.3001371706768958E-2</v>
      </c>
      <c r="AV39" s="189">
        <f t="shared" si="59"/>
        <v>-0.12015783346661882</v>
      </c>
      <c r="AW39" s="189">
        <f t="shared" si="59"/>
        <v>-1.4185994774661185E-2</v>
      </c>
      <c r="AX39" s="189">
        <f t="shared" si="59"/>
        <v>-2.2855785260499681E-2</v>
      </c>
      <c r="AY39" s="189">
        <f t="shared" si="59"/>
        <v>-6.8666996360840574E-2</v>
      </c>
      <c r="AZ39" s="189">
        <f t="shared" si="59"/>
        <v>-0.18697254937454211</v>
      </c>
      <c r="BA39" s="189">
        <f t="shared" si="59"/>
        <v>-0.13289185721494801</v>
      </c>
      <c r="BB39" s="189">
        <f t="shared" si="59"/>
        <v>-3.1115296551709724E-2</v>
      </c>
      <c r="BC39" s="189">
        <f t="shared" si="59"/>
        <v>7.3369571463033703E-2</v>
      </c>
      <c r="BD39" s="189">
        <f t="shared" si="59"/>
        <v>2.6790625570511543E-2</v>
      </c>
      <c r="BE39" s="189">
        <f t="shared" si="59"/>
        <v>6.6753435874620071E-2</v>
      </c>
      <c r="BF39" s="189">
        <f t="shared" si="59"/>
        <v>9.7235390503382702E-2</v>
      </c>
      <c r="BG39" s="189">
        <f t="shared" si="59"/>
        <v>9.7080799000685655E-2</v>
      </c>
      <c r="BH39" s="189">
        <f t="shared" si="59"/>
        <v>3.8570451593252612E-2</v>
      </c>
      <c r="BI39" s="189">
        <f t="shared" si="59"/>
        <v>5.393872810311591E-2</v>
      </c>
      <c r="BJ39" s="189">
        <f t="shared" si="59"/>
        <v>5.8161706782281081E-2</v>
      </c>
      <c r="BK39" s="189">
        <v>1.5702212961032053E-2</v>
      </c>
      <c r="BL39" s="189">
        <f t="shared" ref="BL39" si="60">IFERROR(BL38/BL12,"")</f>
        <v>9.780222838500692E-2</v>
      </c>
      <c r="BM39" s="189">
        <f t="shared" ref="BM39" si="61">IFERROR(BM38/BM12,"")</f>
        <v>2.2960182215899197E-2</v>
      </c>
      <c r="BN39" s="189">
        <f t="shared" ref="BN39" si="62">IFERROR(BN38/BN12,"")</f>
        <v>5.6676293203306242E-2</v>
      </c>
      <c r="BO39" s="189">
        <v>5.6000000000000001E-2</v>
      </c>
      <c r="BP39" s="189">
        <v>9.523322157743816E-2</v>
      </c>
      <c r="BQ39" s="189">
        <v>8.4260992953445843E-2</v>
      </c>
      <c r="BR39" s="189" t="str">
        <f t="shared" ref="BR39" si="63">IFERROR(BR38/BR12,"")</f>
        <v/>
      </c>
      <c r="BS39" s="189" t="str">
        <f t="shared" ref="BS39" si="64">IFERROR(BS38/BS12,"")</f>
        <v/>
      </c>
      <c r="BT39" s="189" t="str">
        <f t="shared" ref="BT39" si="65">IFERROR(BT38/BT12,"")</f>
        <v/>
      </c>
      <c r="BU39" s="189" t="str">
        <f t="shared" ref="BU39" si="66">IFERROR(BU38/BU12,"")</f>
        <v/>
      </c>
      <c r="BV39" s="189" t="str">
        <f t="shared" ref="BV39" si="67">IFERROR(BV38/BV12,"")</f>
        <v/>
      </c>
      <c r="BW39" s="189" t="str">
        <f t="shared" ref="BW39" si="68">IFERROR(BW38/BW12,"")</f>
        <v/>
      </c>
    </row>
    <row r="40" spans="1:75" x14ac:dyDescent="0.25">
      <c r="A40" s="181">
        <v>37</v>
      </c>
      <c r="B40" s="182" t="s">
        <v>444</v>
      </c>
      <c r="C40" s="171">
        <v>7</v>
      </c>
      <c r="D40" s="187">
        <f>'Ket qua kinh doanh'!D14</f>
        <v>124600000</v>
      </c>
      <c r="E40" s="187">
        <f>'Ket qua kinh doanh'!E14</f>
        <v>137482710</v>
      </c>
      <c r="F40" s="187">
        <f>'Ket qua kinh doanh'!F14</f>
        <v>167076390</v>
      </c>
      <c r="G40" s="187">
        <f>'Ket qua kinh doanh'!G14</f>
        <v>43940000</v>
      </c>
      <c r="H40" s="187">
        <f>'Ket qua kinh doanh'!H14</f>
        <v>54150000</v>
      </c>
      <c r="I40" s="187">
        <f>'Ket qua kinh doanh'!I14</f>
        <v>51400000</v>
      </c>
      <c r="J40" s="187">
        <f>'Ket qua kinh doanh'!J14</f>
        <v>31900000</v>
      </c>
      <c r="K40" s="187">
        <f>'Ket qua kinh doanh'!K14</f>
        <v>3257800</v>
      </c>
      <c r="L40" s="187">
        <f>'Ket qua kinh doanh'!L14</f>
        <v>0</v>
      </c>
      <c r="M40" s="187">
        <f>'Ket qua kinh doanh'!M14</f>
        <v>0</v>
      </c>
      <c r="N40" s="187">
        <f>'Ket qua kinh doanh'!N14</f>
        <v>0</v>
      </c>
      <c r="O40" s="187">
        <f>'Ket qua kinh doanh'!O14</f>
        <v>11590909</v>
      </c>
      <c r="P40" s="187">
        <f>'Ket qua kinh doanh'!P14</f>
        <v>19977518</v>
      </c>
      <c r="Q40" s="187">
        <f>'Ket qua kinh doanh'!Q14</f>
        <v>32702728</v>
      </c>
      <c r="R40" s="187">
        <f>'Ket qua kinh doanh'!R14</f>
        <v>33368636</v>
      </c>
      <c r="S40" s="187">
        <f>'Ket qua kinh doanh'!S14</f>
        <v>25171391</v>
      </c>
      <c r="T40" s="187">
        <f>'Ket qua kinh doanh'!T14</f>
        <v>41525527</v>
      </c>
      <c r="U40" s="187">
        <f>'Ket qua kinh doanh'!U14</f>
        <v>40466172</v>
      </c>
      <c r="V40" s="187">
        <f>'Ket qua kinh doanh'!V14</f>
        <v>44065127</v>
      </c>
      <c r="W40" s="187">
        <f>'Ket qua kinh doanh'!W14</f>
        <v>49489591</v>
      </c>
      <c r="X40" s="187">
        <f>'Ket qua kinh doanh'!X14</f>
        <v>63884844</v>
      </c>
      <c r="Y40" s="187">
        <f>'Ket qua kinh doanh'!Y14</f>
        <v>-800000</v>
      </c>
      <c r="Z40" s="187">
        <f>'Ket qua kinh doanh'!Z14</f>
        <v>544659282</v>
      </c>
      <c r="AA40" s="187">
        <f>'Ket qua kinh doanh'!AA14</f>
        <v>573099951</v>
      </c>
      <c r="AB40" s="187">
        <f>'Ket qua kinh doanh'!AB14</f>
        <v>962814777</v>
      </c>
      <c r="AC40" s="187">
        <f>'Ket qua kinh doanh'!AC14</f>
        <v>637316957</v>
      </c>
      <c r="AD40" s="187">
        <f>'Ket qua kinh doanh'!AD14</f>
        <v>714463931</v>
      </c>
      <c r="AE40" s="187">
        <f>'Ket qua kinh doanh'!AE14</f>
        <v>772770445</v>
      </c>
      <c r="AF40" s="187">
        <f>'Ket qua kinh doanh'!AF14</f>
        <v>899348766</v>
      </c>
      <c r="AG40" s="187">
        <f>'Ket qua kinh doanh'!AG14</f>
        <v>1010824035</v>
      </c>
      <c r="AH40" s="187">
        <f>'Ket qua kinh doanh'!AH14</f>
        <v>741281738</v>
      </c>
      <c r="AI40" s="187">
        <f>'Ket qua kinh doanh'!AI14</f>
        <v>719882492</v>
      </c>
      <c r="AJ40" s="187">
        <f>'Ket qua kinh doanh'!AJ14</f>
        <v>503759926</v>
      </c>
      <c r="AK40" s="187">
        <f>'Ket qua kinh doanh'!AK14</f>
        <v>501487798</v>
      </c>
      <c r="AL40" s="187">
        <f>'Ket qua kinh doanh'!AL14</f>
        <v>675805769</v>
      </c>
      <c r="AM40" s="187">
        <f>'Ket qua kinh doanh'!AM14</f>
        <v>634609472</v>
      </c>
      <c r="AN40" s="187">
        <f>'Ket qua kinh doanh'!AN14</f>
        <v>133375123</v>
      </c>
      <c r="AO40" s="187">
        <f>'Ket qua kinh doanh'!AO14</f>
        <v>153076705</v>
      </c>
      <c r="AP40" s="187">
        <f>'Ket qua kinh doanh'!AP14</f>
        <v>183500000</v>
      </c>
      <c r="AQ40" s="187">
        <f>'Ket qua kinh doanh'!AQ14</f>
        <v>113500000</v>
      </c>
      <c r="AR40" s="187">
        <f>'Ket qua kinh doanh'!AR14</f>
        <v>148600000</v>
      </c>
      <c r="AS40" s="187">
        <f>'Ket qua kinh doanh'!AS14</f>
        <v>115000000</v>
      </c>
      <c r="AT40" s="187">
        <f>'Ket qua kinh doanh'!AT14</f>
        <v>78000000</v>
      </c>
      <c r="AU40" s="187">
        <f>'Ket qua kinh doanh'!AU14</f>
        <v>88000000</v>
      </c>
      <c r="AV40" s="187">
        <f>'Ket qua kinh doanh'!AV14</f>
        <v>88400000</v>
      </c>
      <c r="AW40" s="187">
        <f>'Ket qua kinh doanh'!AW14</f>
        <v>71100000</v>
      </c>
      <c r="AX40" s="187">
        <f>'Ket qua kinh doanh'!AX14</f>
        <v>64500000</v>
      </c>
      <c r="AY40" s="187">
        <f>'Ket qua kinh doanh'!AY14</f>
        <v>57000000</v>
      </c>
      <c r="AZ40" s="187">
        <f>'Ket qua kinh doanh'!AZ14</f>
        <v>37500000</v>
      </c>
      <c r="BA40" s="187">
        <f>'Ket qua kinh doanh'!BA14</f>
        <v>70500000</v>
      </c>
      <c r="BB40" s="187">
        <f>'Ket qua kinh doanh'!BB14</f>
        <v>103500000</v>
      </c>
      <c r="BC40" s="187">
        <f>'Ket qua kinh doanh'!BC14</f>
        <v>129000000</v>
      </c>
      <c r="BD40" s="187">
        <f>'Ket qua kinh doanh'!BD14</f>
        <v>111000000</v>
      </c>
      <c r="BE40" s="187">
        <f>'Ket qua kinh doanh'!BE14</f>
        <v>116500000</v>
      </c>
      <c r="BF40" s="187">
        <f>'Ket qua kinh doanh'!BF14</f>
        <v>172500000</v>
      </c>
      <c r="BG40" s="187">
        <f>'Ket qua kinh doanh'!BG14</f>
        <v>164700000</v>
      </c>
      <c r="BH40" s="187">
        <f>'Ket qua kinh doanh'!BH14</f>
        <v>127600000</v>
      </c>
      <c r="BI40" s="187">
        <f>'Ket qua kinh doanh'!BI14</f>
        <v>115500000</v>
      </c>
      <c r="BJ40" s="187">
        <f>'Ket qua kinh doanh'!BJ14</f>
        <v>100000000</v>
      </c>
      <c r="BK40" s="187">
        <v>138000000</v>
      </c>
      <c r="BL40" s="187">
        <f>'Ket qua kinh doanh'!BL14</f>
        <v>128500000</v>
      </c>
      <c r="BM40" s="187">
        <f>'Ket qua kinh doanh'!BM14</f>
        <v>102500000</v>
      </c>
      <c r="BN40" s="187">
        <f>'Ket qua kinh doanh'!BN14</f>
        <v>145600000</v>
      </c>
      <c r="BO40" s="187">
        <v>114800000</v>
      </c>
      <c r="BP40" s="187">
        <v>152200000</v>
      </c>
      <c r="BQ40" s="187">
        <v>151500000</v>
      </c>
      <c r="BR40" s="187">
        <f>'Ket qua kinh doanh'!BR14</f>
        <v>0</v>
      </c>
      <c r="BS40" s="187">
        <f>'Ket qua kinh doanh'!BS14</f>
        <v>0</v>
      </c>
      <c r="BT40" s="187">
        <f>'Ket qua kinh doanh'!BT14</f>
        <v>0</v>
      </c>
      <c r="BU40" s="187">
        <f>'Ket qua kinh doanh'!BU14</f>
        <v>0</v>
      </c>
      <c r="BV40" s="187">
        <f>'Ket qua kinh doanh'!BV14</f>
        <v>0</v>
      </c>
      <c r="BW40" s="187">
        <f>'Ket qua kinh doanh'!BW14</f>
        <v>0</v>
      </c>
    </row>
    <row r="41" spans="1:75" x14ac:dyDescent="0.25">
      <c r="A41" s="179">
        <v>38</v>
      </c>
      <c r="B41" s="178" t="s">
        <v>445</v>
      </c>
      <c r="C41" s="177">
        <v>7</v>
      </c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1"/>
      <c r="BQ41" s="191"/>
      <c r="BR41" s="191"/>
      <c r="BS41" s="191"/>
      <c r="BT41" s="191"/>
      <c r="BU41" s="191"/>
      <c r="BV41" s="191"/>
      <c r="BW41" s="191"/>
    </row>
    <row r="42" spans="1:75" x14ac:dyDescent="0.25">
      <c r="A42" s="179">
        <v>39</v>
      </c>
      <c r="B42" s="178" t="s">
        <v>446</v>
      </c>
      <c r="C42" s="177">
        <v>7</v>
      </c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1"/>
      <c r="BQ42" s="191"/>
      <c r="BR42" s="191"/>
      <c r="BS42" s="191"/>
      <c r="BT42" s="191"/>
      <c r="BU42" s="191"/>
      <c r="BV42" s="191"/>
      <c r="BW42" s="191"/>
    </row>
    <row r="43" spans="1:75" x14ac:dyDescent="0.25">
      <c r="A43" s="179">
        <v>40</v>
      </c>
      <c r="B43" s="178" t="s">
        <v>447</v>
      </c>
      <c r="C43" s="177">
        <v>7</v>
      </c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</row>
    <row r="44" spans="1:75" x14ac:dyDescent="0.25">
      <c r="A44" s="179">
        <v>41</v>
      </c>
      <c r="B44" s="178" t="s">
        <v>448</v>
      </c>
      <c r="C44" s="177">
        <v>7</v>
      </c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>
        <v>133375123</v>
      </c>
      <c r="AO44" s="191">
        <v>153076705</v>
      </c>
      <c r="AP44" s="191">
        <v>183500000</v>
      </c>
      <c r="AQ44" s="191">
        <v>113500000</v>
      </c>
      <c r="AR44" s="191">
        <v>148600000</v>
      </c>
      <c r="AS44" s="191">
        <v>115000000</v>
      </c>
      <c r="AT44" s="191">
        <v>78000000</v>
      </c>
      <c r="AU44" s="191">
        <v>88000000</v>
      </c>
      <c r="AV44" s="191">
        <v>88400000</v>
      </c>
      <c r="AW44" s="191">
        <v>71100000</v>
      </c>
      <c r="AX44" s="191">
        <v>64500000</v>
      </c>
      <c r="AY44" s="191">
        <v>57000000</v>
      </c>
      <c r="AZ44" s="191">
        <v>37500000</v>
      </c>
      <c r="BA44" s="191">
        <v>70500000</v>
      </c>
      <c r="BB44" s="191">
        <v>103500000</v>
      </c>
      <c r="BC44" s="191">
        <v>129000000</v>
      </c>
      <c r="BD44" s="191">
        <v>111000000</v>
      </c>
      <c r="BE44" s="191">
        <v>116500000</v>
      </c>
      <c r="BF44" s="191">
        <v>172500000</v>
      </c>
      <c r="BG44" s="191">
        <v>164700000</v>
      </c>
      <c r="BH44" s="191">
        <v>127600000</v>
      </c>
      <c r="BI44" s="191">
        <v>115500000</v>
      </c>
      <c r="BJ44" s="191">
        <v>100000000</v>
      </c>
      <c r="BK44" s="191">
        <v>138000000</v>
      </c>
      <c r="BL44" s="191">
        <v>128500000</v>
      </c>
      <c r="BM44" s="191">
        <v>102500000</v>
      </c>
      <c r="BN44" s="191">
        <v>145600000</v>
      </c>
      <c r="BO44" s="191">
        <v>114800000</v>
      </c>
      <c r="BP44" s="191">
        <v>152200000</v>
      </c>
      <c r="BQ44" s="191">
        <v>151500000</v>
      </c>
      <c r="BR44" s="191"/>
      <c r="BS44" s="191"/>
      <c r="BT44" s="191"/>
      <c r="BU44" s="191"/>
      <c r="BV44" s="191"/>
      <c r="BW44" s="191"/>
    </row>
    <row r="45" spans="1:75" x14ac:dyDescent="0.25">
      <c r="A45" s="179">
        <v>42</v>
      </c>
      <c r="B45" s="178" t="s">
        <v>449</v>
      </c>
      <c r="C45" s="177">
        <v>7</v>
      </c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1"/>
      <c r="BQ45" s="191"/>
      <c r="BR45" s="191"/>
      <c r="BS45" s="191"/>
      <c r="BT45" s="191"/>
      <c r="BU45" s="191"/>
      <c r="BV45" s="191"/>
      <c r="BW45" s="191"/>
    </row>
    <row r="46" spans="1:75" x14ac:dyDescent="0.25">
      <c r="A46" s="179">
        <v>43</v>
      </c>
      <c r="B46" s="178" t="s">
        <v>450</v>
      </c>
      <c r="C46" s="177">
        <v>7</v>
      </c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1"/>
      <c r="BQ46" s="191"/>
      <c r="BR46" s="191"/>
      <c r="BS46" s="191"/>
      <c r="BT46" s="191"/>
      <c r="BU46" s="191"/>
      <c r="BV46" s="191"/>
      <c r="BW46" s="191"/>
    </row>
    <row r="47" spans="1:75" x14ac:dyDescent="0.25">
      <c r="A47" s="179">
        <v>44</v>
      </c>
      <c r="B47" s="178" t="s">
        <v>451</v>
      </c>
      <c r="C47" s="177">
        <v>7</v>
      </c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1"/>
      <c r="BQ47" s="191"/>
      <c r="BR47" s="191"/>
      <c r="BS47" s="191"/>
      <c r="BT47" s="191"/>
      <c r="BU47" s="191"/>
      <c r="BV47" s="191"/>
      <c r="BW47" s="191"/>
    </row>
    <row r="48" spans="1:75" x14ac:dyDescent="0.25">
      <c r="A48" s="183">
        <v>45</v>
      </c>
      <c r="B48" s="184" t="s">
        <v>452</v>
      </c>
      <c r="C48" s="175">
        <v>7</v>
      </c>
      <c r="D48" s="189">
        <f t="shared" ref="D48:AI48" si="69">IFERROR(D40/D12,"")</f>
        <v>0.39841707552913369</v>
      </c>
      <c r="E48" s="189">
        <f t="shared" si="69"/>
        <v>0.22657103430472952</v>
      </c>
      <c r="F48" s="189">
        <f t="shared" si="69"/>
        <v>0.18487693268510666</v>
      </c>
      <c r="G48" s="189">
        <f t="shared" si="69"/>
        <v>7.5177472900864975E-2</v>
      </c>
      <c r="H48" s="189">
        <f t="shared" si="69"/>
        <v>0.11442024750272263</v>
      </c>
      <c r="I48" s="189">
        <f t="shared" si="69"/>
        <v>0.15715597822564173</v>
      </c>
      <c r="J48" s="189">
        <f t="shared" si="69"/>
        <v>0.15028809143546329</v>
      </c>
      <c r="K48" s="189" t="str">
        <f t="shared" si="69"/>
        <v/>
      </c>
      <c r="L48" s="189" t="str">
        <f t="shared" si="69"/>
        <v/>
      </c>
      <c r="M48" s="189" t="str">
        <f t="shared" si="69"/>
        <v/>
      </c>
      <c r="N48" s="189">
        <f t="shared" si="69"/>
        <v>0</v>
      </c>
      <c r="O48" s="189">
        <f t="shared" si="69"/>
        <v>1.113461503675523E-2</v>
      </c>
      <c r="P48" s="189">
        <f t="shared" si="69"/>
        <v>1.4396655398551022E-2</v>
      </c>
      <c r="Q48" s="189">
        <f t="shared" si="69"/>
        <v>2.0652885432225297E-2</v>
      </c>
      <c r="R48" s="189">
        <f t="shared" si="69"/>
        <v>1.2965157390331257E-2</v>
      </c>
      <c r="S48" s="189">
        <f t="shared" si="69"/>
        <v>9.023894513240269E-3</v>
      </c>
      <c r="T48" s="189">
        <f t="shared" si="69"/>
        <v>1.3565062515998158E-2</v>
      </c>
      <c r="U48" s="189">
        <f t="shared" si="69"/>
        <v>1.0082329660339341E-2</v>
      </c>
      <c r="V48" s="189">
        <f t="shared" si="69"/>
        <v>1.7168692128695037E-2</v>
      </c>
      <c r="W48" s="189">
        <f t="shared" si="69"/>
        <v>1.1660970586931486E-2</v>
      </c>
      <c r="X48" s="189">
        <f t="shared" si="69"/>
        <v>1.4195195856262782E-2</v>
      </c>
      <c r="Y48" s="189">
        <f t="shared" si="69"/>
        <v>-1.9543140173397395E-4</v>
      </c>
      <c r="Z48" s="189">
        <f t="shared" si="69"/>
        <v>7.8516444062021573E-2</v>
      </c>
      <c r="AA48" s="189">
        <f t="shared" si="69"/>
        <v>7.1482535392943344E-2</v>
      </c>
      <c r="AB48" s="189">
        <f t="shared" si="69"/>
        <v>0.36028837434051553</v>
      </c>
      <c r="AC48" s="189">
        <f t="shared" si="69"/>
        <v>0.13128890429842732</v>
      </c>
      <c r="AD48" s="189">
        <f t="shared" si="69"/>
        <v>0.10936114338855914</v>
      </c>
      <c r="AE48" s="189">
        <f t="shared" si="69"/>
        <v>9.1523609976774431E-2</v>
      </c>
      <c r="AF48" s="189">
        <f t="shared" si="69"/>
        <v>8.9249772675500591E-2</v>
      </c>
      <c r="AG48" s="189">
        <f t="shared" si="69"/>
        <v>0.14722349336131396</v>
      </c>
      <c r="AH48" s="189">
        <f t="shared" si="69"/>
        <v>0.11854112739879141</v>
      </c>
      <c r="AI48" s="189">
        <f t="shared" si="69"/>
        <v>0.12641795059424016</v>
      </c>
      <c r="AJ48" s="189">
        <f t="shared" ref="AJ48:BJ48" si="70">IFERROR(AJ40/AJ12,"")</f>
        <v>0.11255885971115913</v>
      </c>
      <c r="AK48" s="189">
        <f t="shared" si="70"/>
        <v>8.1474752955105548E-2</v>
      </c>
      <c r="AL48" s="189">
        <f t="shared" si="70"/>
        <v>8.4736625193972237E-2</v>
      </c>
      <c r="AM48" s="189">
        <f t="shared" si="70"/>
        <v>7.1176442745771326E-2</v>
      </c>
      <c r="AN48" s="189">
        <f t="shared" si="70"/>
        <v>1.9566499846180314E-2</v>
      </c>
      <c r="AO48" s="189">
        <f t="shared" si="70"/>
        <v>2.5345510136145638E-2</v>
      </c>
      <c r="AP48" s="189">
        <f t="shared" si="70"/>
        <v>2.3351785485789991E-2</v>
      </c>
      <c r="AQ48" s="189">
        <f t="shared" si="70"/>
        <v>2.1174045806083799E-2</v>
      </c>
      <c r="AR48" s="189">
        <f t="shared" si="70"/>
        <v>1.9293875324172163E-2</v>
      </c>
      <c r="AS48" s="189">
        <f t="shared" si="70"/>
        <v>1.5529012347387787E-2</v>
      </c>
      <c r="AT48" s="189">
        <f t="shared" si="70"/>
        <v>1.4560945490727197E-2</v>
      </c>
      <c r="AU48" s="189">
        <f t="shared" si="70"/>
        <v>1.4985840466855931E-2</v>
      </c>
      <c r="AV48" s="189">
        <f t="shared" si="70"/>
        <v>1.9081230917514447E-2</v>
      </c>
      <c r="AW48" s="189">
        <f t="shared" si="70"/>
        <v>1.1150107737327926E-2</v>
      </c>
      <c r="AX48" s="189">
        <f t="shared" si="70"/>
        <v>1.0735137559886256E-2</v>
      </c>
      <c r="AY48" s="189">
        <f t="shared" si="70"/>
        <v>1.1188716309155773E-2</v>
      </c>
      <c r="AZ48" s="189">
        <f t="shared" si="70"/>
        <v>9.8790866185353345E-3</v>
      </c>
      <c r="BA48" s="189">
        <f t="shared" si="70"/>
        <v>1.4063483669617214E-2</v>
      </c>
      <c r="BB48" s="189">
        <f t="shared" si="70"/>
        <v>1.2797933592570906E-2</v>
      </c>
      <c r="BC48" s="189">
        <f t="shared" si="70"/>
        <v>1.3306396903198164E-2</v>
      </c>
      <c r="BD48" s="189">
        <f t="shared" si="70"/>
        <v>1.3232639536553079E-2</v>
      </c>
      <c r="BE48" s="189">
        <f t="shared" si="70"/>
        <v>1.2243282985547646E-2</v>
      </c>
      <c r="BF48" s="189">
        <f t="shared" si="70"/>
        <v>1.2690739465459436E-2</v>
      </c>
      <c r="BG48" s="189">
        <f t="shared" si="70"/>
        <v>1.3259096422623089E-2</v>
      </c>
      <c r="BH48" s="189">
        <f t="shared" si="70"/>
        <v>1.4486725878925895E-2</v>
      </c>
      <c r="BI48" s="189">
        <f t="shared" si="70"/>
        <v>1.496126780358485E-2</v>
      </c>
      <c r="BJ48" s="189">
        <f t="shared" si="70"/>
        <v>1.5309112021748124E-2</v>
      </c>
      <c r="BK48" s="189">
        <v>1.5872592822957336E-2</v>
      </c>
      <c r="BL48" s="189">
        <f t="shared" ref="BL48:BW48" si="71">IFERROR(BL40/BL12,"")</f>
        <v>1.5423966118647749E-2</v>
      </c>
      <c r="BM48" s="189">
        <f t="shared" si="71"/>
        <v>1.5435536177071647E-2</v>
      </c>
      <c r="BN48" s="189">
        <f t="shared" si="71"/>
        <v>1.5549501084859642E-2</v>
      </c>
      <c r="BO48" s="189">
        <v>1.2999999999999999E-2</v>
      </c>
      <c r="BP48" s="189">
        <v>1.2554416994671776E-2</v>
      </c>
      <c r="BQ48" s="189">
        <v>1.1066845458092882E-2</v>
      </c>
      <c r="BR48" s="189" t="str">
        <f t="shared" si="71"/>
        <v/>
      </c>
      <c r="BS48" s="189" t="str">
        <f t="shared" si="71"/>
        <v/>
      </c>
      <c r="BT48" s="189" t="str">
        <f t="shared" si="71"/>
        <v/>
      </c>
      <c r="BU48" s="189" t="str">
        <f t="shared" si="71"/>
        <v/>
      </c>
      <c r="BV48" s="189" t="str">
        <f t="shared" si="71"/>
        <v/>
      </c>
      <c r="BW48" s="189" t="str">
        <f t="shared" si="71"/>
        <v/>
      </c>
    </row>
    <row r="49" spans="1:75" x14ac:dyDescent="0.25">
      <c r="A49" s="181">
        <v>46</v>
      </c>
      <c r="B49" s="182" t="s">
        <v>453</v>
      </c>
      <c r="C49" s="171">
        <v>7</v>
      </c>
      <c r="D49" s="187">
        <f>'Ket qua kinh doanh'!D15</f>
        <v>290450887</v>
      </c>
      <c r="E49" s="187">
        <f>'Ket qua kinh doanh'!E15</f>
        <v>130936346</v>
      </c>
      <c r="F49" s="187">
        <f>'Ket qua kinh doanh'!F15</f>
        <v>143934808</v>
      </c>
      <c r="G49" s="187">
        <f>'Ket qua kinh doanh'!G15</f>
        <v>216650285</v>
      </c>
      <c r="H49" s="187">
        <f>'Ket qua kinh doanh'!H15</f>
        <v>149107773</v>
      </c>
      <c r="I49" s="187">
        <f>'Ket qua kinh doanh'!I15</f>
        <v>141204731</v>
      </c>
      <c r="J49" s="187">
        <f>'Ket qua kinh doanh'!J15</f>
        <v>118353303</v>
      </c>
      <c r="K49" s="187">
        <f>'Ket qua kinh doanh'!K15</f>
        <v>97570688</v>
      </c>
      <c r="L49" s="187">
        <f>'Ket qua kinh doanh'!L15</f>
        <v>123041539</v>
      </c>
      <c r="M49" s="187">
        <f>'Ket qua kinh doanh'!M15</f>
        <v>154194004</v>
      </c>
      <c r="N49" s="187">
        <f>'Ket qua kinh doanh'!N15</f>
        <v>201891032</v>
      </c>
      <c r="O49" s="187">
        <f>'Ket qua kinh doanh'!O15</f>
        <v>272556289</v>
      </c>
      <c r="P49" s="187">
        <f>'Ket qua kinh doanh'!P15</f>
        <v>75508157</v>
      </c>
      <c r="Q49" s="187">
        <f>'Ket qua kinh doanh'!Q15</f>
        <v>93356278</v>
      </c>
      <c r="R49" s="187">
        <f>'Ket qua kinh doanh'!R15</f>
        <v>70003962</v>
      </c>
      <c r="S49" s="187">
        <f>'Ket qua kinh doanh'!S15</f>
        <v>72286603</v>
      </c>
      <c r="T49" s="187">
        <f>'Ket qua kinh doanh'!T15</f>
        <v>67380693</v>
      </c>
      <c r="U49" s="187">
        <f>'Ket qua kinh doanh'!U15</f>
        <v>90342388</v>
      </c>
      <c r="V49" s="187">
        <f>'Ket qua kinh doanh'!V15</f>
        <v>65440018</v>
      </c>
      <c r="W49" s="187">
        <f>'Ket qua kinh doanh'!W15</f>
        <v>69282072</v>
      </c>
      <c r="X49" s="187">
        <f>'Ket qua kinh doanh'!X15</f>
        <v>67377790</v>
      </c>
      <c r="Y49" s="187">
        <f>'Ket qua kinh doanh'!Y15</f>
        <v>95150209</v>
      </c>
      <c r="Z49" s="187">
        <f>'Ket qua kinh doanh'!Z15</f>
        <v>549676445</v>
      </c>
      <c r="AA49" s="187">
        <f>'Ket qua kinh doanh'!AA15</f>
        <v>611847614</v>
      </c>
      <c r="AB49" s="187">
        <f>'Ket qua kinh doanh'!AB15</f>
        <v>437925898</v>
      </c>
      <c r="AC49" s="187">
        <f>'Ket qua kinh doanh'!AC15</f>
        <v>280408198</v>
      </c>
      <c r="AD49" s="187">
        <f>'Ket qua kinh doanh'!AD15</f>
        <v>331111159</v>
      </c>
      <c r="AE49" s="187">
        <f>'Ket qua kinh doanh'!AE15</f>
        <v>406104277</v>
      </c>
      <c r="AF49" s="187">
        <f>'Ket qua kinh doanh'!AF15</f>
        <v>397327338</v>
      </c>
      <c r="AG49" s="187">
        <f>'Ket qua kinh doanh'!AG15</f>
        <v>419101489</v>
      </c>
      <c r="AH49" s="187">
        <f>'Ket qua kinh doanh'!AH15</f>
        <v>339062283</v>
      </c>
      <c r="AI49" s="187">
        <f>'Ket qua kinh doanh'!AI15</f>
        <v>323040469</v>
      </c>
      <c r="AJ49" s="187">
        <f>'Ket qua kinh doanh'!AJ15</f>
        <v>314799888</v>
      </c>
      <c r="AK49" s="187">
        <f>'Ket qua kinh doanh'!AK15</f>
        <v>316250411</v>
      </c>
      <c r="AL49" s="187">
        <f>'Ket qua kinh doanh'!AL15</f>
        <v>312166512</v>
      </c>
      <c r="AM49" s="187">
        <f>'Ket qua kinh doanh'!AM15</f>
        <v>133170212</v>
      </c>
      <c r="AN49" s="187">
        <f>'Ket qua kinh doanh'!AN15</f>
        <v>108609904</v>
      </c>
      <c r="AO49" s="187">
        <f>'Ket qua kinh doanh'!AO15</f>
        <v>112973768</v>
      </c>
      <c r="AP49" s="187">
        <f>'Ket qua kinh doanh'!AP15</f>
        <v>101629977</v>
      </c>
      <c r="AQ49" s="187">
        <f>'Ket qua kinh doanh'!AQ15</f>
        <v>115745156</v>
      </c>
      <c r="AR49" s="187">
        <f>'Ket qua kinh doanh'!AR15</f>
        <v>112729162</v>
      </c>
      <c r="AS49" s="187">
        <f>'Ket qua kinh doanh'!AS15</f>
        <v>120069599</v>
      </c>
      <c r="AT49" s="187">
        <f>'Ket qua kinh doanh'!AT15</f>
        <v>160850671</v>
      </c>
      <c r="AU49" s="187">
        <f>'Ket qua kinh doanh'!AU15</f>
        <v>405694070</v>
      </c>
      <c r="AV49" s="187">
        <f>'Ket qua kinh doanh'!AV15</f>
        <v>233540627</v>
      </c>
      <c r="AW49" s="187">
        <f>'Ket qua kinh doanh'!AW15</f>
        <v>92522618</v>
      </c>
      <c r="AX49" s="187">
        <f>'Ket qua kinh doanh'!AX15</f>
        <v>230673757</v>
      </c>
      <c r="AY49" s="187">
        <f>'Ket qua kinh doanh'!AY15</f>
        <v>203190535</v>
      </c>
      <c r="AZ49" s="187">
        <f>'Ket qua kinh doanh'!AZ15</f>
        <v>352795333</v>
      </c>
      <c r="BA49" s="187">
        <f>'Ket qua kinh doanh'!BA15</f>
        <v>295358943</v>
      </c>
      <c r="BB49" s="187">
        <f>'Ket qua kinh doanh'!BB15</f>
        <v>271063548</v>
      </c>
      <c r="BC49" s="187">
        <f>'Ket qua kinh doanh'!BC15</f>
        <v>313168414</v>
      </c>
      <c r="BD49" s="187">
        <f>'Ket qua kinh doanh'!BD15</f>
        <v>312964157</v>
      </c>
      <c r="BE49" s="187">
        <f>'Ket qua kinh doanh'!BE15</f>
        <v>275253185</v>
      </c>
      <c r="BF49" s="187">
        <f>'Ket qua kinh doanh'!BF15</f>
        <v>348145066</v>
      </c>
      <c r="BG49" s="187">
        <f>'Ket qua kinh doanh'!BG15</f>
        <v>329900505</v>
      </c>
      <c r="BH49" s="187">
        <f>'Ket qua kinh doanh'!BH15</f>
        <v>317487600</v>
      </c>
      <c r="BI49" s="187">
        <f>'Ket qua kinh doanh'!BI15</f>
        <v>350884750</v>
      </c>
      <c r="BJ49" s="187">
        <f>'Ket qua kinh doanh'!BJ15</f>
        <v>369111823</v>
      </c>
      <c r="BK49" s="187">
        <v>661147544</v>
      </c>
      <c r="BL49" s="187">
        <f>'Ket qua kinh doanh'!BL15</f>
        <v>408101430</v>
      </c>
      <c r="BM49" s="187">
        <f>'Ket qua kinh doanh'!BM15</f>
        <v>323633206</v>
      </c>
      <c r="BN49" s="187">
        <f>'Ket qua kinh doanh'!BN15</f>
        <v>385055662</v>
      </c>
      <c r="BO49" s="187">
        <v>408169527</v>
      </c>
      <c r="BP49" s="187">
        <v>462618957</v>
      </c>
      <c r="BQ49" s="187">
        <v>414526390</v>
      </c>
      <c r="BR49" s="187">
        <f>'Ket qua kinh doanh'!BR15</f>
        <v>0</v>
      </c>
      <c r="BS49" s="187">
        <f>'Ket qua kinh doanh'!BS15</f>
        <v>0</v>
      </c>
      <c r="BT49" s="187">
        <f>'Ket qua kinh doanh'!BT15</f>
        <v>0</v>
      </c>
      <c r="BU49" s="187">
        <f>'Ket qua kinh doanh'!BU15</f>
        <v>0</v>
      </c>
      <c r="BV49" s="187">
        <f>'Ket qua kinh doanh'!BV15</f>
        <v>0</v>
      </c>
      <c r="BW49" s="187">
        <f>'Ket qua kinh doanh'!BW15</f>
        <v>0</v>
      </c>
    </row>
    <row r="50" spans="1:75" x14ac:dyDescent="0.25">
      <c r="A50" s="179">
        <v>47</v>
      </c>
      <c r="B50" s="178" t="s">
        <v>454</v>
      </c>
      <c r="C50" s="177">
        <v>7</v>
      </c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  <c r="AL50" s="191"/>
      <c r="AM50" s="191">
        <v>804044535</v>
      </c>
      <c r="AN50" s="191">
        <v>61371154</v>
      </c>
      <c r="AO50" s="191">
        <v>61925000</v>
      </c>
      <c r="AP50" s="191">
        <v>59650000</v>
      </c>
      <c r="AQ50" s="191">
        <v>77350000</v>
      </c>
      <c r="AR50" s="191">
        <v>77400000</v>
      </c>
      <c r="AS50" s="191">
        <v>76875000</v>
      </c>
      <c r="AT50" s="191">
        <v>74600000</v>
      </c>
      <c r="AU50" s="191">
        <v>79676923</v>
      </c>
      <c r="AV50" s="191">
        <v>71042308</v>
      </c>
      <c r="AW50" s="191">
        <v>55550000</v>
      </c>
      <c r="AX50" s="191">
        <v>144220455</v>
      </c>
      <c r="AY50" s="191">
        <v>148650000</v>
      </c>
      <c r="AZ50" s="191">
        <v>190705181</v>
      </c>
      <c r="BA50" s="191">
        <v>193716888</v>
      </c>
      <c r="BB50" s="191">
        <v>171808909</v>
      </c>
      <c r="BC50" s="191">
        <v>209656919</v>
      </c>
      <c r="BD50" s="191">
        <v>190102972</v>
      </c>
      <c r="BE50" s="191">
        <v>165743660</v>
      </c>
      <c r="BF50" s="191">
        <v>163581380</v>
      </c>
      <c r="BG50" s="191">
        <v>177224222</v>
      </c>
      <c r="BH50" s="191">
        <v>169296094</v>
      </c>
      <c r="BI50" s="191">
        <v>201480122</v>
      </c>
      <c r="BJ50" s="191">
        <v>209326014</v>
      </c>
      <c r="BK50" s="191">
        <v>239877299</v>
      </c>
      <c r="BL50" s="191">
        <v>274962194</v>
      </c>
      <c r="BM50" s="191">
        <v>182860985</v>
      </c>
      <c r="BN50" s="191">
        <v>212427600</v>
      </c>
      <c r="BO50" s="191">
        <v>236781680</v>
      </c>
      <c r="BP50" s="191">
        <v>264149331</v>
      </c>
      <c r="BQ50" s="191">
        <v>228290615</v>
      </c>
      <c r="BR50" s="191"/>
      <c r="BS50" s="191"/>
      <c r="BT50" s="191"/>
      <c r="BU50" s="191"/>
      <c r="BV50" s="191"/>
      <c r="BW50" s="191"/>
    </row>
    <row r="51" spans="1:75" x14ac:dyDescent="0.25">
      <c r="A51" s="179">
        <v>48</v>
      </c>
      <c r="B51" s="178" t="s">
        <v>455</v>
      </c>
      <c r="C51" s="177">
        <v>7</v>
      </c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  <c r="AL51" s="191"/>
      <c r="AM51" s="191">
        <v>195794470</v>
      </c>
      <c r="AN51" s="191">
        <v>22751960</v>
      </c>
      <c r="AO51" s="191">
        <v>22975960</v>
      </c>
      <c r="AP51" s="191">
        <v>22975960</v>
      </c>
      <c r="AQ51" s="191">
        <v>28120949</v>
      </c>
      <c r="AR51" s="191">
        <v>24199620</v>
      </c>
      <c r="AS51" s="191">
        <v>28570949</v>
      </c>
      <c r="AT51" s="191">
        <v>37830949</v>
      </c>
      <c r="AU51" s="191">
        <v>32261942</v>
      </c>
      <c r="AV51" s="191">
        <v>26577953</v>
      </c>
      <c r="AW51" s="191">
        <v>23403955</v>
      </c>
      <c r="AX51" s="191">
        <v>48267490</v>
      </c>
      <c r="AY51" s="191">
        <v>108995604</v>
      </c>
      <c r="AZ51" s="191">
        <v>53432537</v>
      </c>
      <c r="BA51" s="191">
        <v>56766127</v>
      </c>
      <c r="BB51" s="191">
        <v>53615143</v>
      </c>
      <c r="BC51" s="191">
        <v>56314126</v>
      </c>
      <c r="BD51" s="191">
        <v>52461643</v>
      </c>
      <c r="BE51" s="191">
        <v>56883433</v>
      </c>
      <c r="BF51" s="191">
        <v>59041136</v>
      </c>
      <c r="BG51" s="191">
        <v>58234133</v>
      </c>
      <c r="BH51" s="191">
        <v>55222804</v>
      </c>
      <c r="BI51" s="191">
        <v>61736478</v>
      </c>
      <c r="BJ51" s="191">
        <v>79655236</v>
      </c>
      <c r="BK51" s="191">
        <v>292914531</v>
      </c>
      <c r="BL51" s="191">
        <v>1679052</v>
      </c>
      <c r="BM51" s="191">
        <v>18114914</v>
      </c>
      <c r="BN51" s="191">
        <v>63130075</v>
      </c>
      <c r="BO51" s="191">
        <v>65755093</v>
      </c>
      <c r="BP51" s="191">
        <v>85202424</v>
      </c>
      <c r="BQ51" s="191">
        <v>78981692</v>
      </c>
      <c r="BR51" s="191"/>
      <c r="BS51" s="191"/>
      <c r="BT51" s="191"/>
      <c r="BU51" s="191"/>
      <c r="BV51" s="191"/>
      <c r="BW51" s="191"/>
    </row>
    <row r="52" spans="1:75" x14ac:dyDescent="0.25">
      <c r="A52" s="179">
        <v>49</v>
      </c>
      <c r="B52" s="178" t="s">
        <v>456</v>
      </c>
      <c r="C52" s="177">
        <v>7</v>
      </c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  <c r="AL52" s="191"/>
      <c r="AM52" s="191"/>
      <c r="AN52" s="191">
        <v>0</v>
      </c>
      <c r="AO52" s="191">
        <v>0</v>
      </c>
      <c r="AP52" s="191">
        <v>0</v>
      </c>
      <c r="AQ52" s="191">
        <v>0</v>
      </c>
      <c r="AR52" s="191">
        <v>0</v>
      </c>
      <c r="AS52" s="191">
        <v>0</v>
      </c>
      <c r="AT52" s="191">
        <v>0</v>
      </c>
      <c r="AU52" s="191">
        <v>0</v>
      </c>
      <c r="AV52" s="191">
        <v>0</v>
      </c>
      <c r="AW52" s="191">
        <v>0</v>
      </c>
      <c r="AX52" s="191"/>
      <c r="AY52" s="191">
        <v>0</v>
      </c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>
        <v>6461842</v>
      </c>
      <c r="BM52" s="191">
        <v>6461841</v>
      </c>
      <c r="BN52" s="191">
        <v>9138925</v>
      </c>
      <c r="BO52" s="191">
        <v>9138925</v>
      </c>
      <c r="BP52" s="191">
        <v>9138925</v>
      </c>
      <c r="BQ52" s="191">
        <v>9138925</v>
      </c>
      <c r="BR52" s="191"/>
      <c r="BS52" s="191"/>
      <c r="BT52" s="191"/>
      <c r="BU52" s="191"/>
      <c r="BV52" s="191"/>
      <c r="BW52" s="191"/>
    </row>
    <row r="53" spans="1:75" x14ac:dyDescent="0.25">
      <c r="A53" s="179">
        <v>50</v>
      </c>
      <c r="B53" s="178" t="s">
        <v>457</v>
      </c>
      <c r="C53" s="177">
        <v>7</v>
      </c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>
        <v>24486790</v>
      </c>
      <c r="AO53" s="191">
        <v>28072808</v>
      </c>
      <c r="AP53" s="191">
        <v>19004017</v>
      </c>
      <c r="AQ53" s="191">
        <v>10274207</v>
      </c>
      <c r="AR53" s="191">
        <v>11129542</v>
      </c>
      <c r="AS53" s="191">
        <v>14623650</v>
      </c>
      <c r="AT53" s="191">
        <v>48419722</v>
      </c>
      <c r="AU53" s="191">
        <v>293755205</v>
      </c>
      <c r="AV53" s="191">
        <v>135920366</v>
      </c>
      <c r="AW53" s="191">
        <v>45094613</v>
      </c>
      <c r="AX53" s="191">
        <v>38185812</v>
      </c>
      <c r="AY53" s="191">
        <v>-54455069</v>
      </c>
      <c r="AZ53" s="191">
        <v>108657615</v>
      </c>
      <c r="BA53" s="191">
        <v>44875928</v>
      </c>
      <c r="BB53" s="191">
        <v>45639496</v>
      </c>
      <c r="BC53" s="191">
        <v>47197369</v>
      </c>
      <c r="BD53" s="191">
        <v>70399542</v>
      </c>
      <c r="BE53" s="191">
        <v>52626092</v>
      </c>
      <c r="BF53" s="191">
        <v>125522550</v>
      </c>
      <c r="BG53" s="191">
        <v>94442150</v>
      </c>
      <c r="BH53" s="191">
        <v>92968702</v>
      </c>
      <c r="BI53" s="191">
        <v>87668150</v>
      </c>
      <c r="BJ53" s="191">
        <v>80130573</v>
      </c>
      <c r="BK53" s="191">
        <v>128355714</v>
      </c>
      <c r="BL53" s="191">
        <v>124998342</v>
      </c>
      <c r="BM53" s="191">
        <v>116195466</v>
      </c>
      <c r="BN53" s="191">
        <v>100359062</v>
      </c>
      <c r="BO53" s="191">
        <v>96493829</v>
      </c>
      <c r="BP53" s="191">
        <v>104128277</v>
      </c>
      <c r="BQ53" s="191">
        <v>98115158</v>
      </c>
      <c r="BR53" s="191"/>
      <c r="BS53" s="191"/>
      <c r="BT53" s="191"/>
      <c r="BU53" s="191"/>
      <c r="BV53" s="191"/>
      <c r="BW53" s="191"/>
    </row>
    <row r="54" spans="1:75" x14ac:dyDescent="0.25">
      <c r="A54" s="183">
        <v>51</v>
      </c>
      <c r="B54" s="184" t="s">
        <v>458</v>
      </c>
      <c r="C54" s="175">
        <v>7</v>
      </c>
      <c r="D54" s="189">
        <f t="shared" ref="D54:AI54" si="72">IFERROR(D49/D12,"")</f>
        <v>0.92873670131125907</v>
      </c>
      <c r="E54" s="189">
        <f t="shared" si="72"/>
        <v>0.21578264889673715</v>
      </c>
      <c r="F54" s="189">
        <f t="shared" si="72"/>
        <v>0.15926981549972291</v>
      </c>
      <c r="G54" s="189">
        <f t="shared" si="72"/>
        <v>0.37066957054055921</v>
      </c>
      <c r="H54" s="189">
        <f t="shared" si="72"/>
        <v>0.31506829716047613</v>
      </c>
      <c r="I54" s="189">
        <f t="shared" si="72"/>
        <v>0.43173477880143191</v>
      </c>
      <c r="J54" s="189">
        <f t="shared" si="72"/>
        <v>0.55758909162862347</v>
      </c>
      <c r="K54" s="189" t="str">
        <f t="shared" si="72"/>
        <v/>
      </c>
      <c r="L54" s="189" t="str">
        <f t="shared" si="72"/>
        <v/>
      </c>
      <c r="M54" s="189" t="str">
        <f t="shared" si="72"/>
        <v/>
      </c>
      <c r="N54" s="189">
        <f t="shared" si="72"/>
        <v>8.6222947683109119</v>
      </c>
      <c r="O54" s="189">
        <f t="shared" si="72"/>
        <v>0.26182669140630849</v>
      </c>
      <c r="P54" s="189">
        <f t="shared" si="72"/>
        <v>5.4414413047140696E-2</v>
      </c>
      <c r="Q54" s="189">
        <f t="shared" si="72"/>
        <v>5.8957665975541092E-2</v>
      </c>
      <c r="R54" s="189">
        <f t="shared" si="72"/>
        <v>2.7199565042957358E-2</v>
      </c>
      <c r="S54" s="189">
        <f t="shared" si="72"/>
        <v>2.5914605998233375E-2</v>
      </c>
      <c r="T54" s="189">
        <f t="shared" si="72"/>
        <v>2.2011118917678745E-2</v>
      </c>
      <c r="U54" s="189">
        <f t="shared" si="72"/>
        <v>2.2509214316547781E-2</v>
      </c>
      <c r="V54" s="189">
        <f t="shared" si="72"/>
        <v>2.5496795276188842E-2</v>
      </c>
      <c r="W54" s="189">
        <f t="shared" si="72"/>
        <v>1.632456820654811E-2</v>
      </c>
      <c r="X54" s="189">
        <f t="shared" si="72"/>
        <v>1.4971327556378535E-2</v>
      </c>
      <c r="Y54" s="189">
        <f t="shared" si="72"/>
        <v>2.324417340018823E-2</v>
      </c>
      <c r="Z54" s="189">
        <f t="shared" si="72"/>
        <v>7.9239703191275782E-2</v>
      </c>
      <c r="AA54" s="189">
        <f t="shared" si="72"/>
        <v>7.6315516423491964E-2</v>
      </c>
      <c r="AB54" s="189">
        <f t="shared" si="72"/>
        <v>0.16387327411368804</v>
      </c>
      <c r="AC54" s="189">
        <f t="shared" si="72"/>
        <v>5.7764797668354621E-2</v>
      </c>
      <c r="AD54" s="189">
        <f t="shared" si="72"/>
        <v>5.0682327498700566E-2</v>
      </c>
      <c r="AE54" s="189">
        <f t="shared" si="72"/>
        <v>4.8097245046746014E-2</v>
      </c>
      <c r="AF54" s="189">
        <f t="shared" si="72"/>
        <v>3.9430058654532904E-2</v>
      </c>
      <c r="AG54" s="189">
        <f t="shared" si="72"/>
        <v>6.1040876697701689E-2</v>
      </c>
      <c r="AH54" s="189">
        <f t="shared" si="72"/>
        <v>5.4220714237031523E-2</v>
      </c>
      <c r="AI54" s="189">
        <f t="shared" si="72"/>
        <v>5.6728861312523998E-2</v>
      </c>
      <c r="AJ54" s="189">
        <f t="shared" ref="AJ54:BJ54" si="73">IFERROR(AJ49/AJ12,"")</f>
        <v>7.0338100753335048E-2</v>
      </c>
      <c r="AK54" s="189">
        <f t="shared" si="73"/>
        <v>5.1379962206329878E-2</v>
      </c>
      <c r="AL54" s="189">
        <f t="shared" si="73"/>
        <v>3.9141330155548937E-2</v>
      </c>
      <c r="AM54" s="189">
        <f t="shared" si="73"/>
        <v>1.4936086503701334E-2</v>
      </c>
      <c r="AN54" s="189">
        <f t="shared" si="73"/>
        <v>1.5933373646520713E-2</v>
      </c>
      <c r="AO54" s="189">
        <f t="shared" si="73"/>
        <v>1.8705509646046836E-2</v>
      </c>
      <c r="AP54" s="189">
        <f t="shared" si="73"/>
        <v>1.2933195759290304E-2</v>
      </c>
      <c r="AQ54" s="189">
        <f t="shared" si="73"/>
        <v>2.1592891938117312E-2</v>
      </c>
      <c r="AR54" s="189">
        <f t="shared" si="73"/>
        <v>1.4636489885776623E-2</v>
      </c>
      <c r="AS54" s="189">
        <f t="shared" si="73"/>
        <v>1.6213585090581743E-2</v>
      </c>
      <c r="AT54" s="189">
        <f t="shared" si="73"/>
        <v>3.0027408366383256E-2</v>
      </c>
      <c r="AU54" s="189">
        <f t="shared" si="73"/>
        <v>6.9087120583744124E-2</v>
      </c>
      <c r="AV54" s="189">
        <f t="shared" si="73"/>
        <v>5.0409984529503502E-2</v>
      </c>
      <c r="AW54" s="189">
        <f t="shared" si="73"/>
        <v>1.4509664681288833E-2</v>
      </c>
      <c r="AX54" s="189">
        <f t="shared" si="73"/>
        <v>3.8392473067453879E-2</v>
      </c>
      <c r="AY54" s="189">
        <f t="shared" si="73"/>
        <v>3.9884934260010302E-2</v>
      </c>
      <c r="AZ54" s="189">
        <f t="shared" si="73"/>
        <v>9.2941217421920463E-2</v>
      </c>
      <c r="BA54" s="189">
        <f t="shared" si="73"/>
        <v>5.8918803851856758E-2</v>
      </c>
      <c r="BB54" s="189">
        <f t="shared" si="73"/>
        <v>3.3517423059619869E-2</v>
      </c>
      <c r="BC54" s="189">
        <f t="shared" si="73"/>
        <v>3.2303435769217681E-2</v>
      </c>
      <c r="BD54" s="189">
        <f t="shared" si="73"/>
        <v>3.7309386283263107E-2</v>
      </c>
      <c r="BE54" s="189">
        <f t="shared" si="73"/>
        <v>2.8927061258612007E-2</v>
      </c>
      <c r="BF54" s="189">
        <f t="shared" si="73"/>
        <v>2.5612859877050319E-2</v>
      </c>
      <c r="BG54" s="189">
        <f t="shared" si="73"/>
        <v>2.6558485766041594E-2</v>
      </c>
      <c r="BH54" s="189">
        <f t="shared" si="73"/>
        <v>3.6045108394655745E-2</v>
      </c>
      <c r="BI54" s="189">
        <f t="shared" si="73"/>
        <v>4.5451781064449512E-2</v>
      </c>
      <c r="BJ54" s="189">
        <f t="shared" si="73"/>
        <v>5.6507742468586662E-2</v>
      </c>
      <c r="BK54" s="189">
        <v>7.6044389578335272E-2</v>
      </c>
      <c r="BL54" s="189">
        <f t="shared" ref="BL54:BW54" si="74">IFERROR(BL49/BL12,"")</f>
        <v>4.8984767543126043E-2</v>
      </c>
      <c r="BM54" s="189">
        <f t="shared" si="74"/>
        <v>4.8736117651850548E-2</v>
      </c>
      <c r="BN54" s="189">
        <f t="shared" si="74"/>
        <v>4.1122413695057335E-2</v>
      </c>
      <c r="BO54" s="189">
        <v>4.4999999999999998E-2</v>
      </c>
      <c r="BP54" s="189">
        <v>3.8159732561222938E-2</v>
      </c>
      <c r="BQ54" s="189">
        <v>3.0280524728918404E-2</v>
      </c>
      <c r="BR54" s="189" t="str">
        <f t="shared" si="74"/>
        <v/>
      </c>
      <c r="BS54" s="189" t="str">
        <f t="shared" si="74"/>
        <v/>
      </c>
      <c r="BT54" s="189" t="str">
        <f t="shared" si="74"/>
        <v/>
      </c>
      <c r="BU54" s="189" t="str">
        <f t="shared" si="74"/>
        <v/>
      </c>
      <c r="BV54" s="189" t="str">
        <f t="shared" si="74"/>
        <v/>
      </c>
      <c r="BW54" s="189" t="str">
        <f t="shared" si="74"/>
        <v/>
      </c>
    </row>
    <row r="55" spans="1:75" x14ac:dyDescent="0.25">
      <c r="A55" s="181">
        <v>52</v>
      </c>
      <c r="B55" s="182" t="s">
        <v>459</v>
      </c>
      <c r="C55" s="174">
        <v>7</v>
      </c>
      <c r="D55" s="188">
        <f>'Ket qua kinh doanh'!D12</f>
        <v>0</v>
      </c>
      <c r="E55" s="188">
        <f>'Ket qua kinh doanh'!E12</f>
        <v>0</v>
      </c>
      <c r="F55" s="188">
        <f>'Ket qua kinh doanh'!F12</f>
        <v>0</v>
      </c>
      <c r="G55" s="188">
        <f>'Ket qua kinh doanh'!G12</f>
        <v>0</v>
      </c>
      <c r="H55" s="188">
        <f>'Ket qua kinh doanh'!H12</f>
        <v>0</v>
      </c>
      <c r="I55" s="188">
        <f>'Ket qua kinh doanh'!I12</f>
        <v>0</v>
      </c>
      <c r="J55" s="188">
        <f>'Ket qua kinh doanh'!J12</f>
        <v>0</v>
      </c>
      <c r="K55" s="188">
        <f>'Ket qua kinh doanh'!K12</f>
        <v>0</v>
      </c>
      <c r="L55" s="188">
        <f>'Ket qua kinh doanh'!L12</f>
        <v>0</v>
      </c>
      <c r="M55" s="188">
        <f>'Ket qua kinh doanh'!M12</f>
        <v>0</v>
      </c>
      <c r="N55" s="188">
        <f>'Ket qua kinh doanh'!N12</f>
        <v>0</v>
      </c>
      <c r="O55" s="188">
        <f>'Ket qua kinh doanh'!O12</f>
        <v>0</v>
      </c>
      <c r="P55" s="188">
        <f>'Ket qua kinh doanh'!P12</f>
        <v>0</v>
      </c>
      <c r="Q55" s="188">
        <f>'Ket qua kinh doanh'!Q12</f>
        <v>0</v>
      </c>
      <c r="R55" s="188">
        <f>'Ket qua kinh doanh'!R12</f>
        <v>0</v>
      </c>
      <c r="S55" s="188">
        <f>'Ket qua kinh doanh'!S12</f>
        <v>0</v>
      </c>
      <c r="T55" s="188">
        <f>'Ket qua kinh doanh'!T12</f>
        <v>0</v>
      </c>
      <c r="U55" s="188">
        <f>'Ket qua kinh doanh'!U12</f>
        <v>0</v>
      </c>
      <c r="V55" s="188">
        <f>'Ket qua kinh doanh'!V12</f>
        <v>0</v>
      </c>
      <c r="W55" s="188">
        <f>'Ket qua kinh doanh'!W12</f>
        <v>0</v>
      </c>
      <c r="X55" s="188">
        <f>'Ket qua kinh doanh'!X12</f>
        <v>0</v>
      </c>
      <c r="Y55" s="188">
        <f>'Ket qua kinh doanh'!Y12</f>
        <v>0</v>
      </c>
      <c r="Z55" s="188">
        <f>'Ket qua kinh doanh'!Z12</f>
        <v>0</v>
      </c>
      <c r="AA55" s="188">
        <f>'Ket qua kinh doanh'!AA12</f>
        <v>0</v>
      </c>
      <c r="AB55" s="188">
        <f>'Ket qua kinh doanh'!AB12</f>
        <v>0</v>
      </c>
      <c r="AC55" s="188">
        <f>'Ket qua kinh doanh'!AC12</f>
        <v>0</v>
      </c>
      <c r="AD55" s="188">
        <f>'Ket qua kinh doanh'!AD12</f>
        <v>0</v>
      </c>
      <c r="AE55" s="188">
        <f>'Ket qua kinh doanh'!AE12</f>
        <v>0</v>
      </c>
      <c r="AF55" s="188">
        <f>'Ket qua kinh doanh'!AF12</f>
        <v>0</v>
      </c>
      <c r="AG55" s="188">
        <f>'Ket qua kinh doanh'!AG12</f>
        <v>0</v>
      </c>
      <c r="AH55" s="188">
        <f>'Ket qua kinh doanh'!AH12</f>
        <v>0</v>
      </c>
      <c r="AI55" s="188">
        <f>'Ket qua kinh doanh'!AI12</f>
        <v>0</v>
      </c>
      <c r="AJ55" s="188">
        <f>'Ket qua kinh doanh'!AJ12</f>
        <v>0</v>
      </c>
      <c r="AK55" s="188">
        <f>'Ket qua kinh doanh'!AK12</f>
        <v>0</v>
      </c>
      <c r="AL55" s="188">
        <f>'Ket qua kinh doanh'!AL12</f>
        <v>0</v>
      </c>
      <c r="AM55" s="188">
        <f>'Ket qua kinh doanh'!AM12</f>
        <v>0</v>
      </c>
      <c r="AN55" s="188">
        <f>'Ket qua kinh doanh'!AN12</f>
        <v>0</v>
      </c>
      <c r="AO55" s="188">
        <f>'Ket qua kinh doanh'!AO12</f>
        <v>0</v>
      </c>
      <c r="AP55" s="188">
        <f>'Ket qua kinh doanh'!AP12</f>
        <v>0</v>
      </c>
      <c r="AQ55" s="188">
        <f>'Ket qua kinh doanh'!AQ12</f>
        <v>0</v>
      </c>
      <c r="AR55" s="188">
        <f>'Ket qua kinh doanh'!AR12</f>
        <v>0</v>
      </c>
      <c r="AS55" s="188">
        <f>'Ket qua kinh doanh'!AS12</f>
        <v>0</v>
      </c>
      <c r="AT55" s="188">
        <f>'Ket qua kinh doanh'!AT12</f>
        <v>0</v>
      </c>
      <c r="AU55" s="188">
        <f>'Ket qua kinh doanh'!AU12</f>
        <v>0</v>
      </c>
      <c r="AV55" s="188">
        <f>'Ket qua kinh doanh'!AV12</f>
        <v>0</v>
      </c>
      <c r="AW55" s="188">
        <f>'Ket qua kinh doanh'!AW12</f>
        <v>0</v>
      </c>
      <c r="AX55" s="188">
        <f>'Ket qua kinh doanh'!AX12</f>
        <v>0</v>
      </c>
      <c r="AY55" s="188">
        <f>'Ket qua kinh doanh'!AY12</f>
        <v>0</v>
      </c>
      <c r="AZ55" s="188">
        <f>'Ket qua kinh doanh'!AZ12</f>
        <v>0</v>
      </c>
      <c r="BA55" s="188">
        <f>'Ket qua kinh doanh'!BA12</f>
        <v>0</v>
      </c>
      <c r="BB55" s="188">
        <f>'Ket qua kinh doanh'!BB12</f>
        <v>0</v>
      </c>
      <c r="BC55" s="188">
        <f>'Ket qua kinh doanh'!BC12</f>
        <v>0</v>
      </c>
      <c r="BD55" s="188">
        <f>'Ket qua kinh doanh'!BD12</f>
        <v>0</v>
      </c>
      <c r="BE55" s="188">
        <f>'Ket qua kinh doanh'!BE12</f>
        <v>0</v>
      </c>
      <c r="BF55" s="188">
        <f>'Ket qua kinh doanh'!BF12</f>
        <v>0</v>
      </c>
      <c r="BG55" s="188">
        <f>'Ket qua kinh doanh'!BG12</f>
        <v>0</v>
      </c>
      <c r="BH55" s="188">
        <f>'Ket qua kinh doanh'!BH12</f>
        <v>0</v>
      </c>
      <c r="BI55" s="188">
        <f>'Ket qua kinh doanh'!BI12</f>
        <v>0</v>
      </c>
      <c r="BJ55" s="188">
        <f>'Ket qua kinh doanh'!BJ12</f>
        <v>0</v>
      </c>
      <c r="BK55" s="188">
        <v>0</v>
      </c>
      <c r="BL55" s="188">
        <f>'Ket qua kinh doanh'!BL12</f>
        <v>0</v>
      </c>
      <c r="BM55" s="188">
        <f>'Ket qua kinh doanh'!BM12</f>
        <v>0</v>
      </c>
      <c r="BN55" s="188">
        <f>'Ket qua kinh doanh'!BN12</f>
        <v>0</v>
      </c>
      <c r="BO55" s="188">
        <v>0</v>
      </c>
      <c r="BP55" s="188">
        <v>0</v>
      </c>
      <c r="BQ55" s="188">
        <v>0</v>
      </c>
      <c r="BR55" s="188">
        <f>'Ket qua kinh doanh'!BR12</f>
        <v>0</v>
      </c>
      <c r="BS55" s="188">
        <f>'Ket qua kinh doanh'!BS12</f>
        <v>0</v>
      </c>
      <c r="BT55" s="188">
        <f>'Ket qua kinh doanh'!BT12</f>
        <v>0</v>
      </c>
      <c r="BU55" s="188">
        <f>'Ket qua kinh doanh'!BU12</f>
        <v>0</v>
      </c>
      <c r="BV55" s="188">
        <f>'Ket qua kinh doanh'!BV12</f>
        <v>0</v>
      </c>
      <c r="BW55" s="188">
        <f>'Ket qua kinh doanh'!BW12</f>
        <v>0</v>
      </c>
    </row>
    <row r="56" spans="1:75" x14ac:dyDescent="0.25">
      <c r="A56" s="166">
        <v>53</v>
      </c>
      <c r="B56" s="167" t="s">
        <v>460</v>
      </c>
      <c r="C56" s="177">
        <v>7</v>
      </c>
      <c r="D56" s="191">
        <f>'Ket qua kinh doanh'!D13</f>
        <v>0</v>
      </c>
      <c r="E56" s="191">
        <f>'Ket qua kinh doanh'!E13</f>
        <v>0</v>
      </c>
      <c r="F56" s="191">
        <f>'Ket qua kinh doanh'!F13</f>
        <v>0</v>
      </c>
      <c r="G56" s="191">
        <f>'Ket qua kinh doanh'!G13</f>
        <v>0</v>
      </c>
      <c r="H56" s="191">
        <f>'Ket qua kinh doanh'!H13</f>
        <v>0</v>
      </c>
      <c r="I56" s="191">
        <f>'Ket qua kinh doanh'!I13</f>
        <v>0</v>
      </c>
      <c r="J56" s="191">
        <f>'Ket qua kinh doanh'!J13</f>
        <v>0</v>
      </c>
      <c r="K56" s="191">
        <f>'Ket qua kinh doanh'!K13</f>
        <v>0</v>
      </c>
      <c r="L56" s="191">
        <f>'Ket qua kinh doanh'!L13</f>
        <v>0</v>
      </c>
      <c r="M56" s="191">
        <f>'Ket qua kinh doanh'!M13</f>
        <v>0</v>
      </c>
      <c r="N56" s="191">
        <f>'Ket qua kinh doanh'!N13</f>
        <v>0</v>
      </c>
      <c r="O56" s="191">
        <f>'Ket qua kinh doanh'!O13</f>
        <v>0</v>
      </c>
      <c r="P56" s="191">
        <f>'Ket qua kinh doanh'!P13</f>
        <v>0</v>
      </c>
      <c r="Q56" s="191">
        <f>'Ket qua kinh doanh'!Q13</f>
        <v>0</v>
      </c>
      <c r="R56" s="191">
        <f>'Ket qua kinh doanh'!R13</f>
        <v>0</v>
      </c>
      <c r="S56" s="191">
        <f>'Ket qua kinh doanh'!S13</f>
        <v>0</v>
      </c>
      <c r="T56" s="191">
        <f>'Ket qua kinh doanh'!T13</f>
        <v>0</v>
      </c>
      <c r="U56" s="191">
        <f>'Ket qua kinh doanh'!U13</f>
        <v>0</v>
      </c>
      <c r="V56" s="191">
        <f>'Ket qua kinh doanh'!V13</f>
        <v>0</v>
      </c>
      <c r="W56" s="191">
        <f>'Ket qua kinh doanh'!W13</f>
        <v>0</v>
      </c>
      <c r="X56" s="191">
        <f>'Ket qua kinh doanh'!X13</f>
        <v>0</v>
      </c>
      <c r="Y56" s="191">
        <f>'Ket qua kinh doanh'!Y13</f>
        <v>0</v>
      </c>
      <c r="Z56" s="191">
        <f>'Ket qua kinh doanh'!Z13</f>
        <v>0</v>
      </c>
      <c r="AA56" s="191">
        <f>'Ket qua kinh doanh'!AA13</f>
        <v>0</v>
      </c>
      <c r="AB56" s="191">
        <f>'Ket qua kinh doanh'!AB13</f>
        <v>0</v>
      </c>
      <c r="AC56" s="191">
        <f>'Ket qua kinh doanh'!AC13</f>
        <v>0</v>
      </c>
      <c r="AD56" s="191">
        <f>'Ket qua kinh doanh'!AD13</f>
        <v>0</v>
      </c>
      <c r="AE56" s="191">
        <f>'Ket qua kinh doanh'!AE13</f>
        <v>0</v>
      </c>
      <c r="AF56" s="191">
        <f>'Ket qua kinh doanh'!AF13</f>
        <v>0</v>
      </c>
      <c r="AG56" s="191">
        <f>'Ket qua kinh doanh'!AG13</f>
        <v>0</v>
      </c>
      <c r="AH56" s="191">
        <f>'Ket qua kinh doanh'!AH13</f>
        <v>0</v>
      </c>
      <c r="AI56" s="191">
        <f>'Ket qua kinh doanh'!AI13</f>
        <v>0</v>
      </c>
      <c r="AJ56" s="191">
        <f>'Ket qua kinh doanh'!AJ13</f>
        <v>0</v>
      </c>
      <c r="AK56" s="191">
        <f>'Ket qua kinh doanh'!AK13</f>
        <v>0</v>
      </c>
      <c r="AL56" s="191">
        <f>'Ket qua kinh doanh'!AL13</f>
        <v>0</v>
      </c>
      <c r="AM56" s="191">
        <f>'Ket qua kinh doanh'!AM13</f>
        <v>0</v>
      </c>
      <c r="AN56" s="191">
        <f>'Ket qua kinh doanh'!AN13</f>
        <v>0</v>
      </c>
      <c r="AO56" s="191">
        <f>'Ket qua kinh doanh'!AO13</f>
        <v>0</v>
      </c>
      <c r="AP56" s="191">
        <f>'Ket qua kinh doanh'!AP13</f>
        <v>0</v>
      </c>
      <c r="AQ56" s="191">
        <f>'Ket qua kinh doanh'!AQ13</f>
        <v>0</v>
      </c>
      <c r="AR56" s="191">
        <f>'Ket qua kinh doanh'!AR13</f>
        <v>0</v>
      </c>
      <c r="AS56" s="191">
        <f>'Ket qua kinh doanh'!AS13</f>
        <v>0</v>
      </c>
      <c r="AT56" s="191">
        <f>'Ket qua kinh doanh'!AT13</f>
        <v>0</v>
      </c>
      <c r="AU56" s="191">
        <f>'Ket qua kinh doanh'!AU13</f>
        <v>0</v>
      </c>
      <c r="AV56" s="191">
        <f>'Ket qua kinh doanh'!AV13</f>
        <v>0</v>
      </c>
      <c r="AW56" s="191">
        <f>'Ket qua kinh doanh'!AW13</f>
        <v>0</v>
      </c>
      <c r="AX56" s="191">
        <f>'Ket qua kinh doanh'!AX13</f>
        <v>0</v>
      </c>
      <c r="AY56" s="191">
        <f>'Ket qua kinh doanh'!AY13</f>
        <v>0</v>
      </c>
      <c r="AZ56" s="191">
        <f>'Ket qua kinh doanh'!AZ13</f>
        <v>0</v>
      </c>
      <c r="BA56" s="191">
        <f>'Ket qua kinh doanh'!BA13</f>
        <v>0</v>
      </c>
      <c r="BB56" s="191">
        <f>'Ket qua kinh doanh'!BB13</f>
        <v>0</v>
      </c>
      <c r="BC56" s="191">
        <f>'Ket qua kinh doanh'!BC13</f>
        <v>0</v>
      </c>
      <c r="BD56" s="191">
        <f>'Ket qua kinh doanh'!BD13</f>
        <v>0</v>
      </c>
      <c r="BE56" s="191">
        <f>'Ket qua kinh doanh'!BE13</f>
        <v>0</v>
      </c>
      <c r="BF56" s="191">
        <f>'Ket qua kinh doanh'!BF13</f>
        <v>0</v>
      </c>
      <c r="BG56" s="191">
        <f>'Ket qua kinh doanh'!BG13</f>
        <v>0</v>
      </c>
      <c r="BH56" s="191">
        <f>'Ket qua kinh doanh'!BH13</f>
        <v>0</v>
      </c>
      <c r="BI56" s="191">
        <f>'Ket qua kinh doanh'!BI13</f>
        <v>0</v>
      </c>
      <c r="BJ56" s="191">
        <f>'Ket qua kinh doanh'!BJ13</f>
        <v>0</v>
      </c>
      <c r="BK56" s="191">
        <v>0</v>
      </c>
      <c r="BL56" s="191">
        <f>'Ket qua kinh doanh'!BL13</f>
        <v>0</v>
      </c>
      <c r="BM56" s="191">
        <f>'Ket qua kinh doanh'!BM13</f>
        <v>0</v>
      </c>
      <c r="BN56" s="191">
        <f>'Ket qua kinh doanh'!BN13</f>
        <v>0</v>
      </c>
      <c r="BO56" s="191">
        <v>0</v>
      </c>
      <c r="BP56" s="191">
        <v>0</v>
      </c>
      <c r="BQ56" s="191">
        <v>0</v>
      </c>
      <c r="BR56" s="191">
        <f>'Ket qua kinh doanh'!BR13</f>
        <v>0</v>
      </c>
      <c r="BS56" s="191">
        <f>'Ket qua kinh doanh'!BS13</f>
        <v>0</v>
      </c>
      <c r="BT56" s="191">
        <f>'Ket qua kinh doanh'!BT13</f>
        <v>0</v>
      </c>
      <c r="BU56" s="191">
        <f>'Ket qua kinh doanh'!BU13</f>
        <v>0</v>
      </c>
      <c r="BV56" s="191">
        <f>'Ket qua kinh doanh'!BV13</f>
        <v>0</v>
      </c>
      <c r="BW56" s="191">
        <f>'Ket qua kinh doanh'!BW13</f>
        <v>0</v>
      </c>
    </row>
    <row r="57" spans="1:75" x14ac:dyDescent="0.25">
      <c r="A57" s="185">
        <v>54</v>
      </c>
      <c r="B57" s="184" t="s">
        <v>461</v>
      </c>
      <c r="C57" s="175">
        <v>7</v>
      </c>
      <c r="D57" s="189">
        <f t="shared" ref="D57:AI57" si="75">IFERROR(D56/D12,"")</f>
        <v>0</v>
      </c>
      <c r="E57" s="189">
        <f t="shared" si="75"/>
        <v>0</v>
      </c>
      <c r="F57" s="189">
        <f t="shared" si="75"/>
        <v>0</v>
      </c>
      <c r="G57" s="189">
        <f t="shared" si="75"/>
        <v>0</v>
      </c>
      <c r="H57" s="189">
        <f t="shared" si="75"/>
        <v>0</v>
      </c>
      <c r="I57" s="189">
        <f t="shared" si="75"/>
        <v>0</v>
      </c>
      <c r="J57" s="189">
        <f t="shared" si="75"/>
        <v>0</v>
      </c>
      <c r="K57" s="189" t="str">
        <f t="shared" si="75"/>
        <v/>
      </c>
      <c r="L57" s="189" t="str">
        <f t="shared" si="75"/>
        <v/>
      </c>
      <c r="M57" s="189" t="str">
        <f t="shared" si="75"/>
        <v/>
      </c>
      <c r="N57" s="189">
        <f t="shared" si="75"/>
        <v>0</v>
      </c>
      <c r="O57" s="189">
        <f t="shared" si="75"/>
        <v>0</v>
      </c>
      <c r="P57" s="189">
        <f t="shared" si="75"/>
        <v>0</v>
      </c>
      <c r="Q57" s="189">
        <f t="shared" si="75"/>
        <v>0</v>
      </c>
      <c r="R57" s="189">
        <f t="shared" si="75"/>
        <v>0</v>
      </c>
      <c r="S57" s="189">
        <f t="shared" si="75"/>
        <v>0</v>
      </c>
      <c r="T57" s="189">
        <f t="shared" si="75"/>
        <v>0</v>
      </c>
      <c r="U57" s="189">
        <f t="shared" si="75"/>
        <v>0</v>
      </c>
      <c r="V57" s="189">
        <f t="shared" si="75"/>
        <v>0</v>
      </c>
      <c r="W57" s="189">
        <f t="shared" si="75"/>
        <v>0</v>
      </c>
      <c r="X57" s="189">
        <f t="shared" si="75"/>
        <v>0</v>
      </c>
      <c r="Y57" s="189">
        <f t="shared" si="75"/>
        <v>0</v>
      </c>
      <c r="Z57" s="189">
        <f t="shared" si="75"/>
        <v>0</v>
      </c>
      <c r="AA57" s="189">
        <f t="shared" si="75"/>
        <v>0</v>
      </c>
      <c r="AB57" s="189">
        <f t="shared" si="75"/>
        <v>0</v>
      </c>
      <c r="AC57" s="189">
        <f t="shared" si="75"/>
        <v>0</v>
      </c>
      <c r="AD57" s="189">
        <f t="shared" si="75"/>
        <v>0</v>
      </c>
      <c r="AE57" s="189">
        <f t="shared" si="75"/>
        <v>0</v>
      </c>
      <c r="AF57" s="189">
        <f t="shared" si="75"/>
        <v>0</v>
      </c>
      <c r="AG57" s="189">
        <f t="shared" si="75"/>
        <v>0</v>
      </c>
      <c r="AH57" s="189">
        <f t="shared" si="75"/>
        <v>0</v>
      </c>
      <c r="AI57" s="189">
        <f t="shared" si="75"/>
        <v>0</v>
      </c>
      <c r="AJ57" s="189">
        <f t="shared" ref="AJ57:BJ57" si="76">IFERROR(AJ56/AJ12,"")</f>
        <v>0</v>
      </c>
      <c r="AK57" s="189">
        <f t="shared" si="76"/>
        <v>0</v>
      </c>
      <c r="AL57" s="189">
        <f t="shared" si="76"/>
        <v>0</v>
      </c>
      <c r="AM57" s="189">
        <f t="shared" si="76"/>
        <v>0</v>
      </c>
      <c r="AN57" s="189">
        <f t="shared" si="76"/>
        <v>0</v>
      </c>
      <c r="AO57" s="189">
        <f t="shared" si="76"/>
        <v>0</v>
      </c>
      <c r="AP57" s="189">
        <f t="shared" si="76"/>
        <v>0</v>
      </c>
      <c r="AQ57" s="189">
        <f t="shared" si="76"/>
        <v>0</v>
      </c>
      <c r="AR57" s="189">
        <f t="shared" si="76"/>
        <v>0</v>
      </c>
      <c r="AS57" s="189">
        <f t="shared" si="76"/>
        <v>0</v>
      </c>
      <c r="AT57" s="189">
        <f t="shared" si="76"/>
        <v>0</v>
      </c>
      <c r="AU57" s="189">
        <f t="shared" si="76"/>
        <v>0</v>
      </c>
      <c r="AV57" s="189">
        <f t="shared" si="76"/>
        <v>0</v>
      </c>
      <c r="AW57" s="189">
        <f t="shared" si="76"/>
        <v>0</v>
      </c>
      <c r="AX57" s="189">
        <f t="shared" si="76"/>
        <v>0</v>
      </c>
      <c r="AY57" s="189">
        <f t="shared" si="76"/>
        <v>0</v>
      </c>
      <c r="AZ57" s="189">
        <f t="shared" si="76"/>
        <v>0</v>
      </c>
      <c r="BA57" s="189">
        <f t="shared" si="76"/>
        <v>0</v>
      </c>
      <c r="BB57" s="189">
        <f t="shared" si="76"/>
        <v>0</v>
      </c>
      <c r="BC57" s="189">
        <f t="shared" si="76"/>
        <v>0</v>
      </c>
      <c r="BD57" s="189">
        <f t="shared" si="76"/>
        <v>0</v>
      </c>
      <c r="BE57" s="189">
        <f t="shared" si="76"/>
        <v>0</v>
      </c>
      <c r="BF57" s="189">
        <f t="shared" si="76"/>
        <v>0</v>
      </c>
      <c r="BG57" s="189">
        <f t="shared" si="76"/>
        <v>0</v>
      </c>
      <c r="BH57" s="189">
        <f t="shared" si="76"/>
        <v>0</v>
      </c>
      <c r="BI57" s="189">
        <f t="shared" si="76"/>
        <v>0</v>
      </c>
      <c r="BJ57" s="189">
        <f t="shared" si="76"/>
        <v>0</v>
      </c>
      <c r="BK57" s="189">
        <v>0</v>
      </c>
      <c r="BL57" s="189">
        <f t="shared" ref="BL57" si="77">IFERROR(BL56/BL12,"")</f>
        <v>0</v>
      </c>
      <c r="BM57" s="189">
        <f t="shared" ref="BM57" si="78">IFERROR(BM56/BM12,"")</f>
        <v>0</v>
      </c>
      <c r="BN57" s="189">
        <f t="shared" ref="BN57" si="79">IFERROR(BN56/BN12,"")</f>
        <v>0</v>
      </c>
      <c r="BO57" s="189">
        <v>0</v>
      </c>
      <c r="BP57" s="189">
        <v>0</v>
      </c>
      <c r="BQ57" s="189">
        <v>0</v>
      </c>
      <c r="BR57" s="189" t="str">
        <f t="shared" ref="BR57" si="80">IFERROR(BR56/BR12,"")</f>
        <v/>
      </c>
      <c r="BS57" s="189" t="str">
        <f t="shared" ref="BS57" si="81">IFERROR(BS56/BS12,"")</f>
        <v/>
      </c>
      <c r="BT57" s="189" t="str">
        <f t="shared" ref="BT57" si="82">IFERROR(BT56/BT12,"")</f>
        <v/>
      </c>
      <c r="BU57" s="189" t="str">
        <f t="shared" ref="BU57" si="83">IFERROR(BU56/BU12,"")</f>
        <v/>
      </c>
      <c r="BV57" s="189" t="str">
        <f t="shared" ref="BV57" si="84">IFERROR(BV56/BV12,"")</f>
        <v/>
      </c>
      <c r="BW57" s="189" t="str">
        <f t="shared" ref="BW57" si="85">IFERROR(BW56/BW12,"")</f>
        <v/>
      </c>
    </row>
  </sheetData>
  <sheetProtection algorithmName="SHA-512" hashValue="E0SRnCd6JOKT2/Ai0YGFI7lKzjjcPebBjyE1+qv2svQcSQK9cObpdpDIQprEXv42rAkx87lvDrDpUxbq7cMZDA==" saltValue="EOkNndjw2hxvHBaYMShSnw==" spinCount="100000" sheet="1" objects="1" scenarios="1"/>
  <protectedRanges>
    <protectedRange sqref="D4:BK57 BM4:BW57 BL4:BL26 BL28:BL57" name="Element"/>
  </protectedRange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B758-4EC2-4279-866A-6E75EEA950DA}">
  <sheetPr>
    <tabColor theme="9" tint="0.59999389629810485"/>
  </sheetPr>
  <dimension ref="A1:BW74"/>
  <sheetViews>
    <sheetView showGridLines="0" tabSelected="1" zoomScale="80" zoomScaleNormal="80" workbookViewId="0">
      <pane xSplit="3" ySplit="3" topLeftCell="BH60" activePane="bottomRight" state="frozen"/>
      <selection pane="topRight" activeCell="D8" sqref="D8:E8"/>
      <selection pane="bottomLeft" activeCell="D8" sqref="D8:E8"/>
      <selection pane="bottomRight" activeCell="BO21" sqref="BO21"/>
    </sheetView>
  </sheetViews>
  <sheetFormatPr defaultRowHeight="15" x14ac:dyDescent="0.25"/>
  <cols>
    <col min="1" max="1" width="6.85546875" hidden="1" customWidth="1"/>
    <col min="2" max="2" width="46.42578125" bestFit="1" customWidth="1"/>
    <col min="3" max="3" width="9.140625" hidden="1" customWidth="1"/>
    <col min="4" max="75" width="14.28515625" bestFit="1" customWidth="1"/>
  </cols>
  <sheetData>
    <row r="1" spans="1:75" ht="18.75" x14ac:dyDescent="0.3">
      <c r="B1" s="43" t="s">
        <v>0</v>
      </c>
    </row>
    <row r="2" spans="1:75" x14ac:dyDescent="0.25">
      <c r="B2" s="48" t="s">
        <v>240</v>
      </c>
    </row>
    <row r="3" spans="1:75" ht="28.5" x14ac:dyDescent="0.25">
      <c r="A3" s="193" t="s">
        <v>462</v>
      </c>
      <c r="B3" s="194" t="s">
        <v>463</v>
      </c>
      <c r="C3" s="195" t="s">
        <v>243</v>
      </c>
      <c r="D3" s="196" t="s">
        <v>244</v>
      </c>
      <c r="E3" s="196" t="s">
        <v>245</v>
      </c>
      <c r="F3" s="196" t="s">
        <v>246</v>
      </c>
      <c r="G3" s="196" t="s">
        <v>247</v>
      </c>
      <c r="H3" s="196" t="s">
        <v>248</v>
      </c>
      <c r="I3" s="196" t="s">
        <v>249</v>
      </c>
      <c r="J3" s="196" t="s">
        <v>250</v>
      </c>
      <c r="K3" s="196" t="s">
        <v>251</v>
      </c>
      <c r="L3" s="196" t="s">
        <v>252</v>
      </c>
      <c r="M3" s="196" t="s">
        <v>253</v>
      </c>
      <c r="N3" s="196" t="s">
        <v>254</v>
      </c>
      <c r="O3" s="196" t="s">
        <v>255</v>
      </c>
      <c r="P3" s="196" t="s">
        <v>256</v>
      </c>
      <c r="Q3" s="196" t="s">
        <v>257</v>
      </c>
      <c r="R3" s="196" t="s">
        <v>258</v>
      </c>
      <c r="S3" s="196" t="s">
        <v>259</v>
      </c>
      <c r="T3" s="196" t="s">
        <v>260</v>
      </c>
      <c r="U3" s="196" t="s">
        <v>261</v>
      </c>
      <c r="V3" s="196" t="s">
        <v>262</v>
      </c>
      <c r="W3" s="196" t="s">
        <v>263</v>
      </c>
      <c r="X3" s="196" t="s">
        <v>264</v>
      </c>
      <c r="Y3" s="196" t="s">
        <v>265</v>
      </c>
      <c r="Z3" s="196" t="s">
        <v>266</v>
      </c>
      <c r="AA3" s="196" t="s">
        <v>267</v>
      </c>
      <c r="AB3" s="196" t="s">
        <v>268</v>
      </c>
      <c r="AC3" s="196" t="s">
        <v>269</v>
      </c>
      <c r="AD3" s="196" t="s">
        <v>270</v>
      </c>
      <c r="AE3" s="196" t="s">
        <v>271</v>
      </c>
      <c r="AF3" s="196" t="s">
        <v>272</v>
      </c>
      <c r="AG3" s="196" t="s">
        <v>273</v>
      </c>
      <c r="AH3" s="196" t="s">
        <v>274</v>
      </c>
      <c r="AI3" s="196" t="s">
        <v>275</v>
      </c>
      <c r="AJ3" s="196" t="s">
        <v>276</v>
      </c>
      <c r="AK3" s="196" t="s">
        <v>277</v>
      </c>
      <c r="AL3" s="196" t="s">
        <v>278</v>
      </c>
      <c r="AM3" s="196" t="s">
        <v>279</v>
      </c>
      <c r="AN3" s="196" t="s">
        <v>280</v>
      </c>
      <c r="AO3" s="196" t="s">
        <v>281</v>
      </c>
      <c r="AP3" s="196" t="s">
        <v>282</v>
      </c>
      <c r="AQ3" s="196" t="s">
        <v>283</v>
      </c>
      <c r="AR3" s="196" t="s">
        <v>284</v>
      </c>
      <c r="AS3" s="196" t="s">
        <v>285</v>
      </c>
      <c r="AT3" s="196" t="s">
        <v>286</v>
      </c>
      <c r="AU3" s="196" t="s">
        <v>287</v>
      </c>
      <c r="AV3" s="196" t="s">
        <v>288</v>
      </c>
      <c r="AW3" s="196" t="s">
        <v>289</v>
      </c>
      <c r="AX3" s="196" t="s">
        <v>290</v>
      </c>
      <c r="AY3" s="196" t="s">
        <v>291</v>
      </c>
      <c r="AZ3" s="196" t="s">
        <v>292</v>
      </c>
      <c r="BA3" s="196" t="s">
        <v>293</v>
      </c>
      <c r="BB3" s="196" t="s">
        <v>294</v>
      </c>
      <c r="BC3" s="196" t="s">
        <v>295</v>
      </c>
      <c r="BD3" s="196" t="s">
        <v>296</v>
      </c>
      <c r="BE3" s="196" t="s">
        <v>297</v>
      </c>
      <c r="BF3" s="196" t="s">
        <v>298</v>
      </c>
      <c r="BG3" s="196" t="s">
        <v>299</v>
      </c>
      <c r="BH3" s="196" t="s">
        <v>300</v>
      </c>
      <c r="BI3" s="196" t="s">
        <v>301</v>
      </c>
      <c r="BJ3" s="196" t="s">
        <v>302</v>
      </c>
      <c r="BK3" s="196" t="s">
        <v>303</v>
      </c>
      <c r="BL3" s="196" t="s">
        <v>304</v>
      </c>
      <c r="BM3" s="196" t="s">
        <v>305</v>
      </c>
      <c r="BN3" s="196" t="s">
        <v>306</v>
      </c>
      <c r="BO3" s="196" t="s">
        <v>307</v>
      </c>
      <c r="BP3" s="196" t="s">
        <v>308</v>
      </c>
      <c r="BQ3" s="196" t="s">
        <v>309</v>
      </c>
      <c r="BR3" s="196" t="s">
        <v>310</v>
      </c>
      <c r="BS3" s="196" t="s">
        <v>311</v>
      </c>
      <c r="BT3" s="196" t="s">
        <v>312</v>
      </c>
      <c r="BU3" s="196" t="s">
        <v>313</v>
      </c>
      <c r="BV3" s="196" t="s">
        <v>314</v>
      </c>
      <c r="BW3" s="196" t="s">
        <v>315</v>
      </c>
    </row>
    <row r="4" spans="1:75" x14ac:dyDescent="0.25">
      <c r="A4" s="197">
        <v>1</v>
      </c>
      <c r="B4" s="198" t="s">
        <v>464</v>
      </c>
      <c r="C4" s="199">
        <v>7</v>
      </c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6"/>
      <c r="BL4" s="206"/>
      <c r="BM4" s="206"/>
      <c r="BN4" s="206"/>
      <c r="BO4" s="206"/>
      <c r="BP4" s="206"/>
      <c r="BQ4" s="206"/>
      <c r="BR4" s="206"/>
      <c r="BS4" s="206"/>
      <c r="BT4" s="206"/>
      <c r="BU4" s="206"/>
      <c r="BV4" s="206"/>
      <c r="BW4" s="206"/>
    </row>
    <row r="5" spans="1:75" x14ac:dyDescent="0.25">
      <c r="A5" s="200">
        <v>2</v>
      </c>
      <c r="B5" s="201" t="s">
        <v>465</v>
      </c>
      <c r="C5" s="200">
        <v>7</v>
      </c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</row>
    <row r="6" spans="1:75" x14ac:dyDescent="0.25">
      <c r="A6" s="200">
        <v>3</v>
      </c>
      <c r="B6" s="201" t="s">
        <v>466</v>
      </c>
      <c r="C6" s="200">
        <v>7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7"/>
      <c r="AM6" s="207"/>
      <c r="AN6" s="207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  <c r="BM6" s="207"/>
      <c r="BN6" s="207"/>
      <c r="BO6" s="207"/>
      <c r="BP6" s="207"/>
      <c r="BQ6" s="207"/>
      <c r="BR6" s="207"/>
      <c r="BS6" s="207"/>
      <c r="BT6" s="207"/>
      <c r="BU6" s="207"/>
      <c r="BV6" s="207"/>
      <c r="BW6" s="207"/>
    </row>
    <row r="7" spans="1:75" x14ac:dyDescent="0.25">
      <c r="A7" s="200">
        <v>4</v>
      </c>
      <c r="B7" s="201" t="s">
        <v>467</v>
      </c>
      <c r="C7" s="200">
        <v>7</v>
      </c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  <c r="AK7" s="207"/>
      <c r="AL7" s="207"/>
      <c r="AM7" s="207"/>
      <c r="AN7" s="207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  <c r="BM7" s="207"/>
      <c r="BN7" s="207"/>
      <c r="BO7" s="207"/>
      <c r="BP7" s="207"/>
      <c r="BQ7" s="207"/>
      <c r="BR7" s="207"/>
      <c r="BS7" s="207"/>
      <c r="BT7" s="207"/>
      <c r="BU7" s="207"/>
      <c r="BV7" s="207"/>
      <c r="BW7" s="207"/>
    </row>
    <row r="8" spans="1:75" x14ac:dyDescent="0.25">
      <c r="A8" s="200">
        <v>5</v>
      </c>
      <c r="B8" s="201" t="s">
        <v>468</v>
      </c>
      <c r="C8" s="200">
        <v>7</v>
      </c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</row>
    <row r="9" spans="1:75" x14ac:dyDescent="0.25">
      <c r="A9" s="200">
        <v>6</v>
      </c>
      <c r="B9" s="201" t="s">
        <v>469</v>
      </c>
      <c r="C9" s="200">
        <v>7</v>
      </c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  <c r="AT9" s="207"/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  <c r="BM9" s="207"/>
      <c r="BN9" s="207"/>
      <c r="BO9" s="207"/>
      <c r="BP9" s="207"/>
      <c r="BQ9" s="207"/>
      <c r="BR9" s="207"/>
      <c r="BS9" s="207"/>
      <c r="BT9" s="207"/>
      <c r="BU9" s="207"/>
      <c r="BV9" s="207"/>
      <c r="BW9" s="207"/>
    </row>
    <row r="10" spans="1:75" x14ac:dyDescent="0.25">
      <c r="A10" s="200">
        <v>7</v>
      </c>
      <c r="B10" s="201" t="s">
        <v>470</v>
      </c>
      <c r="C10" s="200">
        <v>7</v>
      </c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7"/>
      <c r="AO10" s="207"/>
      <c r="AP10" s="207"/>
      <c r="AQ10" s="207"/>
      <c r="AR10" s="207"/>
      <c r="AS10" s="207"/>
      <c r="AT10" s="207"/>
      <c r="AU10" s="207"/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  <c r="BM10" s="207"/>
      <c r="BN10" s="207"/>
      <c r="BO10" s="207"/>
      <c r="BP10" s="207"/>
      <c r="BQ10" s="207"/>
      <c r="BR10" s="207"/>
      <c r="BS10" s="207"/>
      <c r="BT10" s="207"/>
      <c r="BU10" s="207"/>
      <c r="BV10" s="207"/>
      <c r="BW10" s="207"/>
    </row>
    <row r="11" spans="1:75" x14ac:dyDescent="0.25">
      <c r="A11" s="200">
        <v>8</v>
      </c>
      <c r="B11" s="201" t="s">
        <v>471</v>
      </c>
      <c r="C11" s="200">
        <v>7</v>
      </c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  <c r="BM11" s="207"/>
      <c r="BN11" s="207"/>
      <c r="BO11" s="207"/>
      <c r="BP11" s="207"/>
      <c r="BQ11" s="207"/>
      <c r="BR11" s="207"/>
      <c r="BS11" s="207"/>
      <c r="BT11" s="207"/>
      <c r="BU11" s="207"/>
      <c r="BV11" s="207"/>
      <c r="BW11" s="207"/>
    </row>
    <row r="12" spans="1:75" x14ac:dyDescent="0.25">
      <c r="A12" s="200">
        <v>9</v>
      </c>
      <c r="B12" s="94"/>
      <c r="C12" s="200">
        <v>7</v>
      </c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7"/>
      <c r="AR12" s="207"/>
      <c r="AS12" s="207"/>
      <c r="AT12" s="207"/>
      <c r="AU12" s="207"/>
      <c r="AV12" s="207"/>
      <c r="AW12" s="207"/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  <c r="BM12" s="207"/>
      <c r="BN12" s="207"/>
      <c r="BO12" s="207"/>
      <c r="BP12" s="207"/>
      <c r="BQ12" s="207"/>
      <c r="BR12" s="207"/>
      <c r="BS12" s="207"/>
      <c r="BT12" s="207"/>
      <c r="BU12" s="207"/>
      <c r="BV12" s="207"/>
      <c r="BW12" s="207"/>
    </row>
    <row r="13" spans="1:75" x14ac:dyDescent="0.25">
      <c r="A13" s="197">
        <v>10</v>
      </c>
      <c r="B13" s="198" t="s">
        <v>472</v>
      </c>
      <c r="C13" s="199">
        <v>7</v>
      </c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</row>
    <row r="14" spans="1:75" x14ac:dyDescent="0.25">
      <c r="A14" s="200">
        <v>11</v>
      </c>
      <c r="B14" s="201" t="s">
        <v>465</v>
      </c>
      <c r="C14" s="200">
        <v>7</v>
      </c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  <c r="BM14" s="207"/>
      <c r="BN14" s="207"/>
      <c r="BO14" s="207"/>
      <c r="BP14" s="207"/>
      <c r="BQ14" s="207"/>
      <c r="BR14" s="207"/>
      <c r="BS14" s="207"/>
      <c r="BT14" s="207"/>
      <c r="BU14" s="207"/>
      <c r="BV14" s="207"/>
      <c r="BW14" s="207"/>
    </row>
    <row r="15" spans="1:75" x14ac:dyDescent="0.25">
      <c r="A15" s="200">
        <v>12</v>
      </c>
      <c r="B15" s="201" t="s">
        <v>466</v>
      </c>
      <c r="C15" s="200">
        <v>7</v>
      </c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7"/>
      <c r="AU15" s="207"/>
      <c r="AV15" s="207"/>
      <c r="AW15" s="207"/>
      <c r="AX15" s="207"/>
      <c r="AY15" s="207"/>
      <c r="AZ15" s="207"/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  <c r="BM15" s="207"/>
      <c r="BN15" s="207"/>
      <c r="BO15" s="207"/>
      <c r="BP15" s="207"/>
      <c r="BQ15" s="207"/>
      <c r="BR15" s="207"/>
      <c r="BS15" s="207"/>
      <c r="BT15" s="207"/>
      <c r="BU15" s="207"/>
      <c r="BV15" s="207"/>
      <c r="BW15" s="207"/>
    </row>
    <row r="16" spans="1:75" x14ac:dyDescent="0.25">
      <c r="A16" s="200">
        <v>13</v>
      </c>
      <c r="B16" s="201" t="s">
        <v>467</v>
      </c>
      <c r="C16" s="200">
        <v>7</v>
      </c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7"/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  <c r="BM16" s="207"/>
      <c r="BN16" s="207"/>
      <c r="BO16" s="207"/>
      <c r="BP16" s="207"/>
      <c r="BQ16" s="207"/>
      <c r="BR16" s="207"/>
      <c r="BS16" s="207"/>
      <c r="BT16" s="207"/>
      <c r="BU16" s="207"/>
      <c r="BV16" s="207"/>
      <c r="BW16" s="207"/>
    </row>
    <row r="17" spans="1:75" x14ac:dyDescent="0.25">
      <c r="A17" s="200">
        <v>14</v>
      </c>
      <c r="B17" s="201" t="s">
        <v>468</v>
      </c>
      <c r="C17" s="200">
        <v>7</v>
      </c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  <c r="BM17" s="207"/>
      <c r="BN17" s="207"/>
      <c r="BO17" s="207"/>
      <c r="BP17" s="207"/>
      <c r="BQ17" s="207"/>
      <c r="BR17" s="207"/>
      <c r="BS17" s="207"/>
      <c r="BT17" s="207"/>
      <c r="BU17" s="207"/>
      <c r="BV17" s="207"/>
      <c r="BW17" s="207"/>
    </row>
    <row r="18" spans="1:75" x14ac:dyDescent="0.25">
      <c r="A18" s="200">
        <v>15</v>
      </c>
      <c r="B18" s="201" t="s">
        <v>469</v>
      </c>
      <c r="C18" s="200">
        <v>7</v>
      </c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7"/>
      <c r="BB18" s="207"/>
      <c r="BC18" s="207"/>
      <c r="BD18" s="207"/>
      <c r="BE18" s="207"/>
      <c r="BF18" s="207"/>
      <c r="BG18" s="207"/>
      <c r="BH18" s="207"/>
      <c r="BI18" s="207"/>
      <c r="BJ18" s="207"/>
      <c r="BK18" s="207"/>
      <c r="BL18" s="207"/>
      <c r="BM18" s="207"/>
      <c r="BN18" s="207"/>
      <c r="BO18" s="207"/>
      <c r="BP18" s="207"/>
      <c r="BQ18" s="207"/>
      <c r="BR18" s="207"/>
      <c r="BS18" s="207"/>
      <c r="BT18" s="207"/>
      <c r="BU18" s="207"/>
      <c r="BV18" s="207"/>
      <c r="BW18" s="207"/>
    </row>
    <row r="19" spans="1:75" x14ac:dyDescent="0.25">
      <c r="A19" s="200">
        <v>16</v>
      </c>
      <c r="B19" s="201" t="s">
        <v>470</v>
      </c>
      <c r="C19" s="200">
        <v>7</v>
      </c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7"/>
      <c r="BB19" s="207"/>
      <c r="BC19" s="207"/>
      <c r="BD19" s="207"/>
      <c r="BE19" s="207"/>
      <c r="BF19" s="207"/>
      <c r="BG19" s="207"/>
      <c r="BH19" s="207"/>
      <c r="BI19" s="207"/>
      <c r="BJ19" s="207"/>
      <c r="BK19" s="207"/>
      <c r="BL19" s="207"/>
      <c r="BM19" s="207"/>
      <c r="BN19" s="207"/>
      <c r="BO19" s="207"/>
      <c r="BP19" s="207"/>
      <c r="BQ19" s="207"/>
      <c r="BR19" s="207"/>
      <c r="BS19" s="207"/>
      <c r="BT19" s="207"/>
      <c r="BU19" s="207"/>
      <c r="BV19" s="207"/>
      <c r="BW19" s="207"/>
    </row>
    <row r="20" spans="1:75" x14ac:dyDescent="0.25">
      <c r="A20" s="200">
        <v>17</v>
      </c>
      <c r="B20" s="201" t="s">
        <v>471</v>
      </c>
      <c r="C20" s="200">
        <v>7</v>
      </c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7"/>
      <c r="BA20" s="207"/>
      <c r="BB20" s="207"/>
      <c r="BC20" s="207"/>
      <c r="BD20" s="207"/>
      <c r="BE20" s="207"/>
      <c r="BF20" s="207"/>
      <c r="BG20" s="207"/>
      <c r="BH20" s="207"/>
      <c r="BI20" s="207"/>
      <c r="BJ20" s="207"/>
      <c r="BK20" s="207"/>
      <c r="BL20" s="207"/>
      <c r="BM20" s="207"/>
      <c r="BN20" s="207"/>
      <c r="BO20" s="207"/>
      <c r="BP20" s="207"/>
      <c r="BQ20" s="207"/>
      <c r="BR20" s="207"/>
      <c r="BS20" s="207"/>
      <c r="BT20" s="207"/>
      <c r="BU20" s="207"/>
      <c r="BV20" s="207"/>
      <c r="BW20" s="207"/>
    </row>
    <row r="21" spans="1:75" x14ac:dyDescent="0.25">
      <c r="A21" s="200">
        <v>18</v>
      </c>
      <c r="B21" s="94"/>
      <c r="C21" s="200">
        <v>7</v>
      </c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7"/>
      <c r="BA21" s="207"/>
      <c r="BB21" s="207"/>
      <c r="BC21" s="207"/>
      <c r="BD21" s="207"/>
      <c r="BE21" s="207"/>
      <c r="BF21" s="207"/>
      <c r="BG21" s="207"/>
      <c r="BH21" s="207"/>
      <c r="BI21" s="207"/>
      <c r="BJ21" s="207"/>
      <c r="BK21" s="207"/>
      <c r="BL21" s="207"/>
      <c r="BM21" s="207"/>
      <c r="BN21" s="207"/>
      <c r="BO21" s="207"/>
      <c r="BP21" s="207"/>
      <c r="BQ21" s="207"/>
      <c r="BR21" s="207"/>
      <c r="BS21" s="207"/>
      <c r="BT21" s="207"/>
      <c r="BU21" s="207"/>
      <c r="BV21" s="207"/>
      <c r="BW21" s="207"/>
    </row>
    <row r="22" spans="1:75" x14ac:dyDescent="0.25">
      <c r="A22" s="202">
        <v>19</v>
      </c>
      <c r="B22" s="203" t="s">
        <v>473</v>
      </c>
      <c r="C22" s="200">
        <v>7</v>
      </c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7"/>
      <c r="BB22" s="207"/>
      <c r="BC22" s="207"/>
      <c r="BD22" s="207"/>
      <c r="BE22" s="207"/>
      <c r="BF22" s="207"/>
      <c r="BG22" s="207"/>
      <c r="BH22" s="207"/>
      <c r="BI22" s="207"/>
      <c r="BJ22" s="207"/>
      <c r="BK22" s="207"/>
      <c r="BL22" s="207"/>
      <c r="BM22" s="207"/>
      <c r="BN22" s="207"/>
      <c r="BO22" s="207"/>
      <c r="BP22" s="207"/>
      <c r="BQ22" s="207"/>
      <c r="BR22" s="207"/>
      <c r="BS22" s="207"/>
      <c r="BT22" s="207"/>
      <c r="BU22" s="207"/>
      <c r="BV22" s="207"/>
      <c r="BW22" s="207"/>
    </row>
    <row r="23" spans="1:75" x14ac:dyDescent="0.25">
      <c r="A23" s="200">
        <v>20</v>
      </c>
      <c r="B23" s="201" t="str">
        <f t="shared" ref="B23:B29" si="0">B14</f>
        <v>ACB</v>
      </c>
      <c r="C23" s="200">
        <v>7</v>
      </c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7"/>
      <c r="BC23" s="207"/>
      <c r="BD23" s="207"/>
      <c r="BE23" s="207"/>
      <c r="BF23" s="207"/>
      <c r="BG23" s="207"/>
      <c r="BH23" s="207"/>
      <c r="BI23" s="207"/>
      <c r="BJ23" s="207"/>
      <c r="BK23" s="207"/>
      <c r="BL23" s="207"/>
      <c r="BM23" s="207"/>
      <c r="BN23" s="207"/>
      <c r="BO23" s="207"/>
      <c r="BP23" s="207"/>
      <c r="BQ23" s="207"/>
      <c r="BR23" s="207"/>
      <c r="BS23" s="207"/>
      <c r="BT23" s="207"/>
      <c r="BU23" s="207"/>
      <c r="BV23" s="207"/>
      <c r="BW23" s="207"/>
    </row>
    <row r="24" spans="1:75" x14ac:dyDescent="0.25">
      <c r="A24" s="200">
        <v>21</v>
      </c>
      <c r="B24" s="201" t="str">
        <f t="shared" si="0"/>
        <v>VietinBank</v>
      </c>
      <c r="C24" s="200">
        <v>7</v>
      </c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7"/>
      <c r="BD24" s="207"/>
      <c r="BE24" s="207"/>
      <c r="BF24" s="207"/>
      <c r="BG24" s="207"/>
      <c r="BH24" s="207"/>
      <c r="BI24" s="207"/>
      <c r="BJ24" s="207"/>
      <c r="BK24" s="207"/>
      <c r="BL24" s="207"/>
      <c r="BM24" s="207"/>
      <c r="BN24" s="207"/>
      <c r="BO24" s="207"/>
      <c r="BP24" s="207"/>
      <c r="BQ24" s="207"/>
      <c r="BR24" s="207"/>
      <c r="BS24" s="207"/>
      <c r="BT24" s="207"/>
      <c r="BU24" s="207"/>
      <c r="BV24" s="207"/>
      <c r="BW24" s="207"/>
    </row>
    <row r="25" spans="1:75" x14ac:dyDescent="0.25">
      <c r="A25" s="200">
        <v>22</v>
      </c>
      <c r="B25" s="201" t="str">
        <f t="shared" si="0"/>
        <v>Vietcombank</v>
      </c>
      <c r="C25" s="200">
        <v>7</v>
      </c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7"/>
      <c r="BE25" s="207"/>
      <c r="BF25" s="207"/>
      <c r="BG25" s="207"/>
      <c r="BH25" s="207"/>
      <c r="BI25" s="207"/>
      <c r="BJ25" s="207"/>
      <c r="BK25" s="207"/>
      <c r="BL25" s="207"/>
      <c r="BM25" s="207"/>
      <c r="BN25" s="207"/>
      <c r="BO25" s="207"/>
      <c r="BP25" s="207"/>
      <c r="BQ25" s="207"/>
      <c r="BR25" s="207"/>
      <c r="BS25" s="207"/>
      <c r="BT25" s="207"/>
      <c r="BU25" s="207"/>
      <c r="BV25" s="207"/>
      <c r="BW25" s="207"/>
    </row>
    <row r="26" spans="1:75" x14ac:dyDescent="0.25">
      <c r="A26" s="200">
        <v>23</v>
      </c>
      <c r="B26" s="201" t="str">
        <f t="shared" si="0"/>
        <v>BIDV</v>
      </c>
      <c r="C26" s="200">
        <v>7</v>
      </c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7"/>
      <c r="BF26" s="207"/>
      <c r="BG26" s="207"/>
      <c r="BH26" s="207"/>
      <c r="BI26" s="207"/>
      <c r="BJ26" s="207"/>
      <c r="BK26" s="207"/>
      <c r="BL26" s="207"/>
      <c r="BM26" s="207"/>
      <c r="BN26" s="207"/>
      <c r="BO26" s="207"/>
      <c r="BP26" s="207"/>
      <c r="BQ26" s="207"/>
      <c r="BR26" s="207"/>
      <c r="BS26" s="207"/>
      <c r="BT26" s="207"/>
      <c r="BU26" s="207"/>
      <c r="BV26" s="207"/>
      <c r="BW26" s="207"/>
    </row>
    <row r="27" spans="1:75" x14ac:dyDescent="0.25">
      <c r="A27" s="200">
        <v>24</v>
      </c>
      <c r="B27" s="201" t="str">
        <f t="shared" si="0"/>
        <v>Standard Chartered</v>
      </c>
      <c r="C27" s="200">
        <v>7</v>
      </c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7"/>
      <c r="BG27" s="207"/>
      <c r="BH27" s="207"/>
      <c r="BI27" s="207"/>
      <c r="BJ27" s="207"/>
      <c r="BK27" s="207"/>
      <c r="BL27" s="207"/>
      <c r="BM27" s="207"/>
      <c r="BN27" s="207"/>
      <c r="BO27" s="207"/>
      <c r="BP27" s="207"/>
      <c r="BQ27" s="207"/>
      <c r="BR27" s="207"/>
      <c r="BS27" s="207"/>
      <c r="BT27" s="207"/>
      <c r="BU27" s="207"/>
      <c r="BV27" s="207"/>
      <c r="BW27" s="207"/>
    </row>
    <row r="28" spans="1:75" x14ac:dyDescent="0.25">
      <c r="A28" s="200">
        <v>25</v>
      </c>
      <c r="B28" s="201" t="str">
        <f t="shared" si="0"/>
        <v>VILC</v>
      </c>
      <c r="C28" s="200">
        <v>7</v>
      </c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7"/>
      <c r="BH28" s="207"/>
      <c r="BI28" s="207"/>
      <c r="BJ28" s="207"/>
      <c r="BK28" s="207"/>
      <c r="BL28" s="207"/>
      <c r="BM28" s="207"/>
      <c r="BN28" s="207"/>
      <c r="BO28" s="207"/>
      <c r="BP28" s="207"/>
      <c r="BQ28" s="207"/>
      <c r="BR28" s="207"/>
      <c r="BS28" s="207"/>
      <c r="BT28" s="207"/>
      <c r="BU28" s="207"/>
      <c r="BV28" s="207"/>
      <c r="BW28" s="207"/>
    </row>
    <row r="29" spans="1:75" x14ac:dyDescent="0.25">
      <c r="A29" s="200">
        <v>26</v>
      </c>
      <c r="B29" s="201" t="str">
        <f t="shared" si="0"/>
        <v>IVB</v>
      </c>
      <c r="C29" s="200">
        <v>7</v>
      </c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7"/>
      <c r="BI29" s="207"/>
      <c r="BJ29" s="207"/>
      <c r="BK29" s="207"/>
      <c r="BL29" s="207"/>
      <c r="BM29" s="207"/>
      <c r="BN29" s="207"/>
      <c r="BO29" s="207"/>
      <c r="BP29" s="207"/>
      <c r="BQ29" s="207"/>
      <c r="BR29" s="207"/>
      <c r="BS29" s="207"/>
      <c r="BT29" s="207"/>
      <c r="BU29" s="207"/>
      <c r="BV29" s="207"/>
      <c r="BW29" s="207"/>
    </row>
    <row r="30" spans="1:75" x14ac:dyDescent="0.25">
      <c r="A30" s="200">
        <v>27</v>
      </c>
      <c r="B30" s="201"/>
      <c r="C30" s="200">
        <v>7</v>
      </c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7"/>
      <c r="BJ30" s="207"/>
      <c r="BK30" s="207"/>
      <c r="BL30" s="207"/>
      <c r="BM30" s="207"/>
      <c r="BN30" s="207"/>
      <c r="BO30" s="207"/>
      <c r="BP30" s="207"/>
      <c r="BQ30" s="207"/>
      <c r="BR30" s="207"/>
      <c r="BS30" s="207"/>
      <c r="BT30" s="207"/>
      <c r="BU30" s="207"/>
      <c r="BV30" s="207"/>
      <c r="BW30" s="207"/>
    </row>
    <row r="31" spans="1:75" x14ac:dyDescent="0.25">
      <c r="A31" s="197">
        <v>28</v>
      </c>
      <c r="B31" s="198" t="s">
        <v>474</v>
      </c>
      <c r="C31" s="197">
        <v>7</v>
      </c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206"/>
    </row>
    <row r="32" spans="1:75" x14ac:dyDescent="0.25">
      <c r="A32" s="200">
        <v>29</v>
      </c>
      <c r="B32" s="201" t="str">
        <f>B14</f>
        <v>ACB</v>
      </c>
      <c r="C32" s="200">
        <v>7</v>
      </c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7"/>
      <c r="BL32" s="207"/>
      <c r="BM32" s="207"/>
      <c r="BN32" s="207"/>
      <c r="BO32" s="207"/>
      <c r="BP32" s="207"/>
      <c r="BQ32" s="207"/>
      <c r="BR32" s="207"/>
      <c r="BS32" s="207"/>
      <c r="BT32" s="207"/>
      <c r="BU32" s="207"/>
      <c r="BV32" s="207"/>
      <c r="BW32" s="207"/>
    </row>
    <row r="33" spans="1:75" x14ac:dyDescent="0.25">
      <c r="A33" s="200">
        <v>30</v>
      </c>
      <c r="B33" s="201" t="str">
        <f>B15</f>
        <v>VietinBank</v>
      </c>
      <c r="C33" s="200">
        <v>7</v>
      </c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7"/>
      <c r="BM33" s="207"/>
      <c r="BN33" s="207"/>
      <c r="BO33" s="207"/>
      <c r="BP33" s="207"/>
      <c r="BQ33" s="207"/>
      <c r="BR33" s="207"/>
      <c r="BS33" s="207"/>
      <c r="BT33" s="207"/>
      <c r="BU33" s="207"/>
      <c r="BV33" s="207"/>
      <c r="BW33" s="207"/>
    </row>
    <row r="34" spans="1:75" x14ac:dyDescent="0.25">
      <c r="A34" s="200">
        <v>31</v>
      </c>
      <c r="B34" s="201" t="str">
        <f>B16</f>
        <v>Vietcombank</v>
      </c>
      <c r="C34" s="200">
        <v>7</v>
      </c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7"/>
      <c r="BC34" s="207"/>
      <c r="BD34" s="207"/>
      <c r="BE34" s="207"/>
      <c r="BF34" s="207"/>
      <c r="BG34" s="207"/>
      <c r="BH34" s="207"/>
      <c r="BI34" s="207"/>
      <c r="BJ34" s="207"/>
      <c r="BK34" s="207"/>
      <c r="BL34" s="207"/>
      <c r="BM34" s="207"/>
      <c r="BN34" s="207"/>
      <c r="BO34" s="207"/>
      <c r="BP34" s="207"/>
      <c r="BQ34" s="207"/>
      <c r="BR34" s="207"/>
      <c r="BS34" s="207"/>
      <c r="BT34" s="207"/>
      <c r="BU34" s="207"/>
      <c r="BV34" s="207"/>
      <c r="BW34" s="207"/>
    </row>
    <row r="35" spans="1:75" x14ac:dyDescent="0.25">
      <c r="A35" s="200">
        <v>32</v>
      </c>
      <c r="B35" s="201" t="s">
        <v>468</v>
      </c>
      <c r="C35" s="200">
        <v>7</v>
      </c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7"/>
      <c r="AR35" s="207"/>
      <c r="AS35" s="207"/>
      <c r="AT35" s="207"/>
      <c r="AU35" s="207"/>
      <c r="AV35" s="207"/>
      <c r="AW35" s="207"/>
      <c r="AX35" s="207"/>
      <c r="AY35" s="207"/>
      <c r="AZ35" s="207"/>
      <c r="BA35" s="207"/>
      <c r="BB35" s="207"/>
      <c r="BC35" s="207"/>
      <c r="BD35" s="207"/>
      <c r="BE35" s="207"/>
      <c r="BF35" s="207"/>
      <c r="BG35" s="207"/>
      <c r="BH35" s="207"/>
      <c r="BI35" s="207"/>
      <c r="BJ35" s="207"/>
      <c r="BK35" s="207"/>
      <c r="BL35" s="207"/>
      <c r="BM35" s="207"/>
      <c r="BN35" s="207"/>
      <c r="BO35" s="207"/>
      <c r="BP35" s="207"/>
      <c r="BQ35" s="207"/>
      <c r="BR35" s="207"/>
      <c r="BS35" s="207"/>
      <c r="BT35" s="207"/>
      <c r="BU35" s="207"/>
      <c r="BV35" s="207"/>
      <c r="BW35" s="207"/>
    </row>
    <row r="36" spans="1:75" x14ac:dyDescent="0.25">
      <c r="A36" s="200">
        <v>33</v>
      </c>
      <c r="B36" s="201" t="str">
        <f>B18</f>
        <v>Standard Chartered</v>
      </c>
      <c r="C36" s="200">
        <v>7</v>
      </c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7"/>
      <c r="BB36" s="207"/>
      <c r="BC36" s="207"/>
      <c r="BD36" s="207"/>
      <c r="BE36" s="207"/>
      <c r="BF36" s="207"/>
      <c r="BG36" s="207"/>
      <c r="BH36" s="207"/>
      <c r="BI36" s="207"/>
      <c r="BJ36" s="207"/>
      <c r="BK36" s="207"/>
      <c r="BL36" s="207"/>
      <c r="BM36" s="207"/>
      <c r="BN36" s="207"/>
      <c r="BO36" s="207"/>
      <c r="BP36" s="207"/>
      <c r="BQ36" s="207"/>
      <c r="BR36" s="207"/>
      <c r="BS36" s="207"/>
      <c r="BT36" s="207"/>
      <c r="BU36" s="207"/>
      <c r="BV36" s="207"/>
      <c r="BW36" s="207"/>
    </row>
    <row r="37" spans="1:75" x14ac:dyDescent="0.25">
      <c r="A37" s="200">
        <v>34</v>
      </c>
      <c r="B37" s="201" t="s">
        <v>470</v>
      </c>
      <c r="C37" s="200">
        <v>7</v>
      </c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  <c r="AQ37" s="207"/>
      <c r="AR37" s="207"/>
      <c r="AS37" s="207"/>
      <c r="AT37" s="207"/>
      <c r="AU37" s="207"/>
      <c r="AV37" s="207"/>
      <c r="AW37" s="207"/>
      <c r="AX37" s="207"/>
      <c r="AY37" s="207"/>
      <c r="AZ37" s="207"/>
      <c r="BA37" s="207"/>
      <c r="BB37" s="207"/>
      <c r="BC37" s="207"/>
      <c r="BD37" s="207"/>
      <c r="BE37" s="207"/>
      <c r="BF37" s="207"/>
      <c r="BG37" s="207"/>
      <c r="BH37" s="207"/>
      <c r="BI37" s="207"/>
      <c r="BJ37" s="207"/>
      <c r="BK37" s="207"/>
      <c r="BL37" s="207"/>
      <c r="BM37" s="207"/>
      <c r="BN37" s="207"/>
      <c r="BO37" s="207"/>
      <c r="BP37" s="207"/>
      <c r="BQ37" s="207"/>
      <c r="BR37" s="207"/>
      <c r="BS37" s="207"/>
      <c r="BT37" s="207"/>
      <c r="BU37" s="207"/>
      <c r="BV37" s="207"/>
      <c r="BW37" s="207"/>
    </row>
    <row r="38" spans="1:75" x14ac:dyDescent="0.25">
      <c r="A38" s="200">
        <v>35</v>
      </c>
      <c r="B38" s="201" t="s">
        <v>471</v>
      </c>
      <c r="C38" s="200">
        <v>7</v>
      </c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  <c r="AU38" s="207"/>
      <c r="AV38" s="207"/>
      <c r="AW38" s="207"/>
      <c r="AX38" s="207"/>
      <c r="AY38" s="207"/>
      <c r="AZ38" s="207"/>
      <c r="BA38" s="207"/>
      <c r="BB38" s="207"/>
      <c r="BC38" s="207"/>
      <c r="BD38" s="207"/>
      <c r="BE38" s="207"/>
      <c r="BF38" s="207"/>
      <c r="BG38" s="207"/>
      <c r="BH38" s="207"/>
      <c r="BI38" s="207"/>
      <c r="BJ38" s="207"/>
      <c r="BK38" s="207"/>
      <c r="BL38" s="207"/>
      <c r="BM38" s="207"/>
      <c r="BN38" s="207"/>
      <c r="BO38" s="207"/>
      <c r="BP38" s="207"/>
      <c r="BQ38" s="207"/>
      <c r="BR38" s="207"/>
      <c r="BS38" s="207"/>
      <c r="BT38" s="207"/>
      <c r="BU38" s="207"/>
      <c r="BV38" s="207"/>
      <c r="BW38" s="207"/>
    </row>
    <row r="39" spans="1:75" x14ac:dyDescent="0.25">
      <c r="A39" s="200">
        <v>36</v>
      </c>
      <c r="B39" s="94"/>
      <c r="C39" s="200">
        <v>7</v>
      </c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207"/>
      <c r="AV39" s="207"/>
      <c r="AW39" s="207"/>
      <c r="AX39" s="207"/>
      <c r="AY39" s="207"/>
      <c r="AZ39" s="207"/>
      <c r="BA39" s="207"/>
      <c r="BB39" s="207"/>
      <c r="BC39" s="207"/>
      <c r="BD39" s="207"/>
      <c r="BE39" s="207"/>
      <c r="BF39" s="207"/>
      <c r="BG39" s="207"/>
      <c r="BH39" s="207"/>
      <c r="BI39" s="207"/>
      <c r="BJ39" s="207"/>
      <c r="BK39" s="207"/>
      <c r="BL39" s="207"/>
      <c r="BM39" s="207"/>
      <c r="BN39" s="207"/>
      <c r="BO39" s="207"/>
      <c r="BP39" s="207"/>
      <c r="BQ39" s="207"/>
      <c r="BR39" s="207"/>
      <c r="BS39" s="207"/>
      <c r="BT39" s="207"/>
      <c r="BU39" s="207"/>
      <c r="BV39" s="207"/>
      <c r="BW39" s="207"/>
    </row>
    <row r="40" spans="1:75" x14ac:dyDescent="0.25">
      <c r="A40" s="202">
        <v>37</v>
      </c>
      <c r="B40" s="203" t="s">
        <v>475</v>
      </c>
      <c r="C40" s="200">
        <v>7</v>
      </c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7"/>
      <c r="AR40" s="207"/>
      <c r="AS40" s="207"/>
      <c r="AT40" s="207"/>
      <c r="AU40" s="207"/>
      <c r="AV40" s="207"/>
      <c r="AW40" s="207"/>
      <c r="AX40" s="207"/>
      <c r="AY40" s="207"/>
      <c r="AZ40" s="207"/>
      <c r="BA40" s="207"/>
      <c r="BB40" s="207"/>
      <c r="BC40" s="207"/>
      <c r="BD40" s="207"/>
      <c r="BE40" s="207"/>
      <c r="BF40" s="207"/>
      <c r="BG40" s="207"/>
      <c r="BH40" s="207"/>
      <c r="BI40" s="207"/>
      <c r="BJ40" s="207"/>
      <c r="BK40" s="207"/>
      <c r="BL40" s="207"/>
      <c r="BM40" s="207"/>
      <c r="BN40" s="207"/>
      <c r="BO40" s="207"/>
      <c r="BP40" s="207"/>
      <c r="BQ40" s="207"/>
      <c r="BR40" s="207"/>
      <c r="BS40" s="207"/>
      <c r="BT40" s="207"/>
      <c r="BU40" s="207"/>
      <c r="BV40" s="207"/>
      <c r="BW40" s="207"/>
    </row>
    <row r="41" spans="1:75" x14ac:dyDescent="0.25">
      <c r="A41" s="200">
        <v>38</v>
      </c>
      <c r="B41" s="201" t="str">
        <f t="shared" ref="B41:B47" si="1">B32</f>
        <v>ACB</v>
      </c>
      <c r="C41" s="200">
        <v>7</v>
      </c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  <c r="AK41" s="207"/>
      <c r="AL41" s="207"/>
      <c r="AM41" s="207"/>
      <c r="AN41" s="207"/>
      <c r="AO41" s="207"/>
      <c r="AP41" s="207"/>
      <c r="AQ41" s="207"/>
      <c r="AR41" s="207"/>
      <c r="AS41" s="207"/>
      <c r="AT41" s="207"/>
      <c r="AU41" s="207"/>
      <c r="AV41" s="207"/>
      <c r="AW41" s="207"/>
      <c r="AX41" s="207"/>
      <c r="AY41" s="207"/>
      <c r="AZ41" s="207"/>
      <c r="BA41" s="207"/>
      <c r="BB41" s="207"/>
      <c r="BC41" s="207"/>
      <c r="BD41" s="207"/>
      <c r="BE41" s="207"/>
      <c r="BF41" s="207"/>
      <c r="BG41" s="207"/>
      <c r="BH41" s="207"/>
      <c r="BI41" s="207"/>
      <c r="BJ41" s="207"/>
      <c r="BK41" s="207"/>
      <c r="BL41" s="207"/>
      <c r="BM41" s="207"/>
      <c r="BN41" s="207"/>
      <c r="BO41" s="207"/>
      <c r="BP41" s="207"/>
      <c r="BQ41" s="207"/>
      <c r="BR41" s="207"/>
      <c r="BS41" s="207"/>
      <c r="BT41" s="207"/>
      <c r="BU41" s="207"/>
      <c r="BV41" s="207"/>
      <c r="BW41" s="207"/>
    </row>
    <row r="42" spans="1:75" x14ac:dyDescent="0.25">
      <c r="A42" s="200">
        <v>39</v>
      </c>
      <c r="B42" s="201" t="str">
        <f t="shared" si="1"/>
        <v>VietinBank</v>
      </c>
      <c r="C42" s="200">
        <v>7</v>
      </c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7"/>
      <c r="AV42" s="207"/>
      <c r="AW42" s="207"/>
      <c r="AX42" s="207"/>
      <c r="AY42" s="207"/>
      <c r="AZ42" s="207"/>
      <c r="BA42" s="207"/>
      <c r="BB42" s="207"/>
      <c r="BC42" s="207"/>
      <c r="BD42" s="207"/>
      <c r="BE42" s="207"/>
      <c r="BF42" s="207"/>
      <c r="BG42" s="207"/>
      <c r="BH42" s="207"/>
      <c r="BI42" s="207"/>
      <c r="BJ42" s="207"/>
      <c r="BK42" s="207"/>
      <c r="BL42" s="207"/>
      <c r="BM42" s="207"/>
      <c r="BN42" s="207"/>
      <c r="BO42" s="207"/>
      <c r="BP42" s="207"/>
      <c r="BQ42" s="207"/>
      <c r="BR42" s="207"/>
      <c r="BS42" s="207"/>
      <c r="BT42" s="207"/>
      <c r="BU42" s="207"/>
      <c r="BV42" s="207"/>
      <c r="BW42" s="207"/>
    </row>
    <row r="43" spans="1:75" x14ac:dyDescent="0.25">
      <c r="A43" s="200">
        <v>40</v>
      </c>
      <c r="B43" s="201" t="str">
        <f t="shared" si="1"/>
        <v>Vietcombank</v>
      </c>
      <c r="C43" s="200">
        <v>7</v>
      </c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07"/>
      <c r="AU43" s="207"/>
      <c r="AV43" s="207"/>
      <c r="AW43" s="207"/>
      <c r="AX43" s="207"/>
      <c r="AY43" s="207"/>
      <c r="AZ43" s="207"/>
      <c r="BA43" s="207"/>
      <c r="BB43" s="207"/>
      <c r="BC43" s="207"/>
      <c r="BD43" s="207"/>
      <c r="BE43" s="207"/>
      <c r="BF43" s="207"/>
      <c r="BG43" s="207"/>
      <c r="BH43" s="207"/>
      <c r="BI43" s="207"/>
      <c r="BJ43" s="207"/>
      <c r="BK43" s="207"/>
      <c r="BL43" s="207"/>
      <c r="BM43" s="207"/>
      <c r="BN43" s="207"/>
      <c r="BO43" s="207"/>
      <c r="BP43" s="207"/>
      <c r="BQ43" s="207"/>
      <c r="BR43" s="207"/>
      <c r="BS43" s="207"/>
      <c r="BT43" s="207"/>
      <c r="BU43" s="207"/>
      <c r="BV43" s="207"/>
      <c r="BW43" s="207"/>
    </row>
    <row r="44" spans="1:75" x14ac:dyDescent="0.25">
      <c r="A44" s="200">
        <v>41</v>
      </c>
      <c r="B44" s="201" t="str">
        <f t="shared" si="1"/>
        <v>BIDV</v>
      </c>
      <c r="C44" s="200">
        <v>7</v>
      </c>
      <c r="D44" s="207"/>
      <c r="E44" s="207"/>
      <c r="F44" s="207"/>
      <c r="G44" s="207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  <c r="AJ44" s="207"/>
      <c r="AK44" s="207"/>
      <c r="AL44" s="207"/>
      <c r="AM44" s="207"/>
      <c r="AN44" s="207"/>
      <c r="AO44" s="207"/>
      <c r="AP44" s="207"/>
      <c r="AQ44" s="207"/>
      <c r="AR44" s="207"/>
      <c r="AS44" s="207"/>
      <c r="AT44" s="207"/>
      <c r="AU44" s="207"/>
      <c r="AV44" s="207"/>
      <c r="AW44" s="207"/>
      <c r="AX44" s="207"/>
      <c r="AY44" s="207"/>
      <c r="AZ44" s="207"/>
      <c r="BA44" s="207"/>
      <c r="BB44" s="207"/>
      <c r="BC44" s="207"/>
      <c r="BD44" s="207"/>
      <c r="BE44" s="207"/>
      <c r="BF44" s="207"/>
      <c r="BG44" s="207"/>
      <c r="BH44" s="207"/>
      <c r="BI44" s="207"/>
      <c r="BJ44" s="207"/>
      <c r="BK44" s="207"/>
      <c r="BL44" s="207"/>
      <c r="BM44" s="207"/>
      <c r="BN44" s="207"/>
      <c r="BO44" s="207"/>
      <c r="BP44" s="207"/>
      <c r="BQ44" s="207"/>
      <c r="BR44" s="207"/>
      <c r="BS44" s="207"/>
      <c r="BT44" s="207"/>
      <c r="BU44" s="207"/>
      <c r="BV44" s="207"/>
      <c r="BW44" s="207"/>
    </row>
    <row r="45" spans="1:75" x14ac:dyDescent="0.25">
      <c r="A45" s="200">
        <v>42</v>
      </c>
      <c r="B45" s="201" t="str">
        <f t="shared" si="1"/>
        <v>Standard Chartered</v>
      </c>
      <c r="C45" s="200">
        <v>7</v>
      </c>
      <c r="D45" s="207"/>
      <c r="E45" s="207"/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7"/>
      <c r="AL45" s="207"/>
      <c r="AM45" s="207"/>
      <c r="AN45" s="207"/>
      <c r="AO45" s="207"/>
      <c r="AP45" s="207"/>
      <c r="AQ45" s="207"/>
      <c r="AR45" s="207"/>
      <c r="AS45" s="207"/>
      <c r="AT45" s="207"/>
      <c r="AU45" s="207"/>
      <c r="AV45" s="207"/>
      <c r="AW45" s="207"/>
      <c r="AX45" s="207"/>
      <c r="AY45" s="207"/>
      <c r="AZ45" s="207"/>
      <c r="BA45" s="207"/>
      <c r="BB45" s="207"/>
      <c r="BC45" s="207"/>
      <c r="BD45" s="207"/>
      <c r="BE45" s="207"/>
      <c r="BF45" s="207"/>
      <c r="BG45" s="207"/>
      <c r="BH45" s="207"/>
      <c r="BI45" s="207"/>
      <c r="BJ45" s="207"/>
      <c r="BK45" s="207"/>
      <c r="BL45" s="207"/>
      <c r="BM45" s="207"/>
      <c r="BN45" s="207"/>
      <c r="BO45" s="207"/>
      <c r="BP45" s="207"/>
      <c r="BQ45" s="207"/>
      <c r="BR45" s="207"/>
      <c r="BS45" s="207"/>
      <c r="BT45" s="207"/>
      <c r="BU45" s="207"/>
      <c r="BV45" s="207"/>
      <c r="BW45" s="207"/>
    </row>
    <row r="46" spans="1:75" x14ac:dyDescent="0.25">
      <c r="A46" s="200">
        <v>43</v>
      </c>
      <c r="B46" s="201" t="str">
        <f t="shared" si="1"/>
        <v>VILC</v>
      </c>
      <c r="C46" s="200">
        <v>7</v>
      </c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7"/>
      <c r="AT46" s="207"/>
      <c r="AU46" s="207"/>
      <c r="AV46" s="207"/>
      <c r="AW46" s="207"/>
      <c r="AX46" s="207"/>
      <c r="AY46" s="207"/>
      <c r="AZ46" s="207"/>
      <c r="BA46" s="207"/>
      <c r="BB46" s="207"/>
      <c r="BC46" s="207"/>
      <c r="BD46" s="207"/>
      <c r="BE46" s="207"/>
      <c r="BF46" s="207"/>
      <c r="BG46" s="207"/>
      <c r="BH46" s="207"/>
      <c r="BI46" s="207"/>
      <c r="BJ46" s="207"/>
      <c r="BK46" s="207"/>
      <c r="BL46" s="207"/>
      <c r="BM46" s="207"/>
      <c r="BN46" s="207"/>
      <c r="BO46" s="207"/>
      <c r="BP46" s="207"/>
      <c r="BQ46" s="207"/>
      <c r="BR46" s="207"/>
      <c r="BS46" s="207"/>
      <c r="BT46" s="207"/>
      <c r="BU46" s="207"/>
      <c r="BV46" s="207"/>
      <c r="BW46" s="207"/>
    </row>
    <row r="47" spans="1:75" x14ac:dyDescent="0.25">
      <c r="A47" s="200">
        <v>44</v>
      </c>
      <c r="B47" s="201" t="str">
        <f t="shared" si="1"/>
        <v>IVB</v>
      </c>
      <c r="C47" s="200">
        <v>7</v>
      </c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07"/>
      <c r="AN47" s="207"/>
      <c r="AO47" s="207"/>
      <c r="AP47" s="207"/>
      <c r="AQ47" s="207"/>
      <c r="AR47" s="207"/>
      <c r="AS47" s="207"/>
      <c r="AT47" s="207"/>
      <c r="AU47" s="207"/>
      <c r="AV47" s="207"/>
      <c r="AW47" s="207"/>
      <c r="AX47" s="207"/>
      <c r="AY47" s="207"/>
      <c r="AZ47" s="207"/>
      <c r="BA47" s="207"/>
      <c r="BB47" s="207"/>
      <c r="BC47" s="207"/>
      <c r="BD47" s="207"/>
      <c r="BE47" s="207"/>
      <c r="BF47" s="207"/>
      <c r="BG47" s="207"/>
      <c r="BH47" s="207"/>
      <c r="BI47" s="207"/>
      <c r="BJ47" s="207"/>
      <c r="BK47" s="207"/>
      <c r="BL47" s="207"/>
      <c r="BM47" s="207"/>
      <c r="BN47" s="207"/>
      <c r="BO47" s="207"/>
      <c r="BP47" s="207"/>
      <c r="BQ47" s="207"/>
      <c r="BR47" s="207"/>
      <c r="BS47" s="207"/>
      <c r="BT47" s="207"/>
      <c r="BU47" s="207"/>
      <c r="BV47" s="207"/>
      <c r="BW47" s="207"/>
    </row>
    <row r="48" spans="1:75" x14ac:dyDescent="0.25">
      <c r="A48" s="200">
        <v>45</v>
      </c>
      <c r="B48" s="201"/>
      <c r="C48" s="200">
        <v>7</v>
      </c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  <c r="AK48" s="207"/>
      <c r="AL48" s="207"/>
      <c r="AM48" s="207"/>
      <c r="AN48" s="207"/>
      <c r="AO48" s="207"/>
      <c r="AP48" s="207"/>
      <c r="AQ48" s="207"/>
      <c r="AR48" s="207"/>
      <c r="AS48" s="207"/>
      <c r="AT48" s="207"/>
      <c r="AU48" s="207"/>
      <c r="AV48" s="207"/>
      <c r="AW48" s="207"/>
      <c r="AX48" s="207"/>
      <c r="AY48" s="207"/>
      <c r="AZ48" s="207"/>
      <c r="BA48" s="207"/>
      <c r="BB48" s="207"/>
      <c r="BC48" s="207"/>
      <c r="BD48" s="207"/>
      <c r="BE48" s="207"/>
      <c r="BF48" s="207"/>
      <c r="BG48" s="207"/>
      <c r="BH48" s="207"/>
      <c r="BI48" s="207"/>
      <c r="BJ48" s="207"/>
      <c r="BK48" s="207"/>
      <c r="BL48" s="207"/>
      <c r="BM48" s="207"/>
      <c r="BN48" s="207"/>
      <c r="BO48" s="207"/>
      <c r="BP48" s="207"/>
      <c r="BQ48" s="207"/>
      <c r="BR48" s="207"/>
      <c r="BS48" s="207"/>
      <c r="BT48" s="207"/>
      <c r="BU48" s="207"/>
      <c r="BV48" s="207"/>
      <c r="BW48" s="207"/>
    </row>
    <row r="49" spans="1:75" ht="15.75" thickBot="1" x14ac:dyDescent="0.3">
      <c r="A49" s="204">
        <v>46</v>
      </c>
      <c r="B49" s="205" t="s">
        <v>476</v>
      </c>
      <c r="C49" s="204">
        <v>7</v>
      </c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  <c r="AT49" s="208"/>
      <c r="AU49" s="208"/>
      <c r="AV49" s="208"/>
      <c r="AW49" s="208"/>
      <c r="AX49" s="208"/>
      <c r="AY49" s="208"/>
      <c r="AZ49" s="208"/>
      <c r="BA49" s="208"/>
      <c r="BB49" s="208"/>
      <c r="BC49" s="208"/>
      <c r="BD49" s="208"/>
      <c r="BE49" s="208"/>
      <c r="BF49" s="208"/>
      <c r="BG49" s="208"/>
      <c r="BH49" s="208"/>
      <c r="BI49" s="208"/>
      <c r="BJ49" s="208"/>
      <c r="BK49" s="208"/>
      <c r="BL49" s="208"/>
      <c r="BM49" s="208"/>
      <c r="BN49" s="208"/>
      <c r="BO49" s="208"/>
      <c r="BP49" s="208"/>
      <c r="BQ49" s="208"/>
      <c r="BR49" s="208"/>
      <c r="BS49" s="208"/>
      <c r="BT49" s="208"/>
      <c r="BU49" s="208"/>
      <c r="BV49" s="208"/>
      <c r="BW49" s="208"/>
    </row>
    <row r="50" spans="1:75" ht="15.75" thickTop="1" x14ac:dyDescent="0.25">
      <c r="A50" s="200">
        <v>47</v>
      </c>
      <c r="B50" s="201" t="str">
        <f t="shared" ref="B50:B55" si="2">B32</f>
        <v>ACB</v>
      </c>
      <c r="C50" s="200">
        <v>7</v>
      </c>
      <c r="D50" s="207"/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  <c r="AL50" s="207"/>
      <c r="AM50" s="207"/>
      <c r="AN50" s="207"/>
      <c r="AO50" s="207"/>
      <c r="AP50" s="207"/>
      <c r="AQ50" s="207"/>
      <c r="AR50" s="207"/>
      <c r="AS50" s="207"/>
      <c r="AT50" s="207"/>
      <c r="AU50" s="207"/>
      <c r="AV50" s="207"/>
      <c r="AW50" s="207"/>
      <c r="AX50" s="207"/>
      <c r="AY50" s="207"/>
      <c r="AZ50" s="207"/>
      <c r="BA50" s="207"/>
      <c r="BB50" s="207"/>
      <c r="BC50" s="207"/>
      <c r="BD50" s="207"/>
      <c r="BE50" s="207"/>
      <c r="BF50" s="207"/>
      <c r="BG50" s="207"/>
      <c r="BH50" s="207"/>
      <c r="BI50" s="207"/>
      <c r="BJ50" s="207"/>
      <c r="BK50" s="207"/>
      <c r="BL50" s="207"/>
      <c r="BM50" s="207"/>
      <c r="BN50" s="207"/>
      <c r="BO50" s="207"/>
      <c r="BP50" s="207"/>
      <c r="BQ50" s="207"/>
      <c r="BR50" s="207"/>
      <c r="BS50" s="207"/>
      <c r="BT50" s="207"/>
      <c r="BU50" s="207"/>
      <c r="BV50" s="207"/>
      <c r="BW50" s="207"/>
    </row>
    <row r="51" spans="1:75" x14ac:dyDescent="0.25">
      <c r="A51" s="200">
        <v>48</v>
      </c>
      <c r="B51" s="201" t="str">
        <f t="shared" si="2"/>
        <v>VietinBank</v>
      </c>
      <c r="C51" s="200">
        <v>7</v>
      </c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207"/>
      <c r="AK51" s="207"/>
      <c r="AL51" s="207"/>
      <c r="AM51" s="207"/>
      <c r="AN51" s="207"/>
      <c r="AO51" s="207"/>
      <c r="AP51" s="207"/>
      <c r="AQ51" s="207"/>
      <c r="AR51" s="207"/>
      <c r="AS51" s="207"/>
      <c r="AT51" s="207"/>
      <c r="AU51" s="207"/>
      <c r="AV51" s="207"/>
      <c r="AW51" s="207"/>
      <c r="AX51" s="207"/>
      <c r="AY51" s="207"/>
      <c r="AZ51" s="207"/>
      <c r="BA51" s="207"/>
      <c r="BB51" s="207"/>
      <c r="BC51" s="207"/>
      <c r="BD51" s="207"/>
      <c r="BE51" s="207"/>
      <c r="BF51" s="207"/>
      <c r="BG51" s="207"/>
      <c r="BH51" s="207"/>
      <c r="BI51" s="207"/>
      <c r="BJ51" s="207"/>
      <c r="BK51" s="207"/>
      <c r="BL51" s="207"/>
      <c r="BM51" s="207"/>
      <c r="BN51" s="207"/>
      <c r="BO51" s="207"/>
      <c r="BP51" s="207"/>
      <c r="BQ51" s="207"/>
      <c r="BR51" s="207"/>
      <c r="BS51" s="207"/>
      <c r="BT51" s="207"/>
      <c r="BU51" s="207"/>
      <c r="BV51" s="207"/>
      <c r="BW51" s="207"/>
    </row>
    <row r="52" spans="1:75" x14ac:dyDescent="0.25">
      <c r="A52" s="200">
        <v>49</v>
      </c>
      <c r="B52" s="201" t="str">
        <f t="shared" si="2"/>
        <v>Vietcombank</v>
      </c>
      <c r="C52" s="200">
        <v>7</v>
      </c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207"/>
      <c r="AK52" s="207"/>
      <c r="AL52" s="207"/>
      <c r="AM52" s="207"/>
      <c r="AN52" s="207"/>
      <c r="AO52" s="207"/>
      <c r="AP52" s="207"/>
      <c r="AQ52" s="207"/>
      <c r="AR52" s="207"/>
      <c r="AS52" s="207"/>
      <c r="AT52" s="207"/>
      <c r="AU52" s="207"/>
      <c r="AV52" s="207"/>
      <c r="AW52" s="207"/>
      <c r="AX52" s="207"/>
      <c r="AY52" s="207"/>
      <c r="AZ52" s="207"/>
      <c r="BA52" s="207"/>
      <c r="BB52" s="207"/>
      <c r="BC52" s="207"/>
      <c r="BD52" s="207"/>
      <c r="BE52" s="207"/>
      <c r="BF52" s="207"/>
      <c r="BG52" s="207"/>
      <c r="BH52" s="207"/>
      <c r="BI52" s="207"/>
      <c r="BJ52" s="207"/>
      <c r="BK52" s="207"/>
      <c r="BL52" s="207"/>
      <c r="BM52" s="207"/>
      <c r="BN52" s="207"/>
      <c r="BO52" s="207"/>
      <c r="BP52" s="207"/>
      <c r="BQ52" s="207"/>
      <c r="BR52" s="207"/>
      <c r="BS52" s="207"/>
      <c r="BT52" s="207"/>
      <c r="BU52" s="207"/>
      <c r="BV52" s="207"/>
      <c r="BW52" s="207"/>
    </row>
    <row r="53" spans="1:75" x14ac:dyDescent="0.25">
      <c r="A53" s="200">
        <v>50</v>
      </c>
      <c r="B53" s="201" t="str">
        <f t="shared" si="2"/>
        <v>BIDV</v>
      </c>
      <c r="C53" s="200">
        <v>7</v>
      </c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07"/>
      <c r="AK53" s="207"/>
      <c r="AL53" s="207"/>
      <c r="AM53" s="207"/>
      <c r="AN53" s="207"/>
      <c r="AO53" s="207"/>
      <c r="AP53" s="207"/>
      <c r="AQ53" s="207"/>
      <c r="AR53" s="207"/>
      <c r="AS53" s="207"/>
      <c r="AT53" s="207"/>
      <c r="AU53" s="207"/>
      <c r="AV53" s="207"/>
      <c r="AW53" s="207"/>
      <c r="AX53" s="207"/>
      <c r="AY53" s="207"/>
      <c r="AZ53" s="207"/>
      <c r="BA53" s="207"/>
      <c r="BB53" s="207"/>
      <c r="BC53" s="207"/>
      <c r="BD53" s="207"/>
      <c r="BE53" s="207"/>
      <c r="BF53" s="207"/>
      <c r="BG53" s="207"/>
      <c r="BH53" s="207"/>
      <c r="BI53" s="207"/>
      <c r="BJ53" s="207"/>
      <c r="BK53" s="207"/>
      <c r="BL53" s="207"/>
      <c r="BM53" s="207"/>
      <c r="BN53" s="207"/>
      <c r="BO53" s="207"/>
      <c r="BP53" s="207"/>
      <c r="BQ53" s="207"/>
      <c r="BR53" s="207"/>
      <c r="BS53" s="207"/>
      <c r="BT53" s="207"/>
      <c r="BU53" s="207"/>
      <c r="BV53" s="207"/>
      <c r="BW53" s="207"/>
    </row>
    <row r="54" spans="1:75" x14ac:dyDescent="0.25">
      <c r="A54" s="200">
        <v>51</v>
      </c>
      <c r="B54" s="201" t="str">
        <f t="shared" si="2"/>
        <v>Standard Chartered</v>
      </c>
      <c r="C54" s="200">
        <v>7</v>
      </c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207"/>
      <c r="AK54" s="207"/>
      <c r="AL54" s="207"/>
      <c r="AM54" s="207"/>
      <c r="AN54" s="207"/>
      <c r="AO54" s="207"/>
      <c r="AP54" s="207"/>
      <c r="AQ54" s="207"/>
      <c r="AR54" s="207"/>
      <c r="AS54" s="207"/>
      <c r="AT54" s="207"/>
      <c r="AU54" s="207"/>
      <c r="AV54" s="207"/>
      <c r="AW54" s="207"/>
      <c r="AX54" s="207"/>
      <c r="AY54" s="207"/>
      <c r="AZ54" s="207"/>
      <c r="BA54" s="207"/>
      <c r="BB54" s="207"/>
      <c r="BC54" s="207"/>
      <c r="BD54" s="207"/>
      <c r="BE54" s="207"/>
      <c r="BF54" s="207"/>
      <c r="BG54" s="207"/>
      <c r="BH54" s="207"/>
      <c r="BI54" s="207"/>
      <c r="BJ54" s="207"/>
      <c r="BK54" s="207"/>
      <c r="BL54" s="207"/>
      <c r="BM54" s="207"/>
      <c r="BN54" s="207"/>
      <c r="BO54" s="207"/>
      <c r="BP54" s="207"/>
      <c r="BQ54" s="207"/>
      <c r="BR54" s="207"/>
      <c r="BS54" s="207"/>
      <c r="BT54" s="207"/>
      <c r="BU54" s="207"/>
      <c r="BV54" s="207"/>
      <c r="BW54" s="207"/>
    </row>
    <row r="55" spans="1:75" x14ac:dyDescent="0.25">
      <c r="A55" s="200">
        <v>52</v>
      </c>
      <c r="B55" s="201" t="str">
        <f t="shared" si="2"/>
        <v>VILC</v>
      </c>
      <c r="C55" s="200">
        <v>7</v>
      </c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07"/>
      <c r="AU55" s="207"/>
      <c r="AV55" s="207"/>
      <c r="AW55" s="207"/>
      <c r="AX55" s="207"/>
      <c r="AY55" s="207"/>
      <c r="AZ55" s="207"/>
      <c r="BA55" s="207"/>
      <c r="BB55" s="207"/>
      <c r="BC55" s="207"/>
      <c r="BD55" s="207"/>
      <c r="BE55" s="207"/>
      <c r="BF55" s="207"/>
      <c r="BG55" s="207"/>
      <c r="BH55" s="207"/>
      <c r="BI55" s="207"/>
      <c r="BJ55" s="207"/>
      <c r="BK55" s="207"/>
      <c r="BL55" s="207"/>
      <c r="BM55" s="207"/>
      <c r="BN55" s="207"/>
      <c r="BO55" s="207"/>
      <c r="BP55" s="207"/>
      <c r="BQ55" s="207"/>
      <c r="BR55" s="207"/>
      <c r="BS55" s="207"/>
      <c r="BT55" s="207"/>
      <c r="BU55" s="207"/>
      <c r="BV55" s="207"/>
      <c r="BW55" s="207"/>
    </row>
    <row r="56" spans="1:75" x14ac:dyDescent="0.25">
      <c r="A56" s="200">
        <v>53</v>
      </c>
      <c r="B56" s="201" t="s">
        <v>471</v>
      </c>
      <c r="C56" s="200">
        <v>7</v>
      </c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  <c r="AK56" s="207"/>
      <c r="AL56" s="207"/>
      <c r="AM56" s="207"/>
      <c r="AN56" s="207"/>
      <c r="AO56" s="207"/>
      <c r="AP56" s="207"/>
      <c r="AQ56" s="207"/>
      <c r="AR56" s="207"/>
      <c r="AS56" s="207"/>
      <c r="AT56" s="207"/>
      <c r="AU56" s="207"/>
      <c r="AV56" s="207"/>
      <c r="AW56" s="207"/>
      <c r="AX56" s="207"/>
      <c r="AY56" s="207"/>
      <c r="AZ56" s="207"/>
      <c r="BA56" s="207"/>
      <c r="BB56" s="207"/>
      <c r="BC56" s="207"/>
      <c r="BD56" s="207"/>
      <c r="BE56" s="207"/>
      <c r="BF56" s="207"/>
      <c r="BG56" s="207"/>
      <c r="BH56" s="207"/>
      <c r="BI56" s="207"/>
      <c r="BJ56" s="207"/>
      <c r="BK56" s="207"/>
      <c r="BL56" s="207"/>
      <c r="BM56" s="207"/>
      <c r="BN56" s="207"/>
      <c r="BO56" s="207"/>
      <c r="BP56" s="207"/>
      <c r="BQ56" s="207"/>
      <c r="BR56" s="207"/>
      <c r="BS56" s="207"/>
      <c r="BT56" s="207"/>
      <c r="BU56" s="207"/>
      <c r="BV56" s="207"/>
      <c r="BW56" s="207"/>
    </row>
    <row r="57" spans="1:75" x14ac:dyDescent="0.25">
      <c r="A57" s="200">
        <v>54</v>
      </c>
      <c r="B57" s="94"/>
      <c r="C57" s="200">
        <v>7</v>
      </c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209"/>
      <c r="AE57" s="209"/>
      <c r="AF57" s="209"/>
      <c r="AG57" s="209"/>
      <c r="AH57" s="209"/>
      <c r="AI57" s="209"/>
      <c r="AJ57" s="209"/>
      <c r="AK57" s="209"/>
      <c r="AL57" s="209"/>
      <c r="AM57" s="209"/>
      <c r="AN57" s="209"/>
      <c r="AO57" s="209"/>
      <c r="AP57" s="209"/>
      <c r="AQ57" s="209"/>
      <c r="AR57" s="209"/>
      <c r="AS57" s="209"/>
      <c r="AT57" s="209"/>
      <c r="AU57" s="209"/>
      <c r="AV57" s="209"/>
      <c r="AW57" s="209"/>
      <c r="AX57" s="209"/>
      <c r="AY57" s="209"/>
      <c r="AZ57" s="209"/>
      <c r="BA57" s="209"/>
      <c r="BB57" s="209"/>
      <c r="BC57" s="209"/>
      <c r="BD57" s="209"/>
      <c r="BE57" s="209"/>
      <c r="BF57" s="209"/>
      <c r="BG57" s="209"/>
      <c r="BH57" s="209"/>
      <c r="BI57" s="209"/>
      <c r="BJ57" s="209"/>
      <c r="BK57" s="209"/>
      <c r="BL57" s="209"/>
      <c r="BM57" s="209"/>
      <c r="BN57" s="209"/>
      <c r="BO57" s="209"/>
      <c r="BP57" s="209"/>
      <c r="BQ57" s="209"/>
      <c r="BR57" s="209"/>
      <c r="BS57" s="209"/>
      <c r="BT57" s="209"/>
      <c r="BU57" s="209"/>
      <c r="BV57" s="209"/>
      <c r="BW57" s="209"/>
    </row>
    <row r="58" spans="1:75" x14ac:dyDescent="0.25">
      <c r="A58" s="204">
        <v>55</v>
      </c>
      <c r="B58" s="205" t="s">
        <v>477</v>
      </c>
      <c r="C58" s="200">
        <v>7</v>
      </c>
      <c r="D58" s="518"/>
      <c r="E58" s="518"/>
      <c r="F58" s="518"/>
      <c r="G58" s="518"/>
      <c r="H58" s="518"/>
      <c r="I58" s="518"/>
      <c r="J58" s="518"/>
      <c r="K58" s="518"/>
      <c r="L58" s="518"/>
      <c r="M58" s="518"/>
      <c r="N58" s="518"/>
      <c r="O58" s="518"/>
      <c r="P58" s="518"/>
      <c r="Q58" s="518"/>
      <c r="R58" s="518"/>
      <c r="S58" s="518"/>
      <c r="T58" s="518"/>
      <c r="U58" s="518"/>
      <c r="V58" s="518"/>
      <c r="W58" s="518"/>
      <c r="X58" s="518"/>
      <c r="Y58" s="518"/>
      <c r="Z58" s="518"/>
      <c r="AA58" s="518"/>
      <c r="AB58" s="518"/>
      <c r="AC58" s="518"/>
      <c r="AD58" s="518"/>
      <c r="AE58" s="518"/>
      <c r="AF58" s="518"/>
      <c r="AG58" s="518"/>
      <c r="AH58" s="518"/>
      <c r="AI58" s="518"/>
      <c r="AJ58" s="518"/>
      <c r="AK58" s="518"/>
      <c r="AL58" s="518"/>
      <c r="AM58" s="518"/>
      <c r="AN58" s="518"/>
      <c r="AO58" s="518"/>
      <c r="AP58" s="518"/>
      <c r="AQ58" s="518"/>
      <c r="AR58" s="518"/>
      <c r="AS58" s="518"/>
      <c r="AT58" s="518"/>
      <c r="AU58" s="518"/>
      <c r="AV58" s="518"/>
      <c r="AW58" s="518"/>
      <c r="AX58" s="518"/>
      <c r="AY58" s="518"/>
      <c r="AZ58" s="518"/>
      <c r="BA58" s="518"/>
      <c r="BB58" s="518"/>
      <c r="BC58" s="518"/>
      <c r="BD58" s="518"/>
      <c r="BE58" s="518"/>
      <c r="BF58" s="518"/>
      <c r="BG58" s="518"/>
      <c r="BH58" s="518"/>
      <c r="BI58" s="518"/>
      <c r="BJ58" s="518"/>
      <c r="BK58" s="518"/>
      <c r="BL58" s="518">
        <f>BL59</f>
        <v>2705373912</v>
      </c>
      <c r="BM58" s="518">
        <f>BM59</f>
        <v>3164490271</v>
      </c>
      <c r="BN58" s="518">
        <f>BN59</f>
        <v>695502820</v>
      </c>
      <c r="BO58" s="518">
        <v>2765488462</v>
      </c>
      <c r="BP58" s="518">
        <v>1261226633</v>
      </c>
      <c r="BQ58" s="518">
        <v>2516543863</v>
      </c>
      <c r="BR58" s="518"/>
      <c r="BS58" s="518"/>
      <c r="BT58" s="518"/>
      <c r="BU58" s="518"/>
      <c r="BV58" s="518"/>
      <c r="BW58" s="518"/>
    </row>
    <row r="59" spans="1:75" x14ac:dyDescent="0.25">
      <c r="A59" s="200">
        <v>56</v>
      </c>
      <c r="B59" s="201" t="str">
        <f t="shared" ref="B59:B64" si="3">B50</f>
        <v>ACB</v>
      </c>
      <c r="C59" s="200">
        <v>7</v>
      </c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7"/>
      <c r="AU59" s="207"/>
      <c r="AV59" s="207"/>
      <c r="AW59" s="207"/>
      <c r="AX59" s="207"/>
      <c r="AY59" s="207"/>
      <c r="AZ59" s="207"/>
      <c r="BA59" s="207"/>
      <c r="BB59" s="207"/>
      <c r="BC59" s="207"/>
      <c r="BD59" s="207"/>
      <c r="BE59" s="207"/>
      <c r="BF59" s="207"/>
      <c r="BG59" s="207"/>
      <c r="BH59" s="207"/>
      <c r="BI59" s="207"/>
      <c r="BJ59" s="207"/>
      <c r="BK59" s="207"/>
      <c r="BL59" s="207">
        <v>2705373912</v>
      </c>
      <c r="BM59" s="207">
        <v>3164490271</v>
      </c>
      <c r="BN59" s="207">
        <v>695502820</v>
      </c>
      <c r="BO59" s="207">
        <v>2765488462</v>
      </c>
      <c r="BP59" s="207">
        <v>1261226633</v>
      </c>
      <c r="BQ59" s="207">
        <v>2516543863</v>
      </c>
      <c r="BR59" s="207"/>
      <c r="BS59" s="207"/>
      <c r="BT59" s="207"/>
      <c r="BU59" s="207"/>
      <c r="BV59" s="207"/>
      <c r="BW59" s="207"/>
    </row>
    <row r="60" spans="1:75" x14ac:dyDescent="0.25">
      <c r="A60" s="200">
        <v>57</v>
      </c>
      <c r="B60" s="201" t="str">
        <f t="shared" si="3"/>
        <v>VietinBank</v>
      </c>
      <c r="C60" s="200">
        <v>7</v>
      </c>
      <c r="D60" s="207"/>
      <c r="E60" s="207"/>
      <c r="F60" s="207"/>
      <c r="G60" s="207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207"/>
      <c r="AO60" s="207"/>
      <c r="AP60" s="207"/>
      <c r="AQ60" s="207"/>
      <c r="AR60" s="207"/>
      <c r="AS60" s="207"/>
      <c r="AT60" s="207"/>
      <c r="AU60" s="207"/>
      <c r="AV60" s="207"/>
      <c r="AW60" s="207"/>
      <c r="AX60" s="207"/>
      <c r="AY60" s="207"/>
      <c r="AZ60" s="207"/>
      <c r="BA60" s="207"/>
      <c r="BB60" s="207"/>
      <c r="BC60" s="207"/>
      <c r="BD60" s="207"/>
      <c r="BE60" s="207"/>
      <c r="BF60" s="207"/>
      <c r="BG60" s="207"/>
      <c r="BH60" s="207"/>
      <c r="BI60" s="207"/>
      <c r="BJ60" s="207"/>
      <c r="BK60" s="207"/>
      <c r="BL60" s="207"/>
      <c r="BM60" s="207"/>
      <c r="BN60" s="207"/>
      <c r="BO60" s="207"/>
      <c r="BP60" s="207"/>
      <c r="BQ60" s="207"/>
      <c r="BR60" s="207"/>
      <c r="BS60" s="207"/>
      <c r="BT60" s="207"/>
      <c r="BU60" s="207"/>
      <c r="BV60" s="207"/>
      <c r="BW60" s="207"/>
    </row>
    <row r="61" spans="1:75" x14ac:dyDescent="0.25">
      <c r="A61" s="200">
        <v>58</v>
      </c>
      <c r="B61" s="201" t="str">
        <f t="shared" si="3"/>
        <v>Vietcombank</v>
      </c>
      <c r="C61" s="200">
        <v>7</v>
      </c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  <c r="AL61" s="207"/>
      <c r="AM61" s="207"/>
      <c r="AN61" s="207"/>
      <c r="AO61" s="207"/>
      <c r="AP61" s="207"/>
      <c r="AQ61" s="207"/>
      <c r="AR61" s="207"/>
      <c r="AS61" s="207"/>
      <c r="AT61" s="207"/>
      <c r="AU61" s="207"/>
      <c r="AV61" s="207"/>
      <c r="AW61" s="207"/>
      <c r="AX61" s="207"/>
      <c r="AY61" s="207"/>
      <c r="AZ61" s="207"/>
      <c r="BA61" s="207"/>
      <c r="BB61" s="207"/>
      <c r="BC61" s="207"/>
      <c r="BD61" s="207"/>
      <c r="BE61" s="207"/>
      <c r="BF61" s="207"/>
      <c r="BG61" s="207"/>
      <c r="BH61" s="207"/>
      <c r="BI61" s="207"/>
      <c r="BJ61" s="207"/>
      <c r="BK61" s="207"/>
      <c r="BL61" s="207"/>
      <c r="BM61" s="207"/>
      <c r="BN61" s="207"/>
      <c r="BO61" s="207"/>
      <c r="BP61" s="207"/>
      <c r="BQ61" s="207"/>
      <c r="BR61" s="207"/>
      <c r="BS61" s="207"/>
      <c r="BT61" s="207"/>
      <c r="BU61" s="207"/>
      <c r="BV61" s="207"/>
      <c r="BW61" s="207"/>
    </row>
    <row r="62" spans="1:75" x14ac:dyDescent="0.25">
      <c r="A62" s="200">
        <v>59</v>
      </c>
      <c r="B62" s="201" t="str">
        <f t="shared" si="3"/>
        <v>BIDV</v>
      </c>
      <c r="C62" s="200">
        <v>7</v>
      </c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7"/>
      <c r="AO62" s="207"/>
      <c r="AP62" s="207"/>
      <c r="AQ62" s="207"/>
      <c r="AR62" s="207"/>
      <c r="AS62" s="207"/>
      <c r="AT62" s="207"/>
      <c r="AU62" s="207"/>
      <c r="AV62" s="207"/>
      <c r="AW62" s="207"/>
      <c r="AX62" s="207"/>
      <c r="AY62" s="207"/>
      <c r="AZ62" s="207"/>
      <c r="BA62" s="207"/>
      <c r="BB62" s="207"/>
      <c r="BC62" s="207"/>
      <c r="BD62" s="207"/>
      <c r="BE62" s="207"/>
      <c r="BF62" s="207"/>
      <c r="BG62" s="207"/>
      <c r="BH62" s="207"/>
      <c r="BI62" s="207"/>
      <c r="BJ62" s="207"/>
      <c r="BK62" s="207"/>
      <c r="BL62" s="207"/>
      <c r="BM62" s="207"/>
      <c r="BN62" s="207"/>
      <c r="BO62" s="207"/>
      <c r="BP62" s="207"/>
      <c r="BQ62" s="207"/>
      <c r="BR62" s="207"/>
      <c r="BS62" s="207"/>
      <c r="BT62" s="207"/>
      <c r="BU62" s="207"/>
      <c r="BV62" s="207"/>
      <c r="BW62" s="207"/>
    </row>
    <row r="63" spans="1:75" x14ac:dyDescent="0.25">
      <c r="A63" s="200">
        <v>60</v>
      </c>
      <c r="B63" s="201" t="str">
        <f t="shared" si="3"/>
        <v>Standard Chartered</v>
      </c>
      <c r="C63" s="200">
        <v>7</v>
      </c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  <c r="AT63" s="207"/>
      <c r="AU63" s="207"/>
      <c r="AV63" s="207"/>
      <c r="AW63" s="207"/>
      <c r="AX63" s="207"/>
      <c r="AY63" s="207"/>
      <c r="AZ63" s="207"/>
      <c r="BA63" s="207"/>
      <c r="BB63" s="207"/>
      <c r="BC63" s="207"/>
      <c r="BD63" s="207"/>
      <c r="BE63" s="207"/>
      <c r="BF63" s="207"/>
      <c r="BG63" s="207"/>
      <c r="BH63" s="207"/>
      <c r="BI63" s="207"/>
      <c r="BJ63" s="207"/>
      <c r="BK63" s="207"/>
      <c r="BL63" s="207"/>
      <c r="BM63" s="207"/>
      <c r="BN63" s="207"/>
      <c r="BO63" s="207"/>
      <c r="BP63" s="207"/>
      <c r="BQ63" s="207"/>
      <c r="BR63" s="207"/>
      <c r="BS63" s="207"/>
      <c r="BT63" s="207"/>
      <c r="BU63" s="207"/>
      <c r="BV63" s="207"/>
      <c r="BW63" s="207"/>
    </row>
    <row r="64" spans="1:75" x14ac:dyDescent="0.25">
      <c r="A64" s="200">
        <v>61</v>
      </c>
      <c r="B64" s="201" t="str">
        <f t="shared" si="3"/>
        <v>VILC</v>
      </c>
      <c r="C64" s="200">
        <v>7</v>
      </c>
      <c r="D64" s="207"/>
      <c r="E64" s="207"/>
      <c r="F64" s="207"/>
      <c r="G64" s="207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  <c r="AL64" s="207"/>
      <c r="AM64" s="207"/>
      <c r="AN64" s="207"/>
      <c r="AO64" s="207"/>
      <c r="AP64" s="207"/>
      <c r="AQ64" s="207"/>
      <c r="AR64" s="207"/>
      <c r="AS64" s="207"/>
      <c r="AT64" s="207"/>
      <c r="AU64" s="207"/>
      <c r="AV64" s="207"/>
      <c r="AW64" s="207"/>
      <c r="AX64" s="207"/>
      <c r="AY64" s="207"/>
      <c r="AZ64" s="207"/>
      <c r="BA64" s="207"/>
      <c r="BB64" s="207"/>
      <c r="BC64" s="207"/>
      <c r="BD64" s="207"/>
      <c r="BE64" s="207"/>
      <c r="BF64" s="207"/>
      <c r="BG64" s="207"/>
      <c r="BH64" s="207"/>
      <c r="BI64" s="207"/>
      <c r="BJ64" s="207"/>
      <c r="BK64" s="207"/>
      <c r="BL64" s="207"/>
      <c r="BM64" s="207"/>
      <c r="BN64" s="207"/>
      <c r="BO64" s="207"/>
      <c r="BP64" s="207"/>
      <c r="BQ64" s="207"/>
      <c r="BR64" s="207"/>
      <c r="BS64" s="207"/>
      <c r="BT64" s="207"/>
      <c r="BU64" s="207"/>
      <c r="BV64" s="207"/>
      <c r="BW64" s="207"/>
    </row>
    <row r="65" spans="1:75" x14ac:dyDescent="0.25">
      <c r="A65" s="200">
        <v>62</v>
      </c>
      <c r="B65" s="201" t="s">
        <v>471</v>
      </c>
      <c r="C65" s="200">
        <v>7</v>
      </c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07"/>
      <c r="AK65" s="207"/>
      <c r="AL65" s="207"/>
      <c r="AM65" s="207"/>
      <c r="AN65" s="207"/>
      <c r="AO65" s="207"/>
      <c r="AP65" s="207"/>
      <c r="AQ65" s="207"/>
      <c r="AR65" s="207"/>
      <c r="AS65" s="207"/>
      <c r="AT65" s="207"/>
      <c r="AU65" s="207"/>
      <c r="AV65" s="207"/>
      <c r="AW65" s="207"/>
      <c r="AX65" s="207"/>
      <c r="AY65" s="207"/>
      <c r="AZ65" s="207"/>
      <c r="BA65" s="207"/>
      <c r="BB65" s="207"/>
      <c r="BC65" s="207"/>
      <c r="BD65" s="207"/>
      <c r="BE65" s="207"/>
      <c r="BF65" s="207"/>
      <c r="BG65" s="207"/>
      <c r="BH65" s="207"/>
      <c r="BI65" s="207"/>
      <c r="BJ65" s="207"/>
      <c r="BK65" s="207"/>
      <c r="BL65" s="207"/>
      <c r="BM65" s="207"/>
      <c r="BN65" s="207"/>
      <c r="BO65" s="207"/>
      <c r="BP65" s="207"/>
      <c r="BQ65" s="207"/>
      <c r="BR65" s="207"/>
      <c r="BS65" s="207"/>
      <c r="BT65" s="207"/>
      <c r="BU65" s="207"/>
      <c r="BV65" s="207"/>
      <c r="BW65" s="207"/>
    </row>
    <row r="66" spans="1:75" x14ac:dyDescent="0.25">
      <c r="A66" s="200">
        <v>63</v>
      </c>
      <c r="B66" s="201"/>
      <c r="C66" s="200">
        <v>7</v>
      </c>
      <c r="D66" s="207"/>
      <c r="E66" s="207"/>
      <c r="F66" s="207"/>
      <c r="G66" s="207"/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07"/>
      <c r="AK66" s="207"/>
      <c r="AL66" s="207"/>
      <c r="AM66" s="207"/>
      <c r="AN66" s="207"/>
      <c r="AO66" s="207"/>
      <c r="AP66" s="207"/>
      <c r="AQ66" s="207"/>
      <c r="AR66" s="207"/>
      <c r="AS66" s="207"/>
      <c r="AT66" s="207"/>
      <c r="AU66" s="207"/>
      <c r="AV66" s="207"/>
      <c r="AW66" s="207"/>
      <c r="AX66" s="207"/>
      <c r="AY66" s="207"/>
      <c r="AZ66" s="207"/>
      <c r="BA66" s="207"/>
      <c r="BB66" s="207"/>
      <c r="BC66" s="207"/>
      <c r="BD66" s="207"/>
      <c r="BE66" s="207"/>
      <c r="BF66" s="207"/>
      <c r="BG66" s="207"/>
      <c r="BH66" s="207"/>
      <c r="BI66" s="207"/>
      <c r="BJ66" s="207"/>
      <c r="BK66" s="207"/>
      <c r="BL66" s="207"/>
      <c r="BM66" s="207"/>
      <c r="BN66" s="207"/>
      <c r="BO66" s="207"/>
      <c r="BP66" s="207"/>
      <c r="BQ66" s="207"/>
      <c r="BR66" s="207"/>
      <c r="BS66" s="207"/>
      <c r="BT66" s="207"/>
      <c r="BU66" s="207"/>
      <c r="BV66" s="207"/>
      <c r="BW66" s="207"/>
    </row>
    <row r="67" spans="1:75" x14ac:dyDescent="0.25">
      <c r="A67" s="204">
        <v>64</v>
      </c>
      <c r="B67" s="205" t="s">
        <v>478</v>
      </c>
      <c r="C67" s="200">
        <v>7</v>
      </c>
      <c r="D67" s="518"/>
      <c r="E67" s="518"/>
      <c r="F67" s="518"/>
      <c r="G67" s="518"/>
      <c r="H67" s="518"/>
      <c r="I67" s="518"/>
      <c r="J67" s="518"/>
      <c r="K67" s="518"/>
      <c r="L67" s="518"/>
      <c r="M67" s="518"/>
      <c r="N67" s="518"/>
      <c r="O67" s="518"/>
      <c r="P67" s="518"/>
      <c r="Q67" s="518"/>
      <c r="R67" s="518"/>
      <c r="S67" s="518"/>
      <c r="T67" s="518"/>
      <c r="U67" s="518"/>
      <c r="V67" s="518"/>
      <c r="W67" s="518"/>
      <c r="X67" s="518"/>
      <c r="Y67" s="518"/>
      <c r="Z67" s="518"/>
      <c r="AA67" s="518"/>
      <c r="AB67" s="518"/>
      <c r="AC67" s="518"/>
      <c r="AD67" s="518"/>
      <c r="AE67" s="518"/>
      <c r="AF67" s="518"/>
      <c r="AG67" s="518"/>
      <c r="AH67" s="518"/>
      <c r="AI67" s="518"/>
      <c r="AJ67" s="518"/>
      <c r="AK67" s="518"/>
      <c r="AL67" s="518"/>
      <c r="AM67" s="518"/>
      <c r="AN67" s="518"/>
      <c r="AO67" s="518"/>
      <c r="AP67" s="518"/>
      <c r="AQ67" s="518"/>
      <c r="AR67" s="518"/>
      <c r="AS67" s="518"/>
      <c r="AT67" s="518"/>
      <c r="AU67" s="518"/>
      <c r="AV67" s="518"/>
      <c r="AW67" s="518"/>
      <c r="AX67" s="518"/>
      <c r="AY67" s="518"/>
      <c r="AZ67" s="518">
        <f>SUM(AZ68:AZ74)</f>
        <v>2000000000</v>
      </c>
      <c r="BA67" s="518">
        <f t="shared" ref="BA67:BW67" si="4">SUM(BA68:BA74)</f>
        <v>0</v>
      </c>
      <c r="BB67" s="518">
        <f t="shared" si="4"/>
        <v>0</v>
      </c>
      <c r="BC67" s="518">
        <f t="shared" si="4"/>
        <v>0</v>
      </c>
      <c r="BD67" s="518">
        <f t="shared" si="4"/>
        <v>0</v>
      </c>
      <c r="BE67" s="518">
        <f t="shared" si="4"/>
        <v>0</v>
      </c>
      <c r="BF67" s="518">
        <f t="shared" si="4"/>
        <v>0</v>
      </c>
      <c r="BG67" s="518">
        <f t="shared" si="4"/>
        <v>0</v>
      </c>
      <c r="BH67" s="518">
        <f t="shared" si="4"/>
        <v>0</v>
      </c>
      <c r="BI67" s="518">
        <f t="shared" si="4"/>
        <v>0</v>
      </c>
      <c r="BJ67" s="518">
        <f t="shared" si="4"/>
        <v>0</v>
      </c>
      <c r="BK67" s="518">
        <f t="shared" si="4"/>
        <v>6000000000</v>
      </c>
      <c r="BL67" s="518">
        <f t="shared" si="4"/>
        <v>6000000000</v>
      </c>
      <c r="BM67" s="518">
        <f t="shared" si="4"/>
        <v>3000000000</v>
      </c>
      <c r="BN67" s="518">
        <f t="shared" si="4"/>
        <v>3000000000</v>
      </c>
      <c r="BO67" s="518">
        <f t="shared" si="4"/>
        <v>4000000000</v>
      </c>
      <c r="BP67" s="518">
        <f t="shared" si="4"/>
        <v>4000000000</v>
      </c>
      <c r="BQ67" s="518">
        <v>1000000000</v>
      </c>
      <c r="BR67" s="518">
        <f t="shared" si="4"/>
        <v>0</v>
      </c>
      <c r="BS67" s="518">
        <f t="shared" si="4"/>
        <v>0</v>
      </c>
      <c r="BT67" s="518">
        <f t="shared" si="4"/>
        <v>0</v>
      </c>
      <c r="BU67" s="518">
        <f t="shared" si="4"/>
        <v>0</v>
      </c>
      <c r="BV67" s="518">
        <f t="shared" si="4"/>
        <v>0</v>
      </c>
      <c r="BW67" s="518">
        <f t="shared" si="4"/>
        <v>0</v>
      </c>
    </row>
    <row r="68" spans="1:75" x14ac:dyDescent="0.25">
      <c r="A68" s="200">
        <v>65</v>
      </c>
      <c r="B68" s="201" t="str">
        <f t="shared" ref="B68:B73" si="5">B50</f>
        <v>ACB</v>
      </c>
      <c r="C68" s="200">
        <v>7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07"/>
      <c r="AK68" s="207"/>
      <c r="AL68" s="207"/>
      <c r="AM68" s="207"/>
      <c r="AN68" s="207"/>
      <c r="AO68" s="207"/>
      <c r="AP68" s="207"/>
      <c r="AQ68" s="207"/>
      <c r="AR68" s="207"/>
      <c r="AS68" s="207"/>
      <c r="AT68" s="207"/>
      <c r="AU68" s="207"/>
      <c r="AV68" s="207"/>
      <c r="AW68" s="207"/>
      <c r="AX68" s="207"/>
      <c r="AY68" s="207"/>
      <c r="AZ68" s="207">
        <v>2000000000</v>
      </c>
      <c r="BA68" s="207"/>
      <c r="BB68" s="207"/>
      <c r="BC68" s="207"/>
      <c r="BD68" s="207"/>
      <c r="BE68" s="207"/>
      <c r="BF68" s="207"/>
      <c r="BG68" s="207"/>
      <c r="BH68" s="207"/>
      <c r="BI68" s="207"/>
      <c r="BJ68" s="207"/>
      <c r="BK68" s="207">
        <v>6000000000</v>
      </c>
      <c r="BL68" s="207">
        <v>6000000000</v>
      </c>
      <c r="BM68" s="207">
        <v>3000000000</v>
      </c>
      <c r="BN68" s="207">
        <v>3000000000</v>
      </c>
      <c r="BO68" s="207">
        <v>4000000000</v>
      </c>
      <c r="BP68" s="207">
        <v>4000000000</v>
      </c>
      <c r="BQ68" s="207">
        <v>1000000000</v>
      </c>
      <c r="BR68" s="207"/>
      <c r="BS68" s="207"/>
      <c r="BT68" s="207"/>
      <c r="BU68" s="207"/>
      <c r="BV68" s="207"/>
      <c r="BW68" s="207"/>
    </row>
    <row r="69" spans="1:75" x14ac:dyDescent="0.25">
      <c r="A69" s="200">
        <v>66</v>
      </c>
      <c r="B69" s="201" t="str">
        <f t="shared" si="5"/>
        <v>VietinBank</v>
      </c>
      <c r="C69" s="200">
        <v>7</v>
      </c>
      <c r="D69" s="207"/>
      <c r="E69" s="207"/>
      <c r="F69" s="207"/>
      <c r="G69" s="207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  <c r="AK69" s="207"/>
      <c r="AL69" s="207"/>
      <c r="AM69" s="207"/>
      <c r="AN69" s="207"/>
      <c r="AO69" s="207"/>
      <c r="AP69" s="207"/>
      <c r="AQ69" s="207"/>
      <c r="AR69" s="207"/>
      <c r="AS69" s="207"/>
      <c r="AT69" s="207"/>
      <c r="AU69" s="207"/>
      <c r="AV69" s="207"/>
      <c r="AW69" s="207"/>
      <c r="AX69" s="207"/>
      <c r="AY69" s="207"/>
      <c r="AZ69" s="207"/>
      <c r="BA69" s="207"/>
      <c r="BB69" s="207"/>
      <c r="BC69" s="207"/>
      <c r="BD69" s="207"/>
      <c r="BE69" s="207"/>
      <c r="BF69" s="207"/>
      <c r="BG69" s="207"/>
      <c r="BH69" s="207"/>
      <c r="BI69" s="207"/>
      <c r="BJ69" s="207"/>
      <c r="BK69" s="207"/>
      <c r="BL69" s="207"/>
      <c r="BM69" s="207"/>
      <c r="BN69" s="207"/>
      <c r="BO69" s="207"/>
      <c r="BP69" s="207"/>
      <c r="BQ69" s="207"/>
      <c r="BR69" s="207"/>
      <c r="BS69" s="207"/>
      <c r="BT69" s="207"/>
      <c r="BU69" s="207"/>
      <c r="BV69" s="207"/>
      <c r="BW69" s="207"/>
    </row>
    <row r="70" spans="1:75" x14ac:dyDescent="0.25">
      <c r="A70" s="200">
        <v>67</v>
      </c>
      <c r="B70" s="201" t="str">
        <f t="shared" si="5"/>
        <v>Vietcombank</v>
      </c>
      <c r="C70" s="200">
        <v>7</v>
      </c>
      <c r="D70" s="207"/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07"/>
      <c r="AK70" s="207"/>
      <c r="AL70" s="207"/>
      <c r="AM70" s="207"/>
      <c r="AN70" s="207"/>
      <c r="AO70" s="207"/>
      <c r="AP70" s="207"/>
      <c r="AQ70" s="207"/>
      <c r="AR70" s="207"/>
      <c r="AS70" s="207"/>
      <c r="AT70" s="207"/>
      <c r="AU70" s="207"/>
      <c r="AV70" s="207"/>
      <c r="AW70" s="207"/>
      <c r="AX70" s="207"/>
      <c r="AY70" s="207"/>
      <c r="AZ70" s="207"/>
      <c r="BA70" s="207"/>
      <c r="BB70" s="207"/>
      <c r="BC70" s="207"/>
      <c r="BD70" s="207"/>
      <c r="BE70" s="207"/>
      <c r="BF70" s="207"/>
      <c r="BG70" s="207"/>
      <c r="BH70" s="207"/>
      <c r="BI70" s="207"/>
      <c r="BJ70" s="207"/>
      <c r="BK70" s="207"/>
      <c r="BL70" s="207"/>
      <c r="BM70" s="207"/>
      <c r="BN70" s="207"/>
      <c r="BO70" s="207"/>
      <c r="BP70" s="207"/>
      <c r="BQ70" s="207"/>
      <c r="BR70" s="207"/>
      <c r="BS70" s="207"/>
      <c r="BT70" s="207"/>
      <c r="BU70" s="207"/>
      <c r="BV70" s="207"/>
      <c r="BW70" s="207"/>
    </row>
    <row r="71" spans="1:75" x14ac:dyDescent="0.25">
      <c r="A71" s="200">
        <v>68</v>
      </c>
      <c r="B71" s="201" t="str">
        <f t="shared" si="5"/>
        <v>BIDV</v>
      </c>
      <c r="C71" s="200">
        <v>7</v>
      </c>
      <c r="D71" s="207"/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7"/>
      <c r="AK71" s="207"/>
      <c r="AL71" s="207"/>
      <c r="AM71" s="207"/>
      <c r="AN71" s="207"/>
      <c r="AO71" s="207"/>
      <c r="AP71" s="207"/>
      <c r="AQ71" s="207"/>
      <c r="AR71" s="207"/>
      <c r="AS71" s="207"/>
      <c r="AT71" s="207"/>
      <c r="AU71" s="207"/>
      <c r="AV71" s="207"/>
      <c r="AW71" s="207"/>
      <c r="AX71" s="207"/>
      <c r="AY71" s="207"/>
      <c r="AZ71" s="207"/>
      <c r="BA71" s="207"/>
      <c r="BB71" s="207"/>
      <c r="BC71" s="207"/>
      <c r="BD71" s="207"/>
      <c r="BE71" s="207"/>
      <c r="BF71" s="207"/>
      <c r="BG71" s="207"/>
      <c r="BH71" s="207"/>
      <c r="BI71" s="207"/>
      <c r="BJ71" s="207"/>
      <c r="BK71" s="207"/>
      <c r="BL71" s="207"/>
      <c r="BM71" s="207"/>
      <c r="BN71" s="207"/>
      <c r="BO71" s="207"/>
      <c r="BP71" s="207"/>
      <c r="BQ71" s="207"/>
      <c r="BR71" s="207"/>
      <c r="BS71" s="207"/>
      <c r="BT71" s="207"/>
      <c r="BU71" s="207"/>
      <c r="BV71" s="207"/>
      <c r="BW71" s="207"/>
    </row>
    <row r="72" spans="1:75" x14ac:dyDescent="0.25">
      <c r="A72" s="200">
        <v>69</v>
      </c>
      <c r="B72" s="201" t="str">
        <f t="shared" si="5"/>
        <v>Standard Chartered</v>
      </c>
      <c r="C72" s="200">
        <v>7</v>
      </c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7"/>
      <c r="AO72" s="207"/>
      <c r="AP72" s="207"/>
      <c r="AQ72" s="207"/>
      <c r="AR72" s="207"/>
      <c r="AS72" s="207"/>
      <c r="AT72" s="207"/>
      <c r="AU72" s="207"/>
      <c r="AV72" s="207"/>
      <c r="AW72" s="207"/>
      <c r="AX72" s="207"/>
      <c r="AY72" s="207"/>
      <c r="AZ72" s="207"/>
      <c r="BA72" s="207"/>
      <c r="BB72" s="207"/>
      <c r="BC72" s="207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  <c r="BV72" s="207"/>
      <c r="BW72" s="207"/>
    </row>
    <row r="73" spans="1:75" x14ac:dyDescent="0.25">
      <c r="A73" s="200">
        <v>70</v>
      </c>
      <c r="B73" s="201" t="str">
        <f t="shared" si="5"/>
        <v>VILC</v>
      </c>
      <c r="C73" s="200">
        <v>7</v>
      </c>
      <c r="D73" s="207"/>
      <c r="E73" s="207"/>
      <c r="F73" s="207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7"/>
      <c r="AO73" s="207"/>
      <c r="AP73" s="207"/>
      <c r="AQ73" s="207"/>
      <c r="AR73" s="207"/>
      <c r="AS73" s="207"/>
      <c r="AT73" s="207"/>
      <c r="AU73" s="207"/>
      <c r="AV73" s="207"/>
      <c r="AW73" s="207"/>
      <c r="AX73" s="207"/>
      <c r="AY73" s="207"/>
      <c r="AZ73" s="207"/>
      <c r="BA73" s="207"/>
      <c r="BB73" s="207"/>
      <c r="BC73" s="207"/>
      <c r="BD73" s="207"/>
      <c r="BE73" s="207"/>
      <c r="BF73" s="207"/>
      <c r="BG73" s="207"/>
      <c r="BH73" s="207"/>
      <c r="BI73" s="207"/>
      <c r="BJ73" s="207"/>
      <c r="BK73" s="207"/>
      <c r="BL73" s="207"/>
      <c r="BM73" s="207"/>
      <c r="BN73" s="207"/>
      <c r="BO73" s="207"/>
      <c r="BP73" s="207"/>
      <c r="BQ73" s="207"/>
      <c r="BR73" s="207"/>
      <c r="BS73" s="207"/>
      <c r="BT73" s="207"/>
      <c r="BU73" s="207"/>
      <c r="BV73" s="207"/>
      <c r="BW73" s="207"/>
    </row>
    <row r="74" spans="1:75" x14ac:dyDescent="0.25">
      <c r="A74" s="200">
        <v>71</v>
      </c>
      <c r="B74" s="201" t="s">
        <v>471</v>
      </c>
      <c r="C74" s="200">
        <v>7</v>
      </c>
      <c r="D74" s="207"/>
      <c r="E74" s="207"/>
      <c r="F74" s="207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07"/>
      <c r="AG74" s="207"/>
      <c r="AH74" s="207"/>
      <c r="AI74" s="207"/>
      <c r="AJ74" s="207"/>
      <c r="AK74" s="207"/>
      <c r="AL74" s="207"/>
      <c r="AM74" s="207"/>
      <c r="AN74" s="207"/>
      <c r="AO74" s="207"/>
      <c r="AP74" s="207"/>
      <c r="AQ74" s="207"/>
      <c r="AR74" s="207"/>
      <c r="AS74" s="207"/>
      <c r="AT74" s="207"/>
      <c r="AU74" s="207"/>
      <c r="AV74" s="207"/>
      <c r="AW74" s="207"/>
      <c r="AX74" s="207"/>
      <c r="AY74" s="207"/>
      <c r="AZ74" s="207"/>
      <c r="BA74" s="207"/>
      <c r="BB74" s="207"/>
      <c r="BC74" s="207"/>
      <c r="BD74" s="207"/>
      <c r="BE74" s="207"/>
      <c r="BF74" s="207"/>
      <c r="BG74" s="207"/>
      <c r="BH74" s="207"/>
      <c r="BI74" s="207"/>
      <c r="BJ74" s="207"/>
      <c r="BK74" s="207"/>
      <c r="BL74" s="207"/>
      <c r="BM74" s="207"/>
      <c r="BN74" s="207"/>
      <c r="BO74" s="207"/>
      <c r="BP74" s="207"/>
      <c r="BQ74" s="207"/>
      <c r="BR74" s="207"/>
      <c r="BS74" s="207"/>
      <c r="BT74" s="207"/>
      <c r="BU74" s="207"/>
      <c r="BV74" s="207"/>
      <c r="BW74" s="207"/>
    </row>
  </sheetData>
  <sheetProtection algorithmName="SHA-512" hashValue="bewJ2qg5BheXESnIOk79nSAcmWiFpoRXfNK8euugnLxreRHOnZtQXBjaXHessn8AAanRWLLsqN28PZBrANm8MQ==" saltValue="Yt5xe4toIrHbUQurpP9nCw==" spinCount="100000" sheet="1" objects="1" scenarios="1"/>
  <protectedRanges>
    <protectedRange sqref="D4:BW74" name="Loan"/>
  </protectedRange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B5A2-DE99-4FBE-BBE6-F7D3F37B5A57}">
  <sheetPr>
    <tabColor theme="9" tint="0.59999389629810485"/>
  </sheetPr>
  <dimension ref="A1:AG483"/>
  <sheetViews>
    <sheetView showGridLines="0" zoomScale="90" zoomScaleNormal="90" workbookViewId="0">
      <pane xSplit="5" ySplit="6" topLeftCell="S7" activePane="bottomRight" state="frozen"/>
      <selection pane="topRight" activeCell="D8" sqref="D8:E8"/>
      <selection pane="bottomLeft" activeCell="D8" sqref="D8:E8"/>
      <selection pane="bottomRight" activeCell="S23" sqref="S23"/>
    </sheetView>
  </sheetViews>
  <sheetFormatPr defaultColWidth="8.7109375" defaultRowHeight="12.75" x14ac:dyDescent="0.2"/>
  <cols>
    <col min="1" max="1" width="3.42578125" style="396" customWidth="1"/>
    <col min="2" max="2" width="49.85546875" style="394" customWidth="1"/>
    <col min="3" max="3" width="12.140625" style="394" bestFit="1" customWidth="1"/>
    <col min="4" max="4" width="25" style="394" bestFit="1" customWidth="1"/>
    <col min="5" max="5" width="7.85546875" style="394" customWidth="1"/>
    <col min="6" max="6" width="15" style="395" bestFit="1" customWidth="1"/>
    <col min="7" max="7" width="15" style="394" bestFit="1" customWidth="1"/>
    <col min="8" max="8" width="13.5703125" style="394" bestFit="1" customWidth="1"/>
    <col min="9" max="9" width="14.28515625" style="619" customWidth="1"/>
    <col min="10" max="10" width="15.28515625" style="394" bestFit="1" customWidth="1"/>
    <col min="11" max="11" width="17.42578125" style="394" bestFit="1" customWidth="1"/>
    <col min="12" max="12" width="15.28515625" style="394" bestFit="1" customWidth="1"/>
    <col min="13" max="13" width="17.42578125" style="394" bestFit="1" customWidth="1"/>
    <col min="14" max="17" width="14.140625" style="394" customWidth="1"/>
    <col min="18" max="18" width="17.140625" style="395" bestFit="1" customWidth="1"/>
    <col min="19" max="19" width="17.7109375" style="395" bestFit="1" customWidth="1"/>
    <col min="20" max="21" width="16.85546875" style="394" customWidth="1"/>
    <col min="22" max="22" width="14.28515625" style="619" customWidth="1"/>
    <col min="23" max="24" width="14.85546875" style="394" bestFit="1" customWidth="1"/>
    <col min="25" max="30" width="11.42578125" style="394" customWidth="1"/>
    <col min="31" max="31" width="17.5703125" style="395" bestFit="1" customWidth="1"/>
    <col min="32" max="32" width="16.28515625" style="394" customWidth="1"/>
    <col min="33" max="33" width="11.28515625" style="394" bestFit="1" customWidth="1"/>
    <col min="34" max="16384" width="8.7109375" style="394"/>
  </cols>
  <sheetData>
    <row r="1" spans="1:31" x14ac:dyDescent="0.2">
      <c r="A1" s="393" t="str">
        <f>'Thong tin'!$A$1</f>
        <v>CÔNG TY TNHH THU MUA PHẾ LIỆU KHÁNH NGA</v>
      </c>
      <c r="I1" s="603"/>
      <c r="V1" s="603"/>
    </row>
    <row r="2" spans="1:31" ht="13.35" customHeight="1" x14ac:dyDescent="0.2">
      <c r="B2" s="397" t="s">
        <v>479</v>
      </c>
      <c r="C2" s="397"/>
      <c r="D2" s="397"/>
      <c r="E2" s="397"/>
      <c r="I2" s="603"/>
      <c r="V2" s="603"/>
    </row>
    <row r="3" spans="1:31" x14ac:dyDescent="0.2">
      <c r="I3" s="603"/>
      <c r="V3" s="603"/>
    </row>
    <row r="4" spans="1:31" x14ac:dyDescent="0.2">
      <c r="A4" s="398" t="s">
        <v>480</v>
      </c>
      <c r="B4" s="399" t="s">
        <v>481</v>
      </c>
      <c r="C4" s="399"/>
      <c r="D4" s="400"/>
      <c r="E4" s="400"/>
      <c r="I4" s="603"/>
      <c r="V4" s="603"/>
    </row>
    <row r="5" spans="1:31" x14ac:dyDescent="0.2">
      <c r="F5" s="401" t="s">
        <v>482</v>
      </c>
      <c r="G5" s="402"/>
      <c r="H5" s="402"/>
      <c r="I5" s="620"/>
      <c r="J5" s="402"/>
      <c r="K5" s="402"/>
      <c r="L5" s="402"/>
      <c r="M5" s="402"/>
      <c r="N5" s="402"/>
      <c r="O5" s="402"/>
      <c r="P5" s="402"/>
      <c r="Q5" s="402"/>
      <c r="R5" s="403"/>
      <c r="S5" s="401" t="s">
        <v>482</v>
      </c>
      <c r="T5" s="402"/>
      <c r="U5" s="402"/>
      <c r="V5" s="620"/>
      <c r="W5" s="402"/>
      <c r="X5" s="402"/>
      <c r="Y5" s="402"/>
      <c r="Z5" s="402"/>
      <c r="AA5" s="402"/>
      <c r="AB5" s="402"/>
      <c r="AC5" s="402"/>
      <c r="AD5" s="402"/>
      <c r="AE5" s="403"/>
    </row>
    <row r="6" spans="1:31" s="404" customFormat="1" ht="26.25" customHeight="1" x14ac:dyDescent="0.25">
      <c r="A6" s="567"/>
      <c r="B6" s="568" t="s">
        <v>483</v>
      </c>
      <c r="C6" s="568" t="s">
        <v>484</v>
      </c>
      <c r="D6" s="568" t="s">
        <v>485</v>
      </c>
      <c r="E6" s="569" t="s">
        <v>486</v>
      </c>
      <c r="F6" s="570" t="s">
        <v>487</v>
      </c>
      <c r="G6" s="570" t="s">
        <v>488</v>
      </c>
      <c r="H6" s="570" t="s">
        <v>489</v>
      </c>
      <c r="I6" s="604" t="s">
        <v>490</v>
      </c>
      <c r="J6" s="570" t="s">
        <v>491</v>
      </c>
      <c r="K6" s="570" t="s">
        <v>492</v>
      </c>
      <c r="L6" s="570" t="s">
        <v>493</v>
      </c>
      <c r="M6" s="570" t="s">
        <v>494</v>
      </c>
      <c r="N6" s="570" t="s">
        <v>495</v>
      </c>
      <c r="O6" s="570" t="s">
        <v>496</v>
      </c>
      <c r="P6" s="570" t="s">
        <v>497</v>
      </c>
      <c r="Q6" s="570" t="s">
        <v>498</v>
      </c>
      <c r="R6" s="571" t="s">
        <v>499</v>
      </c>
      <c r="S6" s="570" t="s">
        <v>487</v>
      </c>
      <c r="T6" s="570" t="s">
        <v>488</v>
      </c>
      <c r="U6" s="570" t="s">
        <v>489</v>
      </c>
      <c r="V6" s="604" t="s">
        <v>490</v>
      </c>
      <c r="W6" s="570" t="s">
        <v>491</v>
      </c>
      <c r="X6" s="570" t="s">
        <v>492</v>
      </c>
      <c r="Y6" s="570" t="s">
        <v>493</v>
      </c>
      <c r="Z6" s="570" t="s">
        <v>494</v>
      </c>
      <c r="AA6" s="570" t="s">
        <v>495</v>
      </c>
      <c r="AB6" s="570" t="s">
        <v>496</v>
      </c>
      <c r="AC6" s="570" t="s">
        <v>497</v>
      </c>
      <c r="AD6" s="570" t="s">
        <v>498</v>
      </c>
      <c r="AE6" s="571" t="s">
        <v>500</v>
      </c>
    </row>
    <row r="7" spans="1:31" s="404" customFormat="1" x14ac:dyDescent="0.2">
      <c r="A7" s="405" t="s">
        <v>501</v>
      </c>
      <c r="B7" s="572" t="s">
        <v>502</v>
      </c>
      <c r="C7" s="572"/>
      <c r="D7" s="568"/>
      <c r="E7" s="573"/>
      <c r="F7" s="574"/>
      <c r="G7" s="574"/>
      <c r="H7" s="574"/>
      <c r="I7" s="605"/>
      <c r="J7" s="574"/>
      <c r="K7" s="574"/>
      <c r="L7" s="574"/>
      <c r="M7" s="574"/>
      <c r="N7" s="574"/>
      <c r="O7" s="574"/>
      <c r="P7" s="574"/>
      <c r="Q7" s="574"/>
      <c r="R7" s="575"/>
      <c r="S7" s="574"/>
      <c r="T7" s="574"/>
      <c r="U7" s="574"/>
      <c r="V7" s="605"/>
      <c r="W7" s="574"/>
      <c r="X7" s="574"/>
      <c r="Y7" s="574"/>
      <c r="Z7" s="574"/>
      <c r="AA7" s="574"/>
      <c r="AB7" s="574"/>
      <c r="AC7" s="574"/>
      <c r="AD7" s="574"/>
      <c r="AE7" s="575"/>
    </row>
    <row r="8" spans="1:31" x14ac:dyDescent="0.2">
      <c r="A8" s="406">
        <v>1</v>
      </c>
      <c r="B8" s="407" t="s">
        <v>503</v>
      </c>
      <c r="C8" s="407" t="s">
        <v>504</v>
      </c>
      <c r="D8" s="408" t="s">
        <v>505</v>
      </c>
      <c r="E8" s="409">
        <v>511</v>
      </c>
      <c r="F8" s="514"/>
      <c r="G8" s="410"/>
      <c r="H8" s="410"/>
      <c r="I8" s="606"/>
      <c r="J8" s="411"/>
      <c r="K8" s="410"/>
      <c r="L8" s="410"/>
      <c r="M8" s="410"/>
      <c r="N8" s="410"/>
      <c r="O8" s="410"/>
      <c r="P8" s="410"/>
      <c r="Q8" s="410"/>
      <c r="R8" s="412"/>
      <c r="S8" s="514"/>
      <c r="T8" s="410"/>
      <c r="U8" s="410"/>
      <c r="V8" s="606"/>
      <c r="W8" s="411"/>
      <c r="X8" s="410"/>
      <c r="Y8" s="410"/>
      <c r="Z8" s="410"/>
      <c r="AA8" s="410"/>
      <c r="AB8" s="410"/>
      <c r="AC8" s="410"/>
      <c r="AD8" s="410"/>
      <c r="AE8" s="412">
        <f>SUM(S8:AD8)</f>
        <v>0</v>
      </c>
    </row>
    <row r="9" spans="1:31" x14ac:dyDescent="0.2">
      <c r="A9" s="413"/>
      <c r="B9" s="414"/>
      <c r="C9" s="414"/>
      <c r="D9" s="415" t="s">
        <v>506</v>
      </c>
      <c r="E9" s="416">
        <v>511</v>
      </c>
      <c r="F9" s="514"/>
      <c r="G9" s="410"/>
      <c r="H9" s="410"/>
      <c r="I9" s="606"/>
      <c r="J9" s="410"/>
      <c r="K9" s="410"/>
      <c r="L9" s="410"/>
      <c r="M9" s="410"/>
      <c r="N9" s="410"/>
      <c r="O9" s="410"/>
      <c r="P9" s="410"/>
      <c r="Q9" s="410"/>
      <c r="R9" s="412"/>
      <c r="S9" s="514"/>
      <c r="T9" s="410"/>
      <c r="U9" s="410"/>
      <c r="V9" s="606"/>
      <c r="W9" s="410"/>
      <c r="X9" s="410"/>
      <c r="Y9" s="410"/>
      <c r="Z9" s="410"/>
      <c r="AA9" s="410"/>
      <c r="AB9" s="410"/>
      <c r="AC9" s="410"/>
      <c r="AD9" s="410"/>
      <c r="AE9" s="412">
        <f t="shared" ref="AE9:AE81" si="0">SUM(S9:AD9)</f>
        <v>0</v>
      </c>
    </row>
    <row r="10" spans="1:31" x14ac:dyDescent="0.2">
      <c r="A10" s="413"/>
      <c r="B10" s="414"/>
      <c r="C10" s="417"/>
      <c r="D10" s="417" t="s">
        <v>507</v>
      </c>
      <c r="E10" s="418">
        <v>711</v>
      </c>
      <c r="F10" s="410"/>
      <c r="G10" s="410"/>
      <c r="H10" s="410"/>
      <c r="I10" s="606"/>
      <c r="J10" s="410"/>
      <c r="K10" s="410"/>
      <c r="L10" s="410"/>
      <c r="M10" s="410"/>
      <c r="N10" s="410"/>
      <c r="O10" s="410"/>
      <c r="P10" s="410"/>
      <c r="Q10" s="410"/>
      <c r="R10" s="412"/>
      <c r="S10" s="410"/>
      <c r="T10" s="410"/>
      <c r="U10" s="410"/>
      <c r="V10" s="606"/>
      <c r="W10" s="410"/>
      <c r="X10" s="410"/>
      <c r="Y10" s="410"/>
      <c r="Z10" s="410"/>
      <c r="AA10" s="410"/>
      <c r="AB10" s="410"/>
      <c r="AC10" s="410"/>
      <c r="AD10" s="410"/>
      <c r="AE10" s="412">
        <f t="shared" si="0"/>
        <v>0</v>
      </c>
    </row>
    <row r="11" spans="1:31" x14ac:dyDescent="0.2">
      <c r="A11" s="419"/>
      <c r="B11" s="414"/>
      <c r="C11" s="414"/>
      <c r="D11" s="414" t="s">
        <v>508</v>
      </c>
      <c r="E11" s="418">
        <v>515</v>
      </c>
      <c r="F11" s="410"/>
      <c r="G11" s="410"/>
      <c r="H11" s="410"/>
      <c r="I11" s="606"/>
      <c r="J11" s="410"/>
      <c r="K11" s="410"/>
      <c r="L11" s="410"/>
      <c r="M11" s="410"/>
      <c r="N11" s="410"/>
      <c r="O11" s="410"/>
      <c r="P11" s="410"/>
      <c r="Q11" s="410"/>
      <c r="R11" s="412"/>
      <c r="S11" s="410"/>
      <c r="T11" s="410"/>
      <c r="U11" s="410"/>
      <c r="V11" s="606"/>
      <c r="W11" s="410"/>
      <c r="X11" s="410"/>
      <c r="Y11" s="410"/>
      <c r="Z11" s="410"/>
      <c r="AA11" s="410"/>
      <c r="AB11" s="410"/>
      <c r="AC11" s="410"/>
      <c r="AD11" s="410"/>
      <c r="AE11" s="412">
        <f t="shared" si="0"/>
        <v>0</v>
      </c>
    </row>
    <row r="12" spans="1:31" x14ac:dyDescent="0.2">
      <c r="A12" s="419"/>
      <c r="B12" s="414"/>
      <c r="C12" s="414"/>
      <c r="D12" s="414" t="s">
        <v>509</v>
      </c>
      <c r="E12" s="418">
        <v>112</v>
      </c>
      <c r="F12" s="410"/>
      <c r="G12" s="410"/>
      <c r="H12" s="410"/>
      <c r="I12" s="606"/>
      <c r="J12" s="410"/>
      <c r="K12" s="410"/>
      <c r="L12" s="410"/>
      <c r="M12" s="410"/>
      <c r="N12" s="410"/>
      <c r="O12" s="410"/>
      <c r="P12" s="410"/>
      <c r="Q12" s="410"/>
      <c r="R12" s="412"/>
      <c r="S12" s="410"/>
      <c r="T12" s="410"/>
      <c r="U12" s="410"/>
      <c r="V12" s="606"/>
      <c r="W12" s="410"/>
      <c r="X12" s="410"/>
      <c r="Y12" s="410"/>
      <c r="Z12" s="410"/>
      <c r="AA12" s="410"/>
      <c r="AB12" s="410"/>
      <c r="AC12" s="410"/>
      <c r="AD12" s="410"/>
      <c r="AE12" s="412">
        <f t="shared" si="0"/>
        <v>0</v>
      </c>
    </row>
    <row r="13" spans="1:31" x14ac:dyDescent="0.2">
      <c r="A13" s="419"/>
      <c r="B13" s="414"/>
      <c r="C13" s="414"/>
      <c r="D13" s="420" t="s">
        <v>510</v>
      </c>
      <c r="E13" s="421">
        <v>511</v>
      </c>
      <c r="F13" s="410"/>
      <c r="G13" s="410"/>
      <c r="H13" s="410"/>
      <c r="I13" s="606"/>
      <c r="J13" s="410"/>
      <c r="K13" s="410"/>
      <c r="L13" s="410"/>
      <c r="M13" s="410"/>
      <c r="N13" s="410"/>
      <c r="O13" s="410"/>
      <c r="P13" s="410"/>
      <c r="Q13" s="410"/>
      <c r="R13" s="412"/>
      <c r="S13" s="410"/>
      <c r="T13" s="410"/>
      <c r="U13" s="410"/>
      <c r="V13" s="606"/>
      <c r="W13" s="410"/>
      <c r="X13" s="410"/>
      <c r="Y13" s="410"/>
      <c r="Z13" s="410"/>
      <c r="AA13" s="410"/>
      <c r="AB13" s="410"/>
      <c r="AC13" s="410"/>
      <c r="AD13" s="410"/>
      <c r="AE13" s="412">
        <f t="shared" si="0"/>
        <v>0</v>
      </c>
    </row>
    <row r="14" spans="1:31" x14ac:dyDescent="0.2">
      <c r="A14" s="422"/>
      <c r="B14" s="423"/>
      <c r="C14" s="461"/>
      <c r="D14" s="424" t="s">
        <v>511</v>
      </c>
      <c r="E14" s="425" t="s">
        <v>512</v>
      </c>
      <c r="F14" s="426"/>
      <c r="G14" s="426"/>
      <c r="H14" s="426"/>
      <c r="I14" s="607"/>
      <c r="J14" s="426"/>
      <c r="K14" s="426"/>
      <c r="L14" s="426"/>
      <c r="M14" s="426"/>
      <c r="N14" s="426"/>
      <c r="O14" s="426"/>
      <c r="P14" s="426"/>
      <c r="Q14" s="426"/>
      <c r="R14" s="427"/>
      <c r="S14" s="426"/>
      <c r="T14" s="426"/>
      <c r="U14" s="426"/>
      <c r="V14" s="607"/>
      <c r="W14" s="426"/>
      <c r="X14" s="426"/>
      <c r="Y14" s="426"/>
      <c r="Z14" s="426"/>
      <c r="AA14" s="426"/>
      <c r="AB14" s="426"/>
      <c r="AC14" s="426"/>
      <c r="AD14" s="426"/>
      <c r="AE14" s="427">
        <f t="shared" si="0"/>
        <v>0</v>
      </c>
    </row>
    <row r="15" spans="1:31" x14ac:dyDescent="0.2">
      <c r="A15" s="576">
        <v>2</v>
      </c>
      <c r="B15" s="577" t="s">
        <v>513</v>
      </c>
      <c r="C15" s="577" t="s">
        <v>514</v>
      </c>
      <c r="D15" s="578" t="s">
        <v>505</v>
      </c>
      <c r="E15" s="579">
        <v>511</v>
      </c>
      <c r="F15" s="644">
        <v>2841476480</v>
      </c>
      <c r="G15" s="645">
        <v>5012982676</v>
      </c>
      <c r="H15" s="645">
        <v>8070371029</v>
      </c>
      <c r="I15" s="645">
        <v>9694585314</v>
      </c>
      <c r="J15" s="645">
        <v>8388349104</v>
      </c>
      <c r="K15" s="645">
        <v>9515421651</v>
      </c>
      <c r="L15" s="645">
        <v>13592588554</v>
      </c>
      <c r="M15" s="645">
        <v>12421660930</v>
      </c>
      <c r="N15" s="645">
        <v>8808063400</v>
      </c>
      <c r="O15" s="645">
        <v>7719934000</v>
      </c>
      <c r="P15" s="645">
        <v>6532057500</v>
      </c>
      <c r="Q15" s="645">
        <v>8694231720</v>
      </c>
      <c r="R15" s="622">
        <v>101291722358</v>
      </c>
      <c r="S15" s="517">
        <v>8331190500</v>
      </c>
      <c r="T15" s="517">
        <v>6640520862</v>
      </c>
      <c r="U15" s="410">
        <v>9363644480</v>
      </c>
      <c r="V15" s="608">
        <v>9143059160</v>
      </c>
      <c r="W15" s="411">
        <v>12123223250</v>
      </c>
      <c r="X15" s="411">
        <v>13689537870</v>
      </c>
      <c r="Y15" s="410"/>
      <c r="Z15" s="410"/>
      <c r="AA15" s="410"/>
      <c r="AB15" s="410"/>
      <c r="AC15" s="410"/>
      <c r="AD15" s="410"/>
      <c r="AE15" s="412">
        <f t="shared" si="0"/>
        <v>59291176122</v>
      </c>
    </row>
    <row r="16" spans="1:31" x14ac:dyDescent="0.2">
      <c r="A16" s="406"/>
      <c r="B16" s="428"/>
      <c r="C16" s="428"/>
      <c r="D16" s="420" t="s">
        <v>515</v>
      </c>
      <c r="E16" s="416">
        <v>511</v>
      </c>
      <c r="F16" s="429"/>
      <c r="G16" s="430"/>
      <c r="H16" s="430"/>
      <c r="I16" s="606"/>
      <c r="J16" s="430"/>
      <c r="K16" s="430"/>
      <c r="L16" s="430"/>
      <c r="M16" s="430"/>
      <c r="N16" s="430"/>
      <c r="O16" s="430"/>
      <c r="P16" s="430"/>
      <c r="Q16" s="430"/>
      <c r="R16" s="412"/>
      <c r="S16" s="429"/>
      <c r="T16" s="430"/>
      <c r="U16" s="430"/>
      <c r="V16" s="606"/>
      <c r="W16" s="430"/>
      <c r="X16" s="430"/>
      <c r="Y16" s="430"/>
      <c r="Z16" s="430"/>
      <c r="AA16" s="430"/>
      <c r="AB16" s="430"/>
      <c r="AC16" s="430"/>
      <c r="AD16" s="430"/>
      <c r="AE16" s="412">
        <f t="shared" si="0"/>
        <v>0</v>
      </c>
    </row>
    <row r="17" spans="1:31" x14ac:dyDescent="0.2">
      <c r="A17" s="406"/>
      <c r="B17" s="428"/>
      <c r="C17" s="428"/>
      <c r="D17" s="420" t="s">
        <v>506</v>
      </c>
      <c r="E17" s="416">
        <v>511</v>
      </c>
      <c r="F17" s="430"/>
      <c r="G17" s="430"/>
      <c r="H17" s="430"/>
      <c r="I17" s="606"/>
      <c r="J17" s="430"/>
      <c r="K17" s="430"/>
      <c r="L17" s="430"/>
      <c r="M17" s="430"/>
      <c r="N17" s="430"/>
      <c r="O17" s="430"/>
      <c r="P17" s="430"/>
      <c r="Q17" s="430"/>
      <c r="R17" s="412"/>
      <c r="S17" s="430"/>
      <c r="T17" s="430"/>
      <c r="U17" s="430"/>
      <c r="V17" s="606"/>
      <c r="W17" s="430"/>
      <c r="X17" s="430"/>
      <c r="Y17" s="430"/>
      <c r="Z17" s="430"/>
      <c r="AA17" s="430"/>
      <c r="AB17" s="430"/>
      <c r="AC17" s="430"/>
      <c r="AD17" s="430"/>
      <c r="AE17" s="412">
        <f t="shared" si="0"/>
        <v>0</v>
      </c>
    </row>
    <row r="18" spans="1:31" x14ac:dyDescent="0.2">
      <c r="A18" s="431"/>
      <c r="C18" s="428"/>
      <c r="D18" s="420" t="s">
        <v>516</v>
      </c>
      <c r="E18" s="421">
        <v>511</v>
      </c>
      <c r="F18" s="430"/>
      <c r="G18" s="430"/>
      <c r="H18" s="430"/>
      <c r="I18" s="606"/>
      <c r="J18" s="430"/>
      <c r="K18" s="430"/>
      <c r="L18" s="430"/>
      <c r="M18" s="430"/>
      <c r="N18" s="430"/>
      <c r="O18" s="430"/>
      <c r="P18" s="430"/>
      <c r="Q18" s="430"/>
      <c r="R18" s="412"/>
      <c r="S18" s="430"/>
      <c r="T18" s="430"/>
      <c r="U18" s="430"/>
      <c r="V18" s="606"/>
      <c r="W18" s="430"/>
      <c r="X18" s="430"/>
      <c r="Y18" s="430"/>
      <c r="Z18" s="430"/>
      <c r="AA18" s="430"/>
      <c r="AB18" s="430"/>
      <c r="AC18" s="430"/>
      <c r="AD18" s="430"/>
      <c r="AE18" s="412">
        <f t="shared" si="0"/>
        <v>0</v>
      </c>
    </row>
    <row r="19" spans="1:31" x14ac:dyDescent="0.2">
      <c r="A19" s="431"/>
      <c r="B19" s="428"/>
      <c r="C19" s="428"/>
      <c r="D19" s="420" t="s">
        <v>517</v>
      </c>
      <c r="E19" s="421">
        <v>511</v>
      </c>
      <c r="F19" s="430"/>
      <c r="G19" s="430"/>
      <c r="H19" s="430"/>
      <c r="I19" s="606"/>
      <c r="J19" s="430"/>
      <c r="K19" s="430"/>
      <c r="L19" s="430"/>
      <c r="M19" s="430"/>
      <c r="N19" s="430"/>
      <c r="O19" s="430"/>
      <c r="P19" s="430"/>
      <c r="Q19" s="430"/>
      <c r="R19" s="412"/>
      <c r="S19" s="430"/>
      <c r="T19" s="430"/>
      <c r="U19" s="430"/>
      <c r="V19" s="606"/>
      <c r="W19" s="430"/>
      <c r="X19" s="430"/>
      <c r="Y19" s="430"/>
      <c r="Z19" s="430"/>
      <c r="AA19" s="430"/>
      <c r="AB19" s="430"/>
      <c r="AC19" s="430"/>
      <c r="AD19" s="430"/>
      <c r="AE19" s="412">
        <f t="shared" si="0"/>
        <v>0</v>
      </c>
    </row>
    <row r="20" spans="1:31" x14ac:dyDescent="0.2">
      <c r="A20" s="431"/>
      <c r="B20" s="428"/>
      <c r="C20" s="428"/>
      <c r="D20" s="420" t="s">
        <v>507</v>
      </c>
      <c r="E20" s="421">
        <v>711</v>
      </c>
      <c r="F20" s="430"/>
      <c r="G20" s="430"/>
      <c r="H20" s="430"/>
      <c r="I20" s="606"/>
      <c r="J20" s="430"/>
      <c r="K20" s="430"/>
      <c r="L20" s="430"/>
      <c r="M20" s="430"/>
      <c r="N20" s="430"/>
      <c r="O20" s="430"/>
      <c r="P20" s="430"/>
      <c r="Q20" s="430"/>
      <c r="R20" s="412"/>
      <c r="S20" s="430"/>
      <c r="T20" s="430"/>
      <c r="U20" s="430"/>
      <c r="V20" s="606"/>
      <c r="W20" s="430"/>
      <c r="X20" s="430"/>
      <c r="Y20" s="430"/>
      <c r="Z20" s="430"/>
      <c r="AA20" s="430"/>
      <c r="AB20" s="430"/>
      <c r="AC20" s="430"/>
      <c r="AD20" s="430"/>
      <c r="AE20" s="412">
        <f t="shared" si="0"/>
        <v>0</v>
      </c>
    </row>
    <row r="21" spans="1:31" x14ac:dyDescent="0.2">
      <c r="A21" s="431"/>
      <c r="B21" s="428"/>
      <c r="C21" s="506"/>
      <c r="D21" s="432" t="s">
        <v>518</v>
      </c>
      <c r="E21" s="416">
        <v>511</v>
      </c>
      <c r="F21" s="430"/>
      <c r="G21" s="430"/>
      <c r="H21" s="430"/>
      <c r="I21" s="606"/>
      <c r="J21" s="430"/>
      <c r="K21" s="430"/>
      <c r="L21" s="430"/>
      <c r="M21" s="430"/>
      <c r="N21" s="430"/>
      <c r="O21" s="430"/>
      <c r="P21" s="430"/>
      <c r="Q21" s="430"/>
      <c r="R21" s="412"/>
      <c r="S21" s="430"/>
      <c r="T21" s="430"/>
      <c r="U21" s="430"/>
      <c r="V21" s="606"/>
      <c r="W21" s="430"/>
      <c r="X21" s="430"/>
      <c r="Y21" s="430"/>
      <c r="Z21" s="430"/>
      <c r="AA21" s="430"/>
      <c r="AB21" s="430"/>
      <c r="AC21" s="430"/>
      <c r="AD21" s="430"/>
      <c r="AE21" s="412">
        <f t="shared" si="0"/>
        <v>0</v>
      </c>
    </row>
    <row r="22" spans="1:31" x14ac:dyDescent="0.2">
      <c r="A22" s="431"/>
      <c r="B22" s="428"/>
      <c r="C22" s="506"/>
      <c r="D22" s="432" t="s">
        <v>511</v>
      </c>
      <c r="E22" s="416" t="s">
        <v>512</v>
      </c>
      <c r="F22" s="430"/>
      <c r="G22" s="430"/>
      <c r="H22" s="430"/>
      <c r="I22" s="606"/>
      <c r="J22" s="430"/>
      <c r="K22" s="430"/>
      <c r="L22" s="430"/>
      <c r="M22" s="430"/>
      <c r="N22" s="430"/>
      <c r="O22" s="430"/>
      <c r="P22" s="430"/>
      <c r="Q22" s="430"/>
      <c r="R22" s="412"/>
      <c r="S22" s="430"/>
      <c r="T22" s="430"/>
      <c r="U22" s="430"/>
      <c r="V22" s="606"/>
      <c r="W22" s="430">
        <v>129718200</v>
      </c>
      <c r="X22" s="430">
        <v>67971900</v>
      </c>
      <c r="Y22" s="430"/>
      <c r="Z22" s="430"/>
      <c r="AA22" s="430"/>
      <c r="AB22" s="430"/>
      <c r="AC22" s="430"/>
      <c r="AD22" s="430"/>
      <c r="AE22" s="412">
        <f t="shared" si="0"/>
        <v>197690100</v>
      </c>
    </row>
    <row r="23" spans="1:31" x14ac:dyDescent="0.2">
      <c r="A23" s="431"/>
      <c r="B23" s="428"/>
      <c r="C23" s="506"/>
      <c r="D23" s="432" t="s">
        <v>508</v>
      </c>
      <c r="E23" s="416">
        <v>515</v>
      </c>
      <c r="F23" s="430"/>
      <c r="G23" s="430"/>
      <c r="H23" s="430"/>
      <c r="I23" s="606"/>
      <c r="J23" s="430"/>
      <c r="K23" s="430"/>
      <c r="L23" s="430"/>
      <c r="M23" s="430"/>
      <c r="N23" s="430"/>
      <c r="O23" s="430"/>
      <c r="P23" s="430"/>
      <c r="Q23" s="430"/>
      <c r="R23" s="412"/>
      <c r="S23" s="430"/>
      <c r="T23" s="430"/>
      <c r="U23" s="430"/>
      <c r="V23" s="606"/>
      <c r="W23" s="430"/>
      <c r="X23" s="430"/>
      <c r="Y23" s="430"/>
      <c r="Z23" s="430"/>
      <c r="AA23" s="430"/>
      <c r="AB23" s="430"/>
      <c r="AC23" s="430"/>
      <c r="AD23" s="430"/>
      <c r="AE23" s="412"/>
    </row>
    <row r="24" spans="1:31" x14ac:dyDescent="0.2">
      <c r="A24" s="576">
        <v>3</v>
      </c>
      <c r="B24" s="577" t="s">
        <v>519</v>
      </c>
      <c r="C24" s="577" t="s">
        <v>520</v>
      </c>
      <c r="D24" s="578" t="s">
        <v>505</v>
      </c>
      <c r="E24" s="579">
        <v>511</v>
      </c>
      <c r="F24" s="623">
        <v>954421000</v>
      </c>
      <c r="G24" s="624" t="s">
        <v>358</v>
      </c>
      <c r="H24" s="624" t="s">
        <v>358</v>
      </c>
      <c r="I24" s="624" t="s">
        <v>358</v>
      </c>
      <c r="J24" s="624" t="s">
        <v>358</v>
      </c>
      <c r="K24" s="624" t="s">
        <v>358</v>
      </c>
      <c r="L24" s="624" t="s">
        <v>358</v>
      </c>
      <c r="M24" s="624" t="s">
        <v>358</v>
      </c>
      <c r="N24" s="624" t="s">
        <v>358</v>
      </c>
      <c r="O24" s="624" t="s">
        <v>358</v>
      </c>
      <c r="P24" s="624" t="s">
        <v>358</v>
      </c>
      <c r="Q24" s="624" t="s">
        <v>358</v>
      </c>
      <c r="R24" s="625">
        <v>954421000</v>
      </c>
      <c r="S24" s="580"/>
      <c r="T24" s="580"/>
      <c r="U24" s="580"/>
      <c r="V24" s="609"/>
      <c r="W24" s="580"/>
      <c r="X24" s="580"/>
      <c r="Y24" s="580"/>
      <c r="Z24" s="580"/>
      <c r="AA24" s="580"/>
      <c r="AB24" s="580"/>
      <c r="AC24" s="580"/>
      <c r="AD24" s="580"/>
      <c r="AE24" s="581">
        <f t="shared" si="0"/>
        <v>0</v>
      </c>
    </row>
    <row r="25" spans="1:31" x14ac:dyDescent="0.2">
      <c r="A25" s="431"/>
      <c r="B25" s="428"/>
      <c r="C25" s="428"/>
      <c r="D25" s="420" t="s">
        <v>515</v>
      </c>
      <c r="E25" s="416">
        <v>511</v>
      </c>
      <c r="F25" s="429"/>
      <c r="G25" s="430"/>
      <c r="H25" s="430"/>
      <c r="I25" s="606"/>
      <c r="J25" s="430"/>
      <c r="K25" s="430"/>
      <c r="L25" s="430"/>
      <c r="M25" s="430"/>
      <c r="N25" s="430"/>
      <c r="O25" s="430"/>
      <c r="P25" s="430"/>
      <c r="Q25" s="430"/>
      <c r="R25" s="412"/>
      <c r="S25" s="429"/>
      <c r="T25" s="430"/>
      <c r="U25" s="430"/>
      <c r="V25" s="606"/>
      <c r="W25" s="430"/>
      <c r="X25" s="430"/>
      <c r="Y25" s="430"/>
      <c r="Z25" s="430"/>
      <c r="AA25" s="430"/>
      <c r="AB25" s="430"/>
      <c r="AC25" s="430"/>
      <c r="AD25" s="430"/>
      <c r="AE25" s="412">
        <f t="shared" si="0"/>
        <v>0</v>
      </c>
    </row>
    <row r="26" spans="1:31" x14ac:dyDescent="0.2">
      <c r="A26" s="431"/>
      <c r="B26" s="428"/>
      <c r="C26" s="428"/>
      <c r="D26" s="420" t="s">
        <v>506</v>
      </c>
      <c r="E26" s="416">
        <v>511</v>
      </c>
      <c r="F26" s="430"/>
      <c r="G26" s="430"/>
      <c r="H26" s="430"/>
      <c r="I26" s="606"/>
      <c r="J26" s="430"/>
      <c r="K26" s="430"/>
      <c r="L26" s="430"/>
      <c r="M26" s="430"/>
      <c r="N26" s="430"/>
      <c r="O26" s="430"/>
      <c r="P26" s="430"/>
      <c r="Q26" s="430"/>
      <c r="R26" s="412"/>
      <c r="S26" s="430"/>
      <c r="T26" s="430"/>
      <c r="U26" s="430"/>
      <c r="V26" s="606"/>
      <c r="W26" s="430"/>
      <c r="X26" s="430"/>
      <c r="Y26" s="430"/>
      <c r="Z26" s="430"/>
      <c r="AA26" s="430"/>
      <c r="AB26" s="430"/>
      <c r="AC26" s="430"/>
      <c r="AD26" s="430"/>
      <c r="AE26" s="412">
        <f t="shared" si="0"/>
        <v>0</v>
      </c>
    </row>
    <row r="27" spans="1:31" x14ac:dyDescent="0.2">
      <c r="A27" s="431"/>
      <c r="B27" s="428"/>
      <c r="C27" s="428"/>
      <c r="D27" s="420" t="s">
        <v>521</v>
      </c>
      <c r="E27" s="421">
        <v>511</v>
      </c>
      <c r="F27" s="430"/>
      <c r="G27" s="430"/>
      <c r="H27" s="430"/>
      <c r="I27" s="606"/>
      <c r="J27" s="430"/>
      <c r="K27" s="430"/>
      <c r="L27" s="430"/>
      <c r="M27" s="430"/>
      <c r="N27" s="430"/>
      <c r="O27" s="430"/>
      <c r="P27" s="430"/>
      <c r="Q27" s="430"/>
      <c r="R27" s="412"/>
      <c r="S27" s="430"/>
      <c r="T27" s="430"/>
      <c r="U27" s="430"/>
      <c r="V27" s="606"/>
      <c r="W27" s="430"/>
      <c r="X27" s="430"/>
      <c r="Y27" s="430"/>
      <c r="Z27" s="430"/>
      <c r="AA27" s="430"/>
      <c r="AB27" s="430"/>
      <c r="AC27" s="430"/>
      <c r="AD27" s="430"/>
      <c r="AE27" s="412">
        <f t="shared" si="0"/>
        <v>0</v>
      </c>
    </row>
    <row r="28" spans="1:31" x14ac:dyDescent="0.2">
      <c r="A28" s="431"/>
      <c r="B28" s="428"/>
      <c r="C28" s="428"/>
      <c r="D28" s="420" t="s">
        <v>517</v>
      </c>
      <c r="E28" s="421">
        <v>511</v>
      </c>
      <c r="F28" s="430"/>
      <c r="G28" s="430"/>
      <c r="H28" s="430"/>
      <c r="I28" s="606"/>
      <c r="J28" s="430"/>
      <c r="K28" s="430"/>
      <c r="L28" s="430"/>
      <c r="M28" s="430"/>
      <c r="N28" s="430"/>
      <c r="O28" s="430"/>
      <c r="P28" s="430"/>
      <c r="Q28" s="430"/>
      <c r="R28" s="412"/>
      <c r="S28" s="430"/>
      <c r="T28" s="430"/>
      <c r="U28" s="430"/>
      <c r="V28" s="606"/>
      <c r="W28" s="430"/>
      <c r="X28" s="430"/>
      <c r="Y28" s="430"/>
      <c r="Z28" s="430"/>
      <c r="AA28" s="430"/>
      <c r="AB28" s="430"/>
      <c r="AC28" s="430"/>
      <c r="AD28" s="430"/>
      <c r="AE28" s="412">
        <f t="shared" si="0"/>
        <v>0</v>
      </c>
    </row>
    <row r="29" spans="1:31" x14ac:dyDescent="0.2">
      <c r="A29" s="431"/>
      <c r="B29" s="428"/>
      <c r="C29" s="428"/>
      <c r="D29" s="420" t="s">
        <v>511</v>
      </c>
      <c r="E29" s="421">
        <v>711</v>
      </c>
      <c r="F29" s="430"/>
      <c r="G29" s="430"/>
      <c r="H29" s="430"/>
      <c r="I29" s="606"/>
      <c r="J29" s="430"/>
      <c r="K29" s="430"/>
      <c r="L29" s="430"/>
      <c r="M29" s="430"/>
      <c r="N29" s="430"/>
      <c r="O29" s="430"/>
      <c r="P29" s="430"/>
      <c r="Q29" s="430"/>
      <c r="R29" s="412"/>
      <c r="S29" s="430"/>
      <c r="T29" s="430"/>
      <c r="U29" s="430"/>
      <c r="V29" s="606"/>
      <c r="W29" s="430"/>
      <c r="X29" s="430"/>
      <c r="Y29" s="430"/>
      <c r="Z29" s="430"/>
      <c r="AA29" s="430"/>
      <c r="AB29" s="430"/>
      <c r="AC29" s="430"/>
      <c r="AD29" s="430"/>
      <c r="AE29" s="412">
        <f t="shared" si="0"/>
        <v>0</v>
      </c>
    </row>
    <row r="30" spans="1:31" x14ac:dyDescent="0.2">
      <c r="A30" s="576">
        <v>4</v>
      </c>
      <c r="B30" s="577" t="s">
        <v>522</v>
      </c>
      <c r="C30" s="577" t="s">
        <v>523</v>
      </c>
      <c r="D30" s="578" t="s">
        <v>505</v>
      </c>
      <c r="E30" s="579">
        <v>511</v>
      </c>
      <c r="F30" s="580"/>
      <c r="G30" s="580"/>
      <c r="H30" s="580"/>
      <c r="I30" s="609"/>
      <c r="J30" s="580"/>
      <c r="K30" s="580"/>
      <c r="L30" s="580"/>
      <c r="M30" s="580"/>
      <c r="N30" s="580"/>
      <c r="O30" s="580"/>
      <c r="P30" s="580"/>
      <c r="Q30" s="580"/>
      <c r="R30" s="581"/>
      <c r="S30" s="580"/>
      <c r="T30" s="580"/>
      <c r="U30" s="580"/>
      <c r="V30" s="609"/>
      <c r="W30" s="580"/>
      <c r="X30" s="580"/>
      <c r="Y30" s="580"/>
      <c r="Z30" s="580"/>
      <c r="AA30" s="580"/>
      <c r="AB30" s="580"/>
      <c r="AC30" s="580"/>
      <c r="AD30" s="580"/>
      <c r="AE30" s="581">
        <f t="shared" si="0"/>
        <v>0</v>
      </c>
    </row>
    <row r="31" spans="1:31" x14ac:dyDescent="0.2">
      <c r="A31" s="431"/>
      <c r="B31" s="428"/>
      <c r="C31" s="428"/>
      <c r="D31" s="420" t="s">
        <v>515</v>
      </c>
      <c r="E31" s="421">
        <v>511</v>
      </c>
      <c r="F31" s="430"/>
      <c r="G31" s="430"/>
      <c r="H31" s="430"/>
      <c r="I31" s="606"/>
      <c r="J31" s="430"/>
      <c r="K31" s="430"/>
      <c r="L31" s="430"/>
      <c r="M31" s="430"/>
      <c r="N31" s="430"/>
      <c r="O31" s="430"/>
      <c r="P31" s="430"/>
      <c r="Q31" s="430"/>
      <c r="R31" s="412"/>
      <c r="S31" s="430"/>
      <c r="T31" s="430"/>
      <c r="U31" s="430"/>
      <c r="V31" s="606"/>
      <c r="W31" s="430"/>
      <c r="X31" s="430"/>
      <c r="Y31" s="430"/>
      <c r="Z31" s="430"/>
      <c r="AA31" s="430"/>
      <c r="AB31" s="430"/>
      <c r="AC31" s="430"/>
      <c r="AD31" s="430"/>
      <c r="AE31" s="412">
        <f t="shared" si="0"/>
        <v>0</v>
      </c>
    </row>
    <row r="32" spans="1:31" x14ac:dyDescent="0.2">
      <c r="A32" s="431"/>
      <c r="B32" s="428"/>
      <c r="C32" s="428"/>
      <c r="D32" s="420" t="s">
        <v>506</v>
      </c>
      <c r="E32" s="421">
        <v>511</v>
      </c>
      <c r="F32" s="430"/>
      <c r="G32" s="430"/>
      <c r="H32" s="430"/>
      <c r="I32" s="606"/>
      <c r="J32" s="430"/>
      <c r="K32" s="430"/>
      <c r="L32" s="430"/>
      <c r="M32" s="430"/>
      <c r="N32" s="430"/>
      <c r="O32" s="430"/>
      <c r="P32" s="430"/>
      <c r="Q32" s="430"/>
      <c r="R32" s="412"/>
      <c r="S32" s="430"/>
      <c r="T32" s="430"/>
      <c r="U32" s="430"/>
      <c r="V32" s="606"/>
      <c r="W32" s="430"/>
      <c r="X32" s="430"/>
      <c r="Y32" s="430"/>
      <c r="Z32" s="430"/>
      <c r="AA32" s="430"/>
      <c r="AB32" s="430"/>
      <c r="AC32" s="430"/>
      <c r="AD32" s="430"/>
      <c r="AE32" s="412">
        <f t="shared" si="0"/>
        <v>0</v>
      </c>
    </row>
    <row r="33" spans="1:32" x14ac:dyDescent="0.2">
      <c r="A33" s="431"/>
      <c r="B33" s="428"/>
      <c r="C33" s="428"/>
      <c r="D33" s="420" t="s">
        <v>516</v>
      </c>
      <c r="E33" s="421">
        <v>511</v>
      </c>
      <c r="F33" s="430"/>
      <c r="G33" s="430"/>
      <c r="H33" s="430"/>
      <c r="I33" s="606"/>
      <c r="J33" s="430"/>
      <c r="K33" s="430"/>
      <c r="L33" s="430"/>
      <c r="M33" s="430"/>
      <c r="N33" s="430"/>
      <c r="O33" s="430"/>
      <c r="P33" s="430"/>
      <c r="Q33" s="430"/>
      <c r="R33" s="412"/>
      <c r="S33" s="430"/>
      <c r="T33" s="430"/>
      <c r="U33" s="430"/>
      <c r="V33" s="606"/>
      <c r="W33" s="430"/>
      <c r="X33" s="430"/>
      <c r="Y33" s="430"/>
      <c r="Z33" s="430"/>
      <c r="AA33" s="430"/>
      <c r="AB33" s="430"/>
      <c r="AC33" s="430"/>
      <c r="AD33" s="430"/>
      <c r="AE33" s="412">
        <f t="shared" si="0"/>
        <v>0</v>
      </c>
    </row>
    <row r="34" spans="1:32" x14ac:dyDescent="0.2">
      <c r="A34" s="431"/>
      <c r="B34" s="428"/>
      <c r="C34" s="428"/>
      <c r="D34" s="420" t="s">
        <v>518</v>
      </c>
      <c r="E34" s="421">
        <v>511</v>
      </c>
      <c r="F34" s="430"/>
      <c r="G34" s="430"/>
      <c r="H34" s="430"/>
      <c r="I34" s="606"/>
      <c r="J34" s="430"/>
      <c r="K34" s="430"/>
      <c r="L34" s="430"/>
      <c r="M34" s="430"/>
      <c r="N34" s="430"/>
      <c r="O34" s="430"/>
      <c r="P34" s="430"/>
      <c r="Q34" s="430"/>
      <c r="R34" s="412"/>
      <c r="S34" s="430"/>
      <c r="T34" s="430"/>
      <c r="U34" s="430"/>
      <c r="V34" s="606"/>
      <c r="W34" s="430"/>
      <c r="X34" s="430"/>
      <c r="Y34" s="430"/>
      <c r="Z34" s="430"/>
      <c r="AA34" s="430"/>
      <c r="AB34" s="430"/>
      <c r="AC34" s="430"/>
      <c r="AD34" s="430"/>
      <c r="AE34" s="412">
        <f t="shared" si="0"/>
        <v>0</v>
      </c>
    </row>
    <row r="35" spans="1:32" x14ac:dyDescent="0.2">
      <c r="A35" s="431"/>
      <c r="B35" s="428"/>
      <c r="C35" s="428"/>
      <c r="D35" s="420" t="s">
        <v>507</v>
      </c>
      <c r="E35" s="421">
        <v>711</v>
      </c>
      <c r="F35" s="429"/>
      <c r="G35" s="430"/>
      <c r="H35" s="430"/>
      <c r="I35" s="606"/>
      <c r="J35" s="430"/>
      <c r="K35" s="430"/>
      <c r="L35" s="430"/>
      <c r="M35" s="430"/>
      <c r="N35" s="430"/>
      <c r="O35" s="430"/>
      <c r="P35" s="430"/>
      <c r="Q35" s="430"/>
      <c r="R35" s="412"/>
      <c r="S35" s="429"/>
      <c r="T35" s="430"/>
      <c r="U35" s="430"/>
      <c r="V35" s="606"/>
      <c r="W35" s="430"/>
      <c r="X35" s="430"/>
      <c r="Y35" s="430"/>
      <c r="Z35" s="430"/>
      <c r="AA35" s="430"/>
      <c r="AB35" s="430"/>
      <c r="AC35" s="430"/>
      <c r="AD35" s="430"/>
      <c r="AE35" s="412">
        <f t="shared" si="0"/>
        <v>0</v>
      </c>
    </row>
    <row r="36" spans="1:32" x14ac:dyDescent="0.2">
      <c r="A36" s="433"/>
      <c r="B36" s="428"/>
      <c r="C36" s="428"/>
      <c r="D36" s="420" t="s">
        <v>511</v>
      </c>
      <c r="E36" s="437">
        <v>7118</v>
      </c>
      <c r="F36" s="430"/>
      <c r="G36" s="430"/>
      <c r="H36" s="430"/>
      <c r="I36" s="606"/>
      <c r="J36" s="430"/>
      <c r="K36" s="430"/>
      <c r="L36" s="430"/>
      <c r="M36" s="430"/>
      <c r="N36" s="430"/>
      <c r="O36" s="430"/>
      <c r="P36" s="430"/>
      <c r="Q36" s="430"/>
      <c r="R36" s="412"/>
      <c r="S36" s="430"/>
      <c r="T36" s="430"/>
      <c r="U36" s="430"/>
      <c r="V36" s="606"/>
      <c r="W36" s="430"/>
      <c r="X36" s="430"/>
      <c r="Y36" s="430"/>
      <c r="Z36" s="430"/>
      <c r="AA36" s="430"/>
      <c r="AB36" s="430"/>
      <c r="AC36" s="430"/>
      <c r="AD36" s="430"/>
      <c r="AE36" s="412">
        <f t="shared" si="0"/>
        <v>0</v>
      </c>
    </row>
    <row r="37" spans="1:32" x14ac:dyDescent="0.2">
      <c r="A37" s="576">
        <v>5</v>
      </c>
      <c r="B37" s="577" t="s">
        <v>524</v>
      </c>
      <c r="C37" s="577" t="s">
        <v>525</v>
      </c>
      <c r="D37" s="578" t="s">
        <v>505</v>
      </c>
      <c r="E37" s="579">
        <v>511</v>
      </c>
      <c r="F37" s="582"/>
      <c r="G37" s="580"/>
      <c r="H37" s="580"/>
      <c r="I37" s="609"/>
      <c r="J37" s="580"/>
      <c r="K37" s="580"/>
      <c r="L37" s="580"/>
      <c r="M37" s="580"/>
      <c r="N37" s="580"/>
      <c r="O37" s="580"/>
      <c r="P37" s="580"/>
      <c r="Q37" s="580"/>
      <c r="R37" s="581"/>
      <c r="S37" s="582"/>
      <c r="T37" s="580"/>
      <c r="U37" s="580"/>
      <c r="V37" s="609"/>
      <c r="W37" s="580"/>
      <c r="X37" s="580"/>
      <c r="Y37" s="580"/>
      <c r="Z37" s="580"/>
      <c r="AA37" s="580"/>
      <c r="AB37" s="580"/>
      <c r="AC37" s="580"/>
      <c r="AD37" s="580"/>
      <c r="AE37" s="581">
        <f t="shared" si="0"/>
        <v>0</v>
      </c>
    </row>
    <row r="38" spans="1:32" x14ac:dyDescent="0.2">
      <c r="A38" s="433"/>
      <c r="B38" s="428"/>
      <c r="C38" s="428"/>
      <c r="D38" s="420" t="s">
        <v>515</v>
      </c>
      <c r="E38" s="421">
        <v>511</v>
      </c>
      <c r="F38" s="429"/>
      <c r="G38" s="430"/>
      <c r="H38" s="430"/>
      <c r="I38" s="606"/>
      <c r="J38" s="430"/>
      <c r="K38" s="430"/>
      <c r="L38" s="430"/>
      <c r="M38" s="430"/>
      <c r="N38" s="430"/>
      <c r="O38" s="430"/>
      <c r="P38" s="430"/>
      <c r="Q38" s="430"/>
      <c r="R38" s="412"/>
      <c r="S38" s="429"/>
      <c r="T38" s="430"/>
      <c r="U38" s="430"/>
      <c r="V38" s="606"/>
      <c r="W38" s="430"/>
      <c r="X38" s="430"/>
      <c r="Y38" s="430"/>
      <c r="Z38" s="430"/>
      <c r="AA38" s="430"/>
      <c r="AB38" s="430"/>
      <c r="AC38" s="430"/>
      <c r="AD38" s="430"/>
      <c r="AE38" s="412">
        <f t="shared" si="0"/>
        <v>0</v>
      </c>
    </row>
    <row r="39" spans="1:32" x14ac:dyDescent="0.2">
      <c r="A39" s="433"/>
      <c r="B39" s="428"/>
      <c r="C39" s="428"/>
      <c r="D39" s="420" t="s">
        <v>507</v>
      </c>
      <c r="E39" s="421">
        <v>711</v>
      </c>
      <c r="F39" s="430"/>
      <c r="G39" s="430"/>
      <c r="H39" s="430"/>
      <c r="I39" s="606"/>
      <c r="J39" s="430"/>
      <c r="K39" s="430"/>
      <c r="L39" s="430"/>
      <c r="M39" s="430"/>
      <c r="N39" s="430"/>
      <c r="O39" s="430"/>
      <c r="P39" s="430"/>
      <c r="Q39" s="430"/>
      <c r="R39" s="412"/>
      <c r="S39" s="430"/>
      <c r="T39" s="430"/>
      <c r="U39" s="430"/>
      <c r="V39" s="606"/>
      <c r="W39" s="430"/>
      <c r="X39" s="430"/>
      <c r="Y39" s="430"/>
      <c r="Z39" s="430"/>
      <c r="AA39" s="430"/>
      <c r="AB39" s="430"/>
      <c r="AC39" s="430"/>
      <c r="AD39" s="430"/>
      <c r="AE39" s="412">
        <f t="shared" si="0"/>
        <v>0</v>
      </c>
    </row>
    <row r="40" spans="1:32" x14ac:dyDescent="0.2">
      <c r="A40" s="433"/>
      <c r="B40" s="428"/>
      <c r="C40" s="428"/>
      <c r="D40" s="420" t="s">
        <v>506</v>
      </c>
      <c r="E40" s="421">
        <v>511</v>
      </c>
      <c r="F40" s="430"/>
      <c r="G40" s="430"/>
      <c r="H40" s="430"/>
      <c r="I40" s="606"/>
      <c r="J40" s="430"/>
      <c r="K40" s="430"/>
      <c r="L40" s="430"/>
      <c r="M40" s="430"/>
      <c r="N40" s="430"/>
      <c r="O40" s="430"/>
      <c r="P40" s="430"/>
      <c r="Q40" s="430"/>
      <c r="R40" s="412"/>
      <c r="S40" s="430"/>
      <c r="T40" s="430"/>
      <c r="U40" s="430"/>
      <c r="V40" s="606"/>
      <c r="W40" s="430"/>
      <c r="X40" s="430"/>
      <c r="Y40" s="430"/>
      <c r="Z40" s="430"/>
      <c r="AA40" s="430"/>
      <c r="AB40" s="430"/>
      <c r="AC40" s="430"/>
      <c r="AD40" s="430"/>
      <c r="AE40" s="412">
        <f t="shared" si="0"/>
        <v>0</v>
      </c>
    </row>
    <row r="41" spans="1:32" x14ac:dyDescent="0.2">
      <c r="A41" s="433"/>
      <c r="B41" s="428"/>
      <c r="C41" s="428"/>
      <c r="D41" s="420" t="s">
        <v>518</v>
      </c>
      <c r="E41" s="421">
        <v>511</v>
      </c>
      <c r="F41" s="430"/>
      <c r="G41" s="430"/>
      <c r="H41" s="430"/>
      <c r="I41" s="606"/>
      <c r="J41" s="430"/>
      <c r="K41" s="430"/>
      <c r="L41" s="430"/>
      <c r="M41" s="430"/>
      <c r="N41" s="430"/>
      <c r="O41" s="430"/>
      <c r="P41" s="430"/>
      <c r="Q41" s="430"/>
      <c r="R41" s="412"/>
      <c r="S41" s="430"/>
      <c r="T41" s="430"/>
      <c r="U41" s="430"/>
      <c r="V41" s="606"/>
      <c r="W41" s="430"/>
      <c r="X41" s="430"/>
      <c r="Y41" s="430"/>
      <c r="Z41" s="430"/>
      <c r="AA41" s="430"/>
      <c r="AB41" s="430"/>
      <c r="AC41" s="430"/>
      <c r="AD41" s="430"/>
      <c r="AE41" s="412">
        <f t="shared" si="0"/>
        <v>0</v>
      </c>
    </row>
    <row r="42" spans="1:32" x14ac:dyDescent="0.2">
      <c r="A42" s="433"/>
      <c r="B42" s="428"/>
      <c r="C42" s="428"/>
      <c r="D42" s="420" t="s">
        <v>516</v>
      </c>
      <c r="E42" s="421">
        <v>511</v>
      </c>
      <c r="F42" s="430"/>
      <c r="G42" s="430"/>
      <c r="H42" s="430"/>
      <c r="I42" s="606"/>
      <c r="J42" s="430"/>
      <c r="K42" s="430"/>
      <c r="L42" s="430"/>
      <c r="M42" s="430"/>
      <c r="N42" s="430"/>
      <c r="O42" s="430"/>
      <c r="P42" s="430"/>
      <c r="Q42" s="430"/>
      <c r="R42" s="412"/>
      <c r="S42" s="430"/>
      <c r="T42" s="430"/>
      <c r="U42" s="430"/>
      <c r="V42" s="606"/>
      <c r="W42" s="430"/>
      <c r="X42" s="430"/>
      <c r="Y42" s="430"/>
      <c r="Z42" s="430"/>
      <c r="AA42" s="430"/>
      <c r="AB42" s="430"/>
      <c r="AC42" s="430"/>
      <c r="AD42" s="430"/>
      <c r="AE42" s="412">
        <f t="shared" si="0"/>
        <v>0</v>
      </c>
    </row>
    <row r="43" spans="1:32" x14ac:dyDescent="0.2">
      <c r="A43" s="433"/>
      <c r="B43" s="428"/>
      <c r="C43" s="428"/>
      <c r="D43" s="420" t="s">
        <v>526</v>
      </c>
      <c r="E43" s="421">
        <v>711</v>
      </c>
      <c r="F43" s="430"/>
      <c r="G43" s="430"/>
      <c r="H43" s="430"/>
      <c r="I43" s="606"/>
      <c r="J43" s="430"/>
      <c r="K43" s="430"/>
      <c r="L43" s="430"/>
      <c r="M43" s="430"/>
      <c r="N43" s="430"/>
      <c r="O43" s="430"/>
      <c r="P43" s="430"/>
      <c r="Q43" s="430"/>
      <c r="R43" s="412"/>
      <c r="S43" s="430"/>
      <c r="T43" s="430"/>
      <c r="U43" s="430"/>
      <c r="V43" s="606"/>
      <c r="W43" s="430"/>
      <c r="X43" s="430"/>
      <c r="Y43" s="430"/>
      <c r="Z43" s="430"/>
      <c r="AA43" s="430"/>
      <c r="AB43" s="430"/>
      <c r="AC43" s="430"/>
      <c r="AD43" s="430"/>
      <c r="AE43" s="412">
        <f t="shared" si="0"/>
        <v>0</v>
      </c>
    </row>
    <row r="44" spans="1:32" x14ac:dyDescent="0.2">
      <c r="A44" s="433"/>
      <c r="B44" s="428"/>
      <c r="C44" s="428"/>
      <c r="D44" s="420" t="s">
        <v>511</v>
      </c>
      <c r="E44" s="421" t="s">
        <v>512</v>
      </c>
      <c r="F44" s="430"/>
      <c r="G44" s="430"/>
      <c r="H44" s="430"/>
      <c r="I44" s="606"/>
      <c r="J44" s="430"/>
      <c r="K44" s="430"/>
      <c r="L44" s="430"/>
      <c r="M44" s="430"/>
      <c r="N44" s="430"/>
      <c r="O44" s="430"/>
      <c r="P44" s="430"/>
      <c r="Q44" s="430"/>
      <c r="R44" s="412"/>
      <c r="S44" s="430"/>
      <c r="T44" s="430"/>
      <c r="U44" s="430"/>
      <c r="V44" s="606"/>
      <c r="W44" s="430"/>
      <c r="X44" s="430"/>
      <c r="Y44" s="430"/>
      <c r="Z44" s="430"/>
      <c r="AA44" s="430"/>
      <c r="AB44" s="430"/>
      <c r="AC44" s="430"/>
      <c r="AD44" s="430"/>
      <c r="AE44" s="412">
        <f t="shared" si="0"/>
        <v>0</v>
      </c>
    </row>
    <row r="45" spans="1:32" x14ac:dyDescent="0.2">
      <c r="A45" s="576">
        <v>6</v>
      </c>
      <c r="B45" s="577" t="s">
        <v>527</v>
      </c>
      <c r="C45" s="577" t="s">
        <v>528</v>
      </c>
      <c r="D45" s="578" t="s">
        <v>505</v>
      </c>
      <c r="E45" s="579">
        <v>511</v>
      </c>
      <c r="F45" s="580"/>
      <c r="G45" s="580"/>
      <c r="H45" s="580"/>
      <c r="I45" s="609"/>
      <c r="J45" s="580"/>
      <c r="K45" s="580"/>
      <c r="L45" s="580"/>
      <c r="M45" s="580"/>
      <c r="N45" s="580"/>
      <c r="O45" s="580"/>
      <c r="P45" s="580"/>
      <c r="Q45" s="580"/>
      <c r="R45" s="581"/>
      <c r="S45" s="580"/>
      <c r="T45" s="580"/>
      <c r="U45" s="580"/>
      <c r="V45" s="609"/>
      <c r="W45" s="580"/>
      <c r="X45" s="580"/>
      <c r="Y45" s="580"/>
      <c r="Z45" s="580"/>
      <c r="AA45" s="580"/>
      <c r="AB45" s="580"/>
      <c r="AC45" s="580"/>
      <c r="AD45" s="580"/>
      <c r="AE45" s="581">
        <f t="shared" si="0"/>
        <v>0</v>
      </c>
      <c r="AF45" s="438"/>
    </row>
    <row r="46" spans="1:32" x14ac:dyDescent="0.2">
      <c r="A46" s="406"/>
      <c r="B46" s="439"/>
      <c r="C46" s="439"/>
      <c r="D46" s="420" t="s">
        <v>515</v>
      </c>
      <c r="E46" s="416">
        <v>511</v>
      </c>
      <c r="F46" s="430"/>
      <c r="G46" s="430"/>
      <c r="H46" s="430"/>
      <c r="I46" s="606"/>
      <c r="J46" s="430"/>
      <c r="K46" s="430"/>
      <c r="L46" s="430"/>
      <c r="M46" s="430"/>
      <c r="N46" s="430"/>
      <c r="O46" s="430"/>
      <c r="P46" s="430"/>
      <c r="Q46" s="430"/>
      <c r="R46" s="412"/>
      <c r="S46" s="430"/>
      <c r="T46" s="430"/>
      <c r="U46" s="430"/>
      <c r="V46" s="606"/>
      <c r="W46" s="430"/>
      <c r="X46" s="430"/>
      <c r="Y46" s="430"/>
      <c r="Z46" s="430"/>
      <c r="AA46" s="430"/>
      <c r="AB46" s="430"/>
      <c r="AC46" s="430"/>
      <c r="AD46" s="430"/>
      <c r="AE46" s="412">
        <f t="shared" si="0"/>
        <v>0</v>
      </c>
    </row>
    <row r="47" spans="1:32" x14ac:dyDescent="0.2">
      <c r="A47" s="406"/>
      <c r="B47" s="439"/>
      <c r="C47" s="439"/>
      <c r="D47" s="420" t="s">
        <v>506</v>
      </c>
      <c r="E47" s="416">
        <v>511</v>
      </c>
      <c r="F47" s="429"/>
      <c r="G47" s="430"/>
      <c r="H47" s="430"/>
      <c r="I47" s="606"/>
      <c r="J47" s="430"/>
      <c r="K47" s="430"/>
      <c r="L47" s="430"/>
      <c r="M47" s="430"/>
      <c r="N47" s="430"/>
      <c r="O47" s="430"/>
      <c r="P47" s="430"/>
      <c r="Q47" s="430"/>
      <c r="R47" s="412"/>
      <c r="S47" s="429"/>
      <c r="T47" s="430"/>
      <c r="U47" s="430"/>
      <c r="V47" s="606"/>
      <c r="W47" s="430"/>
      <c r="X47" s="430"/>
      <c r="Y47" s="430"/>
      <c r="Z47" s="430"/>
      <c r="AA47" s="430"/>
      <c r="AB47" s="430"/>
      <c r="AC47" s="430"/>
      <c r="AD47" s="430"/>
      <c r="AE47" s="412">
        <f t="shared" si="0"/>
        <v>0</v>
      </c>
    </row>
    <row r="48" spans="1:32" x14ac:dyDescent="0.2">
      <c r="A48" s="406"/>
      <c r="B48" s="439"/>
      <c r="C48" s="439"/>
      <c r="D48" s="420" t="s">
        <v>529</v>
      </c>
      <c r="E48" s="416">
        <v>511</v>
      </c>
      <c r="F48" s="430"/>
      <c r="G48" s="430"/>
      <c r="H48" s="430"/>
      <c r="I48" s="606"/>
      <c r="J48" s="430"/>
      <c r="K48" s="430"/>
      <c r="L48" s="430"/>
      <c r="M48" s="430"/>
      <c r="N48" s="430"/>
      <c r="O48" s="430"/>
      <c r="P48" s="430"/>
      <c r="Q48" s="430"/>
      <c r="R48" s="412"/>
      <c r="S48" s="430"/>
      <c r="T48" s="430"/>
      <c r="U48" s="430"/>
      <c r="V48" s="606"/>
      <c r="W48" s="430"/>
      <c r="X48" s="430"/>
      <c r="Y48" s="430"/>
      <c r="Z48" s="430"/>
      <c r="AA48" s="430"/>
      <c r="AB48" s="430"/>
      <c r="AC48" s="430"/>
      <c r="AD48" s="430"/>
      <c r="AE48" s="412">
        <f t="shared" si="0"/>
        <v>0</v>
      </c>
    </row>
    <row r="49" spans="1:32" x14ac:dyDescent="0.2">
      <c r="A49" s="406"/>
      <c r="B49" s="439"/>
      <c r="C49" s="439"/>
      <c r="D49" s="420" t="s">
        <v>516</v>
      </c>
      <c r="E49" s="421">
        <v>511</v>
      </c>
      <c r="F49" s="430"/>
      <c r="G49" s="430"/>
      <c r="H49" s="430"/>
      <c r="I49" s="606"/>
      <c r="J49" s="430"/>
      <c r="K49" s="430"/>
      <c r="L49" s="430"/>
      <c r="M49" s="430"/>
      <c r="N49" s="430"/>
      <c r="O49" s="430"/>
      <c r="P49" s="430"/>
      <c r="Q49" s="430"/>
      <c r="R49" s="412"/>
      <c r="S49" s="430"/>
      <c r="T49" s="430"/>
      <c r="U49" s="430"/>
      <c r="V49" s="606"/>
      <c r="W49" s="430"/>
      <c r="X49" s="430"/>
      <c r="Y49" s="430"/>
      <c r="Z49" s="430"/>
      <c r="AA49" s="430"/>
      <c r="AB49" s="430"/>
      <c r="AC49" s="430"/>
      <c r="AD49" s="430"/>
      <c r="AE49" s="412">
        <f t="shared" si="0"/>
        <v>0</v>
      </c>
    </row>
    <row r="50" spans="1:32" x14ac:dyDescent="0.2">
      <c r="A50" s="406"/>
      <c r="B50" s="439"/>
      <c r="C50" s="439"/>
      <c r="D50" s="420" t="s">
        <v>530</v>
      </c>
      <c r="E50" s="421">
        <v>511</v>
      </c>
      <c r="F50" s="430"/>
      <c r="G50" s="430"/>
      <c r="H50" s="430"/>
      <c r="I50" s="606"/>
      <c r="J50" s="430"/>
      <c r="K50" s="430"/>
      <c r="L50" s="430"/>
      <c r="M50" s="430"/>
      <c r="N50" s="430"/>
      <c r="O50" s="430"/>
      <c r="P50" s="430"/>
      <c r="Q50" s="430"/>
      <c r="R50" s="412"/>
      <c r="S50" s="430"/>
      <c r="T50" s="430"/>
      <c r="U50" s="430"/>
      <c r="V50" s="606"/>
      <c r="W50" s="430"/>
      <c r="X50" s="430"/>
      <c r="Y50" s="430"/>
      <c r="Z50" s="430"/>
      <c r="AA50" s="430"/>
      <c r="AB50" s="430"/>
      <c r="AC50" s="430"/>
      <c r="AD50" s="430"/>
      <c r="AE50" s="412">
        <f t="shared" si="0"/>
        <v>0</v>
      </c>
    </row>
    <row r="51" spans="1:32" x14ac:dyDescent="0.2">
      <c r="A51" s="406"/>
      <c r="B51" s="439"/>
      <c r="C51" s="439"/>
      <c r="D51" s="420" t="s">
        <v>507</v>
      </c>
      <c r="E51" s="421">
        <v>711</v>
      </c>
      <c r="F51" s="430"/>
      <c r="G51" s="430"/>
      <c r="H51" s="430"/>
      <c r="I51" s="606"/>
      <c r="J51" s="430"/>
      <c r="K51" s="430"/>
      <c r="L51" s="430"/>
      <c r="M51" s="430"/>
      <c r="N51" s="430"/>
      <c r="O51" s="430"/>
      <c r="P51" s="430"/>
      <c r="Q51" s="430"/>
      <c r="R51" s="412"/>
      <c r="S51" s="430"/>
      <c r="T51" s="430"/>
      <c r="U51" s="430"/>
      <c r="V51" s="606"/>
      <c r="W51" s="430"/>
      <c r="X51" s="430"/>
      <c r="Y51" s="430"/>
      <c r="Z51" s="430"/>
      <c r="AA51" s="430"/>
      <c r="AB51" s="430"/>
      <c r="AC51" s="430"/>
      <c r="AD51" s="430"/>
      <c r="AE51" s="412">
        <f t="shared" si="0"/>
        <v>0</v>
      </c>
    </row>
    <row r="52" spans="1:32" x14ac:dyDescent="0.2">
      <c r="A52" s="440"/>
      <c r="B52" s="441"/>
      <c r="C52" s="441"/>
      <c r="D52" s="442" t="s">
        <v>511</v>
      </c>
      <c r="E52" s="425" t="s">
        <v>512</v>
      </c>
      <c r="F52" s="435"/>
      <c r="G52" s="435"/>
      <c r="H52" s="435"/>
      <c r="I52" s="610"/>
      <c r="J52" s="435"/>
      <c r="K52" s="435"/>
      <c r="L52" s="435"/>
      <c r="M52" s="435"/>
      <c r="N52" s="435"/>
      <c r="O52" s="435"/>
      <c r="P52" s="435"/>
      <c r="Q52" s="435"/>
      <c r="R52" s="436"/>
      <c r="S52" s="435"/>
      <c r="T52" s="435"/>
      <c r="U52" s="435"/>
      <c r="V52" s="610"/>
      <c r="W52" s="435"/>
      <c r="X52" s="435"/>
      <c r="Y52" s="435"/>
      <c r="Z52" s="435"/>
      <c r="AA52" s="435"/>
      <c r="AB52" s="435"/>
      <c r="AC52" s="435"/>
      <c r="AD52" s="435"/>
      <c r="AE52" s="436">
        <f t="shared" si="0"/>
        <v>0</v>
      </c>
    </row>
    <row r="53" spans="1:32" x14ac:dyDescent="0.2">
      <c r="A53" s="576">
        <v>7</v>
      </c>
      <c r="B53" s="577" t="s">
        <v>531</v>
      </c>
      <c r="C53" s="577" t="s">
        <v>532</v>
      </c>
      <c r="D53" s="578" t="s">
        <v>505</v>
      </c>
      <c r="E53" s="583">
        <v>511</v>
      </c>
      <c r="F53" s="580"/>
      <c r="G53" s="580"/>
      <c r="H53" s="580"/>
      <c r="I53" s="609"/>
      <c r="J53" s="580"/>
      <c r="K53" s="580"/>
      <c r="L53" s="580"/>
      <c r="M53" s="580"/>
      <c r="N53" s="580"/>
      <c r="O53" s="580"/>
      <c r="P53" s="580"/>
      <c r="Q53" s="580"/>
      <c r="R53" s="581"/>
      <c r="S53" s="580"/>
      <c r="T53" s="580"/>
      <c r="U53" s="580"/>
      <c r="V53" s="609"/>
      <c r="W53" s="580"/>
      <c r="X53" s="580"/>
      <c r="Y53" s="580"/>
      <c r="Z53" s="580"/>
      <c r="AA53" s="580"/>
      <c r="AB53" s="580"/>
      <c r="AC53" s="580"/>
      <c r="AD53" s="580"/>
      <c r="AE53" s="581">
        <f t="shared" si="0"/>
        <v>0</v>
      </c>
    </row>
    <row r="54" spans="1:32" x14ac:dyDescent="0.2">
      <c r="A54" s="406"/>
      <c r="B54" s="443"/>
      <c r="C54" s="443"/>
      <c r="D54" s="432" t="s">
        <v>515</v>
      </c>
      <c r="E54" s="444">
        <v>511</v>
      </c>
      <c r="F54" s="410"/>
      <c r="G54" s="410"/>
      <c r="H54" s="410"/>
      <c r="I54" s="606"/>
      <c r="J54" s="410"/>
      <c r="K54" s="410"/>
      <c r="L54" s="410"/>
      <c r="M54" s="410"/>
      <c r="N54" s="410"/>
      <c r="O54" s="410"/>
      <c r="P54" s="410"/>
      <c r="Q54" s="410"/>
      <c r="R54" s="412"/>
      <c r="S54" s="410"/>
      <c r="T54" s="410"/>
      <c r="U54" s="410"/>
      <c r="V54" s="606"/>
      <c r="W54" s="410"/>
      <c r="X54" s="410"/>
      <c r="Y54" s="410"/>
      <c r="Z54" s="410"/>
      <c r="AA54" s="410"/>
      <c r="AB54" s="410"/>
      <c r="AC54" s="410"/>
      <c r="AD54" s="410"/>
      <c r="AE54" s="412">
        <f t="shared" si="0"/>
        <v>0</v>
      </c>
    </row>
    <row r="55" spans="1:32" x14ac:dyDescent="0.2">
      <c r="A55" s="406"/>
      <c r="B55" s="443"/>
      <c r="C55" s="443"/>
      <c r="D55" s="432" t="s">
        <v>506</v>
      </c>
      <c r="E55" s="444">
        <v>511</v>
      </c>
      <c r="F55" s="410"/>
      <c r="G55" s="410"/>
      <c r="H55" s="410"/>
      <c r="I55" s="606"/>
      <c r="J55" s="410"/>
      <c r="K55" s="410"/>
      <c r="L55" s="410"/>
      <c r="M55" s="410"/>
      <c r="N55" s="410"/>
      <c r="O55" s="410"/>
      <c r="P55" s="410"/>
      <c r="Q55" s="410"/>
      <c r="R55" s="412"/>
      <c r="S55" s="410"/>
      <c r="T55" s="410"/>
      <c r="U55" s="410"/>
      <c r="V55" s="606"/>
      <c r="W55" s="410"/>
      <c r="X55" s="410"/>
      <c r="Y55" s="410"/>
      <c r="Z55" s="410"/>
      <c r="AA55" s="410"/>
      <c r="AB55" s="410"/>
      <c r="AC55" s="410"/>
      <c r="AD55" s="410"/>
      <c r="AE55" s="412">
        <f t="shared" si="0"/>
        <v>0</v>
      </c>
    </row>
    <row r="56" spans="1:32" x14ac:dyDescent="0.2">
      <c r="A56" s="406"/>
      <c r="B56" s="443"/>
      <c r="C56" s="443"/>
      <c r="D56" s="432" t="s">
        <v>529</v>
      </c>
      <c r="E56" s="444">
        <v>511</v>
      </c>
      <c r="F56" s="410"/>
      <c r="G56" s="410"/>
      <c r="H56" s="410"/>
      <c r="I56" s="606"/>
      <c r="J56" s="410"/>
      <c r="K56" s="410"/>
      <c r="L56" s="410"/>
      <c r="M56" s="410"/>
      <c r="N56" s="410"/>
      <c r="O56" s="410"/>
      <c r="P56" s="410"/>
      <c r="Q56" s="410"/>
      <c r="R56" s="412"/>
      <c r="S56" s="410"/>
      <c r="T56" s="410"/>
      <c r="U56" s="410"/>
      <c r="V56" s="606"/>
      <c r="W56" s="410"/>
      <c r="X56" s="410"/>
      <c r="Y56" s="410"/>
      <c r="Z56" s="410"/>
      <c r="AA56" s="410"/>
      <c r="AB56" s="410"/>
      <c r="AC56" s="410"/>
      <c r="AD56" s="410"/>
      <c r="AE56" s="412">
        <f t="shared" si="0"/>
        <v>0</v>
      </c>
    </row>
    <row r="57" spans="1:32" x14ac:dyDescent="0.2">
      <c r="A57" s="406"/>
      <c r="B57" s="443"/>
      <c r="C57" s="443"/>
      <c r="D57" s="432" t="s">
        <v>516</v>
      </c>
      <c r="E57" s="444">
        <v>511</v>
      </c>
      <c r="F57" s="410"/>
      <c r="G57" s="410"/>
      <c r="H57" s="410"/>
      <c r="I57" s="606"/>
      <c r="J57" s="410"/>
      <c r="K57" s="410"/>
      <c r="L57" s="410"/>
      <c r="M57" s="410"/>
      <c r="N57" s="410"/>
      <c r="O57" s="410"/>
      <c r="P57" s="410"/>
      <c r="Q57" s="410"/>
      <c r="R57" s="412"/>
      <c r="S57" s="410"/>
      <c r="T57" s="410"/>
      <c r="U57" s="410"/>
      <c r="V57" s="606"/>
      <c r="W57" s="410"/>
      <c r="X57" s="410"/>
      <c r="Y57" s="410"/>
      <c r="Z57" s="410"/>
      <c r="AA57" s="410"/>
      <c r="AB57" s="410"/>
      <c r="AC57" s="410"/>
      <c r="AD57" s="410"/>
      <c r="AE57" s="412">
        <f t="shared" si="0"/>
        <v>0</v>
      </c>
    </row>
    <row r="58" spans="1:32" x14ac:dyDescent="0.2">
      <c r="A58" s="406"/>
      <c r="B58" s="443"/>
      <c r="C58" s="443"/>
      <c r="D58" s="432" t="s">
        <v>530</v>
      </c>
      <c r="E58" s="444">
        <v>511</v>
      </c>
      <c r="F58" s="410"/>
      <c r="G58" s="410"/>
      <c r="H58" s="410"/>
      <c r="I58" s="606"/>
      <c r="J58" s="410"/>
      <c r="K58" s="410"/>
      <c r="L58" s="410"/>
      <c r="M58" s="410"/>
      <c r="N58" s="410"/>
      <c r="O58" s="410"/>
      <c r="P58" s="410"/>
      <c r="Q58" s="410"/>
      <c r="R58" s="412"/>
      <c r="S58" s="410"/>
      <c r="T58" s="410"/>
      <c r="U58" s="410"/>
      <c r="V58" s="606"/>
      <c r="W58" s="410"/>
      <c r="X58" s="410"/>
      <c r="Y58" s="410"/>
      <c r="Z58" s="410"/>
      <c r="AA58" s="410"/>
      <c r="AB58" s="410"/>
      <c r="AC58" s="410"/>
      <c r="AD58" s="410"/>
      <c r="AE58" s="412">
        <f t="shared" si="0"/>
        <v>0</v>
      </c>
    </row>
    <row r="59" spans="1:32" x14ac:dyDescent="0.2">
      <c r="A59" s="406"/>
      <c r="B59" s="443"/>
      <c r="C59" s="443"/>
      <c r="D59" s="432" t="s">
        <v>507</v>
      </c>
      <c r="E59" s="444">
        <v>711</v>
      </c>
      <c r="F59" s="410"/>
      <c r="G59" s="410"/>
      <c r="H59" s="410"/>
      <c r="I59" s="606"/>
      <c r="J59" s="410"/>
      <c r="K59" s="410"/>
      <c r="L59" s="410"/>
      <c r="M59" s="410"/>
      <c r="N59" s="410"/>
      <c r="O59" s="410"/>
      <c r="P59" s="410"/>
      <c r="Q59" s="410"/>
      <c r="R59" s="412"/>
      <c r="S59" s="410"/>
      <c r="T59" s="410"/>
      <c r="U59" s="410"/>
      <c r="V59" s="606"/>
      <c r="W59" s="410"/>
      <c r="X59" s="410"/>
      <c r="Y59" s="410"/>
      <c r="Z59" s="410"/>
      <c r="AA59" s="410"/>
      <c r="AB59" s="410"/>
      <c r="AC59" s="410"/>
      <c r="AD59" s="410"/>
      <c r="AE59" s="412">
        <f t="shared" si="0"/>
        <v>0</v>
      </c>
    </row>
    <row r="60" spans="1:32" x14ac:dyDescent="0.2">
      <c r="A60" s="406"/>
      <c r="B60" s="443"/>
      <c r="C60" s="443"/>
      <c r="D60" s="432" t="s">
        <v>511</v>
      </c>
      <c r="E60" s="444" t="s">
        <v>512</v>
      </c>
      <c r="F60" s="410"/>
      <c r="G60" s="410"/>
      <c r="H60" s="410"/>
      <c r="I60" s="606"/>
      <c r="J60" s="410"/>
      <c r="K60" s="410"/>
      <c r="L60" s="410"/>
      <c r="M60" s="410"/>
      <c r="N60" s="410"/>
      <c r="O60" s="410"/>
      <c r="P60" s="410"/>
      <c r="Q60" s="410"/>
      <c r="R60" s="412"/>
      <c r="S60" s="410"/>
      <c r="T60" s="410"/>
      <c r="U60" s="410"/>
      <c r="V60" s="606"/>
      <c r="W60" s="410"/>
      <c r="X60" s="410"/>
      <c r="Y60" s="410"/>
      <c r="Z60" s="410"/>
      <c r="AA60" s="410"/>
      <c r="AB60" s="410"/>
      <c r="AC60" s="410"/>
      <c r="AD60" s="410"/>
      <c r="AE60" s="412">
        <f t="shared" si="0"/>
        <v>0</v>
      </c>
    </row>
    <row r="61" spans="1:32" x14ac:dyDescent="0.2">
      <c r="A61" s="576">
        <v>8</v>
      </c>
      <c r="B61" s="577" t="s">
        <v>533</v>
      </c>
      <c r="C61" s="577" t="s">
        <v>534</v>
      </c>
      <c r="D61" s="578" t="s">
        <v>505</v>
      </c>
      <c r="E61" s="579">
        <v>511</v>
      </c>
      <c r="F61" s="580"/>
      <c r="G61" s="580"/>
      <c r="H61" s="580"/>
      <c r="I61" s="609"/>
      <c r="J61" s="580"/>
      <c r="K61" s="580"/>
      <c r="L61" s="580"/>
      <c r="M61" s="580"/>
      <c r="N61" s="580"/>
      <c r="O61" s="580"/>
      <c r="P61" s="580"/>
      <c r="Q61" s="580"/>
      <c r="R61" s="581"/>
      <c r="S61" s="580"/>
      <c r="T61" s="580"/>
      <c r="U61" s="580"/>
      <c r="V61" s="609"/>
      <c r="W61" s="580"/>
      <c r="X61" s="580"/>
      <c r="Y61" s="580"/>
      <c r="Z61" s="580"/>
      <c r="AA61" s="580"/>
      <c r="AB61" s="580"/>
      <c r="AC61" s="580"/>
      <c r="AD61" s="580"/>
      <c r="AE61" s="581">
        <f t="shared" si="0"/>
        <v>0</v>
      </c>
      <c r="AF61" s="438"/>
    </row>
    <row r="62" spans="1:32" x14ac:dyDescent="0.2">
      <c r="A62" s="406"/>
      <c r="B62" s="443"/>
      <c r="C62" s="443"/>
      <c r="D62" s="432" t="s">
        <v>535</v>
      </c>
      <c r="E62" s="416">
        <v>511</v>
      </c>
      <c r="F62" s="430"/>
      <c r="G62" s="430"/>
      <c r="H62" s="430"/>
      <c r="I62" s="606"/>
      <c r="J62" s="430"/>
      <c r="K62" s="430"/>
      <c r="L62" s="430"/>
      <c r="M62" s="430"/>
      <c r="N62" s="430"/>
      <c r="O62" s="430"/>
      <c r="P62" s="430"/>
      <c r="Q62" s="430"/>
      <c r="R62" s="412"/>
      <c r="S62" s="430"/>
      <c r="T62" s="430"/>
      <c r="U62" s="430"/>
      <c r="V62" s="606"/>
      <c r="W62" s="430"/>
      <c r="X62" s="430"/>
      <c r="Y62" s="430"/>
      <c r="Z62" s="430"/>
      <c r="AA62" s="430"/>
      <c r="AB62" s="430"/>
      <c r="AC62" s="430"/>
      <c r="AD62" s="430"/>
      <c r="AE62" s="412">
        <f t="shared" si="0"/>
        <v>0</v>
      </c>
    </row>
    <row r="63" spans="1:32" x14ac:dyDescent="0.2">
      <c r="A63" s="406"/>
      <c r="B63" s="443"/>
      <c r="C63" s="443"/>
      <c r="D63" s="420" t="s">
        <v>515</v>
      </c>
      <c r="E63" s="416">
        <v>511</v>
      </c>
      <c r="F63" s="429"/>
      <c r="G63" s="430"/>
      <c r="H63" s="430"/>
      <c r="I63" s="606"/>
      <c r="J63" s="430"/>
      <c r="K63" s="430"/>
      <c r="L63" s="430"/>
      <c r="M63" s="430"/>
      <c r="N63" s="430"/>
      <c r="O63" s="430"/>
      <c r="P63" s="430"/>
      <c r="Q63" s="430"/>
      <c r="R63" s="412"/>
      <c r="S63" s="429"/>
      <c r="T63" s="430"/>
      <c r="U63" s="430"/>
      <c r="V63" s="606"/>
      <c r="W63" s="430"/>
      <c r="X63" s="430"/>
      <c r="Y63" s="430"/>
      <c r="Z63" s="430"/>
      <c r="AA63" s="430"/>
      <c r="AB63" s="430"/>
      <c r="AC63" s="430"/>
      <c r="AD63" s="430"/>
      <c r="AE63" s="412">
        <f t="shared" si="0"/>
        <v>0</v>
      </c>
    </row>
    <row r="64" spans="1:32" x14ac:dyDescent="0.2">
      <c r="A64" s="406"/>
      <c r="B64" s="443"/>
      <c r="C64" s="443"/>
      <c r="D64" s="420" t="s">
        <v>506</v>
      </c>
      <c r="E64" s="416">
        <v>511</v>
      </c>
      <c r="F64" s="430"/>
      <c r="G64" s="430"/>
      <c r="H64" s="430"/>
      <c r="I64" s="606"/>
      <c r="J64" s="430"/>
      <c r="K64" s="430"/>
      <c r="L64" s="430"/>
      <c r="M64" s="430"/>
      <c r="N64" s="430"/>
      <c r="O64" s="430"/>
      <c r="P64" s="430"/>
      <c r="Q64" s="430"/>
      <c r="R64" s="412"/>
      <c r="S64" s="430"/>
      <c r="T64" s="430"/>
      <c r="U64" s="430"/>
      <c r="V64" s="606"/>
      <c r="W64" s="430"/>
      <c r="X64" s="430"/>
      <c r="Y64" s="430"/>
      <c r="Z64" s="430"/>
      <c r="AA64" s="430"/>
      <c r="AB64" s="430"/>
      <c r="AC64" s="430"/>
      <c r="AD64" s="430"/>
      <c r="AE64" s="412">
        <f t="shared" si="0"/>
        <v>0</v>
      </c>
    </row>
    <row r="65" spans="1:31" x14ac:dyDescent="0.2">
      <c r="A65" s="406"/>
      <c r="B65" s="443"/>
      <c r="C65" s="443"/>
      <c r="D65" s="420" t="s">
        <v>530</v>
      </c>
      <c r="E65" s="421">
        <v>511</v>
      </c>
      <c r="F65" s="430"/>
      <c r="G65" s="430"/>
      <c r="H65" s="430"/>
      <c r="I65" s="606"/>
      <c r="J65" s="430"/>
      <c r="K65" s="430"/>
      <c r="L65" s="430"/>
      <c r="M65" s="430"/>
      <c r="N65" s="430"/>
      <c r="O65" s="430"/>
      <c r="P65" s="430"/>
      <c r="Q65" s="430"/>
      <c r="R65" s="412"/>
      <c r="S65" s="430"/>
      <c r="T65" s="430"/>
      <c r="U65" s="430"/>
      <c r="V65" s="606"/>
      <c r="W65" s="430"/>
      <c r="X65" s="430"/>
      <c r="Y65" s="430"/>
      <c r="Z65" s="430"/>
      <c r="AA65" s="430"/>
      <c r="AB65" s="430"/>
      <c r="AC65" s="430"/>
      <c r="AD65" s="430"/>
      <c r="AE65" s="412">
        <f t="shared" si="0"/>
        <v>0</v>
      </c>
    </row>
    <row r="66" spans="1:31" x14ac:dyDescent="0.2">
      <c r="A66" s="406"/>
      <c r="B66" s="439"/>
      <c r="C66" s="439"/>
      <c r="D66" s="420" t="s">
        <v>507</v>
      </c>
      <c r="E66" s="421">
        <v>711</v>
      </c>
      <c r="F66" s="430"/>
      <c r="G66" s="430"/>
      <c r="H66" s="430"/>
      <c r="I66" s="606"/>
      <c r="J66" s="430"/>
      <c r="K66" s="430"/>
      <c r="L66" s="430"/>
      <c r="M66" s="430"/>
      <c r="N66" s="430"/>
      <c r="O66" s="430"/>
      <c r="P66" s="430"/>
      <c r="Q66" s="430"/>
      <c r="R66" s="412"/>
      <c r="S66" s="430"/>
      <c r="T66" s="430"/>
      <c r="U66" s="430"/>
      <c r="V66" s="606"/>
      <c r="W66" s="430"/>
      <c r="X66" s="430"/>
      <c r="Y66" s="430"/>
      <c r="Z66" s="430"/>
      <c r="AA66" s="430"/>
      <c r="AB66" s="430"/>
      <c r="AC66" s="430"/>
      <c r="AD66" s="430"/>
      <c r="AE66" s="412">
        <f t="shared" si="0"/>
        <v>0</v>
      </c>
    </row>
    <row r="67" spans="1:31" x14ac:dyDescent="0.2">
      <c r="A67" s="406"/>
      <c r="B67" s="439"/>
      <c r="C67" s="439"/>
      <c r="D67" s="420" t="s">
        <v>521</v>
      </c>
      <c r="E67" s="421">
        <v>511</v>
      </c>
      <c r="F67" s="430"/>
      <c r="G67" s="430"/>
      <c r="H67" s="430"/>
      <c r="I67" s="606"/>
      <c r="J67" s="430"/>
      <c r="K67" s="430"/>
      <c r="L67" s="430"/>
      <c r="M67" s="430"/>
      <c r="N67" s="430"/>
      <c r="O67" s="430"/>
      <c r="P67" s="430"/>
      <c r="Q67" s="430"/>
      <c r="R67" s="412"/>
      <c r="S67" s="430"/>
      <c r="T67" s="430"/>
      <c r="U67" s="430"/>
      <c r="V67" s="606"/>
      <c r="W67" s="430"/>
      <c r="X67" s="430"/>
      <c r="Y67" s="430"/>
      <c r="Z67" s="430"/>
      <c r="AA67" s="430"/>
      <c r="AB67" s="430"/>
      <c r="AC67" s="430"/>
      <c r="AD67" s="430"/>
      <c r="AE67" s="412">
        <f t="shared" si="0"/>
        <v>0</v>
      </c>
    </row>
    <row r="68" spans="1:31" x14ac:dyDescent="0.2">
      <c r="A68" s="406"/>
      <c r="B68" s="439"/>
      <c r="C68" s="443"/>
      <c r="D68" s="432" t="s">
        <v>511</v>
      </c>
      <c r="E68" s="421">
        <v>711</v>
      </c>
      <c r="F68" s="430"/>
      <c r="G68" s="430"/>
      <c r="H68" s="430"/>
      <c r="I68" s="606"/>
      <c r="J68" s="430"/>
      <c r="K68" s="430"/>
      <c r="L68" s="430"/>
      <c r="M68" s="430"/>
      <c r="N68" s="430"/>
      <c r="O68" s="430"/>
      <c r="P68" s="430"/>
      <c r="Q68" s="430"/>
      <c r="R68" s="412"/>
      <c r="S68" s="430"/>
      <c r="T68" s="430"/>
      <c r="U68" s="430"/>
      <c r="V68" s="606"/>
      <c r="W68" s="430"/>
      <c r="X68" s="430"/>
      <c r="Y68" s="430"/>
      <c r="Z68" s="430"/>
      <c r="AA68" s="430"/>
      <c r="AB68" s="430"/>
      <c r="AC68" s="430"/>
      <c r="AD68" s="430"/>
      <c r="AE68" s="412">
        <f t="shared" si="0"/>
        <v>0</v>
      </c>
    </row>
    <row r="69" spans="1:31" x14ac:dyDescent="0.2">
      <c r="A69" s="576">
        <v>9</v>
      </c>
      <c r="B69" s="577" t="s">
        <v>536</v>
      </c>
      <c r="C69" s="577" t="s">
        <v>537</v>
      </c>
      <c r="D69" s="578" t="s">
        <v>505</v>
      </c>
      <c r="E69" s="579">
        <v>511</v>
      </c>
      <c r="F69" s="580"/>
      <c r="G69" s="580"/>
      <c r="H69" s="580"/>
      <c r="I69" s="609"/>
      <c r="J69" s="580"/>
      <c r="K69" s="580"/>
      <c r="L69" s="580"/>
      <c r="M69" s="580"/>
      <c r="N69" s="580"/>
      <c r="O69" s="580"/>
      <c r="P69" s="580"/>
      <c r="Q69" s="580"/>
      <c r="R69" s="581"/>
      <c r="S69" s="580"/>
      <c r="T69" s="580"/>
      <c r="U69" s="580"/>
      <c r="V69" s="609"/>
      <c r="W69" s="580"/>
      <c r="X69" s="580"/>
      <c r="Y69" s="580"/>
      <c r="Z69" s="580"/>
      <c r="AA69" s="580"/>
      <c r="AB69" s="580"/>
      <c r="AC69" s="580"/>
      <c r="AD69" s="580"/>
      <c r="AE69" s="581">
        <f t="shared" si="0"/>
        <v>0</v>
      </c>
    </row>
    <row r="70" spans="1:31" x14ac:dyDescent="0.2">
      <c r="A70" s="406"/>
      <c r="B70" s="439"/>
      <c r="C70" s="439"/>
      <c r="D70" s="420" t="s">
        <v>515</v>
      </c>
      <c r="E70" s="416">
        <v>511</v>
      </c>
      <c r="F70" s="430"/>
      <c r="G70" s="430"/>
      <c r="H70" s="430"/>
      <c r="I70" s="606"/>
      <c r="J70" s="430"/>
      <c r="K70" s="430"/>
      <c r="L70" s="430"/>
      <c r="M70" s="430"/>
      <c r="N70" s="430"/>
      <c r="O70" s="430"/>
      <c r="P70" s="430"/>
      <c r="Q70" s="430"/>
      <c r="R70" s="412"/>
      <c r="S70" s="430"/>
      <c r="T70" s="430"/>
      <c r="U70" s="430"/>
      <c r="V70" s="606"/>
      <c r="W70" s="430"/>
      <c r="X70" s="430"/>
      <c r="Y70" s="430"/>
      <c r="Z70" s="430"/>
      <c r="AA70" s="430"/>
      <c r="AB70" s="430"/>
      <c r="AC70" s="430"/>
      <c r="AD70" s="430"/>
      <c r="AE70" s="412">
        <f t="shared" si="0"/>
        <v>0</v>
      </c>
    </row>
    <row r="71" spans="1:31" x14ac:dyDescent="0.2">
      <c r="A71" s="406"/>
      <c r="B71" s="439"/>
      <c r="C71" s="439"/>
      <c r="D71" s="420" t="s">
        <v>506</v>
      </c>
      <c r="E71" s="416">
        <v>511</v>
      </c>
      <c r="F71" s="430"/>
      <c r="G71" s="430"/>
      <c r="H71" s="430"/>
      <c r="I71" s="606"/>
      <c r="J71" s="430"/>
      <c r="K71" s="430"/>
      <c r="L71" s="430"/>
      <c r="M71" s="430"/>
      <c r="N71" s="430"/>
      <c r="O71" s="430"/>
      <c r="P71" s="430"/>
      <c r="Q71" s="430"/>
      <c r="R71" s="412"/>
      <c r="S71" s="430"/>
      <c r="T71" s="430"/>
      <c r="U71" s="430"/>
      <c r="V71" s="606"/>
      <c r="W71" s="430"/>
      <c r="X71" s="430"/>
      <c r="Y71" s="430"/>
      <c r="Z71" s="430"/>
      <c r="AA71" s="430"/>
      <c r="AB71" s="430"/>
      <c r="AC71" s="430"/>
      <c r="AD71" s="430"/>
      <c r="AE71" s="412">
        <f t="shared" si="0"/>
        <v>0</v>
      </c>
    </row>
    <row r="72" spans="1:31" x14ac:dyDescent="0.2">
      <c r="A72" s="406"/>
      <c r="B72" s="439"/>
      <c r="C72" s="439"/>
      <c r="D72" s="420" t="s">
        <v>530</v>
      </c>
      <c r="E72" s="421">
        <v>511</v>
      </c>
      <c r="F72" s="430"/>
      <c r="G72" s="430"/>
      <c r="H72" s="430"/>
      <c r="I72" s="606"/>
      <c r="J72" s="430"/>
      <c r="K72" s="430"/>
      <c r="L72" s="430"/>
      <c r="M72" s="430"/>
      <c r="N72" s="430"/>
      <c r="O72" s="430"/>
      <c r="P72" s="430"/>
      <c r="Q72" s="430"/>
      <c r="R72" s="412"/>
      <c r="S72" s="430"/>
      <c r="T72" s="430"/>
      <c r="U72" s="430"/>
      <c r="V72" s="606"/>
      <c r="W72" s="430"/>
      <c r="X72" s="430"/>
      <c r="Y72" s="430"/>
      <c r="Z72" s="430"/>
      <c r="AA72" s="430"/>
      <c r="AB72" s="430"/>
      <c r="AC72" s="430"/>
      <c r="AD72" s="430"/>
      <c r="AE72" s="412">
        <f t="shared" si="0"/>
        <v>0</v>
      </c>
    </row>
    <row r="73" spans="1:31" x14ac:dyDescent="0.2">
      <c r="A73" s="406"/>
      <c r="B73" s="439"/>
      <c r="C73" s="439"/>
      <c r="D73" s="420" t="s">
        <v>511</v>
      </c>
      <c r="E73" s="421">
        <v>711</v>
      </c>
      <c r="F73" s="430"/>
      <c r="G73" s="430"/>
      <c r="H73" s="430"/>
      <c r="I73" s="606"/>
      <c r="J73" s="430"/>
      <c r="K73" s="430"/>
      <c r="L73" s="430"/>
      <c r="M73" s="430"/>
      <c r="N73" s="430"/>
      <c r="O73" s="430"/>
      <c r="P73" s="430"/>
      <c r="Q73" s="430"/>
      <c r="R73" s="412"/>
      <c r="S73" s="430"/>
      <c r="T73" s="430"/>
      <c r="U73" s="430"/>
      <c r="V73" s="606"/>
      <c r="W73" s="430"/>
      <c r="X73" s="430"/>
      <c r="Y73" s="430"/>
      <c r="Z73" s="430"/>
      <c r="AA73" s="430"/>
      <c r="AB73" s="430"/>
      <c r="AC73" s="430"/>
      <c r="AD73" s="430"/>
      <c r="AE73" s="412">
        <f t="shared" si="0"/>
        <v>0</v>
      </c>
    </row>
    <row r="74" spans="1:31" x14ac:dyDescent="0.2">
      <c r="A74" s="576">
        <v>10</v>
      </c>
      <c r="B74" s="445" t="s">
        <v>538</v>
      </c>
      <c r="C74" s="577" t="s">
        <v>539</v>
      </c>
      <c r="D74" s="578" t="s">
        <v>505</v>
      </c>
      <c r="E74" s="579">
        <v>511</v>
      </c>
      <c r="F74" s="582"/>
      <c r="G74" s="580"/>
      <c r="H74" s="580"/>
      <c r="I74" s="609"/>
      <c r="J74" s="580"/>
      <c r="K74" s="580"/>
      <c r="L74" s="580"/>
      <c r="M74" s="580"/>
      <c r="N74" s="580"/>
      <c r="O74" s="580"/>
      <c r="P74" s="580"/>
      <c r="Q74" s="580"/>
      <c r="R74" s="581"/>
      <c r="S74" s="582"/>
      <c r="T74" s="580"/>
      <c r="U74" s="580"/>
      <c r="V74" s="609"/>
      <c r="W74" s="580"/>
      <c r="X74" s="580"/>
      <c r="Y74" s="580"/>
      <c r="Z74" s="580"/>
      <c r="AA74" s="580"/>
      <c r="AB74" s="580"/>
      <c r="AC74" s="580"/>
      <c r="AD74" s="580"/>
      <c r="AE74" s="581">
        <f t="shared" si="0"/>
        <v>0</v>
      </c>
    </row>
    <row r="75" spans="1:31" x14ac:dyDescent="0.2">
      <c r="A75" s="406"/>
      <c r="B75" s="439"/>
      <c r="C75" s="443"/>
      <c r="D75" s="432" t="s">
        <v>515</v>
      </c>
      <c r="E75" s="421">
        <v>511</v>
      </c>
      <c r="F75" s="430"/>
      <c r="G75" s="430"/>
      <c r="H75" s="430"/>
      <c r="I75" s="606"/>
      <c r="J75" s="430"/>
      <c r="K75" s="430"/>
      <c r="L75" s="430"/>
      <c r="M75" s="430"/>
      <c r="N75" s="430"/>
      <c r="O75" s="430"/>
      <c r="P75" s="430"/>
      <c r="Q75" s="430"/>
      <c r="R75" s="446"/>
      <c r="S75" s="430"/>
      <c r="T75" s="430"/>
      <c r="U75" s="430"/>
      <c r="V75" s="606"/>
      <c r="W75" s="430"/>
      <c r="X75" s="430"/>
      <c r="Y75" s="430"/>
      <c r="Z75" s="430"/>
      <c r="AA75" s="430"/>
      <c r="AB75" s="430"/>
      <c r="AC75" s="430"/>
      <c r="AD75" s="430"/>
      <c r="AE75" s="446">
        <f t="shared" si="0"/>
        <v>0</v>
      </c>
    </row>
    <row r="76" spans="1:31" x14ac:dyDescent="0.2">
      <c r="A76" s="431"/>
      <c r="B76" s="441"/>
      <c r="C76" s="441"/>
      <c r="D76" s="420" t="s">
        <v>506</v>
      </c>
      <c r="E76" s="421">
        <v>511</v>
      </c>
      <c r="F76" s="435"/>
      <c r="G76" s="435"/>
      <c r="H76" s="435"/>
      <c r="I76" s="610"/>
      <c r="J76" s="435"/>
      <c r="K76" s="435"/>
      <c r="L76" s="435"/>
      <c r="M76" s="435"/>
      <c r="N76" s="435"/>
      <c r="O76" s="435"/>
      <c r="P76" s="435"/>
      <c r="Q76" s="435"/>
      <c r="R76" s="446"/>
      <c r="S76" s="435"/>
      <c r="T76" s="435"/>
      <c r="U76" s="435"/>
      <c r="V76" s="610"/>
      <c r="W76" s="435"/>
      <c r="X76" s="435"/>
      <c r="Y76" s="435"/>
      <c r="Z76" s="435"/>
      <c r="AA76" s="435"/>
      <c r="AB76" s="435"/>
      <c r="AC76" s="435"/>
      <c r="AD76" s="435"/>
      <c r="AE76" s="446">
        <f t="shared" si="0"/>
        <v>0</v>
      </c>
    </row>
    <row r="77" spans="1:31" x14ac:dyDescent="0.2">
      <c r="A77" s="431"/>
      <c r="B77" s="441"/>
      <c r="C77" s="441"/>
      <c r="D77" s="420" t="s">
        <v>530</v>
      </c>
      <c r="E77" s="421">
        <v>511</v>
      </c>
      <c r="F77" s="435"/>
      <c r="G77" s="435"/>
      <c r="H77" s="435"/>
      <c r="I77" s="611"/>
      <c r="J77" s="435"/>
      <c r="K77" s="435"/>
      <c r="L77" s="435"/>
      <c r="M77" s="435"/>
      <c r="N77" s="435"/>
      <c r="O77" s="435"/>
      <c r="P77" s="435"/>
      <c r="Q77" s="435"/>
      <c r="R77" s="446"/>
      <c r="S77" s="435"/>
      <c r="T77" s="435"/>
      <c r="U77" s="435"/>
      <c r="V77" s="611"/>
      <c r="W77" s="435"/>
      <c r="X77" s="435"/>
      <c r="Y77" s="435"/>
      <c r="Z77" s="435"/>
      <c r="AA77" s="435"/>
      <c r="AB77" s="435"/>
      <c r="AC77" s="435"/>
      <c r="AD77" s="435"/>
      <c r="AE77" s="446">
        <f t="shared" si="0"/>
        <v>0</v>
      </c>
    </row>
    <row r="78" spans="1:31" x14ac:dyDescent="0.2">
      <c r="A78" s="422"/>
      <c r="B78" s="441"/>
      <c r="C78" s="441"/>
      <c r="D78" s="442" t="s">
        <v>511</v>
      </c>
      <c r="E78" s="447">
        <v>711</v>
      </c>
      <c r="F78" s="435"/>
      <c r="G78" s="435"/>
      <c r="H78" s="435"/>
      <c r="I78" s="611"/>
      <c r="J78" s="435"/>
      <c r="K78" s="435"/>
      <c r="L78" s="435"/>
      <c r="M78" s="435"/>
      <c r="N78" s="435"/>
      <c r="O78" s="435"/>
      <c r="P78" s="435"/>
      <c r="Q78" s="435"/>
      <c r="R78" s="427"/>
      <c r="S78" s="435"/>
      <c r="T78" s="435"/>
      <c r="U78" s="435"/>
      <c r="V78" s="611"/>
      <c r="W78" s="435"/>
      <c r="X78" s="435"/>
      <c r="Y78" s="435"/>
      <c r="Z78" s="435"/>
      <c r="AA78" s="435"/>
      <c r="AB78" s="435"/>
      <c r="AC78" s="435"/>
      <c r="AD78" s="435"/>
      <c r="AE78" s="427">
        <f t="shared" si="0"/>
        <v>0</v>
      </c>
    </row>
    <row r="79" spans="1:31" x14ac:dyDescent="0.2">
      <c r="A79" s="576">
        <v>11</v>
      </c>
      <c r="B79" s="577" t="s">
        <v>540</v>
      </c>
      <c r="C79" s="445" t="s">
        <v>541</v>
      </c>
      <c r="D79" s="448" t="s">
        <v>506</v>
      </c>
      <c r="E79" s="449">
        <v>511</v>
      </c>
      <c r="F79" s="580"/>
      <c r="G79" s="580"/>
      <c r="H79" s="580"/>
      <c r="I79" s="609"/>
      <c r="J79" s="580"/>
      <c r="K79" s="580"/>
      <c r="L79" s="580"/>
      <c r="M79" s="580"/>
      <c r="N79" s="580"/>
      <c r="O79" s="580"/>
      <c r="P79" s="580"/>
      <c r="Q79" s="580"/>
      <c r="R79" s="581"/>
      <c r="S79" s="580"/>
      <c r="T79" s="580"/>
      <c r="U79" s="580"/>
      <c r="V79" s="609"/>
      <c r="W79" s="580"/>
      <c r="X79" s="580"/>
      <c r="Y79" s="580"/>
      <c r="Z79" s="580"/>
      <c r="AA79" s="580"/>
      <c r="AB79" s="580"/>
      <c r="AC79" s="580"/>
      <c r="AD79" s="580"/>
      <c r="AE79" s="581">
        <f t="shared" si="0"/>
        <v>0</v>
      </c>
    </row>
    <row r="80" spans="1:31" x14ac:dyDescent="0.2">
      <c r="A80" s="431"/>
      <c r="B80" s="441"/>
      <c r="C80" s="441"/>
      <c r="D80" s="442" t="s">
        <v>505</v>
      </c>
      <c r="E80" s="447">
        <v>511</v>
      </c>
      <c r="F80" s="430"/>
      <c r="G80" s="430"/>
      <c r="H80" s="430"/>
      <c r="I80" s="606"/>
      <c r="J80" s="430"/>
      <c r="K80" s="430"/>
      <c r="L80" s="430"/>
      <c r="M80" s="430"/>
      <c r="N80" s="430"/>
      <c r="O80" s="430"/>
      <c r="P80" s="430"/>
      <c r="Q80" s="430"/>
      <c r="R80" s="412"/>
      <c r="S80" s="430"/>
      <c r="T80" s="430"/>
      <c r="U80" s="430"/>
      <c r="V80" s="606"/>
      <c r="W80" s="430"/>
      <c r="X80" s="430"/>
      <c r="Y80" s="430"/>
      <c r="Z80" s="430"/>
      <c r="AA80" s="430"/>
      <c r="AB80" s="430"/>
      <c r="AC80" s="430"/>
      <c r="AD80" s="430"/>
      <c r="AE80" s="412">
        <f t="shared" si="0"/>
        <v>0</v>
      </c>
    </row>
    <row r="81" spans="1:32" x14ac:dyDescent="0.2">
      <c r="A81" s="431"/>
      <c r="B81" s="441"/>
      <c r="C81" s="441"/>
      <c r="D81" s="442" t="s">
        <v>515</v>
      </c>
      <c r="E81" s="447">
        <v>511</v>
      </c>
      <c r="F81" s="430"/>
      <c r="G81" s="430"/>
      <c r="H81" s="430"/>
      <c r="I81" s="606"/>
      <c r="J81" s="430"/>
      <c r="K81" s="430"/>
      <c r="L81" s="430"/>
      <c r="M81" s="430"/>
      <c r="N81" s="430"/>
      <c r="O81" s="430"/>
      <c r="P81" s="430"/>
      <c r="Q81" s="430"/>
      <c r="R81" s="412"/>
      <c r="S81" s="430"/>
      <c r="T81" s="430"/>
      <c r="U81" s="430"/>
      <c r="V81" s="606"/>
      <c r="W81" s="430"/>
      <c r="X81" s="430"/>
      <c r="Y81" s="430"/>
      <c r="Z81" s="430"/>
      <c r="AA81" s="430"/>
      <c r="AB81" s="430"/>
      <c r="AC81" s="430"/>
      <c r="AD81" s="430"/>
      <c r="AE81" s="412">
        <f t="shared" si="0"/>
        <v>0</v>
      </c>
    </row>
    <row r="82" spans="1:32" x14ac:dyDescent="0.2">
      <c r="A82" s="431"/>
      <c r="B82" s="441"/>
      <c r="C82" s="441"/>
      <c r="D82" s="442" t="s">
        <v>507</v>
      </c>
      <c r="E82" s="447">
        <v>711</v>
      </c>
      <c r="F82" s="430"/>
      <c r="G82" s="430"/>
      <c r="H82" s="430"/>
      <c r="I82" s="606"/>
      <c r="J82" s="430"/>
      <c r="K82" s="430"/>
      <c r="L82" s="430"/>
      <c r="M82" s="430"/>
      <c r="N82" s="430"/>
      <c r="O82" s="430"/>
      <c r="P82" s="430"/>
      <c r="Q82" s="430"/>
      <c r="R82" s="412"/>
      <c r="S82" s="430"/>
      <c r="T82" s="430"/>
      <c r="U82" s="430"/>
      <c r="V82" s="606"/>
      <c r="W82" s="430"/>
      <c r="X82" s="430"/>
      <c r="Y82" s="430"/>
      <c r="Z82" s="430"/>
      <c r="AA82" s="430"/>
      <c r="AB82" s="430"/>
      <c r="AC82" s="430"/>
      <c r="AD82" s="430"/>
      <c r="AE82" s="412">
        <f t="shared" ref="AE82:AE127" si="1">SUM(S82:AD82)</f>
        <v>0</v>
      </c>
    </row>
    <row r="83" spans="1:32" x14ac:dyDescent="0.2">
      <c r="A83" s="431"/>
      <c r="B83" s="441"/>
      <c r="C83" s="439"/>
      <c r="D83" s="420" t="s">
        <v>508</v>
      </c>
      <c r="E83" s="421">
        <v>515</v>
      </c>
      <c r="F83" s="430"/>
      <c r="G83" s="430"/>
      <c r="H83" s="430"/>
      <c r="I83" s="606"/>
      <c r="J83" s="430"/>
      <c r="K83" s="430"/>
      <c r="L83" s="430"/>
      <c r="M83" s="430"/>
      <c r="N83" s="430"/>
      <c r="O83" s="430"/>
      <c r="P83" s="430"/>
      <c r="Q83" s="430"/>
      <c r="R83" s="412"/>
      <c r="S83" s="430"/>
      <c r="T83" s="430"/>
      <c r="U83" s="430"/>
      <c r="V83" s="606"/>
      <c r="W83" s="430"/>
      <c r="X83" s="430"/>
      <c r="Y83" s="430"/>
      <c r="Z83" s="430"/>
      <c r="AA83" s="430"/>
      <c r="AB83" s="430"/>
      <c r="AC83" s="430"/>
      <c r="AD83" s="430"/>
      <c r="AE83" s="412">
        <f t="shared" si="1"/>
        <v>0</v>
      </c>
    </row>
    <row r="84" spans="1:32" x14ac:dyDescent="0.2">
      <c r="A84" s="422"/>
      <c r="B84" s="441"/>
      <c r="C84" s="507"/>
      <c r="D84" s="434" t="s">
        <v>511</v>
      </c>
      <c r="E84" s="450">
        <v>7118</v>
      </c>
      <c r="F84" s="435"/>
      <c r="G84" s="435"/>
      <c r="H84" s="435"/>
      <c r="I84" s="610"/>
      <c r="J84" s="435"/>
      <c r="K84" s="435"/>
      <c r="L84" s="435"/>
      <c r="M84" s="435"/>
      <c r="N84" s="435"/>
      <c r="O84" s="435"/>
      <c r="P84" s="435"/>
      <c r="Q84" s="435"/>
      <c r="R84" s="436"/>
      <c r="S84" s="435"/>
      <c r="T84" s="435"/>
      <c r="U84" s="435"/>
      <c r="V84" s="610"/>
      <c r="W84" s="435"/>
      <c r="X84" s="435"/>
      <c r="Y84" s="435"/>
      <c r="Z84" s="435"/>
      <c r="AA84" s="435"/>
      <c r="AB84" s="435"/>
      <c r="AC84" s="435"/>
      <c r="AD84" s="435"/>
      <c r="AE84" s="436">
        <f t="shared" si="1"/>
        <v>0</v>
      </c>
    </row>
    <row r="85" spans="1:32" x14ac:dyDescent="0.2">
      <c r="A85" s="576">
        <v>12</v>
      </c>
      <c r="B85" s="577" t="s">
        <v>542</v>
      </c>
      <c r="C85" s="577" t="s">
        <v>543</v>
      </c>
      <c r="D85" s="578" t="s">
        <v>505</v>
      </c>
      <c r="E85" s="579">
        <v>511521</v>
      </c>
      <c r="F85" s="580"/>
      <c r="G85" s="580"/>
      <c r="H85" s="580"/>
      <c r="I85" s="609"/>
      <c r="J85" s="580"/>
      <c r="K85" s="580"/>
      <c r="L85" s="580"/>
      <c r="M85" s="580"/>
      <c r="N85" s="580"/>
      <c r="O85" s="580"/>
      <c r="P85" s="580"/>
      <c r="Q85" s="580"/>
      <c r="R85" s="581"/>
      <c r="S85" s="580"/>
      <c r="T85" s="580"/>
      <c r="U85" s="580"/>
      <c r="V85" s="609"/>
      <c r="W85" s="580"/>
      <c r="X85" s="580"/>
      <c r="Y85" s="580"/>
      <c r="Z85" s="580"/>
      <c r="AA85" s="580"/>
      <c r="AB85" s="580"/>
      <c r="AC85" s="580"/>
      <c r="AD85" s="580"/>
      <c r="AE85" s="581">
        <f t="shared" si="1"/>
        <v>0</v>
      </c>
    </row>
    <row r="86" spans="1:32" x14ac:dyDescent="0.2">
      <c r="A86" s="431"/>
      <c r="B86" s="439"/>
      <c r="C86" s="439"/>
      <c r="D86" s="420" t="s">
        <v>515</v>
      </c>
      <c r="E86" s="416">
        <v>511</v>
      </c>
      <c r="F86" s="430"/>
      <c r="G86" s="430"/>
      <c r="H86" s="430"/>
      <c r="I86" s="606"/>
      <c r="J86" s="430"/>
      <c r="K86" s="430"/>
      <c r="L86" s="430"/>
      <c r="M86" s="430"/>
      <c r="N86" s="430"/>
      <c r="O86" s="430"/>
      <c r="P86" s="430"/>
      <c r="Q86" s="430"/>
      <c r="R86" s="412"/>
      <c r="S86" s="430"/>
      <c r="T86" s="430"/>
      <c r="U86" s="430"/>
      <c r="V86" s="606"/>
      <c r="W86" s="430"/>
      <c r="X86" s="430"/>
      <c r="Y86" s="430"/>
      <c r="Z86" s="430"/>
      <c r="AA86" s="430"/>
      <c r="AB86" s="430"/>
      <c r="AC86" s="430"/>
      <c r="AD86" s="430"/>
      <c r="AE86" s="412">
        <f t="shared" si="1"/>
        <v>0</v>
      </c>
    </row>
    <row r="87" spans="1:32" x14ac:dyDescent="0.2">
      <c r="A87" s="431"/>
      <c r="B87" s="439"/>
      <c r="C87" s="439"/>
      <c r="D87" s="420" t="s">
        <v>506</v>
      </c>
      <c r="E87" s="416">
        <v>511</v>
      </c>
      <c r="F87" s="430"/>
      <c r="G87" s="430"/>
      <c r="H87" s="430"/>
      <c r="I87" s="606"/>
      <c r="J87" s="430"/>
      <c r="K87" s="430"/>
      <c r="L87" s="430"/>
      <c r="M87" s="430"/>
      <c r="N87" s="430"/>
      <c r="O87" s="430"/>
      <c r="P87" s="430"/>
      <c r="Q87" s="430"/>
      <c r="R87" s="412"/>
      <c r="S87" s="430"/>
      <c r="T87" s="430"/>
      <c r="U87" s="430"/>
      <c r="V87" s="606"/>
      <c r="W87" s="430"/>
      <c r="X87" s="430"/>
      <c r="Y87" s="430"/>
      <c r="Z87" s="430"/>
      <c r="AA87" s="430"/>
      <c r="AB87" s="430"/>
      <c r="AC87" s="430"/>
      <c r="AD87" s="430"/>
      <c r="AE87" s="412">
        <f t="shared" si="1"/>
        <v>0</v>
      </c>
    </row>
    <row r="88" spans="1:32" x14ac:dyDescent="0.2">
      <c r="A88" s="431"/>
      <c r="B88" s="439"/>
      <c r="C88" s="439"/>
      <c r="D88" s="420" t="s">
        <v>530</v>
      </c>
      <c r="E88" s="421">
        <v>511</v>
      </c>
      <c r="F88" s="430"/>
      <c r="G88" s="430"/>
      <c r="H88" s="430"/>
      <c r="I88" s="606"/>
      <c r="J88" s="430"/>
      <c r="K88" s="430"/>
      <c r="L88" s="430"/>
      <c r="M88" s="430"/>
      <c r="N88" s="430"/>
      <c r="O88" s="430"/>
      <c r="P88" s="430"/>
      <c r="Q88" s="430"/>
      <c r="R88" s="412"/>
      <c r="S88" s="430"/>
      <c r="T88" s="430"/>
      <c r="U88" s="430"/>
      <c r="V88" s="606"/>
      <c r="W88" s="430"/>
      <c r="X88" s="430"/>
      <c r="Y88" s="430"/>
      <c r="Z88" s="430"/>
      <c r="AA88" s="430"/>
      <c r="AB88" s="430"/>
      <c r="AC88" s="430"/>
      <c r="AD88" s="430"/>
      <c r="AE88" s="412">
        <f t="shared" si="1"/>
        <v>0</v>
      </c>
    </row>
    <row r="89" spans="1:32" x14ac:dyDescent="0.2">
      <c r="A89" s="431"/>
      <c r="B89" s="439"/>
      <c r="C89" s="439"/>
      <c r="D89" s="420" t="s">
        <v>507</v>
      </c>
      <c r="E89" s="421">
        <v>711</v>
      </c>
      <c r="F89" s="430"/>
      <c r="G89" s="430"/>
      <c r="H89" s="430"/>
      <c r="I89" s="606"/>
      <c r="J89" s="430"/>
      <c r="K89" s="430"/>
      <c r="L89" s="430"/>
      <c r="M89" s="430"/>
      <c r="N89" s="430"/>
      <c r="O89" s="430"/>
      <c r="P89" s="430"/>
      <c r="Q89" s="430"/>
      <c r="R89" s="412"/>
      <c r="S89" s="430"/>
      <c r="T89" s="430"/>
      <c r="U89" s="430"/>
      <c r="V89" s="606"/>
      <c r="W89" s="430"/>
      <c r="X89" s="430"/>
      <c r="Y89" s="430"/>
      <c r="Z89" s="430"/>
      <c r="AA89" s="430"/>
      <c r="AB89" s="430"/>
      <c r="AC89" s="430"/>
      <c r="AD89" s="430"/>
      <c r="AE89" s="412">
        <f t="shared" si="1"/>
        <v>0</v>
      </c>
    </row>
    <row r="90" spans="1:32" x14ac:dyDescent="0.2">
      <c r="A90" s="431"/>
      <c r="B90" s="439"/>
      <c r="C90" s="439"/>
      <c r="D90" s="420" t="s">
        <v>508</v>
      </c>
      <c r="E90" s="421">
        <v>515</v>
      </c>
      <c r="F90" s="430"/>
      <c r="G90" s="430"/>
      <c r="H90" s="430"/>
      <c r="I90" s="606"/>
      <c r="J90" s="430"/>
      <c r="K90" s="430"/>
      <c r="L90" s="430"/>
      <c r="M90" s="430"/>
      <c r="N90" s="430"/>
      <c r="O90" s="430"/>
      <c r="P90" s="430"/>
      <c r="Q90" s="430"/>
      <c r="R90" s="412"/>
      <c r="S90" s="430"/>
      <c r="T90" s="430"/>
      <c r="U90" s="430"/>
      <c r="V90" s="606"/>
      <c r="W90" s="430"/>
      <c r="X90" s="430"/>
      <c r="Y90" s="430"/>
      <c r="Z90" s="430"/>
      <c r="AA90" s="430"/>
      <c r="AB90" s="430"/>
      <c r="AC90" s="430"/>
      <c r="AD90" s="430"/>
      <c r="AE90" s="412">
        <f t="shared" si="1"/>
        <v>0</v>
      </c>
    </row>
    <row r="91" spans="1:32" x14ac:dyDescent="0.2">
      <c r="A91" s="433"/>
      <c r="B91" s="441"/>
      <c r="C91" s="441"/>
      <c r="D91" s="442" t="s">
        <v>511</v>
      </c>
      <c r="E91" s="450">
        <v>7118</v>
      </c>
      <c r="F91" s="435"/>
      <c r="G91" s="435"/>
      <c r="H91" s="435"/>
      <c r="I91" s="610"/>
      <c r="J91" s="435"/>
      <c r="K91" s="435"/>
      <c r="L91" s="435"/>
      <c r="M91" s="435"/>
      <c r="N91" s="435"/>
      <c r="O91" s="435"/>
      <c r="P91" s="435"/>
      <c r="Q91" s="435"/>
      <c r="R91" s="436"/>
      <c r="S91" s="435"/>
      <c r="T91" s="435"/>
      <c r="U91" s="435"/>
      <c r="V91" s="610"/>
      <c r="W91" s="435"/>
      <c r="X91" s="435"/>
      <c r="Y91" s="435"/>
      <c r="Z91" s="435"/>
      <c r="AA91" s="435"/>
      <c r="AB91" s="435"/>
      <c r="AC91" s="435"/>
      <c r="AD91" s="435"/>
      <c r="AE91" s="436">
        <f t="shared" si="1"/>
        <v>0</v>
      </c>
    </row>
    <row r="92" spans="1:32" x14ac:dyDescent="0.2">
      <c r="A92" s="451">
        <v>13</v>
      </c>
      <c r="B92" s="577" t="s">
        <v>544</v>
      </c>
      <c r="C92" s="577" t="s">
        <v>545</v>
      </c>
      <c r="D92" s="578" t="s">
        <v>506</v>
      </c>
      <c r="E92" s="449">
        <v>511</v>
      </c>
      <c r="F92" s="580"/>
      <c r="G92" s="580"/>
      <c r="H92" s="580"/>
      <c r="I92" s="609"/>
      <c r="J92" s="580"/>
      <c r="K92" s="580"/>
      <c r="L92" s="580"/>
      <c r="M92" s="580"/>
      <c r="N92" s="580"/>
      <c r="O92" s="580"/>
      <c r="P92" s="580"/>
      <c r="Q92" s="580"/>
      <c r="R92" s="581"/>
      <c r="S92" s="580"/>
      <c r="T92" s="580"/>
      <c r="U92" s="580"/>
      <c r="V92" s="609"/>
      <c r="W92" s="580"/>
      <c r="X92" s="580"/>
      <c r="Y92" s="580"/>
      <c r="Z92" s="580"/>
      <c r="AA92" s="580"/>
      <c r="AB92" s="580"/>
      <c r="AC92" s="580"/>
      <c r="AD92" s="580"/>
      <c r="AE92" s="581">
        <f t="shared" si="1"/>
        <v>0</v>
      </c>
      <c r="AF92" s="438"/>
    </row>
    <row r="93" spans="1:32" x14ac:dyDescent="0.2">
      <c r="A93" s="433"/>
      <c r="B93" s="441"/>
      <c r="C93" s="441"/>
      <c r="D93" s="420" t="s">
        <v>505</v>
      </c>
      <c r="E93" s="447">
        <v>511</v>
      </c>
      <c r="F93" s="430"/>
      <c r="G93" s="430"/>
      <c r="H93" s="430"/>
      <c r="I93" s="606"/>
      <c r="J93" s="430"/>
      <c r="K93" s="430"/>
      <c r="L93" s="430"/>
      <c r="M93" s="430"/>
      <c r="N93" s="430"/>
      <c r="O93" s="430"/>
      <c r="P93" s="430"/>
      <c r="Q93" s="430"/>
      <c r="R93" s="412"/>
      <c r="S93" s="430"/>
      <c r="T93" s="430"/>
      <c r="U93" s="430"/>
      <c r="V93" s="606"/>
      <c r="W93" s="430"/>
      <c r="X93" s="430"/>
      <c r="Y93" s="430"/>
      <c r="Z93" s="430"/>
      <c r="AA93" s="430"/>
      <c r="AB93" s="430"/>
      <c r="AC93" s="430"/>
      <c r="AD93" s="430"/>
      <c r="AE93" s="412">
        <f t="shared" si="1"/>
        <v>0</v>
      </c>
    </row>
    <row r="94" spans="1:32" x14ac:dyDescent="0.2">
      <c r="A94" s="433"/>
      <c r="B94" s="441"/>
      <c r="C94" s="441"/>
      <c r="D94" s="442" t="s">
        <v>515</v>
      </c>
      <c r="E94" s="447">
        <v>511</v>
      </c>
      <c r="F94" s="430"/>
      <c r="G94" s="430"/>
      <c r="H94" s="430"/>
      <c r="I94" s="606"/>
      <c r="J94" s="430"/>
      <c r="K94" s="430"/>
      <c r="L94" s="430"/>
      <c r="M94" s="430"/>
      <c r="N94" s="430"/>
      <c r="O94" s="430"/>
      <c r="P94" s="430"/>
      <c r="Q94" s="430"/>
      <c r="R94" s="412"/>
      <c r="S94" s="430"/>
      <c r="T94" s="430"/>
      <c r="U94" s="430"/>
      <c r="V94" s="606"/>
      <c r="W94" s="430"/>
      <c r="X94" s="430"/>
      <c r="Y94" s="430"/>
      <c r="Z94" s="430"/>
      <c r="AA94" s="430"/>
      <c r="AB94" s="430"/>
      <c r="AC94" s="430"/>
      <c r="AD94" s="430"/>
      <c r="AE94" s="412">
        <f t="shared" si="1"/>
        <v>0</v>
      </c>
    </row>
    <row r="95" spans="1:32" x14ac:dyDescent="0.2">
      <c r="A95" s="433"/>
      <c r="B95" s="441"/>
      <c r="C95" s="441"/>
      <c r="D95" s="442" t="s">
        <v>507</v>
      </c>
      <c r="E95" s="447">
        <v>711</v>
      </c>
      <c r="F95" s="430"/>
      <c r="G95" s="430"/>
      <c r="H95" s="430"/>
      <c r="I95" s="606"/>
      <c r="J95" s="430"/>
      <c r="K95" s="430"/>
      <c r="L95" s="430"/>
      <c r="M95" s="430"/>
      <c r="N95" s="430"/>
      <c r="O95" s="430"/>
      <c r="P95" s="430"/>
      <c r="Q95" s="430"/>
      <c r="R95" s="412"/>
      <c r="S95" s="430"/>
      <c r="T95" s="430"/>
      <c r="U95" s="430"/>
      <c r="V95" s="606"/>
      <c r="W95" s="430"/>
      <c r="X95" s="430"/>
      <c r="Y95" s="430"/>
      <c r="Z95" s="430"/>
      <c r="AA95" s="430"/>
      <c r="AB95" s="430"/>
      <c r="AC95" s="430"/>
      <c r="AD95" s="430"/>
      <c r="AE95" s="412">
        <f t="shared" si="1"/>
        <v>0</v>
      </c>
    </row>
    <row r="96" spans="1:32" x14ac:dyDescent="0.2">
      <c r="A96" s="433"/>
      <c r="B96" s="439"/>
      <c r="C96" s="439"/>
      <c r="D96" s="420" t="s">
        <v>508</v>
      </c>
      <c r="E96" s="421">
        <v>515</v>
      </c>
      <c r="F96" s="430"/>
      <c r="G96" s="430"/>
      <c r="H96" s="430"/>
      <c r="I96" s="606"/>
      <c r="J96" s="430"/>
      <c r="K96" s="430"/>
      <c r="L96" s="430"/>
      <c r="M96" s="430"/>
      <c r="N96" s="430"/>
      <c r="O96" s="430"/>
      <c r="P96" s="430"/>
      <c r="Q96" s="430"/>
      <c r="R96" s="412"/>
      <c r="S96" s="430"/>
      <c r="T96" s="430"/>
      <c r="U96" s="430"/>
      <c r="V96" s="606"/>
      <c r="W96" s="430"/>
      <c r="X96" s="430"/>
      <c r="Y96" s="430"/>
      <c r="Z96" s="430"/>
      <c r="AA96" s="430"/>
      <c r="AB96" s="430"/>
      <c r="AC96" s="430"/>
      <c r="AD96" s="430"/>
      <c r="AE96" s="412">
        <f t="shared" si="1"/>
        <v>0</v>
      </c>
    </row>
    <row r="97" spans="1:33" x14ac:dyDescent="0.2">
      <c r="A97" s="433"/>
      <c r="B97" s="452"/>
      <c r="C97" s="454"/>
      <c r="D97" s="434" t="s">
        <v>511</v>
      </c>
      <c r="E97" s="450">
        <v>7118</v>
      </c>
      <c r="F97" s="435"/>
      <c r="G97" s="435"/>
      <c r="H97" s="435"/>
      <c r="I97" s="610"/>
      <c r="J97" s="435"/>
      <c r="K97" s="435"/>
      <c r="L97" s="435"/>
      <c r="M97" s="435"/>
      <c r="N97" s="435"/>
      <c r="O97" s="435"/>
      <c r="P97" s="435"/>
      <c r="Q97" s="435"/>
      <c r="R97" s="436"/>
      <c r="S97" s="435"/>
      <c r="T97" s="435"/>
      <c r="U97" s="435"/>
      <c r="V97" s="610"/>
      <c r="W97" s="435"/>
      <c r="X97" s="435"/>
      <c r="Y97" s="435"/>
      <c r="Z97" s="435"/>
      <c r="AA97" s="435"/>
      <c r="AB97" s="435"/>
      <c r="AC97" s="435"/>
      <c r="AD97" s="435"/>
      <c r="AE97" s="436">
        <f t="shared" si="1"/>
        <v>0</v>
      </c>
    </row>
    <row r="98" spans="1:33" x14ac:dyDescent="0.2">
      <c r="A98" s="576">
        <v>14</v>
      </c>
      <c r="B98" s="577" t="s">
        <v>546</v>
      </c>
      <c r="C98" s="577" t="s">
        <v>547</v>
      </c>
      <c r="D98" s="578" t="s">
        <v>505</v>
      </c>
      <c r="E98" s="579">
        <v>511</v>
      </c>
      <c r="F98" s="580"/>
      <c r="G98" s="580"/>
      <c r="H98" s="580"/>
      <c r="I98" s="609"/>
      <c r="J98" s="580"/>
      <c r="K98" s="580"/>
      <c r="L98" s="580"/>
      <c r="M98" s="580"/>
      <c r="N98" s="580"/>
      <c r="O98" s="580"/>
      <c r="P98" s="580"/>
      <c r="Q98" s="580"/>
      <c r="R98" s="581"/>
      <c r="S98" s="580"/>
      <c r="T98" s="580"/>
      <c r="U98" s="580"/>
      <c r="V98" s="609"/>
      <c r="W98" s="580"/>
      <c r="X98" s="580"/>
      <c r="Y98" s="580"/>
      <c r="Z98" s="580"/>
      <c r="AA98" s="580"/>
      <c r="AB98" s="580"/>
      <c r="AC98" s="580"/>
      <c r="AD98" s="580"/>
      <c r="AE98" s="581">
        <f t="shared" si="1"/>
        <v>0</v>
      </c>
      <c r="AF98" s="453"/>
      <c r="AG98" s="453"/>
    </row>
    <row r="99" spans="1:33" x14ac:dyDescent="0.2">
      <c r="A99" s="433"/>
      <c r="B99" s="441"/>
      <c r="C99" s="441"/>
      <c r="D99" s="442" t="s">
        <v>515</v>
      </c>
      <c r="E99" s="447">
        <v>511</v>
      </c>
      <c r="F99" s="430"/>
      <c r="G99" s="430"/>
      <c r="H99" s="430"/>
      <c r="I99" s="606"/>
      <c r="J99" s="430"/>
      <c r="K99" s="430"/>
      <c r="L99" s="430"/>
      <c r="M99" s="430"/>
      <c r="N99" s="430"/>
      <c r="O99" s="430"/>
      <c r="P99" s="430"/>
      <c r="Q99" s="430"/>
      <c r="R99" s="412"/>
      <c r="S99" s="430"/>
      <c r="T99" s="430"/>
      <c r="U99" s="430"/>
      <c r="V99" s="606"/>
      <c r="W99" s="430"/>
      <c r="X99" s="430"/>
      <c r="Y99" s="430"/>
      <c r="Z99" s="430"/>
      <c r="AA99" s="430"/>
      <c r="AB99" s="430"/>
      <c r="AC99" s="430"/>
      <c r="AD99" s="430"/>
      <c r="AE99" s="412">
        <f t="shared" si="1"/>
        <v>0</v>
      </c>
    </row>
    <row r="100" spans="1:33" x14ac:dyDescent="0.2">
      <c r="A100" s="433"/>
      <c r="B100" s="441"/>
      <c r="C100" s="441"/>
      <c r="D100" s="420" t="s">
        <v>506</v>
      </c>
      <c r="E100" s="447">
        <v>511</v>
      </c>
      <c r="F100" s="430"/>
      <c r="G100" s="430"/>
      <c r="H100" s="430"/>
      <c r="I100" s="606"/>
      <c r="J100" s="430"/>
      <c r="K100" s="430"/>
      <c r="L100" s="430"/>
      <c r="M100" s="430"/>
      <c r="N100" s="430"/>
      <c r="O100" s="430"/>
      <c r="P100" s="430"/>
      <c r="Q100" s="430"/>
      <c r="R100" s="412"/>
      <c r="S100" s="430"/>
      <c r="T100" s="430"/>
      <c r="U100" s="430"/>
      <c r="V100" s="606"/>
      <c r="W100" s="430"/>
      <c r="X100" s="430"/>
      <c r="Y100" s="430"/>
      <c r="Z100" s="430"/>
      <c r="AA100" s="430"/>
      <c r="AB100" s="430"/>
      <c r="AC100" s="430"/>
      <c r="AD100" s="430"/>
      <c r="AE100" s="412">
        <f t="shared" si="1"/>
        <v>0</v>
      </c>
    </row>
    <row r="101" spans="1:33" x14ac:dyDescent="0.2">
      <c r="A101" s="433"/>
      <c r="B101" s="441"/>
      <c r="C101" s="441"/>
      <c r="D101" s="442" t="s">
        <v>511</v>
      </c>
      <c r="E101" s="450">
        <v>7118</v>
      </c>
      <c r="F101" s="435"/>
      <c r="G101" s="435"/>
      <c r="H101" s="435"/>
      <c r="I101" s="610"/>
      <c r="J101" s="435"/>
      <c r="K101" s="435"/>
      <c r="L101" s="435"/>
      <c r="M101" s="435"/>
      <c r="N101" s="435"/>
      <c r="O101" s="435"/>
      <c r="P101" s="435"/>
      <c r="Q101" s="435"/>
      <c r="R101" s="436"/>
      <c r="S101" s="435"/>
      <c r="T101" s="435"/>
      <c r="U101" s="435"/>
      <c r="V101" s="610"/>
      <c r="W101" s="435"/>
      <c r="X101" s="435"/>
      <c r="Y101" s="435"/>
      <c r="Z101" s="435"/>
      <c r="AA101" s="435"/>
      <c r="AB101" s="435"/>
      <c r="AC101" s="435"/>
      <c r="AD101" s="435"/>
      <c r="AE101" s="436">
        <f t="shared" si="1"/>
        <v>0</v>
      </c>
    </row>
    <row r="102" spans="1:33" x14ac:dyDescent="0.2">
      <c r="A102" s="576">
        <v>15</v>
      </c>
      <c r="B102" s="577" t="s">
        <v>548</v>
      </c>
      <c r="C102" s="577" t="s">
        <v>549</v>
      </c>
      <c r="D102" s="578" t="s">
        <v>505</v>
      </c>
      <c r="E102" s="579">
        <v>511</v>
      </c>
      <c r="F102" s="580"/>
      <c r="G102" s="580"/>
      <c r="H102" s="580"/>
      <c r="I102" s="609"/>
      <c r="J102" s="580"/>
      <c r="K102" s="580"/>
      <c r="L102" s="580"/>
      <c r="M102" s="580"/>
      <c r="N102" s="580"/>
      <c r="O102" s="580"/>
      <c r="P102" s="580"/>
      <c r="Q102" s="580"/>
      <c r="R102" s="581"/>
      <c r="S102" s="580"/>
      <c r="T102" s="580"/>
      <c r="U102" s="580"/>
      <c r="V102" s="609"/>
      <c r="W102" s="580"/>
      <c r="X102" s="580"/>
      <c r="Y102" s="580"/>
      <c r="Z102" s="580"/>
      <c r="AA102" s="580"/>
      <c r="AB102" s="580"/>
      <c r="AC102" s="580"/>
      <c r="AD102" s="580"/>
      <c r="AE102" s="581">
        <f t="shared" si="1"/>
        <v>0</v>
      </c>
    </row>
    <row r="103" spans="1:33" x14ac:dyDescent="0.2">
      <c r="A103" s="433"/>
      <c r="B103" s="441"/>
      <c r="C103" s="441"/>
      <c r="D103" s="442" t="s">
        <v>515</v>
      </c>
      <c r="E103" s="447">
        <v>511</v>
      </c>
      <c r="F103" s="430"/>
      <c r="G103" s="430"/>
      <c r="H103" s="430"/>
      <c r="I103" s="606"/>
      <c r="J103" s="430"/>
      <c r="K103" s="430"/>
      <c r="L103" s="430"/>
      <c r="M103" s="430"/>
      <c r="N103" s="430"/>
      <c r="O103" s="430"/>
      <c r="P103" s="430"/>
      <c r="Q103" s="430"/>
      <c r="R103" s="412"/>
      <c r="S103" s="430"/>
      <c r="T103" s="430"/>
      <c r="U103" s="430"/>
      <c r="V103" s="606"/>
      <c r="W103" s="430"/>
      <c r="X103" s="430"/>
      <c r="Y103" s="430"/>
      <c r="Z103" s="430"/>
      <c r="AA103" s="430"/>
      <c r="AB103" s="430"/>
      <c r="AC103" s="430"/>
      <c r="AD103" s="430"/>
      <c r="AE103" s="412">
        <f t="shared" si="1"/>
        <v>0</v>
      </c>
    </row>
    <row r="104" spans="1:33" x14ac:dyDescent="0.2">
      <c r="A104" s="433"/>
      <c r="B104" s="441"/>
      <c r="C104" s="441"/>
      <c r="D104" s="442" t="s">
        <v>511</v>
      </c>
      <c r="E104" s="447">
        <v>511</v>
      </c>
      <c r="F104" s="435"/>
      <c r="G104" s="435"/>
      <c r="H104" s="435"/>
      <c r="I104" s="610"/>
      <c r="J104" s="435"/>
      <c r="K104" s="435"/>
      <c r="L104" s="435"/>
      <c r="M104" s="435"/>
      <c r="N104" s="435"/>
      <c r="O104" s="435"/>
      <c r="P104" s="435"/>
      <c r="Q104" s="435"/>
      <c r="R104" s="436"/>
      <c r="S104" s="435"/>
      <c r="T104" s="435"/>
      <c r="U104" s="435"/>
      <c r="V104" s="610"/>
      <c r="W104" s="435"/>
      <c r="X104" s="435"/>
      <c r="Y104" s="435"/>
      <c r="Z104" s="435"/>
      <c r="AA104" s="435"/>
      <c r="AB104" s="435"/>
      <c r="AC104" s="435"/>
      <c r="AD104" s="435"/>
      <c r="AE104" s="436">
        <f t="shared" si="1"/>
        <v>0</v>
      </c>
    </row>
    <row r="105" spans="1:33" x14ac:dyDescent="0.2">
      <c r="A105" s="451">
        <v>16</v>
      </c>
      <c r="B105" s="577" t="s">
        <v>550</v>
      </c>
      <c r="C105" s="577" t="s">
        <v>551</v>
      </c>
      <c r="D105" s="578" t="s">
        <v>505</v>
      </c>
      <c r="E105" s="449">
        <v>511</v>
      </c>
      <c r="F105" s="580"/>
      <c r="G105" s="580"/>
      <c r="H105" s="580"/>
      <c r="I105" s="609"/>
      <c r="J105" s="580"/>
      <c r="K105" s="580"/>
      <c r="L105" s="580"/>
      <c r="M105" s="580"/>
      <c r="N105" s="580"/>
      <c r="O105" s="580"/>
      <c r="P105" s="580"/>
      <c r="Q105" s="580"/>
      <c r="R105" s="581"/>
      <c r="S105" s="580"/>
      <c r="T105" s="580"/>
      <c r="U105" s="580"/>
      <c r="V105" s="609"/>
      <c r="W105" s="580"/>
      <c r="X105" s="580"/>
      <c r="Y105" s="580"/>
      <c r="Z105" s="580"/>
      <c r="AA105" s="580"/>
      <c r="AB105" s="580"/>
      <c r="AC105" s="580"/>
      <c r="AD105" s="580"/>
      <c r="AE105" s="581">
        <f t="shared" si="1"/>
        <v>0</v>
      </c>
    </row>
    <row r="106" spans="1:33" x14ac:dyDescent="0.2">
      <c r="A106" s="433"/>
      <c r="B106" s="439"/>
      <c r="C106" s="443"/>
      <c r="D106" s="432" t="s">
        <v>515</v>
      </c>
      <c r="E106" s="447">
        <v>511</v>
      </c>
      <c r="F106" s="430"/>
      <c r="G106" s="430"/>
      <c r="H106" s="430"/>
      <c r="I106" s="606"/>
      <c r="J106" s="430"/>
      <c r="K106" s="430"/>
      <c r="L106" s="430"/>
      <c r="M106" s="430"/>
      <c r="N106" s="430"/>
      <c r="O106" s="430"/>
      <c r="P106" s="430"/>
      <c r="Q106" s="430"/>
      <c r="R106" s="412"/>
      <c r="S106" s="430"/>
      <c r="T106" s="430"/>
      <c r="U106" s="430"/>
      <c r="V106" s="606"/>
      <c r="W106" s="430"/>
      <c r="X106" s="430"/>
      <c r="Y106" s="430"/>
      <c r="Z106" s="430"/>
      <c r="AA106" s="430"/>
      <c r="AB106" s="430"/>
      <c r="AC106" s="430"/>
      <c r="AD106" s="430"/>
      <c r="AE106" s="412">
        <f t="shared" si="1"/>
        <v>0</v>
      </c>
    </row>
    <row r="107" spans="1:33" x14ac:dyDescent="0.2">
      <c r="A107" s="433"/>
      <c r="B107" s="454"/>
      <c r="C107" s="507"/>
      <c r="D107" s="434" t="s">
        <v>511</v>
      </c>
      <c r="E107" s="455">
        <v>7118</v>
      </c>
      <c r="F107" s="435"/>
      <c r="G107" s="435"/>
      <c r="H107" s="435"/>
      <c r="I107" s="610"/>
      <c r="J107" s="435"/>
      <c r="K107" s="435"/>
      <c r="L107" s="435"/>
      <c r="M107" s="435"/>
      <c r="N107" s="435"/>
      <c r="O107" s="435"/>
      <c r="P107" s="435"/>
      <c r="Q107" s="435"/>
      <c r="R107" s="436"/>
      <c r="S107" s="435"/>
      <c r="T107" s="435"/>
      <c r="U107" s="435"/>
      <c r="V107" s="610"/>
      <c r="W107" s="435"/>
      <c r="X107" s="435"/>
      <c r="Y107" s="435"/>
      <c r="Z107" s="435"/>
      <c r="AA107" s="435"/>
      <c r="AB107" s="435"/>
      <c r="AC107" s="435"/>
      <c r="AD107" s="435"/>
      <c r="AE107" s="436">
        <f t="shared" si="1"/>
        <v>0</v>
      </c>
    </row>
    <row r="108" spans="1:33" x14ac:dyDescent="0.2">
      <c r="A108" s="576">
        <v>17</v>
      </c>
      <c r="B108" s="577" t="s">
        <v>552</v>
      </c>
      <c r="C108" s="577" t="s">
        <v>553</v>
      </c>
      <c r="D108" s="578" t="s">
        <v>505</v>
      </c>
      <c r="E108" s="579">
        <v>511</v>
      </c>
      <c r="F108" s="580"/>
      <c r="G108" s="580"/>
      <c r="H108" s="580"/>
      <c r="I108" s="609"/>
      <c r="J108" s="580"/>
      <c r="K108" s="580"/>
      <c r="L108" s="580"/>
      <c r="M108" s="580"/>
      <c r="N108" s="580"/>
      <c r="O108" s="580"/>
      <c r="P108" s="580"/>
      <c r="Q108" s="580"/>
      <c r="R108" s="581"/>
      <c r="S108" s="580"/>
      <c r="T108" s="580"/>
      <c r="U108" s="580"/>
      <c r="V108" s="609"/>
      <c r="W108" s="580"/>
      <c r="X108" s="580"/>
      <c r="Y108" s="580"/>
      <c r="Z108" s="580"/>
      <c r="AA108" s="580"/>
      <c r="AB108" s="580"/>
      <c r="AC108" s="580"/>
      <c r="AD108" s="580"/>
      <c r="AE108" s="581">
        <f t="shared" si="1"/>
        <v>0</v>
      </c>
    </row>
    <row r="109" spans="1:33" x14ac:dyDescent="0.2">
      <c r="A109" s="433"/>
      <c r="B109" s="441"/>
      <c r="C109" s="441"/>
      <c r="D109" s="442" t="s">
        <v>515</v>
      </c>
      <c r="E109" s="447">
        <v>511</v>
      </c>
      <c r="F109" s="430"/>
      <c r="G109" s="430"/>
      <c r="H109" s="430"/>
      <c r="I109" s="606"/>
      <c r="J109" s="430"/>
      <c r="K109" s="430"/>
      <c r="L109" s="430"/>
      <c r="M109" s="430"/>
      <c r="N109" s="430"/>
      <c r="O109" s="430"/>
      <c r="P109" s="430"/>
      <c r="Q109" s="430"/>
      <c r="R109" s="412"/>
      <c r="S109" s="430"/>
      <c r="T109" s="430"/>
      <c r="U109" s="430"/>
      <c r="V109" s="606"/>
      <c r="W109" s="430"/>
      <c r="X109" s="430"/>
      <c r="Y109" s="430"/>
      <c r="Z109" s="430"/>
      <c r="AA109" s="430"/>
      <c r="AB109" s="430"/>
      <c r="AC109" s="430"/>
      <c r="AD109" s="430"/>
      <c r="AE109" s="412">
        <f t="shared" si="1"/>
        <v>0</v>
      </c>
    </row>
    <row r="110" spans="1:33" x14ac:dyDescent="0.2">
      <c r="A110" s="433"/>
      <c r="B110" s="441"/>
      <c r="C110" s="441"/>
      <c r="D110" s="420" t="s">
        <v>506</v>
      </c>
      <c r="E110" s="447">
        <v>511</v>
      </c>
      <c r="F110" s="430"/>
      <c r="G110" s="430"/>
      <c r="H110" s="430"/>
      <c r="I110" s="606"/>
      <c r="J110" s="430"/>
      <c r="K110" s="430"/>
      <c r="L110" s="430"/>
      <c r="M110" s="430"/>
      <c r="N110" s="430"/>
      <c r="O110" s="430"/>
      <c r="P110" s="430"/>
      <c r="Q110" s="430"/>
      <c r="R110" s="412"/>
      <c r="S110" s="430"/>
      <c r="T110" s="430"/>
      <c r="U110" s="430"/>
      <c r="V110" s="606"/>
      <c r="W110" s="430"/>
      <c r="X110" s="430"/>
      <c r="Y110" s="430"/>
      <c r="Z110" s="430"/>
      <c r="AA110" s="430"/>
      <c r="AB110" s="430"/>
      <c r="AC110" s="430"/>
      <c r="AD110" s="430"/>
      <c r="AE110" s="412">
        <f t="shared" si="1"/>
        <v>0</v>
      </c>
    </row>
    <row r="111" spans="1:33" x14ac:dyDescent="0.2">
      <c r="A111" s="433"/>
      <c r="B111" s="441"/>
      <c r="C111" s="441"/>
      <c r="D111" s="442" t="s">
        <v>511</v>
      </c>
      <c r="E111" s="455">
        <v>7118</v>
      </c>
      <c r="F111" s="435"/>
      <c r="G111" s="435"/>
      <c r="H111" s="435"/>
      <c r="I111" s="610"/>
      <c r="J111" s="435"/>
      <c r="K111" s="435"/>
      <c r="L111" s="435"/>
      <c r="M111" s="435"/>
      <c r="N111" s="435"/>
      <c r="O111" s="435"/>
      <c r="P111" s="435"/>
      <c r="Q111" s="435"/>
      <c r="R111" s="436"/>
      <c r="S111" s="435"/>
      <c r="T111" s="435"/>
      <c r="U111" s="435"/>
      <c r="V111" s="610"/>
      <c r="W111" s="435"/>
      <c r="X111" s="435"/>
      <c r="Y111" s="435"/>
      <c r="Z111" s="435"/>
      <c r="AA111" s="435"/>
      <c r="AB111" s="435"/>
      <c r="AC111" s="435"/>
      <c r="AD111" s="435"/>
      <c r="AE111" s="436">
        <f t="shared" si="1"/>
        <v>0</v>
      </c>
    </row>
    <row r="112" spans="1:33" x14ac:dyDescent="0.2">
      <c r="A112" s="576">
        <v>18</v>
      </c>
      <c r="B112" s="577" t="s">
        <v>554</v>
      </c>
      <c r="C112" s="577" t="s">
        <v>555</v>
      </c>
      <c r="D112" s="578" t="s">
        <v>505</v>
      </c>
      <c r="E112" s="579">
        <v>511</v>
      </c>
      <c r="F112" s="580"/>
      <c r="G112" s="580"/>
      <c r="H112" s="580"/>
      <c r="I112" s="609"/>
      <c r="J112" s="580"/>
      <c r="K112" s="580"/>
      <c r="L112" s="580"/>
      <c r="M112" s="580"/>
      <c r="N112" s="580"/>
      <c r="O112" s="580"/>
      <c r="P112" s="580"/>
      <c r="Q112" s="580"/>
      <c r="R112" s="581"/>
      <c r="S112" s="580"/>
      <c r="T112" s="580"/>
      <c r="U112" s="580"/>
      <c r="V112" s="609"/>
      <c r="W112" s="580"/>
      <c r="X112" s="580"/>
      <c r="Y112" s="580"/>
      <c r="Z112" s="580"/>
      <c r="AA112" s="580"/>
      <c r="AB112" s="580"/>
      <c r="AC112" s="580"/>
      <c r="AD112" s="580"/>
      <c r="AE112" s="581">
        <f t="shared" si="1"/>
        <v>0</v>
      </c>
    </row>
    <row r="113" spans="1:32" x14ac:dyDescent="0.2">
      <c r="A113" s="433"/>
      <c r="B113" s="441"/>
      <c r="C113" s="441"/>
      <c r="D113" s="442" t="s">
        <v>515</v>
      </c>
      <c r="E113" s="447">
        <v>511</v>
      </c>
      <c r="F113" s="430"/>
      <c r="G113" s="430"/>
      <c r="H113" s="430"/>
      <c r="I113" s="606"/>
      <c r="J113" s="430"/>
      <c r="K113" s="430"/>
      <c r="L113" s="430"/>
      <c r="M113" s="430"/>
      <c r="N113" s="430"/>
      <c r="O113" s="430"/>
      <c r="P113" s="430"/>
      <c r="Q113" s="430"/>
      <c r="R113" s="412"/>
      <c r="S113" s="430"/>
      <c r="T113" s="430"/>
      <c r="U113" s="430"/>
      <c r="V113" s="606"/>
      <c r="W113" s="430"/>
      <c r="X113" s="430"/>
      <c r="Y113" s="430"/>
      <c r="Z113" s="430"/>
      <c r="AA113" s="430"/>
      <c r="AB113" s="430"/>
      <c r="AC113" s="430"/>
      <c r="AD113" s="430"/>
      <c r="AE113" s="412">
        <f t="shared" si="1"/>
        <v>0</v>
      </c>
    </row>
    <row r="114" spans="1:32" x14ac:dyDescent="0.2">
      <c r="A114" s="433"/>
      <c r="B114" s="441"/>
      <c r="C114" s="441"/>
      <c r="D114" s="420" t="s">
        <v>506</v>
      </c>
      <c r="E114" s="447">
        <v>511</v>
      </c>
      <c r="F114" s="430"/>
      <c r="G114" s="430"/>
      <c r="H114" s="430"/>
      <c r="I114" s="606"/>
      <c r="J114" s="430"/>
      <c r="K114" s="430"/>
      <c r="L114" s="430"/>
      <c r="M114" s="430"/>
      <c r="N114" s="430"/>
      <c r="O114" s="430"/>
      <c r="P114" s="430"/>
      <c r="Q114" s="430"/>
      <c r="R114" s="412"/>
      <c r="S114" s="430"/>
      <c r="T114" s="430"/>
      <c r="U114" s="430"/>
      <c r="V114" s="606"/>
      <c r="W114" s="430"/>
      <c r="X114" s="430"/>
      <c r="Y114" s="430"/>
      <c r="Z114" s="430"/>
      <c r="AA114" s="430"/>
      <c r="AB114" s="430"/>
      <c r="AC114" s="430"/>
      <c r="AD114" s="430"/>
      <c r="AE114" s="412">
        <f t="shared" si="1"/>
        <v>0</v>
      </c>
    </row>
    <row r="115" spans="1:32" x14ac:dyDescent="0.2">
      <c r="A115" s="433"/>
      <c r="B115" s="441"/>
      <c r="C115" s="441"/>
      <c r="D115" s="442" t="s">
        <v>511</v>
      </c>
      <c r="E115" s="456">
        <v>7118</v>
      </c>
      <c r="F115" s="435"/>
      <c r="G115" s="435"/>
      <c r="H115" s="435"/>
      <c r="I115" s="610"/>
      <c r="J115" s="435"/>
      <c r="K115" s="435"/>
      <c r="L115" s="435"/>
      <c r="M115" s="435"/>
      <c r="N115" s="435"/>
      <c r="O115" s="435"/>
      <c r="P115" s="435"/>
      <c r="Q115" s="435"/>
      <c r="R115" s="436"/>
      <c r="S115" s="435"/>
      <c r="T115" s="435"/>
      <c r="U115" s="435"/>
      <c r="V115" s="610"/>
      <c r="W115" s="435"/>
      <c r="X115" s="435"/>
      <c r="Y115" s="435"/>
      <c r="Z115" s="435"/>
      <c r="AA115" s="435"/>
      <c r="AB115" s="435"/>
      <c r="AC115" s="435"/>
      <c r="AD115" s="435"/>
      <c r="AE115" s="436">
        <f t="shared" si="1"/>
        <v>0</v>
      </c>
    </row>
    <row r="116" spans="1:32" x14ac:dyDescent="0.2">
      <c r="A116" s="576">
        <v>19</v>
      </c>
      <c r="B116" s="577" t="s">
        <v>556</v>
      </c>
      <c r="C116" s="577" t="s">
        <v>557</v>
      </c>
      <c r="D116" s="578" t="s">
        <v>505</v>
      </c>
      <c r="E116" s="579">
        <v>511</v>
      </c>
      <c r="F116" s="580"/>
      <c r="G116" s="580"/>
      <c r="H116" s="580"/>
      <c r="I116" s="609"/>
      <c r="J116" s="580"/>
      <c r="K116" s="580"/>
      <c r="L116" s="580"/>
      <c r="M116" s="580"/>
      <c r="N116" s="580"/>
      <c r="O116" s="580"/>
      <c r="P116" s="580"/>
      <c r="Q116" s="580"/>
      <c r="R116" s="581"/>
      <c r="S116" s="580"/>
      <c r="T116" s="580"/>
      <c r="U116" s="580"/>
      <c r="V116" s="609"/>
      <c r="W116" s="580"/>
      <c r="X116" s="580"/>
      <c r="Y116" s="580"/>
      <c r="Z116" s="580"/>
      <c r="AA116" s="580"/>
      <c r="AB116" s="580"/>
      <c r="AC116" s="580"/>
      <c r="AD116" s="580"/>
      <c r="AE116" s="581">
        <f t="shared" si="1"/>
        <v>0</v>
      </c>
      <c r="AF116" s="438"/>
    </row>
    <row r="117" spans="1:32" x14ac:dyDescent="0.2">
      <c r="A117" s="433"/>
      <c r="B117" s="439"/>
      <c r="C117" s="439"/>
      <c r="D117" s="420" t="s">
        <v>515</v>
      </c>
      <c r="E117" s="447">
        <v>511</v>
      </c>
      <c r="F117" s="430"/>
      <c r="G117" s="430"/>
      <c r="H117" s="430"/>
      <c r="I117" s="606"/>
      <c r="J117" s="430"/>
      <c r="K117" s="430"/>
      <c r="L117" s="430"/>
      <c r="M117" s="430"/>
      <c r="N117" s="430"/>
      <c r="O117" s="430"/>
      <c r="P117" s="430"/>
      <c r="Q117" s="430"/>
      <c r="R117" s="412"/>
      <c r="S117" s="430"/>
      <c r="T117" s="430"/>
      <c r="U117" s="430"/>
      <c r="V117" s="606"/>
      <c r="W117" s="430"/>
      <c r="X117" s="430"/>
      <c r="Y117" s="430"/>
      <c r="Z117" s="430"/>
      <c r="AA117" s="430"/>
      <c r="AB117" s="430"/>
      <c r="AC117" s="430"/>
      <c r="AD117" s="430"/>
      <c r="AE117" s="412">
        <f t="shared" si="1"/>
        <v>0</v>
      </c>
    </row>
    <row r="118" spans="1:32" x14ac:dyDescent="0.2">
      <c r="A118" s="433"/>
      <c r="B118" s="454"/>
      <c r="C118" s="454"/>
      <c r="D118" s="457" t="s">
        <v>511</v>
      </c>
      <c r="E118" s="447">
        <v>511</v>
      </c>
      <c r="F118" s="458"/>
      <c r="G118" s="435"/>
      <c r="H118" s="435"/>
      <c r="I118" s="610"/>
      <c r="J118" s="435"/>
      <c r="K118" s="435"/>
      <c r="L118" s="435"/>
      <c r="M118" s="435"/>
      <c r="N118" s="435"/>
      <c r="O118" s="435"/>
      <c r="P118" s="435"/>
      <c r="Q118" s="435"/>
      <c r="R118" s="436"/>
      <c r="S118" s="458"/>
      <c r="T118" s="435"/>
      <c r="U118" s="435"/>
      <c r="V118" s="610"/>
      <c r="W118" s="435"/>
      <c r="X118" s="435"/>
      <c r="Y118" s="435"/>
      <c r="Z118" s="435"/>
      <c r="AA118" s="435"/>
      <c r="AB118" s="435"/>
      <c r="AC118" s="435"/>
      <c r="AD118" s="435"/>
      <c r="AE118" s="436">
        <f t="shared" si="1"/>
        <v>0</v>
      </c>
    </row>
    <row r="119" spans="1:32" x14ac:dyDescent="0.2">
      <c r="A119" s="451">
        <v>20</v>
      </c>
      <c r="B119" s="577" t="s">
        <v>558</v>
      </c>
      <c r="C119" s="577" t="s">
        <v>559</v>
      </c>
      <c r="D119" s="578" t="s">
        <v>505</v>
      </c>
      <c r="E119" s="459">
        <v>511</v>
      </c>
      <c r="F119" s="582"/>
      <c r="G119" s="580"/>
      <c r="H119" s="580"/>
      <c r="I119" s="609"/>
      <c r="J119" s="580"/>
      <c r="K119" s="580"/>
      <c r="L119" s="580"/>
      <c r="M119" s="580"/>
      <c r="N119" s="580"/>
      <c r="O119" s="580"/>
      <c r="P119" s="580"/>
      <c r="Q119" s="580"/>
      <c r="R119" s="581"/>
      <c r="S119" s="582"/>
      <c r="T119" s="580"/>
      <c r="U119" s="580"/>
      <c r="V119" s="609"/>
      <c r="W119" s="580"/>
      <c r="X119" s="580"/>
      <c r="Y119" s="580"/>
      <c r="Z119" s="580"/>
      <c r="AA119" s="580"/>
      <c r="AB119" s="580"/>
      <c r="AC119" s="580"/>
      <c r="AD119" s="580"/>
      <c r="AE119" s="581">
        <f t="shared" si="1"/>
        <v>0</v>
      </c>
    </row>
    <row r="120" spans="1:32" x14ac:dyDescent="0.2">
      <c r="A120" s="433"/>
      <c r="B120" s="439"/>
      <c r="C120" s="439"/>
      <c r="D120" s="420" t="s">
        <v>515</v>
      </c>
      <c r="E120" s="456">
        <v>511</v>
      </c>
      <c r="F120" s="429"/>
      <c r="G120" s="430"/>
      <c r="H120" s="430"/>
      <c r="I120" s="606"/>
      <c r="J120" s="430"/>
      <c r="K120" s="430"/>
      <c r="L120" s="430"/>
      <c r="M120" s="430"/>
      <c r="N120" s="430"/>
      <c r="O120" s="430"/>
      <c r="P120" s="430"/>
      <c r="Q120" s="430"/>
      <c r="R120" s="412"/>
      <c r="S120" s="429"/>
      <c r="T120" s="430"/>
      <c r="U120" s="430"/>
      <c r="V120" s="606"/>
      <c r="W120" s="430"/>
      <c r="X120" s="430"/>
      <c r="Y120" s="430"/>
      <c r="Z120" s="430"/>
      <c r="AA120" s="430"/>
      <c r="AB120" s="430"/>
      <c r="AC120" s="430"/>
      <c r="AD120" s="430"/>
      <c r="AE120" s="412">
        <f t="shared" si="1"/>
        <v>0</v>
      </c>
    </row>
    <row r="121" spans="1:32" x14ac:dyDescent="0.2">
      <c r="A121" s="433"/>
      <c r="B121" s="454"/>
      <c r="C121" s="454"/>
      <c r="D121" s="457" t="s">
        <v>511</v>
      </c>
      <c r="E121" s="456">
        <v>7118</v>
      </c>
      <c r="F121" s="458"/>
      <c r="G121" s="435"/>
      <c r="H121" s="435"/>
      <c r="I121" s="610"/>
      <c r="J121" s="435"/>
      <c r="K121" s="435"/>
      <c r="L121" s="435"/>
      <c r="M121" s="435"/>
      <c r="N121" s="435"/>
      <c r="O121" s="435"/>
      <c r="P121" s="435"/>
      <c r="Q121" s="435"/>
      <c r="R121" s="436"/>
      <c r="S121" s="458"/>
      <c r="T121" s="435"/>
      <c r="U121" s="435"/>
      <c r="V121" s="610"/>
      <c r="W121" s="435"/>
      <c r="X121" s="435"/>
      <c r="Y121" s="435"/>
      <c r="Z121" s="435"/>
      <c r="AA121" s="435"/>
      <c r="AB121" s="435"/>
      <c r="AC121" s="435"/>
      <c r="AD121" s="435"/>
      <c r="AE121" s="436">
        <f t="shared" si="1"/>
        <v>0</v>
      </c>
    </row>
    <row r="122" spans="1:32" x14ac:dyDescent="0.2">
      <c r="A122" s="451">
        <v>21</v>
      </c>
      <c r="B122" s="577" t="s">
        <v>560</v>
      </c>
      <c r="C122" s="577" t="s">
        <v>561</v>
      </c>
      <c r="D122" s="578" t="s">
        <v>505</v>
      </c>
      <c r="E122" s="449">
        <v>511</v>
      </c>
      <c r="F122" s="580"/>
      <c r="G122" s="580"/>
      <c r="H122" s="580"/>
      <c r="I122" s="609"/>
      <c r="J122" s="580"/>
      <c r="K122" s="580"/>
      <c r="L122" s="580"/>
      <c r="M122" s="580"/>
      <c r="N122" s="580"/>
      <c r="O122" s="580"/>
      <c r="P122" s="580"/>
      <c r="Q122" s="580"/>
      <c r="R122" s="581"/>
      <c r="S122" s="580"/>
      <c r="T122" s="580"/>
      <c r="U122" s="580"/>
      <c r="V122" s="609"/>
      <c r="W122" s="580"/>
      <c r="X122" s="580"/>
      <c r="Y122" s="580"/>
      <c r="Z122" s="580"/>
      <c r="AA122" s="580"/>
      <c r="AB122" s="580"/>
      <c r="AC122" s="580"/>
      <c r="AD122" s="580"/>
      <c r="AE122" s="581">
        <f t="shared" si="1"/>
        <v>0</v>
      </c>
    </row>
    <row r="123" spans="1:32" x14ac:dyDescent="0.2">
      <c r="A123" s="431"/>
      <c r="B123" s="439"/>
      <c r="C123" s="439"/>
      <c r="D123" s="420" t="s">
        <v>515</v>
      </c>
      <c r="E123" s="421">
        <v>511</v>
      </c>
      <c r="F123" s="430"/>
      <c r="G123" s="430"/>
      <c r="H123" s="430"/>
      <c r="I123" s="606"/>
      <c r="J123" s="430"/>
      <c r="K123" s="430"/>
      <c r="L123" s="430"/>
      <c r="M123" s="430"/>
      <c r="N123" s="430"/>
      <c r="O123" s="430"/>
      <c r="P123" s="430"/>
      <c r="Q123" s="430"/>
      <c r="R123" s="446"/>
      <c r="S123" s="430"/>
      <c r="T123" s="430"/>
      <c r="U123" s="430"/>
      <c r="V123" s="606"/>
      <c r="W123" s="430"/>
      <c r="X123" s="430"/>
      <c r="Y123" s="430"/>
      <c r="Z123" s="430"/>
      <c r="AA123" s="430"/>
      <c r="AB123" s="430"/>
      <c r="AC123" s="430"/>
      <c r="AD123" s="430"/>
      <c r="AE123" s="446">
        <f t="shared" si="1"/>
        <v>0</v>
      </c>
    </row>
    <row r="124" spans="1:32" x14ac:dyDescent="0.2">
      <c r="A124" s="422"/>
      <c r="B124" s="454"/>
      <c r="C124" s="454"/>
      <c r="D124" s="457" t="s">
        <v>511</v>
      </c>
      <c r="E124" s="455">
        <v>7118</v>
      </c>
      <c r="F124" s="426"/>
      <c r="G124" s="426"/>
      <c r="H124" s="426"/>
      <c r="I124" s="607"/>
      <c r="J124" s="426"/>
      <c r="K124" s="426"/>
      <c r="L124" s="426"/>
      <c r="M124" s="426"/>
      <c r="N124" s="426"/>
      <c r="O124" s="426"/>
      <c r="P124" s="426"/>
      <c r="Q124" s="426"/>
      <c r="R124" s="427"/>
      <c r="S124" s="426"/>
      <c r="T124" s="426"/>
      <c r="U124" s="426"/>
      <c r="V124" s="607"/>
      <c r="W124" s="426"/>
      <c r="X124" s="426"/>
      <c r="Y124" s="426"/>
      <c r="Z124" s="426"/>
      <c r="AA124" s="426"/>
      <c r="AB124" s="426"/>
      <c r="AC124" s="426"/>
      <c r="AD124" s="426"/>
      <c r="AE124" s="427">
        <f t="shared" si="1"/>
        <v>0</v>
      </c>
    </row>
    <row r="125" spans="1:32" x14ac:dyDescent="0.2">
      <c r="A125" s="576">
        <v>22</v>
      </c>
      <c r="B125" s="577" t="s">
        <v>562</v>
      </c>
      <c r="C125" s="577" t="s">
        <v>563</v>
      </c>
      <c r="D125" s="578" t="s">
        <v>505</v>
      </c>
      <c r="E125" s="579">
        <v>511</v>
      </c>
      <c r="F125" s="580"/>
      <c r="G125" s="580"/>
      <c r="H125" s="580"/>
      <c r="I125" s="606"/>
      <c r="J125" s="580"/>
      <c r="K125" s="580"/>
      <c r="L125" s="580"/>
      <c r="M125" s="580"/>
      <c r="N125" s="580"/>
      <c r="O125" s="580"/>
      <c r="P125" s="580"/>
      <c r="Q125" s="580"/>
      <c r="R125" s="581"/>
      <c r="S125" s="580"/>
      <c r="T125" s="580"/>
      <c r="U125" s="580"/>
      <c r="V125" s="606"/>
      <c r="W125" s="580"/>
      <c r="X125" s="580"/>
      <c r="Y125" s="580"/>
      <c r="Z125" s="580"/>
      <c r="AA125" s="580"/>
      <c r="AB125" s="580"/>
      <c r="AC125" s="580"/>
      <c r="AD125" s="580"/>
      <c r="AE125" s="581">
        <f t="shared" si="1"/>
        <v>0</v>
      </c>
    </row>
    <row r="126" spans="1:32" x14ac:dyDescent="0.2">
      <c r="A126" s="431"/>
      <c r="B126" s="439"/>
      <c r="C126" s="439"/>
      <c r="D126" s="420" t="s">
        <v>515</v>
      </c>
      <c r="E126" s="447">
        <v>511</v>
      </c>
      <c r="F126" s="435"/>
      <c r="G126" s="435"/>
      <c r="H126" s="435"/>
      <c r="I126" s="610"/>
      <c r="J126" s="435"/>
      <c r="K126" s="435"/>
      <c r="L126" s="435"/>
      <c r="M126" s="435"/>
      <c r="N126" s="435"/>
      <c r="O126" s="435"/>
      <c r="P126" s="435"/>
      <c r="Q126" s="435"/>
      <c r="R126" s="446"/>
      <c r="S126" s="435"/>
      <c r="T126" s="435"/>
      <c r="U126" s="435"/>
      <c r="V126" s="610"/>
      <c r="W126" s="435"/>
      <c r="X126" s="435"/>
      <c r="Y126" s="435"/>
      <c r="Z126" s="435"/>
      <c r="AA126" s="435"/>
      <c r="AB126" s="435"/>
      <c r="AC126" s="435"/>
      <c r="AD126" s="435"/>
      <c r="AE126" s="446">
        <f t="shared" si="1"/>
        <v>0</v>
      </c>
    </row>
    <row r="127" spans="1:32" x14ac:dyDescent="0.2">
      <c r="A127" s="460"/>
      <c r="B127" s="461"/>
      <c r="C127" s="461"/>
      <c r="D127" s="461" t="s">
        <v>511</v>
      </c>
      <c r="E127" s="456">
        <v>7118</v>
      </c>
      <c r="F127" s="430"/>
      <c r="G127" s="430"/>
      <c r="H127" s="430"/>
      <c r="I127" s="612"/>
      <c r="J127" s="430"/>
      <c r="K127" s="430"/>
      <c r="L127" s="430"/>
      <c r="M127" s="430"/>
      <c r="N127" s="430"/>
      <c r="O127" s="430"/>
      <c r="P127" s="430"/>
      <c r="Q127" s="430"/>
      <c r="R127" s="427"/>
      <c r="S127" s="430"/>
      <c r="T127" s="430"/>
      <c r="U127" s="430"/>
      <c r="V127" s="612"/>
      <c r="W127" s="430"/>
      <c r="X127" s="430"/>
      <c r="Y127" s="430"/>
      <c r="Z127" s="430"/>
      <c r="AA127" s="430"/>
      <c r="AB127" s="430"/>
      <c r="AC127" s="430"/>
      <c r="AD127" s="430"/>
      <c r="AE127" s="427">
        <f t="shared" si="1"/>
        <v>0</v>
      </c>
    </row>
    <row r="128" spans="1:32" x14ac:dyDescent="0.2">
      <c r="A128" s="584" t="s">
        <v>564</v>
      </c>
      <c r="B128" s="572" t="s">
        <v>565</v>
      </c>
      <c r="C128" s="572"/>
      <c r="D128" s="572"/>
      <c r="E128" s="572"/>
      <c r="F128" s="585"/>
      <c r="G128" s="586"/>
      <c r="H128" s="586"/>
      <c r="I128" s="613"/>
      <c r="J128" s="586"/>
      <c r="K128" s="586"/>
      <c r="L128" s="586"/>
      <c r="M128" s="586"/>
      <c r="N128" s="586"/>
      <c r="O128" s="586"/>
      <c r="P128" s="586"/>
      <c r="Q128" s="586"/>
      <c r="R128" s="586"/>
      <c r="S128" s="585"/>
      <c r="T128" s="586"/>
      <c r="U128" s="586"/>
      <c r="V128" s="613"/>
      <c r="W128" s="586"/>
      <c r="X128" s="586"/>
      <c r="Y128" s="586"/>
      <c r="Z128" s="586"/>
      <c r="AA128" s="586"/>
      <c r="AB128" s="586"/>
      <c r="AC128" s="586"/>
      <c r="AD128" s="586"/>
      <c r="AE128" s="586"/>
    </row>
    <row r="129" spans="1:32" x14ac:dyDescent="0.2">
      <c r="A129" s="406">
        <v>1</v>
      </c>
      <c r="B129" s="407" t="s">
        <v>503</v>
      </c>
      <c r="C129" s="407" t="s">
        <v>504</v>
      </c>
      <c r="D129" s="414" t="s">
        <v>566</v>
      </c>
      <c r="E129" s="409">
        <v>641</v>
      </c>
      <c r="F129" s="430"/>
      <c r="G129" s="430"/>
      <c r="H129" s="430"/>
      <c r="I129" s="612"/>
      <c r="J129" s="430"/>
      <c r="K129" s="430"/>
      <c r="L129" s="430"/>
      <c r="M129" s="430"/>
      <c r="N129" s="430"/>
      <c r="O129" s="430"/>
      <c r="P129" s="430"/>
      <c r="Q129" s="430"/>
      <c r="R129" s="412"/>
      <c r="S129" s="430"/>
      <c r="T129" s="430"/>
      <c r="U129" s="430"/>
      <c r="V129" s="612"/>
      <c r="W129" s="430"/>
      <c r="X129" s="430"/>
      <c r="Y129" s="430"/>
      <c r="Z129" s="430"/>
      <c r="AA129" s="430"/>
      <c r="AB129" s="430"/>
      <c r="AC129" s="430"/>
      <c r="AD129" s="430"/>
      <c r="AE129" s="412">
        <f t="shared" ref="AE129:AE200" si="2">SUM(S129:AD129)</f>
        <v>0</v>
      </c>
      <c r="AF129" s="438"/>
    </row>
    <row r="130" spans="1:32" x14ac:dyDescent="0.2">
      <c r="A130" s="431"/>
      <c r="B130" s="499"/>
      <c r="C130" s="510"/>
      <c r="D130" s="417"/>
      <c r="E130" s="409">
        <v>642</v>
      </c>
      <c r="F130" s="430"/>
      <c r="G130" s="430"/>
      <c r="H130" s="430"/>
      <c r="I130" s="606"/>
      <c r="J130" s="430"/>
      <c r="K130" s="430"/>
      <c r="L130" s="430"/>
      <c r="M130" s="430"/>
      <c r="N130" s="430"/>
      <c r="O130" s="430"/>
      <c r="P130" s="430"/>
      <c r="Q130" s="430"/>
      <c r="R130" s="412"/>
      <c r="S130" s="430"/>
      <c r="T130" s="430"/>
      <c r="U130" s="430"/>
      <c r="V130" s="606"/>
      <c r="W130" s="430"/>
      <c r="X130" s="430"/>
      <c r="Y130" s="430"/>
      <c r="Z130" s="430"/>
      <c r="AA130" s="430"/>
      <c r="AB130" s="430"/>
      <c r="AC130" s="430"/>
      <c r="AD130" s="430"/>
      <c r="AE130" s="412">
        <f t="shared" si="2"/>
        <v>0</v>
      </c>
    </row>
    <row r="131" spans="1:32" x14ac:dyDescent="0.2">
      <c r="A131" s="431"/>
      <c r="B131" s="499"/>
      <c r="C131" s="510"/>
      <c r="D131" s="417"/>
      <c r="E131" s="409">
        <v>627</v>
      </c>
      <c r="F131" s="430"/>
      <c r="G131" s="430"/>
      <c r="H131" s="430"/>
      <c r="I131" s="606"/>
      <c r="J131" s="430"/>
      <c r="K131" s="430"/>
      <c r="L131" s="430"/>
      <c r="M131" s="430"/>
      <c r="N131" s="430"/>
      <c r="O131" s="430"/>
      <c r="P131" s="430"/>
      <c r="Q131" s="430"/>
      <c r="R131" s="412"/>
      <c r="S131" s="430"/>
      <c r="T131" s="430"/>
      <c r="U131" s="430"/>
      <c r="V131" s="606"/>
      <c r="W131" s="430"/>
      <c r="X131" s="430"/>
      <c r="Y131" s="430"/>
      <c r="Z131" s="430"/>
      <c r="AA131" s="430"/>
      <c r="AB131" s="430"/>
      <c r="AC131" s="430"/>
      <c r="AD131" s="430"/>
      <c r="AE131" s="412">
        <f t="shared" si="2"/>
        <v>0</v>
      </c>
    </row>
    <row r="132" spans="1:32" x14ac:dyDescent="0.2">
      <c r="A132" s="431"/>
      <c r="B132" s="499"/>
      <c r="C132" s="510"/>
      <c r="D132" s="417" t="s">
        <v>567</v>
      </c>
      <c r="E132" s="409">
        <v>211</v>
      </c>
      <c r="F132" s="430"/>
      <c r="G132" s="430"/>
      <c r="H132" s="430"/>
      <c r="I132" s="606"/>
      <c r="J132" s="430"/>
      <c r="K132" s="430"/>
      <c r="L132" s="430"/>
      <c r="M132" s="430"/>
      <c r="N132" s="430"/>
      <c r="O132" s="430"/>
      <c r="P132" s="430"/>
      <c r="Q132" s="430"/>
      <c r="R132" s="412"/>
      <c r="S132" s="430"/>
      <c r="T132" s="430"/>
      <c r="U132" s="430"/>
      <c r="V132" s="606"/>
      <c r="W132" s="430"/>
      <c r="X132" s="430"/>
      <c r="Y132" s="430"/>
      <c r="Z132" s="430"/>
      <c r="AA132" s="430"/>
      <c r="AB132" s="430"/>
      <c r="AC132" s="430"/>
      <c r="AD132" s="430"/>
      <c r="AE132" s="412">
        <f t="shared" si="2"/>
        <v>0</v>
      </c>
    </row>
    <row r="133" spans="1:32" x14ac:dyDescent="0.2">
      <c r="A133" s="431"/>
      <c r="B133" s="499"/>
      <c r="C133" s="510"/>
      <c r="D133" s="417" t="s">
        <v>568</v>
      </c>
      <c r="E133" s="409">
        <v>153</v>
      </c>
      <c r="F133" s="646" t="s">
        <v>358</v>
      </c>
      <c r="G133" s="647" t="s">
        <v>358</v>
      </c>
      <c r="H133" s="647" t="s">
        <v>358</v>
      </c>
      <c r="I133" s="647" t="s">
        <v>358</v>
      </c>
      <c r="J133" s="647" t="s">
        <v>358</v>
      </c>
      <c r="K133" s="647" t="s">
        <v>358</v>
      </c>
      <c r="L133" s="647" t="s">
        <v>358</v>
      </c>
      <c r="M133" s="647" t="s">
        <v>358</v>
      </c>
      <c r="N133" s="647" t="s">
        <v>358</v>
      </c>
      <c r="O133" s="645">
        <v>49602000</v>
      </c>
      <c r="P133" s="647" t="s">
        <v>358</v>
      </c>
      <c r="Q133" s="645">
        <v>51888711</v>
      </c>
      <c r="R133" s="622">
        <v>101490711</v>
      </c>
      <c r="S133" s="430"/>
      <c r="T133" s="430"/>
      <c r="U133" s="430"/>
      <c r="V133" s="606"/>
      <c r="W133" s="430"/>
      <c r="X133" s="430"/>
      <c r="Y133" s="430"/>
      <c r="Z133" s="430"/>
      <c r="AA133" s="430"/>
      <c r="AB133" s="430"/>
      <c r="AC133" s="430"/>
      <c r="AD133" s="430"/>
      <c r="AE133" s="412">
        <f t="shared" si="2"/>
        <v>0</v>
      </c>
    </row>
    <row r="134" spans="1:32" x14ac:dyDescent="0.2">
      <c r="A134" s="431"/>
      <c r="B134" s="499"/>
      <c r="C134" s="510"/>
      <c r="D134" s="417" t="s">
        <v>569</v>
      </c>
      <c r="E134" s="409">
        <v>642</v>
      </c>
      <c r="F134" s="430"/>
      <c r="G134" s="430"/>
      <c r="H134" s="430"/>
      <c r="I134" s="606"/>
      <c r="J134" s="430"/>
      <c r="K134" s="430"/>
      <c r="L134" s="430"/>
      <c r="M134" s="430"/>
      <c r="N134" s="430"/>
      <c r="O134" s="430"/>
      <c r="P134" s="430"/>
      <c r="Q134" s="430"/>
      <c r="R134" s="462"/>
      <c r="S134" s="430"/>
      <c r="T134" s="430"/>
      <c r="U134" s="430"/>
      <c r="V134" s="606"/>
      <c r="W134" s="430"/>
      <c r="X134" s="430"/>
      <c r="Y134" s="430"/>
      <c r="Z134" s="430"/>
      <c r="AA134" s="430"/>
      <c r="AB134" s="430"/>
      <c r="AC134" s="430"/>
      <c r="AD134" s="430"/>
      <c r="AE134" s="462">
        <f t="shared" si="2"/>
        <v>0</v>
      </c>
    </row>
    <row r="135" spans="1:32" x14ac:dyDescent="0.2">
      <c r="A135" s="422"/>
      <c r="B135" s="495"/>
      <c r="C135" s="495"/>
      <c r="D135" s="423" t="s">
        <v>570</v>
      </c>
      <c r="E135" s="463"/>
      <c r="F135" s="427"/>
      <c r="G135" s="423"/>
      <c r="H135" s="423"/>
      <c r="I135" s="607"/>
      <c r="J135" s="423"/>
      <c r="K135" s="423"/>
      <c r="L135" s="423"/>
      <c r="M135" s="423"/>
      <c r="N135" s="423"/>
      <c r="O135" s="423"/>
      <c r="P135" s="423"/>
      <c r="Q135" s="423"/>
      <c r="R135" s="464"/>
      <c r="S135" s="427"/>
      <c r="T135" s="423"/>
      <c r="U135" s="423"/>
      <c r="V135" s="607"/>
      <c r="W135" s="423"/>
      <c r="X135" s="423"/>
      <c r="Y135" s="423"/>
      <c r="Z135" s="423"/>
      <c r="AA135" s="423"/>
      <c r="AB135" s="423"/>
      <c r="AC135" s="423"/>
      <c r="AD135" s="423"/>
      <c r="AE135" s="464">
        <f t="shared" si="2"/>
        <v>0</v>
      </c>
    </row>
    <row r="136" spans="1:32" x14ac:dyDescent="0.2">
      <c r="A136" s="576">
        <v>2</v>
      </c>
      <c r="B136" s="577" t="s">
        <v>513</v>
      </c>
      <c r="C136" s="577" t="s">
        <v>514</v>
      </c>
      <c r="D136" s="578" t="s">
        <v>571</v>
      </c>
      <c r="E136" s="465">
        <v>1548</v>
      </c>
      <c r="F136" s="411"/>
      <c r="G136" s="411"/>
      <c r="H136" s="411"/>
      <c r="I136" s="606"/>
      <c r="J136" s="411"/>
      <c r="K136" s="411"/>
      <c r="L136" s="411"/>
      <c r="M136" s="411"/>
      <c r="N136" s="411"/>
      <c r="O136" s="411"/>
      <c r="P136" s="411"/>
      <c r="Q136" s="411"/>
      <c r="R136" s="412"/>
      <c r="S136" s="411"/>
      <c r="T136" s="411"/>
      <c r="U136" s="411"/>
      <c r="V136" s="606"/>
      <c r="W136" s="411"/>
      <c r="X136" s="411"/>
      <c r="Y136" s="411"/>
      <c r="Z136" s="411"/>
      <c r="AA136" s="411"/>
      <c r="AB136" s="411"/>
      <c r="AC136" s="411"/>
      <c r="AD136" s="411"/>
      <c r="AE136" s="412">
        <f t="shared" si="2"/>
        <v>0</v>
      </c>
    </row>
    <row r="137" spans="1:32" x14ac:dyDescent="0.2">
      <c r="A137" s="406"/>
      <c r="B137" s="439"/>
      <c r="C137" s="439"/>
      <c r="D137" s="420" t="s">
        <v>572</v>
      </c>
      <c r="E137" s="465">
        <v>152</v>
      </c>
      <c r="F137" s="411"/>
      <c r="G137" s="411"/>
      <c r="H137" s="411"/>
      <c r="I137" s="606"/>
      <c r="J137" s="411"/>
      <c r="K137" s="411"/>
      <c r="L137" s="411"/>
      <c r="M137" s="411"/>
      <c r="N137" s="411"/>
      <c r="O137" s="411"/>
      <c r="P137" s="411"/>
      <c r="Q137" s="411"/>
      <c r="R137" s="412"/>
      <c r="S137" s="411"/>
      <c r="T137" s="411"/>
      <c r="U137" s="411"/>
      <c r="V137" s="606"/>
      <c r="W137" s="411"/>
      <c r="X137" s="411"/>
      <c r="Y137" s="411"/>
      <c r="Z137" s="411"/>
      <c r="AA137" s="411"/>
      <c r="AB137" s="411"/>
      <c r="AC137" s="411"/>
      <c r="AD137" s="411"/>
      <c r="AE137" s="412">
        <f t="shared" si="2"/>
        <v>0</v>
      </c>
    </row>
    <row r="138" spans="1:32" x14ac:dyDescent="0.2">
      <c r="A138" s="406"/>
      <c r="B138" s="439"/>
      <c r="C138" s="439"/>
      <c r="D138" s="420" t="s">
        <v>573</v>
      </c>
      <c r="E138" s="465" t="s">
        <v>574</v>
      </c>
      <c r="F138" s="411"/>
      <c r="G138" s="411"/>
      <c r="H138" s="411"/>
      <c r="I138" s="606"/>
      <c r="J138" s="411"/>
      <c r="K138" s="411"/>
      <c r="L138" s="411"/>
      <c r="M138" s="411"/>
      <c r="N138" s="411"/>
      <c r="O138" s="411"/>
      <c r="P138" s="411"/>
      <c r="Q138" s="411"/>
      <c r="R138" s="412"/>
      <c r="S138" s="411"/>
      <c r="T138" s="411"/>
      <c r="U138" s="411"/>
      <c r="V138" s="606"/>
      <c r="W138" s="411"/>
      <c r="X138" s="411"/>
      <c r="Y138" s="411"/>
      <c r="Z138" s="411"/>
      <c r="AA138" s="411"/>
      <c r="AB138" s="411"/>
      <c r="AC138" s="411"/>
      <c r="AD138" s="411"/>
      <c r="AE138" s="412">
        <f t="shared" si="2"/>
        <v>0</v>
      </c>
    </row>
    <row r="139" spans="1:32" x14ac:dyDescent="0.2">
      <c r="A139" s="431"/>
      <c r="B139" s="439"/>
      <c r="C139" s="439"/>
      <c r="D139" s="420" t="s">
        <v>575</v>
      </c>
      <c r="E139" s="466">
        <v>641</v>
      </c>
      <c r="F139" s="411"/>
      <c r="G139" s="411"/>
      <c r="H139" s="411"/>
      <c r="I139" s="606"/>
      <c r="J139" s="411"/>
      <c r="K139" s="411"/>
      <c r="L139" s="411"/>
      <c r="M139" s="411"/>
      <c r="N139" s="411"/>
      <c r="O139" s="411"/>
      <c r="P139" s="411"/>
      <c r="Q139" s="411"/>
      <c r="R139" s="412"/>
      <c r="S139" s="411"/>
      <c r="T139" s="411"/>
      <c r="U139" s="411"/>
      <c r="V139" s="606"/>
      <c r="W139" s="411"/>
      <c r="X139" s="411"/>
      <c r="Y139" s="411"/>
      <c r="Z139" s="411"/>
      <c r="AA139" s="411"/>
      <c r="AB139" s="411"/>
      <c r="AC139" s="411"/>
      <c r="AD139" s="411"/>
      <c r="AE139" s="412">
        <f t="shared" si="2"/>
        <v>0</v>
      </c>
    </row>
    <row r="140" spans="1:32" x14ac:dyDescent="0.2">
      <c r="A140" s="431"/>
      <c r="B140" s="439"/>
      <c r="C140" s="439"/>
      <c r="D140" s="420" t="s">
        <v>567</v>
      </c>
      <c r="E140" s="466">
        <v>211</v>
      </c>
      <c r="F140" s="411"/>
      <c r="G140" s="411"/>
      <c r="H140" s="411"/>
      <c r="I140" s="606"/>
      <c r="J140" s="411"/>
      <c r="K140" s="411"/>
      <c r="L140" s="411"/>
      <c r="M140" s="411"/>
      <c r="N140" s="411"/>
      <c r="O140" s="411"/>
      <c r="P140" s="411"/>
      <c r="Q140" s="411"/>
      <c r="R140" s="412"/>
      <c r="S140" s="411"/>
      <c r="T140" s="411"/>
      <c r="U140" s="411"/>
      <c r="V140" s="606"/>
      <c r="W140" s="411"/>
      <c r="X140" s="411"/>
      <c r="Y140" s="411"/>
      <c r="Z140" s="411"/>
      <c r="AA140" s="411"/>
      <c r="AB140" s="411"/>
      <c r="AC140" s="411"/>
      <c r="AD140" s="411"/>
      <c r="AE140" s="412">
        <f t="shared" si="2"/>
        <v>0</v>
      </c>
    </row>
    <row r="141" spans="1:32" x14ac:dyDescent="0.2">
      <c r="A141" s="433"/>
      <c r="B141" s="441"/>
      <c r="C141" s="441"/>
      <c r="D141" s="648" t="s">
        <v>576</v>
      </c>
      <c r="E141" s="649">
        <v>641</v>
      </c>
      <c r="F141" s="650" t="s">
        <v>358</v>
      </c>
      <c r="G141" s="626" t="s">
        <v>358</v>
      </c>
      <c r="H141" s="627">
        <v>27000000</v>
      </c>
      <c r="I141" s="627">
        <v>67500000</v>
      </c>
      <c r="J141" s="627">
        <v>54000000</v>
      </c>
      <c r="K141" s="627">
        <v>57000000</v>
      </c>
      <c r="L141" s="627">
        <v>100500000</v>
      </c>
      <c r="M141" s="627">
        <v>19500000</v>
      </c>
      <c r="N141" s="626" t="s">
        <v>358</v>
      </c>
      <c r="O141" s="626" t="s">
        <v>358</v>
      </c>
      <c r="P141" s="626" t="s">
        <v>358</v>
      </c>
      <c r="Q141" s="626" t="s">
        <v>358</v>
      </c>
      <c r="R141" s="627">
        <v>325500000</v>
      </c>
      <c r="S141" s="467"/>
      <c r="T141" s="467"/>
      <c r="U141" s="467"/>
      <c r="V141" s="610"/>
      <c r="W141" s="467"/>
      <c r="X141" s="467"/>
      <c r="Y141" s="467"/>
      <c r="Z141" s="467"/>
      <c r="AA141" s="467"/>
      <c r="AB141" s="467"/>
      <c r="AC141" s="467"/>
      <c r="AD141" s="467"/>
      <c r="AE141" s="436">
        <f t="shared" si="2"/>
        <v>0</v>
      </c>
    </row>
    <row r="142" spans="1:32" x14ac:dyDescent="0.2">
      <c r="A142" s="576">
        <v>3</v>
      </c>
      <c r="B142" s="577" t="s">
        <v>519</v>
      </c>
      <c r="C142" s="577" t="s">
        <v>520</v>
      </c>
      <c r="D142" s="578" t="s">
        <v>577</v>
      </c>
      <c r="E142" s="587" t="s">
        <v>574</v>
      </c>
      <c r="F142" s="582"/>
      <c r="G142" s="582"/>
      <c r="H142" s="582"/>
      <c r="I142" s="609"/>
      <c r="J142" s="582"/>
      <c r="K142" s="582"/>
      <c r="L142" s="582"/>
      <c r="M142" s="582"/>
      <c r="N142" s="582"/>
      <c r="O142" s="582"/>
      <c r="P142" s="582"/>
      <c r="Q142" s="582"/>
      <c r="R142" s="581"/>
      <c r="S142" s="582"/>
      <c r="T142" s="582"/>
      <c r="U142" s="582"/>
      <c r="V142" s="609"/>
      <c r="W142" s="582"/>
      <c r="X142" s="582"/>
      <c r="Y142" s="582"/>
      <c r="Z142" s="582"/>
      <c r="AA142" s="582"/>
      <c r="AB142" s="582"/>
      <c r="AC142" s="582"/>
      <c r="AD142" s="582"/>
      <c r="AE142" s="581">
        <f t="shared" si="2"/>
        <v>0</v>
      </c>
    </row>
    <row r="143" spans="1:32" x14ac:dyDescent="0.2">
      <c r="A143" s="431"/>
      <c r="B143" s="439"/>
      <c r="C143" s="439"/>
      <c r="D143" s="420" t="s">
        <v>572</v>
      </c>
      <c r="E143" s="465">
        <v>152</v>
      </c>
      <c r="F143" s="411"/>
      <c r="G143" s="411"/>
      <c r="H143" s="411"/>
      <c r="I143" s="606"/>
      <c r="J143" s="411"/>
      <c r="K143" s="411"/>
      <c r="L143" s="411"/>
      <c r="M143" s="411"/>
      <c r="N143" s="411"/>
      <c r="O143" s="411"/>
      <c r="P143" s="411"/>
      <c r="Q143" s="411"/>
      <c r="R143" s="412"/>
      <c r="S143" s="411"/>
      <c r="T143" s="411"/>
      <c r="U143" s="411"/>
      <c r="V143" s="606"/>
      <c r="W143" s="411"/>
      <c r="X143" s="411"/>
      <c r="Y143" s="411"/>
      <c r="Z143" s="411"/>
      <c r="AA143" s="411"/>
      <c r="AB143" s="411"/>
      <c r="AC143" s="411"/>
      <c r="AD143" s="411"/>
      <c r="AE143" s="412">
        <f t="shared" si="2"/>
        <v>0</v>
      </c>
    </row>
    <row r="144" spans="1:32" x14ac:dyDescent="0.2">
      <c r="A144" s="431"/>
      <c r="B144" s="439"/>
      <c r="C144" s="439"/>
      <c r="D144" s="420" t="s">
        <v>573</v>
      </c>
      <c r="E144" s="465" t="s">
        <v>574</v>
      </c>
      <c r="F144" s="411"/>
      <c r="G144" s="411"/>
      <c r="H144" s="411"/>
      <c r="I144" s="606"/>
      <c r="J144" s="411"/>
      <c r="K144" s="411"/>
      <c r="L144" s="411"/>
      <c r="M144" s="411"/>
      <c r="N144" s="411"/>
      <c r="O144" s="411"/>
      <c r="P144" s="411"/>
      <c r="Q144" s="411"/>
      <c r="R144" s="412"/>
      <c r="S144" s="411"/>
      <c r="T144" s="411"/>
      <c r="U144" s="411"/>
      <c r="V144" s="606"/>
      <c r="W144" s="411"/>
      <c r="X144" s="411"/>
      <c r="Y144" s="411"/>
      <c r="Z144" s="411"/>
      <c r="AA144" s="411"/>
      <c r="AB144" s="411"/>
      <c r="AC144" s="411"/>
      <c r="AD144" s="411"/>
      <c r="AE144" s="412">
        <f t="shared" si="2"/>
        <v>0</v>
      </c>
    </row>
    <row r="145" spans="1:31" x14ac:dyDescent="0.2">
      <c r="A145" s="431"/>
      <c r="B145" s="439"/>
      <c r="C145" s="439"/>
      <c r="D145" s="420" t="s">
        <v>567</v>
      </c>
      <c r="E145" s="466">
        <v>211</v>
      </c>
      <c r="F145" s="411"/>
      <c r="G145" s="411"/>
      <c r="H145" s="411"/>
      <c r="I145" s="606"/>
      <c r="J145" s="411"/>
      <c r="K145" s="411"/>
      <c r="L145" s="411"/>
      <c r="M145" s="411"/>
      <c r="N145" s="411"/>
      <c r="O145" s="411"/>
      <c r="P145" s="411"/>
      <c r="Q145" s="411"/>
      <c r="R145" s="412"/>
      <c r="S145" s="411"/>
      <c r="T145" s="411"/>
      <c r="U145" s="411"/>
      <c r="V145" s="606"/>
      <c r="W145" s="411"/>
      <c r="X145" s="411"/>
      <c r="Y145" s="411"/>
      <c r="Z145" s="411"/>
      <c r="AA145" s="411"/>
      <c r="AB145" s="411"/>
      <c r="AC145" s="411"/>
      <c r="AD145" s="411"/>
      <c r="AE145" s="412">
        <f t="shared" si="2"/>
        <v>0</v>
      </c>
    </row>
    <row r="146" spans="1:31" x14ac:dyDescent="0.2">
      <c r="A146" s="433"/>
      <c r="B146" s="441"/>
      <c r="C146" s="441"/>
      <c r="D146" s="442" t="s">
        <v>570</v>
      </c>
      <c r="E146" s="456"/>
      <c r="F146" s="467"/>
      <c r="G146" s="467"/>
      <c r="H146" s="467"/>
      <c r="I146" s="610"/>
      <c r="J146" s="467"/>
      <c r="K146" s="467"/>
      <c r="L146" s="467"/>
      <c r="M146" s="467"/>
      <c r="N146" s="467"/>
      <c r="O146" s="467"/>
      <c r="P146" s="467"/>
      <c r="Q146" s="467"/>
      <c r="R146" s="436"/>
      <c r="S146" s="467"/>
      <c r="T146" s="467"/>
      <c r="U146" s="467"/>
      <c r="V146" s="610"/>
      <c r="W146" s="467"/>
      <c r="X146" s="467"/>
      <c r="Y146" s="467"/>
      <c r="Z146" s="467"/>
      <c r="AA146" s="467"/>
      <c r="AB146" s="467"/>
      <c r="AC146" s="467"/>
      <c r="AD146" s="467"/>
      <c r="AE146" s="436">
        <f t="shared" si="2"/>
        <v>0</v>
      </c>
    </row>
    <row r="147" spans="1:31" x14ac:dyDescent="0.2">
      <c r="A147" s="576">
        <v>4</v>
      </c>
      <c r="B147" s="577" t="s">
        <v>522</v>
      </c>
      <c r="C147" s="577" t="s">
        <v>523</v>
      </c>
      <c r="D147" s="578" t="s">
        <v>577</v>
      </c>
      <c r="E147" s="587" t="s">
        <v>574</v>
      </c>
      <c r="F147" s="582"/>
      <c r="G147" s="582"/>
      <c r="H147" s="582"/>
      <c r="I147" s="609"/>
      <c r="J147" s="582"/>
      <c r="K147" s="582"/>
      <c r="L147" s="582"/>
      <c r="M147" s="582"/>
      <c r="N147" s="582"/>
      <c r="O147" s="582"/>
      <c r="P147" s="582"/>
      <c r="Q147" s="582"/>
      <c r="R147" s="581"/>
      <c r="S147" s="582"/>
      <c r="T147" s="582"/>
      <c r="U147" s="582"/>
      <c r="V147" s="609"/>
      <c r="W147" s="582"/>
      <c r="X147" s="582"/>
      <c r="Y147" s="582"/>
      <c r="Z147" s="582"/>
      <c r="AA147" s="582"/>
      <c r="AB147" s="582"/>
      <c r="AC147" s="582"/>
      <c r="AD147" s="582"/>
      <c r="AE147" s="581">
        <f t="shared" si="2"/>
        <v>0</v>
      </c>
    </row>
    <row r="148" spans="1:31" x14ac:dyDescent="0.2">
      <c r="A148" s="431"/>
      <c r="B148" s="439"/>
      <c r="C148" s="439"/>
      <c r="D148" s="420" t="s">
        <v>572</v>
      </c>
      <c r="E148" s="465">
        <v>152</v>
      </c>
      <c r="F148" s="411"/>
      <c r="G148" s="411"/>
      <c r="H148" s="411"/>
      <c r="I148" s="606"/>
      <c r="J148" s="411"/>
      <c r="K148" s="411"/>
      <c r="L148" s="411"/>
      <c r="M148" s="411"/>
      <c r="N148" s="411"/>
      <c r="O148" s="411"/>
      <c r="P148" s="411"/>
      <c r="Q148" s="411"/>
      <c r="R148" s="412"/>
      <c r="S148" s="411"/>
      <c r="T148" s="411"/>
      <c r="U148" s="411"/>
      <c r="V148" s="606"/>
      <c r="W148" s="411"/>
      <c r="X148" s="411"/>
      <c r="Y148" s="411"/>
      <c r="Z148" s="411"/>
      <c r="AA148" s="411"/>
      <c r="AB148" s="411"/>
      <c r="AC148" s="411"/>
      <c r="AD148" s="411"/>
      <c r="AE148" s="412">
        <f t="shared" si="2"/>
        <v>0</v>
      </c>
    </row>
    <row r="149" spans="1:31" x14ac:dyDescent="0.2">
      <c r="A149" s="431"/>
      <c r="B149" s="439"/>
      <c r="C149" s="439"/>
      <c r="D149" s="420" t="s">
        <v>573</v>
      </c>
      <c r="E149" s="465" t="s">
        <v>574</v>
      </c>
      <c r="F149" s="411"/>
      <c r="G149" s="411"/>
      <c r="H149" s="411"/>
      <c r="I149" s="606"/>
      <c r="J149" s="411"/>
      <c r="K149" s="411"/>
      <c r="L149" s="411"/>
      <c r="M149" s="411"/>
      <c r="N149" s="411"/>
      <c r="O149" s="411"/>
      <c r="P149" s="411"/>
      <c r="Q149" s="411"/>
      <c r="R149" s="412"/>
      <c r="S149" s="411"/>
      <c r="T149" s="411"/>
      <c r="U149" s="411"/>
      <c r="V149" s="606"/>
      <c r="W149" s="411"/>
      <c r="X149" s="411"/>
      <c r="Y149" s="411"/>
      <c r="Z149" s="411"/>
      <c r="AA149" s="411"/>
      <c r="AB149" s="411"/>
      <c r="AC149" s="411"/>
      <c r="AD149" s="411"/>
      <c r="AE149" s="412">
        <f t="shared" si="2"/>
        <v>0</v>
      </c>
    </row>
    <row r="150" spans="1:31" x14ac:dyDescent="0.2">
      <c r="A150" s="431"/>
      <c r="B150" s="439"/>
      <c r="C150" s="439"/>
      <c r="D150" s="420" t="s">
        <v>567</v>
      </c>
      <c r="E150" s="466">
        <v>211</v>
      </c>
      <c r="F150" s="411"/>
      <c r="G150" s="411"/>
      <c r="H150" s="411"/>
      <c r="I150" s="606"/>
      <c r="J150" s="411"/>
      <c r="K150" s="411"/>
      <c r="L150" s="411"/>
      <c r="M150" s="411"/>
      <c r="N150" s="411"/>
      <c r="O150" s="411"/>
      <c r="P150" s="411"/>
      <c r="Q150" s="411"/>
      <c r="R150" s="412"/>
      <c r="S150" s="411"/>
      <c r="T150" s="411"/>
      <c r="U150" s="411"/>
      <c r="V150" s="606"/>
      <c r="W150" s="411"/>
      <c r="X150" s="411"/>
      <c r="Y150" s="411"/>
      <c r="Z150" s="411"/>
      <c r="AA150" s="411"/>
      <c r="AB150" s="411"/>
      <c r="AC150" s="411"/>
      <c r="AD150" s="411"/>
      <c r="AE150" s="412">
        <f t="shared" si="2"/>
        <v>0</v>
      </c>
    </row>
    <row r="151" spans="1:31" x14ac:dyDescent="0.2">
      <c r="A151" s="431"/>
      <c r="B151" s="439"/>
      <c r="C151" s="439"/>
      <c r="D151" s="420" t="s">
        <v>570</v>
      </c>
      <c r="E151" s="466"/>
      <c r="F151" s="411"/>
      <c r="G151" s="411"/>
      <c r="H151" s="411"/>
      <c r="I151" s="606"/>
      <c r="J151" s="411"/>
      <c r="K151" s="411"/>
      <c r="L151" s="411"/>
      <c r="M151" s="411"/>
      <c r="N151" s="411"/>
      <c r="O151" s="411"/>
      <c r="P151" s="411"/>
      <c r="Q151" s="411"/>
      <c r="R151" s="412"/>
      <c r="S151" s="411"/>
      <c r="T151" s="411"/>
      <c r="U151" s="411"/>
      <c r="V151" s="606"/>
      <c r="W151" s="411"/>
      <c r="X151" s="411"/>
      <c r="Y151" s="411"/>
      <c r="Z151" s="411"/>
      <c r="AA151" s="411"/>
      <c r="AB151" s="411"/>
      <c r="AC151" s="411"/>
      <c r="AD151" s="411"/>
      <c r="AE151" s="412">
        <f t="shared" si="2"/>
        <v>0</v>
      </c>
    </row>
    <row r="152" spans="1:31" x14ac:dyDescent="0.2">
      <c r="A152" s="576">
        <v>5</v>
      </c>
      <c r="B152" s="577" t="s">
        <v>524</v>
      </c>
      <c r="C152" s="577" t="s">
        <v>525</v>
      </c>
      <c r="D152" s="578" t="s">
        <v>571</v>
      </c>
      <c r="E152" s="587">
        <v>1548</v>
      </c>
      <c r="F152" s="582"/>
      <c r="G152" s="582"/>
      <c r="H152" s="582"/>
      <c r="I152" s="609"/>
      <c r="J152" s="582"/>
      <c r="K152" s="582"/>
      <c r="L152" s="582"/>
      <c r="M152" s="582"/>
      <c r="N152" s="582"/>
      <c r="O152" s="582"/>
      <c r="P152" s="582"/>
      <c r="Q152" s="582"/>
      <c r="R152" s="581"/>
      <c r="S152" s="582"/>
      <c r="T152" s="582"/>
      <c r="U152" s="582"/>
      <c r="V152" s="609"/>
      <c r="W152" s="582"/>
      <c r="X152" s="582"/>
      <c r="Y152" s="582"/>
      <c r="Z152" s="582"/>
      <c r="AA152" s="582"/>
      <c r="AB152" s="582"/>
      <c r="AC152" s="582"/>
      <c r="AD152" s="582"/>
      <c r="AE152" s="581">
        <f t="shared" si="2"/>
        <v>0</v>
      </c>
    </row>
    <row r="153" spans="1:31" x14ac:dyDescent="0.2">
      <c r="A153" s="433"/>
      <c r="B153" s="441"/>
      <c r="C153" s="441"/>
      <c r="D153" s="442" t="s">
        <v>572</v>
      </c>
      <c r="E153" s="466"/>
      <c r="F153" s="411"/>
      <c r="G153" s="411"/>
      <c r="H153" s="411"/>
      <c r="I153" s="606"/>
      <c r="J153" s="411"/>
      <c r="K153" s="411"/>
      <c r="L153" s="411"/>
      <c r="M153" s="411"/>
      <c r="N153" s="411"/>
      <c r="O153" s="411"/>
      <c r="P153" s="411"/>
      <c r="Q153" s="411"/>
      <c r="R153" s="412"/>
      <c r="S153" s="411"/>
      <c r="T153" s="411"/>
      <c r="U153" s="411"/>
      <c r="V153" s="606"/>
      <c r="W153" s="411"/>
      <c r="X153" s="411"/>
      <c r="Y153" s="411"/>
      <c r="Z153" s="411"/>
      <c r="AA153" s="411"/>
      <c r="AB153" s="411"/>
      <c r="AC153" s="411"/>
      <c r="AD153" s="411"/>
      <c r="AE153" s="412">
        <f t="shared" si="2"/>
        <v>0</v>
      </c>
    </row>
    <row r="154" spans="1:31" x14ac:dyDescent="0.2">
      <c r="A154" s="433"/>
      <c r="B154" s="441"/>
      <c r="C154" s="441"/>
      <c r="D154" s="420" t="s">
        <v>578</v>
      </c>
      <c r="E154" s="466">
        <v>641</v>
      </c>
      <c r="F154" s="411"/>
      <c r="G154" s="411"/>
      <c r="H154" s="411"/>
      <c r="I154" s="606"/>
      <c r="J154" s="411"/>
      <c r="K154" s="411"/>
      <c r="L154" s="411"/>
      <c r="M154" s="411"/>
      <c r="N154" s="411"/>
      <c r="O154" s="411"/>
      <c r="P154" s="411"/>
      <c r="Q154" s="411"/>
      <c r="R154" s="412"/>
      <c r="S154" s="411"/>
      <c r="T154" s="411"/>
      <c r="U154" s="411"/>
      <c r="V154" s="606"/>
      <c r="W154" s="411"/>
      <c r="X154" s="411"/>
      <c r="Y154" s="411"/>
      <c r="Z154" s="411"/>
      <c r="AA154" s="411"/>
      <c r="AB154" s="411"/>
      <c r="AC154" s="411"/>
      <c r="AD154" s="411"/>
      <c r="AE154" s="412">
        <f t="shared" si="2"/>
        <v>0</v>
      </c>
    </row>
    <row r="155" spans="1:31" x14ac:dyDescent="0.2">
      <c r="A155" s="433"/>
      <c r="B155" s="441"/>
      <c r="C155" s="441"/>
      <c r="D155" s="442" t="s">
        <v>579</v>
      </c>
      <c r="E155" s="466">
        <v>627</v>
      </c>
      <c r="F155" s="411"/>
      <c r="G155" s="411"/>
      <c r="H155" s="411"/>
      <c r="I155" s="606"/>
      <c r="J155" s="411"/>
      <c r="K155" s="411"/>
      <c r="L155" s="411"/>
      <c r="M155" s="411"/>
      <c r="N155" s="411"/>
      <c r="O155" s="411"/>
      <c r="P155" s="411"/>
      <c r="Q155" s="411"/>
      <c r="R155" s="412"/>
      <c r="S155" s="411"/>
      <c r="T155" s="411"/>
      <c r="U155" s="411"/>
      <c r="V155" s="606"/>
      <c r="W155" s="411"/>
      <c r="X155" s="411"/>
      <c r="Y155" s="411"/>
      <c r="Z155" s="411"/>
      <c r="AA155" s="411"/>
      <c r="AB155" s="411"/>
      <c r="AC155" s="411"/>
      <c r="AD155" s="411"/>
      <c r="AE155" s="412">
        <f t="shared" si="2"/>
        <v>0</v>
      </c>
    </row>
    <row r="156" spans="1:31" x14ac:dyDescent="0.2">
      <c r="A156" s="433"/>
      <c r="B156" s="441"/>
      <c r="C156" s="441"/>
      <c r="D156" s="442" t="s">
        <v>570</v>
      </c>
      <c r="E156" s="456"/>
      <c r="F156" s="467"/>
      <c r="G156" s="467"/>
      <c r="H156" s="467"/>
      <c r="I156" s="610"/>
      <c r="J156" s="467"/>
      <c r="K156" s="467"/>
      <c r="L156" s="467"/>
      <c r="M156" s="467"/>
      <c r="N156" s="467"/>
      <c r="O156" s="467"/>
      <c r="P156" s="467"/>
      <c r="Q156" s="467"/>
      <c r="R156" s="436"/>
      <c r="S156" s="467"/>
      <c r="T156" s="467"/>
      <c r="U156" s="467"/>
      <c r="V156" s="610"/>
      <c r="W156" s="467"/>
      <c r="X156" s="467"/>
      <c r="Y156" s="467"/>
      <c r="Z156" s="467"/>
      <c r="AA156" s="467"/>
      <c r="AB156" s="467"/>
      <c r="AC156" s="467"/>
      <c r="AD156" s="467"/>
      <c r="AE156" s="436">
        <f t="shared" si="2"/>
        <v>0</v>
      </c>
    </row>
    <row r="157" spans="1:31" x14ac:dyDescent="0.2">
      <c r="A157" s="576">
        <v>6</v>
      </c>
      <c r="B157" s="577" t="s">
        <v>527</v>
      </c>
      <c r="C157" s="577" t="s">
        <v>528</v>
      </c>
      <c r="D157" s="578" t="s">
        <v>571</v>
      </c>
      <c r="E157" s="587">
        <v>1548</v>
      </c>
      <c r="F157" s="582"/>
      <c r="G157" s="582"/>
      <c r="H157" s="582"/>
      <c r="I157" s="609"/>
      <c r="J157" s="582"/>
      <c r="K157" s="582"/>
      <c r="L157" s="582"/>
      <c r="M157" s="582"/>
      <c r="N157" s="582"/>
      <c r="O157" s="582"/>
      <c r="P157" s="582"/>
      <c r="Q157" s="582"/>
      <c r="R157" s="581"/>
      <c r="S157" s="582"/>
      <c r="T157" s="582"/>
      <c r="U157" s="582"/>
      <c r="V157" s="609"/>
      <c r="W157" s="582"/>
      <c r="X157" s="582"/>
      <c r="Y157" s="582"/>
      <c r="Z157" s="582"/>
      <c r="AA157" s="582"/>
      <c r="AB157" s="582"/>
      <c r="AC157" s="582"/>
      <c r="AD157" s="582"/>
      <c r="AE157" s="581">
        <f t="shared" si="2"/>
        <v>0</v>
      </c>
    </row>
    <row r="158" spans="1:31" x14ac:dyDescent="0.2">
      <c r="A158" s="406"/>
      <c r="B158" s="439"/>
      <c r="C158" s="439"/>
      <c r="D158" s="420" t="s">
        <v>572</v>
      </c>
      <c r="E158" s="466">
        <v>152</v>
      </c>
      <c r="F158" s="411"/>
      <c r="G158" s="411"/>
      <c r="H158" s="411"/>
      <c r="I158" s="606"/>
      <c r="J158" s="411"/>
      <c r="K158" s="411"/>
      <c r="L158" s="411"/>
      <c r="M158" s="411"/>
      <c r="N158" s="411"/>
      <c r="O158" s="411"/>
      <c r="P158" s="411"/>
      <c r="Q158" s="411"/>
      <c r="R158" s="412"/>
      <c r="S158" s="411"/>
      <c r="T158" s="411"/>
      <c r="U158" s="411"/>
      <c r="V158" s="606"/>
      <c r="W158" s="411"/>
      <c r="X158" s="411"/>
      <c r="Y158" s="411"/>
      <c r="Z158" s="411"/>
      <c r="AA158" s="411"/>
      <c r="AB158" s="411"/>
      <c r="AC158" s="411"/>
      <c r="AD158" s="411"/>
      <c r="AE158" s="412">
        <f t="shared" si="2"/>
        <v>0</v>
      </c>
    </row>
    <row r="159" spans="1:31" x14ac:dyDescent="0.2">
      <c r="A159" s="406"/>
      <c r="B159" s="439"/>
      <c r="C159" s="439"/>
      <c r="D159" s="420" t="s">
        <v>573</v>
      </c>
      <c r="E159" s="465" t="s">
        <v>574</v>
      </c>
      <c r="F159" s="411"/>
      <c r="G159" s="411"/>
      <c r="H159" s="411"/>
      <c r="I159" s="606"/>
      <c r="J159" s="411"/>
      <c r="K159" s="411"/>
      <c r="L159" s="411"/>
      <c r="M159" s="411"/>
      <c r="N159" s="411"/>
      <c r="O159" s="411"/>
      <c r="P159" s="411"/>
      <c r="Q159" s="411"/>
      <c r="R159" s="412"/>
      <c r="S159" s="411"/>
      <c r="T159" s="411"/>
      <c r="U159" s="411"/>
      <c r="V159" s="606"/>
      <c r="W159" s="411"/>
      <c r="X159" s="411"/>
      <c r="Y159" s="411"/>
      <c r="Z159" s="411"/>
      <c r="AA159" s="411"/>
      <c r="AB159" s="411"/>
      <c r="AC159" s="411"/>
      <c r="AD159" s="411"/>
      <c r="AE159" s="412">
        <f t="shared" si="2"/>
        <v>0</v>
      </c>
    </row>
    <row r="160" spans="1:31" x14ac:dyDescent="0.2">
      <c r="A160" s="406"/>
      <c r="B160" s="439"/>
      <c r="C160" s="439"/>
      <c r="D160" s="420" t="s">
        <v>579</v>
      </c>
      <c r="E160" s="466">
        <v>627</v>
      </c>
      <c r="F160" s="411"/>
      <c r="G160" s="411"/>
      <c r="H160" s="411"/>
      <c r="I160" s="606"/>
      <c r="J160" s="411"/>
      <c r="K160" s="411"/>
      <c r="L160" s="411"/>
      <c r="M160" s="411"/>
      <c r="N160" s="411"/>
      <c r="O160" s="411"/>
      <c r="P160" s="411"/>
      <c r="Q160" s="411"/>
      <c r="R160" s="412"/>
      <c r="S160" s="411"/>
      <c r="T160" s="411"/>
      <c r="U160" s="411"/>
      <c r="V160" s="606"/>
      <c r="W160" s="411"/>
      <c r="X160" s="411"/>
      <c r="Y160" s="411"/>
      <c r="Z160" s="411"/>
      <c r="AA160" s="411"/>
      <c r="AB160" s="411"/>
      <c r="AC160" s="411"/>
      <c r="AD160" s="411"/>
      <c r="AE160" s="412">
        <f t="shared" si="2"/>
        <v>0</v>
      </c>
    </row>
    <row r="161" spans="1:31" x14ac:dyDescent="0.2">
      <c r="A161" s="406"/>
      <c r="B161" s="439"/>
      <c r="C161" s="439"/>
      <c r="D161" s="420" t="s">
        <v>568</v>
      </c>
      <c r="E161" s="466">
        <v>153</v>
      </c>
      <c r="F161" s="411"/>
      <c r="G161" s="411"/>
      <c r="H161" s="411"/>
      <c r="I161" s="606"/>
      <c r="J161" s="411"/>
      <c r="K161" s="411"/>
      <c r="L161" s="411"/>
      <c r="M161" s="411"/>
      <c r="N161" s="411"/>
      <c r="O161" s="411"/>
      <c r="P161" s="411"/>
      <c r="Q161" s="411"/>
      <c r="R161" s="412"/>
      <c r="S161" s="411"/>
      <c r="T161" s="411"/>
      <c r="U161" s="411"/>
      <c r="V161" s="606"/>
      <c r="W161" s="411"/>
      <c r="X161" s="411"/>
      <c r="Y161" s="411"/>
      <c r="Z161" s="411"/>
      <c r="AA161" s="411"/>
      <c r="AB161" s="411"/>
      <c r="AC161" s="411"/>
      <c r="AD161" s="411"/>
      <c r="AE161" s="412">
        <f t="shared" si="2"/>
        <v>0</v>
      </c>
    </row>
    <row r="162" spans="1:31" x14ac:dyDescent="0.2">
      <c r="A162" s="406"/>
      <c r="B162" s="439"/>
      <c r="C162" s="439"/>
      <c r="D162" s="420" t="s">
        <v>567</v>
      </c>
      <c r="E162" s="466">
        <v>211</v>
      </c>
      <c r="F162" s="411"/>
      <c r="G162" s="411"/>
      <c r="H162" s="411"/>
      <c r="I162" s="606"/>
      <c r="J162" s="411"/>
      <c r="K162" s="411"/>
      <c r="L162" s="411"/>
      <c r="M162" s="411"/>
      <c r="N162" s="411"/>
      <c r="O162" s="411"/>
      <c r="P162" s="411"/>
      <c r="Q162" s="411"/>
      <c r="R162" s="412"/>
      <c r="S162" s="411"/>
      <c r="T162" s="411"/>
      <c r="U162" s="411"/>
      <c r="V162" s="606"/>
      <c r="W162" s="411"/>
      <c r="X162" s="411"/>
      <c r="Y162" s="411"/>
      <c r="Z162" s="411"/>
      <c r="AA162" s="411"/>
      <c r="AB162" s="411"/>
      <c r="AC162" s="411"/>
      <c r="AD162" s="411"/>
      <c r="AE162" s="412">
        <f t="shared" si="2"/>
        <v>0</v>
      </c>
    </row>
    <row r="163" spans="1:31" x14ac:dyDescent="0.2">
      <c r="A163" s="406"/>
      <c r="B163" s="439"/>
      <c r="C163" s="443"/>
      <c r="D163" s="432" t="s">
        <v>508</v>
      </c>
      <c r="E163" s="465">
        <v>635</v>
      </c>
      <c r="F163" s="411"/>
      <c r="G163" s="411"/>
      <c r="H163" s="411"/>
      <c r="I163" s="606"/>
      <c r="J163" s="411"/>
      <c r="K163" s="411"/>
      <c r="L163" s="411"/>
      <c r="M163" s="411"/>
      <c r="N163" s="411"/>
      <c r="O163" s="411"/>
      <c r="P163" s="411"/>
      <c r="Q163" s="411"/>
      <c r="R163" s="412"/>
      <c r="S163" s="411"/>
      <c r="T163" s="411"/>
      <c r="U163" s="411"/>
      <c r="V163" s="606"/>
      <c r="W163" s="411"/>
      <c r="X163" s="411"/>
      <c r="Y163" s="411"/>
      <c r="Z163" s="411"/>
      <c r="AA163" s="411"/>
      <c r="AB163" s="411"/>
      <c r="AC163" s="411"/>
      <c r="AD163" s="411"/>
      <c r="AE163" s="412">
        <f t="shared" si="2"/>
        <v>0</v>
      </c>
    </row>
    <row r="164" spans="1:31" x14ac:dyDescent="0.2">
      <c r="A164" s="433"/>
      <c r="B164" s="510"/>
      <c r="C164" s="510"/>
      <c r="D164" s="417" t="s">
        <v>570</v>
      </c>
      <c r="E164" s="417"/>
      <c r="F164" s="467"/>
      <c r="G164" s="467"/>
      <c r="H164" s="467"/>
      <c r="I164" s="610"/>
      <c r="J164" s="467"/>
      <c r="K164" s="467"/>
      <c r="L164" s="467"/>
      <c r="M164" s="467"/>
      <c r="N164" s="467"/>
      <c r="O164" s="467"/>
      <c r="P164" s="467"/>
      <c r="Q164" s="467"/>
      <c r="R164" s="436"/>
      <c r="S164" s="467"/>
      <c r="T164" s="467"/>
      <c r="U164" s="467"/>
      <c r="V164" s="610"/>
      <c r="W164" s="467"/>
      <c r="X164" s="467"/>
      <c r="Y164" s="467"/>
      <c r="Z164" s="467"/>
      <c r="AA164" s="467"/>
      <c r="AB164" s="467"/>
      <c r="AC164" s="467"/>
      <c r="AD164" s="467"/>
      <c r="AE164" s="436">
        <f t="shared" si="2"/>
        <v>0</v>
      </c>
    </row>
    <row r="165" spans="1:31" x14ac:dyDescent="0.2">
      <c r="A165" s="576">
        <v>7</v>
      </c>
      <c r="B165" s="577" t="s">
        <v>531</v>
      </c>
      <c r="C165" s="577" t="s">
        <v>532</v>
      </c>
      <c r="D165" s="588" t="s">
        <v>571</v>
      </c>
      <c r="E165" s="589">
        <v>1548</v>
      </c>
      <c r="F165" s="582"/>
      <c r="G165" s="582"/>
      <c r="H165" s="582"/>
      <c r="I165" s="609"/>
      <c r="J165" s="582"/>
      <c r="K165" s="582"/>
      <c r="L165" s="582"/>
      <c r="M165" s="582"/>
      <c r="N165" s="582"/>
      <c r="O165" s="582"/>
      <c r="P165" s="582"/>
      <c r="Q165" s="582"/>
      <c r="R165" s="581"/>
      <c r="S165" s="582"/>
      <c r="T165" s="582"/>
      <c r="U165" s="582"/>
      <c r="V165" s="609"/>
      <c r="W165" s="582"/>
      <c r="X165" s="582"/>
      <c r="Y165" s="582"/>
      <c r="Z165" s="582"/>
      <c r="AA165" s="582"/>
      <c r="AB165" s="582"/>
      <c r="AC165" s="582"/>
      <c r="AD165" s="582"/>
      <c r="AE165" s="581">
        <f t="shared" si="2"/>
        <v>0</v>
      </c>
    </row>
    <row r="166" spans="1:31" x14ac:dyDescent="0.2">
      <c r="A166" s="431"/>
      <c r="B166" s="499"/>
      <c r="C166" s="499"/>
      <c r="D166" s="414" t="s">
        <v>572</v>
      </c>
      <c r="E166" s="418">
        <v>152</v>
      </c>
      <c r="F166" s="429"/>
      <c r="G166" s="429"/>
      <c r="H166" s="429"/>
      <c r="I166" s="606"/>
      <c r="J166" s="429"/>
      <c r="K166" s="429"/>
      <c r="L166" s="429"/>
      <c r="M166" s="429"/>
      <c r="N166" s="429"/>
      <c r="O166" s="429"/>
      <c r="P166" s="429"/>
      <c r="Q166" s="429"/>
      <c r="R166" s="446"/>
      <c r="S166" s="429"/>
      <c r="T166" s="429"/>
      <c r="U166" s="429"/>
      <c r="V166" s="606"/>
      <c r="W166" s="429"/>
      <c r="X166" s="429"/>
      <c r="Y166" s="429"/>
      <c r="Z166" s="429"/>
      <c r="AA166" s="429"/>
      <c r="AB166" s="429"/>
      <c r="AC166" s="429"/>
      <c r="AD166" s="429"/>
      <c r="AE166" s="446">
        <f t="shared" si="2"/>
        <v>0</v>
      </c>
    </row>
    <row r="167" spans="1:31" x14ac:dyDescent="0.2">
      <c r="A167" s="431"/>
      <c r="B167" s="499"/>
      <c r="C167" s="499"/>
      <c r="D167" s="414" t="s">
        <v>573</v>
      </c>
      <c r="E167" s="418" t="s">
        <v>574</v>
      </c>
      <c r="F167" s="429"/>
      <c r="G167" s="429"/>
      <c r="H167" s="429"/>
      <c r="I167" s="606"/>
      <c r="J167" s="429"/>
      <c r="K167" s="429"/>
      <c r="L167" s="429"/>
      <c r="M167" s="429"/>
      <c r="N167" s="429"/>
      <c r="O167" s="429"/>
      <c r="P167" s="429"/>
      <c r="Q167" s="429"/>
      <c r="R167" s="446"/>
      <c r="S167" s="429"/>
      <c r="T167" s="429"/>
      <c r="U167" s="429"/>
      <c r="V167" s="606"/>
      <c r="W167" s="429"/>
      <c r="X167" s="429"/>
      <c r="Y167" s="429"/>
      <c r="Z167" s="429"/>
      <c r="AA167" s="429"/>
      <c r="AB167" s="429"/>
      <c r="AC167" s="429"/>
      <c r="AD167" s="429"/>
      <c r="AE167" s="446">
        <f t="shared" si="2"/>
        <v>0</v>
      </c>
    </row>
    <row r="168" spans="1:31" x14ac:dyDescent="0.2">
      <c r="A168" s="431"/>
      <c r="B168" s="499"/>
      <c r="C168" s="499"/>
      <c r="D168" s="414" t="s">
        <v>579</v>
      </c>
      <c r="E168" s="418">
        <v>627</v>
      </c>
      <c r="F168" s="429"/>
      <c r="G168" s="429"/>
      <c r="H168" s="429"/>
      <c r="I168" s="606"/>
      <c r="J168" s="429"/>
      <c r="K168" s="429"/>
      <c r="L168" s="429"/>
      <c r="M168" s="429"/>
      <c r="N168" s="429"/>
      <c r="O168" s="429"/>
      <c r="P168" s="429"/>
      <c r="Q168" s="429"/>
      <c r="R168" s="446"/>
      <c r="S168" s="429"/>
      <c r="T168" s="429"/>
      <c r="U168" s="429"/>
      <c r="V168" s="606"/>
      <c r="W168" s="429"/>
      <c r="X168" s="429"/>
      <c r="Y168" s="429"/>
      <c r="Z168" s="429"/>
      <c r="AA168" s="429"/>
      <c r="AB168" s="429"/>
      <c r="AC168" s="429"/>
      <c r="AD168" s="429"/>
      <c r="AE168" s="446">
        <f t="shared" si="2"/>
        <v>0</v>
      </c>
    </row>
    <row r="169" spans="1:31" x14ac:dyDescent="0.2">
      <c r="A169" s="431"/>
      <c r="B169" s="499"/>
      <c r="C169" s="499"/>
      <c r="D169" s="414" t="s">
        <v>568</v>
      </c>
      <c r="E169" s="418">
        <v>153</v>
      </c>
      <c r="F169" s="429"/>
      <c r="G169" s="429"/>
      <c r="H169" s="429"/>
      <c r="I169" s="606"/>
      <c r="J169" s="429"/>
      <c r="K169" s="429"/>
      <c r="L169" s="429"/>
      <c r="M169" s="429"/>
      <c r="N169" s="429"/>
      <c r="O169" s="429"/>
      <c r="P169" s="429"/>
      <c r="Q169" s="429"/>
      <c r="R169" s="446"/>
      <c r="S169" s="429"/>
      <c r="T169" s="429"/>
      <c r="U169" s="429"/>
      <c r="V169" s="606"/>
      <c r="W169" s="429"/>
      <c r="X169" s="429"/>
      <c r="Y169" s="429"/>
      <c r="Z169" s="429"/>
      <c r="AA169" s="429"/>
      <c r="AB169" s="429"/>
      <c r="AC169" s="429"/>
      <c r="AD169" s="429"/>
      <c r="AE169" s="446">
        <f t="shared" si="2"/>
        <v>0</v>
      </c>
    </row>
    <row r="170" spans="1:31" x14ac:dyDescent="0.2">
      <c r="A170" s="431"/>
      <c r="B170" s="499"/>
      <c r="C170" s="499"/>
      <c r="D170" s="414" t="s">
        <v>567</v>
      </c>
      <c r="E170" s="418">
        <v>211</v>
      </c>
      <c r="F170" s="429"/>
      <c r="G170" s="429"/>
      <c r="H170" s="429"/>
      <c r="I170" s="606"/>
      <c r="J170" s="429"/>
      <c r="K170" s="429"/>
      <c r="L170" s="429"/>
      <c r="M170" s="429"/>
      <c r="N170" s="429"/>
      <c r="O170" s="429"/>
      <c r="P170" s="429"/>
      <c r="Q170" s="429"/>
      <c r="R170" s="446"/>
      <c r="S170" s="429"/>
      <c r="T170" s="429"/>
      <c r="U170" s="429"/>
      <c r="V170" s="606"/>
      <c r="W170" s="429"/>
      <c r="X170" s="429"/>
      <c r="Y170" s="429"/>
      <c r="Z170" s="429"/>
      <c r="AA170" s="429"/>
      <c r="AB170" s="429"/>
      <c r="AC170" s="429"/>
      <c r="AD170" s="429"/>
      <c r="AE170" s="446">
        <f t="shared" si="2"/>
        <v>0</v>
      </c>
    </row>
    <row r="171" spans="1:31" x14ac:dyDescent="0.2">
      <c r="A171" s="431"/>
      <c r="B171" s="499"/>
      <c r="C171" s="499"/>
      <c r="D171" s="414" t="s">
        <v>508</v>
      </c>
      <c r="E171" s="418">
        <v>635</v>
      </c>
      <c r="F171" s="429"/>
      <c r="G171" s="429"/>
      <c r="H171" s="429"/>
      <c r="I171" s="606"/>
      <c r="J171" s="429"/>
      <c r="K171" s="429"/>
      <c r="L171" s="429"/>
      <c r="M171" s="429"/>
      <c r="N171" s="429"/>
      <c r="O171" s="429"/>
      <c r="P171" s="429"/>
      <c r="Q171" s="429"/>
      <c r="R171" s="446"/>
      <c r="S171" s="429"/>
      <c r="T171" s="429"/>
      <c r="U171" s="429"/>
      <c r="V171" s="606"/>
      <c r="W171" s="429"/>
      <c r="X171" s="429"/>
      <c r="Y171" s="429"/>
      <c r="Z171" s="429"/>
      <c r="AA171" s="429"/>
      <c r="AB171" s="429"/>
      <c r="AC171" s="429"/>
      <c r="AD171" s="429"/>
      <c r="AE171" s="446">
        <f t="shared" si="2"/>
        <v>0</v>
      </c>
    </row>
    <row r="172" spans="1:31" x14ac:dyDescent="0.2">
      <c r="A172" s="422"/>
      <c r="B172" s="495"/>
      <c r="C172" s="495"/>
      <c r="D172" s="423" t="s">
        <v>570</v>
      </c>
      <c r="E172" s="463"/>
      <c r="F172" s="468"/>
      <c r="G172" s="468"/>
      <c r="H172" s="468"/>
      <c r="I172" s="607"/>
      <c r="J172" s="468"/>
      <c r="K172" s="468"/>
      <c r="L172" s="468"/>
      <c r="M172" s="468"/>
      <c r="N172" s="468"/>
      <c r="O172" s="468"/>
      <c r="P172" s="468"/>
      <c r="Q172" s="468"/>
      <c r="R172" s="427"/>
      <c r="S172" s="468"/>
      <c r="T172" s="468"/>
      <c r="U172" s="468"/>
      <c r="V172" s="607"/>
      <c r="W172" s="468"/>
      <c r="X172" s="468"/>
      <c r="Y172" s="468"/>
      <c r="Z172" s="468"/>
      <c r="AA172" s="468"/>
      <c r="AB172" s="468"/>
      <c r="AC172" s="468"/>
      <c r="AD172" s="468"/>
      <c r="AE172" s="427">
        <f t="shared" si="2"/>
        <v>0</v>
      </c>
    </row>
    <row r="173" spans="1:31" x14ac:dyDescent="0.2">
      <c r="A173" s="576">
        <v>8</v>
      </c>
      <c r="B173" s="577" t="s">
        <v>533</v>
      </c>
      <c r="C173" s="577" t="s">
        <v>534</v>
      </c>
      <c r="D173" s="578" t="s">
        <v>571</v>
      </c>
      <c r="E173" s="587">
        <v>1548</v>
      </c>
      <c r="F173" s="582"/>
      <c r="G173" s="582"/>
      <c r="H173" s="582"/>
      <c r="I173" s="606"/>
      <c r="J173" s="582"/>
      <c r="K173" s="582"/>
      <c r="L173" s="582"/>
      <c r="M173" s="582"/>
      <c r="N173" s="582"/>
      <c r="O173" s="582"/>
      <c r="P173" s="582"/>
      <c r="Q173" s="582"/>
      <c r="R173" s="581"/>
      <c r="S173" s="582"/>
      <c r="T173" s="582"/>
      <c r="U173" s="582"/>
      <c r="V173" s="606"/>
      <c r="W173" s="582"/>
      <c r="X173" s="582"/>
      <c r="Y173" s="582"/>
      <c r="Z173" s="582"/>
      <c r="AA173" s="582"/>
      <c r="AB173" s="582"/>
      <c r="AC173" s="582"/>
      <c r="AD173" s="582"/>
      <c r="AE173" s="581">
        <f t="shared" si="2"/>
        <v>0</v>
      </c>
    </row>
    <row r="174" spans="1:31" x14ac:dyDescent="0.2">
      <c r="A174" s="406"/>
      <c r="B174" s="443"/>
      <c r="C174" s="443"/>
      <c r="D174" s="420" t="s">
        <v>572</v>
      </c>
      <c r="E174" s="465">
        <v>152</v>
      </c>
      <c r="F174" s="411"/>
      <c r="G174" s="411"/>
      <c r="H174" s="411"/>
      <c r="I174" s="606"/>
      <c r="J174" s="411"/>
      <c r="K174" s="411"/>
      <c r="L174" s="411"/>
      <c r="M174" s="411"/>
      <c r="N174" s="411"/>
      <c r="O174" s="411"/>
      <c r="P174" s="411"/>
      <c r="Q174" s="411"/>
      <c r="R174" s="412"/>
      <c r="S174" s="411"/>
      <c r="T174" s="411"/>
      <c r="U174" s="411"/>
      <c r="V174" s="606"/>
      <c r="W174" s="411"/>
      <c r="X174" s="411"/>
      <c r="Y174" s="411"/>
      <c r="Z174" s="411"/>
      <c r="AA174" s="411"/>
      <c r="AB174" s="411"/>
      <c r="AC174" s="411"/>
      <c r="AD174" s="411"/>
      <c r="AE174" s="412">
        <f t="shared" si="2"/>
        <v>0</v>
      </c>
    </row>
    <row r="175" spans="1:31" x14ac:dyDescent="0.2">
      <c r="A175" s="406"/>
      <c r="B175" s="443"/>
      <c r="C175" s="443"/>
      <c r="D175" s="420" t="s">
        <v>573</v>
      </c>
      <c r="E175" s="465" t="s">
        <v>574</v>
      </c>
      <c r="F175" s="411"/>
      <c r="G175" s="411"/>
      <c r="H175" s="411"/>
      <c r="I175" s="606"/>
      <c r="J175" s="411"/>
      <c r="K175" s="411"/>
      <c r="L175" s="411"/>
      <c r="M175" s="411"/>
      <c r="N175" s="411"/>
      <c r="O175" s="411"/>
      <c r="P175" s="411"/>
      <c r="Q175" s="411"/>
      <c r="R175" s="412"/>
      <c r="S175" s="411"/>
      <c r="T175" s="411"/>
      <c r="U175" s="411"/>
      <c r="V175" s="606"/>
      <c r="W175" s="411"/>
      <c r="X175" s="411"/>
      <c r="Y175" s="411"/>
      <c r="Z175" s="411"/>
      <c r="AA175" s="411"/>
      <c r="AB175" s="411"/>
      <c r="AC175" s="411"/>
      <c r="AD175" s="411"/>
      <c r="AE175" s="412">
        <f t="shared" si="2"/>
        <v>0</v>
      </c>
    </row>
    <row r="176" spans="1:31" x14ac:dyDescent="0.2">
      <c r="A176" s="406"/>
      <c r="B176" s="443"/>
      <c r="C176" s="443"/>
      <c r="D176" s="420" t="s">
        <v>575</v>
      </c>
      <c r="E176" s="465">
        <v>627</v>
      </c>
      <c r="F176" s="411"/>
      <c r="G176" s="411"/>
      <c r="H176" s="411"/>
      <c r="I176" s="606"/>
      <c r="J176" s="411"/>
      <c r="K176" s="411"/>
      <c r="L176" s="411"/>
      <c r="M176" s="411"/>
      <c r="N176" s="411"/>
      <c r="O176" s="411"/>
      <c r="P176" s="411"/>
      <c r="Q176" s="411"/>
      <c r="R176" s="412"/>
      <c r="S176" s="411"/>
      <c r="T176" s="411"/>
      <c r="U176" s="411"/>
      <c r="V176" s="606"/>
      <c r="W176" s="411"/>
      <c r="X176" s="411"/>
      <c r="Y176" s="411"/>
      <c r="Z176" s="411"/>
      <c r="AA176" s="411"/>
      <c r="AB176" s="411"/>
      <c r="AC176" s="411"/>
      <c r="AD176" s="411"/>
      <c r="AE176" s="412">
        <f t="shared" si="2"/>
        <v>0</v>
      </c>
    </row>
    <row r="177" spans="1:31" x14ac:dyDescent="0.2">
      <c r="A177" s="406"/>
      <c r="B177" s="443"/>
      <c r="C177" s="443"/>
      <c r="D177" s="420" t="s">
        <v>579</v>
      </c>
      <c r="E177" s="466">
        <v>627</v>
      </c>
      <c r="F177" s="411"/>
      <c r="G177" s="411"/>
      <c r="H177" s="411"/>
      <c r="I177" s="606"/>
      <c r="J177" s="411"/>
      <c r="K177" s="411"/>
      <c r="L177" s="411"/>
      <c r="M177" s="411"/>
      <c r="N177" s="411"/>
      <c r="O177" s="411"/>
      <c r="P177" s="411"/>
      <c r="Q177" s="411"/>
      <c r="R177" s="412"/>
      <c r="S177" s="411"/>
      <c r="T177" s="411"/>
      <c r="U177" s="411"/>
      <c r="V177" s="606"/>
      <c r="W177" s="411"/>
      <c r="X177" s="411"/>
      <c r="Y177" s="411"/>
      <c r="Z177" s="411"/>
      <c r="AA177" s="411"/>
      <c r="AB177" s="411"/>
      <c r="AC177" s="411"/>
      <c r="AD177" s="411"/>
      <c r="AE177" s="412">
        <f t="shared" si="2"/>
        <v>0</v>
      </c>
    </row>
    <row r="178" spans="1:31" x14ac:dyDescent="0.2">
      <c r="A178" s="406"/>
      <c r="B178" s="443"/>
      <c r="C178" s="443"/>
      <c r="D178" s="420" t="s">
        <v>568</v>
      </c>
      <c r="E178" s="466">
        <v>153</v>
      </c>
      <c r="F178" s="411"/>
      <c r="G178" s="411"/>
      <c r="H178" s="411"/>
      <c r="I178" s="606"/>
      <c r="J178" s="411"/>
      <c r="K178" s="411"/>
      <c r="L178" s="411"/>
      <c r="M178" s="411"/>
      <c r="N178" s="411"/>
      <c r="O178" s="411"/>
      <c r="P178" s="411"/>
      <c r="Q178" s="411"/>
      <c r="R178" s="412"/>
      <c r="S178" s="411"/>
      <c r="T178" s="411"/>
      <c r="U178" s="411"/>
      <c r="V178" s="606"/>
      <c r="W178" s="411"/>
      <c r="X178" s="411"/>
      <c r="Y178" s="411"/>
      <c r="Z178" s="411"/>
      <c r="AA178" s="411"/>
      <c r="AB178" s="411"/>
      <c r="AC178" s="411"/>
      <c r="AD178" s="411"/>
      <c r="AE178" s="412">
        <f t="shared" si="2"/>
        <v>0</v>
      </c>
    </row>
    <row r="179" spans="1:31" x14ac:dyDescent="0.2">
      <c r="A179" s="406"/>
      <c r="B179" s="439"/>
      <c r="C179" s="439"/>
      <c r="D179" s="420" t="s">
        <v>567</v>
      </c>
      <c r="E179" s="466">
        <v>211</v>
      </c>
      <c r="F179" s="411"/>
      <c r="G179" s="411"/>
      <c r="H179" s="411"/>
      <c r="I179" s="606"/>
      <c r="J179" s="411"/>
      <c r="K179" s="411"/>
      <c r="L179" s="411"/>
      <c r="M179" s="411"/>
      <c r="N179" s="411"/>
      <c r="O179" s="411"/>
      <c r="P179" s="411"/>
      <c r="Q179" s="411"/>
      <c r="R179" s="412"/>
      <c r="S179" s="411"/>
      <c r="T179" s="411"/>
      <c r="U179" s="411"/>
      <c r="V179" s="606"/>
      <c r="W179" s="411"/>
      <c r="X179" s="411"/>
      <c r="Y179" s="411"/>
      <c r="Z179" s="411"/>
      <c r="AA179" s="411"/>
      <c r="AB179" s="411"/>
      <c r="AC179" s="411"/>
      <c r="AD179" s="411"/>
      <c r="AE179" s="412">
        <f t="shared" si="2"/>
        <v>0</v>
      </c>
    </row>
    <row r="180" spans="1:31" x14ac:dyDescent="0.2">
      <c r="A180" s="406"/>
      <c r="B180" s="439"/>
      <c r="C180" s="439"/>
      <c r="D180" s="420" t="s">
        <v>580</v>
      </c>
      <c r="E180" s="465">
        <v>627</v>
      </c>
      <c r="F180" s="411"/>
      <c r="G180" s="411"/>
      <c r="H180" s="411"/>
      <c r="I180" s="606"/>
      <c r="J180" s="411"/>
      <c r="K180" s="411"/>
      <c r="L180" s="411"/>
      <c r="M180" s="411"/>
      <c r="N180" s="411"/>
      <c r="O180" s="411"/>
      <c r="P180" s="411"/>
      <c r="Q180" s="411"/>
      <c r="R180" s="412"/>
      <c r="S180" s="411"/>
      <c r="T180" s="411"/>
      <c r="U180" s="411"/>
      <c r="V180" s="606"/>
      <c r="W180" s="411"/>
      <c r="X180" s="411"/>
      <c r="Y180" s="411"/>
      <c r="Z180" s="411"/>
      <c r="AA180" s="411"/>
      <c r="AB180" s="411"/>
      <c r="AC180" s="411"/>
      <c r="AD180" s="411"/>
      <c r="AE180" s="412">
        <f t="shared" si="2"/>
        <v>0</v>
      </c>
    </row>
    <row r="181" spans="1:31" x14ac:dyDescent="0.2">
      <c r="A181" s="406"/>
      <c r="B181" s="439"/>
      <c r="C181" s="439"/>
      <c r="D181" s="420" t="s">
        <v>508</v>
      </c>
      <c r="E181" s="465">
        <v>635</v>
      </c>
      <c r="F181" s="411"/>
      <c r="G181" s="411"/>
      <c r="H181" s="411"/>
      <c r="I181" s="606"/>
      <c r="J181" s="411"/>
      <c r="K181" s="411"/>
      <c r="L181" s="411"/>
      <c r="M181" s="411"/>
      <c r="N181" s="411"/>
      <c r="O181" s="411"/>
      <c r="P181" s="411"/>
      <c r="Q181" s="411"/>
      <c r="R181" s="412"/>
      <c r="S181" s="411"/>
      <c r="T181" s="411"/>
      <c r="U181" s="411"/>
      <c r="V181" s="606"/>
      <c r="W181" s="411"/>
      <c r="X181" s="411"/>
      <c r="Y181" s="411"/>
      <c r="Z181" s="411"/>
      <c r="AA181" s="411"/>
      <c r="AB181" s="411"/>
      <c r="AC181" s="411"/>
      <c r="AD181" s="411"/>
      <c r="AE181" s="412">
        <f t="shared" si="2"/>
        <v>0</v>
      </c>
    </row>
    <row r="182" spans="1:31" x14ac:dyDescent="0.2">
      <c r="A182" s="440"/>
      <c r="B182" s="441"/>
      <c r="C182" s="507"/>
      <c r="D182" s="434" t="s">
        <v>570</v>
      </c>
      <c r="E182" s="450">
        <v>156</v>
      </c>
      <c r="F182" s="467"/>
      <c r="G182" s="467"/>
      <c r="H182" s="467"/>
      <c r="I182" s="610"/>
      <c r="J182" s="467"/>
      <c r="K182" s="467"/>
      <c r="L182" s="467"/>
      <c r="M182" s="467"/>
      <c r="N182" s="467"/>
      <c r="O182" s="467"/>
      <c r="P182" s="467"/>
      <c r="Q182" s="467"/>
      <c r="R182" s="436"/>
      <c r="S182" s="467"/>
      <c r="T182" s="467"/>
      <c r="U182" s="467"/>
      <c r="V182" s="610"/>
      <c r="W182" s="467"/>
      <c r="X182" s="467"/>
      <c r="Y182" s="467"/>
      <c r="Z182" s="467"/>
      <c r="AA182" s="467"/>
      <c r="AB182" s="467"/>
      <c r="AC182" s="467"/>
      <c r="AD182" s="467"/>
      <c r="AE182" s="436">
        <f t="shared" si="2"/>
        <v>0</v>
      </c>
    </row>
    <row r="183" spans="1:31" x14ac:dyDescent="0.2">
      <c r="A183" s="576">
        <v>9</v>
      </c>
      <c r="B183" s="577" t="s">
        <v>536</v>
      </c>
      <c r="C183" s="577" t="s">
        <v>537</v>
      </c>
      <c r="D183" s="578" t="s">
        <v>577</v>
      </c>
      <c r="E183" s="587" t="s">
        <v>574</v>
      </c>
      <c r="F183" s="582"/>
      <c r="G183" s="582"/>
      <c r="H183" s="582"/>
      <c r="I183" s="609"/>
      <c r="J183" s="582"/>
      <c r="K183" s="582"/>
      <c r="L183" s="582"/>
      <c r="M183" s="582"/>
      <c r="N183" s="582"/>
      <c r="O183" s="582"/>
      <c r="P183" s="582"/>
      <c r="Q183" s="582"/>
      <c r="R183" s="581"/>
      <c r="S183" s="582"/>
      <c r="T183" s="582"/>
      <c r="U183" s="582"/>
      <c r="V183" s="609"/>
      <c r="W183" s="582"/>
      <c r="X183" s="582"/>
      <c r="Y183" s="582"/>
      <c r="Z183" s="582"/>
      <c r="AA183" s="582"/>
      <c r="AB183" s="582"/>
      <c r="AC183" s="582"/>
      <c r="AD183" s="582"/>
      <c r="AE183" s="581">
        <f t="shared" si="2"/>
        <v>0</v>
      </c>
    </row>
    <row r="184" spans="1:31" x14ac:dyDescent="0.2">
      <c r="A184" s="406"/>
      <c r="B184" s="439"/>
      <c r="C184" s="439"/>
      <c r="D184" s="420" t="s">
        <v>572</v>
      </c>
      <c r="E184" s="465">
        <v>152</v>
      </c>
      <c r="F184" s="411"/>
      <c r="G184" s="411"/>
      <c r="H184" s="411"/>
      <c r="I184" s="606"/>
      <c r="J184" s="411"/>
      <c r="K184" s="411"/>
      <c r="L184" s="411"/>
      <c r="M184" s="411"/>
      <c r="N184" s="411"/>
      <c r="O184" s="411"/>
      <c r="P184" s="411"/>
      <c r="Q184" s="411"/>
      <c r="R184" s="412"/>
      <c r="S184" s="411"/>
      <c r="T184" s="411"/>
      <c r="U184" s="411"/>
      <c r="V184" s="606"/>
      <c r="W184" s="411"/>
      <c r="X184" s="411"/>
      <c r="Y184" s="411"/>
      <c r="Z184" s="411"/>
      <c r="AA184" s="411"/>
      <c r="AB184" s="411"/>
      <c r="AC184" s="411"/>
      <c r="AD184" s="411"/>
      <c r="AE184" s="412">
        <f t="shared" si="2"/>
        <v>0</v>
      </c>
    </row>
    <row r="185" spans="1:31" x14ac:dyDescent="0.2">
      <c r="A185" s="406"/>
      <c r="B185" s="439"/>
      <c r="C185" s="439"/>
      <c r="D185" s="420" t="s">
        <v>573</v>
      </c>
      <c r="E185" s="465" t="s">
        <v>574</v>
      </c>
      <c r="F185" s="411"/>
      <c r="G185" s="411"/>
      <c r="H185" s="411"/>
      <c r="I185" s="606"/>
      <c r="J185" s="411"/>
      <c r="K185" s="411"/>
      <c r="L185" s="411"/>
      <c r="M185" s="411"/>
      <c r="N185" s="411"/>
      <c r="O185" s="411"/>
      <c r="P185" s="411"/>
      <c r="Q185" s="411"/>
      <c r="R185" s="412"/>
      <c r="S185" s="411"/>
      <c r="T185" s="411"/>
      <c r="U185" s="411"/>
      <c r="V185" s="606"/>
      <c r="W185" s="411"/>
      <c r="X185" s="411"/>
      <c r="Y185" s="411"/>
      <c r="Z185" s="411"/>
      <c r="AA185" s="411"/>
      <c r="AB185" s="411"/>
      <c r="AC185" s="411"/>
      <c r="AD185" s="411"/>
      <c r="AE185" s="412">
        <f t="shared" si="2"/>
        <v>0</v>
      </c>
    </row>
    <row r="186" spans="1:31" x14ac:dyDescent="0.2">
      <c r="A186" s="406"/>
      <c r="B186" s="439"/>
      <c r="C186" s="439"/>
      <c r="D186" s="420" t="s">
        <v>567</v>
      </c>
      <c r="E186" s="466">
        <v>211</v>
      </c>
      <c r="F186" s="411"/>
      <c r="G186" s="411"/>
      <c r="H186" s="411"/>
      <c r="I186" s="606"/>
      <c r="J186" s="411"/>
      <c r="K186" s="411"/>
      <c r="L186" s="411"/>
      <c r="M186" s="411"/>
      <c r="N186" s="411"/>
      <c r="O186" s="411"/>
      <c r="P186" s="411"/>
      <c r="Q186" s="411"/>
      <c r="R186" s="412"/>
      <c r="S186" s="411"/>
      <c r="T186" s="411"/>
      <c r="U186" s="411"/>
      <c r="V186" s="606"/>
      <c r="W186" s="411"/>
      <c r="X186" s="411"/>
      <c r="Y186" s="411"/>
      <c r="Z186" s="411"/>
      <c r="AA186" s="411"/>
      <c r="AB186" s="411"/>
      <c r="AC186" s="411"/>
      <c r="AD186" s="411"/>
      <c r="AE186" s="412">
        <f t="shared" si="2"/>
        <v>0</v>
      </c>
    </row>
    <row r="187" spans="1:31" x14ac:dyDescent="0.2">
      <c r="A187" s="440"/>
      <c r="B187" s="441"/>
      <c r="C187" s="441"/>
      <c r="D187" s="442" t="s">
        <v>570</v>
      </c>
      <c r="E187" s="456"/>
      <c r="F187" s="467"/>
      <c r="G187" s="467"/>
      <c r="H187" s="467"/>
      <c r="I187" s="610"/>
      <c r="J187" s="467"/>
      <c r="K187" s="467"/>
      <c r="L187" s="467"/>
      <c r="M187" s="467"/>
      <c r="N187" s="467"/>
      <c r="O187" s="467"/>
      <c r="P187" s="467"/>
      <c r="Q187" s="467"/>
      <c r="R187" s="436"/>
      <c r="S187" s="467"/>
      <c r="T187" s="467"/>
      <c r="U187" s="467"/>
      <c r="V187" s="610"/>
      <c r="W187" s="467"/>
      <c r="X187" s="467"/>
      <c r="Y187" s="467"/>
      <c r="Z187" s="467"/>
      <c r="AA187" s="467"/>
      <c r="AB187" s="467"/>
      <c r="AC187" s="467"/>
      <c r="AD187" s="467"/>
      <c r="AE187" s="436">
        <f t="shared" si="2"/>
        <v>0</v>
      </c>
    </row>
    <row r="188" spans="1:31" x14ac:dyDescent="0.2">
      <c r="A188" s="576">
        <v>10</v>
      </c>
      <c r="B188" s="590" t="s">
        <v>538</v>
      </c>
      <c r="C188" s="590" t="s">
        <v>539</v>
      </c>
      <c r="D188" s="578" t="s">
        <v>580</v>
      </c>
      <c r="E188" s="587">
        <v>627</v>
      </c>
      <c r="F188" s="582"/>
      <c r="G188" s="582"/>
      <c r="H188" s="582"/>
      <c r="I188" s="609"/>
      <c r="J188" s="582"/>
      <c r="K188" s="582"/>
      <c r="L188" s="582"/>
      <c r="M188" s="582"/>
      <c r="N188" s="582"/>
      <c r="O188" s="582"/>
      <c r="P188" s="582"/>
      <c r="Q188" s="582"/>
      <c r="R188" s="581"/>
      <c r="S188" s="582"/>
      <c r="T188" s="582"/>
      <c r="U188" s="582"/>
      <c r="V188" s="609"/>
      <c r="W188" s="582"/>
      <c r="X188" s="582"/>
      <c r="Y188" s="582"/>
      <c r="Z188" s="582"/>
      <c r="AA188" s="582"/>
      <c r="AB188" s="582"/>
      <c r="AC188" s="582"/>
      <c r="AD188" s="582"/>
      <c r="AE188" s="581">
        <f t="shared" si="2"/>
        <v>0</v>
      </c>
    </row>
    <row r="189" spans="1:31" x14ac:dyDescent="0.2">
      <c r="A189" s="433"/>
      <c r="B189" s="510"/>
      <c r="C189" s="510"/>
      <c r="D189" s="442" t="s">
        <v>567</v>
      </c>
      <c r="E189" s="456">
        <v>211</v>
      </c>
      <c r="F189" s="411"/>
      <c r="G189" s="411"/>
      <c r="H189" s="411"/>
      <c r="I189" s="606"/>
      <c r="J189" s="411"/>
      <c r="K189" s="411"/>
      <c r="L189" s="411"/>
      <c r="M189" s="411"/>
      <c r="N189" s="411"/>
      <c r="O189" s="411"/>
      <c r="P189" s="411"/>
      <c r="Q189" s="411"/>
      <c r="R189" s="412"/>
      <c r="S189" s="411"/>
      <c r="T189" s="411"/>
      <c r="U189" s="411"/>
      <c r="V189" s="606"/>
      <c r="W189" s="411"/>
      <c r="X189" s="411"/>
      <c r="Y189" s="411"/>
      <c r="Z189" s="411"/>
      <c r="AA189" s="411"/>
      <c r="AB189" s="411"/>
      <c r="AC189" s="411"/>
      <c r="AD189" s="411"/>
      <c r="AE189" s="412">
        <f t="shared" si="2"/>
        <v>0</v>
      </c>
    </row>
    <row r="190" spans="1:31" x14ac:dyDescent="0.2">
      <c r="A190" s="433"/>
      <c r="B190" s="510"/>
      <c r="C190" s="510"/>
      <c r="D190" s="442" t="s">
        <v>570</v>
      </c>
      <c r="E190" s="456">
        <v>156</v>
      </c>
      <c r="F190" s="467"/>
      <c r="G190" s="467"/>
      <c r="H190" s="467"/>
      <c r="I190" s="610"/>
      <c r="J190" s="467"/>
      <c r="K190" s="467"/>
      <c r="L190" s="467"/>
      <c r="M190" s="467"/>
      <c r="N190" s="467"/>
      <c r="O190" s="467"/>
      <c r="P190" s="467"/>
      <c r="Q190" s="467"/>
      <c r="R190" s="436"/>
      <c r="S190" s="467"/>
      <c r="T190" s="467"/>
      <c r="U190" s="467"/>
      <c r="V190" s="610"/>
      <c r="W190" s="467"/>
      <c r="X190" s="467"/>
      <c r="Y190" s="467"/>
      <c r="Z190" s="467"/>
      <c r="AA190" s="467"/>
      <c r="AB190" s="467"/>
      <c r="AC190" s="467"/>
      <c r="AD190" s="467"/>
      <c r="AE190" s="436">
        <f t="shared" si="2"/>
        <v>0</v>
      </c>
    </row>
    <row r="191" spans="1:31" x14ac:dyDescent="0.2">
      <c r="A191" s="576">
        <v>11</v>
      </c>
      <c r="B191" s="577" t="s">
        <v>540</v>
      </c>
      <c r="C191" s="577" t="s">
        <v>541</v>
      </c>
      <c r="D191" s="578" t="s">
        <v>571</v>
      </c>
      <c r="E191" s="587">
        <v>1548</v>
      </c>
      <c r="F191" s="628" t="s">
        <v>358</v>
      </c>
      <c r="G191" s="629" t="s">
        <v>358</v>
      </c>
      <c r="H191" s="629" t="s">
        <v>358</v>
      </c>
      <c r="I191" s="629" t="s">
        <v>358</v>
      </c>
      <c r="J191" s="630">
        <v>20000000</v>
      </c>
      <c r="K191" s="629" t="s">
        <v>358</v>
      </c>
      <c r="L191" s="629" t="s">
        <v>358</v>
      </c>
      <c r="M191" s="629" t="s">
        <v>358</v>
      </c>
      <c r="N191" s="630">
        <v>45000000</v>
      </c>
      <c r="O191" s="629" t="s">
        <v>358</v>
      </c>
      <c r="P191" s="629" t="s">
        <v>358</v>
      </c>
      <c r="Q191" s="629" t="s">
        <v>358</v>
      </c>
      <c r="R191" s="630">
        <v>65000000</v>
      </c>
      <c r="S191" s="582"/>
      <c r="T191" s="582"/>
      <c r="U191" s="582"/>
      <c r="V191" s="609"/>
      <c r="W191" s="582"/>
      <c r="X191" s="582"/>
      <c r="Y191" s="582"/>
      <c r="Z191" s="582"/>
      <c r="AA191" s="582"/>
      <c r="AB191" s="582"/>
      <c r="AC191" s="582"/>
      <c r="AD191" s="582"/>
      <c r="AE191" s="581">
        <f t="shared" si="2"/>
        <v>0</v>
      </c>
    </row>
    <row r="192" spans="1:31" x14ac:dyDescent="0.2">
      <c r="A192" s="431"/>
      <c r="B192" s="439"/>
      <c r="C192" s="443"/>
      <c r="D192" s="432" t="s">
        <v>577</v>
      </c>
      <c r="E192" s="465" t="s">
        <v>574</v>
      </c>
      <c r="F192" s="411"/>
      <c r="G192" s="411"/>
      <c r="H192" s="411"/>
      <c r="I192" s="606"/>
      <c r="J192" s="411"/>
      <c r="K192" s="411"/>
      <c r="L192" s="411"/>
      <c r="M192" s="411"/>
      <c r="N192" s="411"/>
      <c r="O192" s="411"/>
      <c r="P192" s="411"/>
      <c r="Q192" s="411"/>
      <c r="R192" s="412"/>
      <c r="S192" s="411"/>
      <c r="T192" s="411"/>
      <c r="U192" s="411"/>
      <c r="V192" s="606"/>
      <c r="W192" s="411"/>
      <c r="X192" s="411"/>
      <c r="Y192" s="411"/>
      <c r="Z192" s="411"/>
      <c r="AA192" s="411"/>
      <c r="AB192" s="411"/>
      <c r="AC192" s="411"/>
      <c r="AD192" s="411"/>
      <c r="AE192" s="412">
        <f t="shared" si="2"/>
        <v>0</v>
      </c>
    </row>
    <row r="193" spans="1:31" x14ac:dyDescent="0.2">
      <c r="A193" s="431"/>
      <c r="B193" s="439"/>
      <c r="C193" s="439"/>
      <c r="D193" s="420" t="s">
        <v>572</v>
      </c>
      <c r="E193" s="465">
        <v>152</v>
      </c>
      <c r="F193" s="411"/>
      <c r="G193" s="411"/>
      <c r="H193" s="411"/>
      <c r="I193" s="606"/>
      <c r="J193" s="411"/>
      <c r="K193" s="411"/>
      <c r="L193" s="411"/>
      <c r="M193" s="411"/>
      <c r="N193" s="411"/>
      <c r="O193" s="411"/>
      <c r="P193" s="411"/>
      <c r="Q193" s="411"/>
      <c r="R193" s="412"/>
      <c r="S193" s="411"/>
      <c r="T193" s="411"/>
      <c r="U193" s="411"/>
      <c r="V193" s="606"/>
      <c r="W193" s="411"/>
      <c r="X193" s="411"/>
      <c r="Y193" s="411"/>
      <c r="Z193" s="411"/>
      <c r="AA193" s="411"/>
      <c r="AB193" s="411"/>
      <c r="AC193" s="411"/>
      <c r="AD193" s="411"/>
      <c r="AE193" s="412">
        <f t="shared" si="2"/>
        <v>0</v>
      </c>
    </row>
    <row r="194" spans="1:31" x14ac:dyDescent="0.2">
      <c r="A194" s="431"/>
      <c r="B194" s="439"/>
      <c r="C194" s="439"/>
      <c r="D194" s="420" t="s">
        <v>573</v>
      </c>
      <c r="E194" s="465" t="s">
        <v>574</v>
      </c>
      <c r="F194" s="411"/>
      <c r="G194" s="411"/>
      <c r="H194" s="411"/>
      <c r="I194" s="606"/>
      <c r="J194" s="411"/>
      <c r="K194" s="411"/>
      <c r="L194" s="411"/>
      <c r="M194" s="411"/>
      <c r="N194" s="411"/>
      <c r="O194" s="411"/>
      <c r="P194" s="411"/>
      <c r="Q194" s="411"/>
      <c r="R194" s="412"/>
      <c r="S194" s="411"/>
      <c r="T194" s="411"/>
      <c r="U194" s="411"/>
      <c r="V194" s="606"/>
      <c r="W194" s="411"/>
      <c r="X194" s="411"/>
      <c r="Y194" s="411"/>
      <c r="Z194" s="411"/>
      <c r="AA194" s="411"/>
      <c r="AB194" s="411"/>
      <c r="AC194" s="411"/>
      <c r="AD194" s="411"/>
      <c r="AE194" s="412">
        <f t="shared" si="2"/>
        <v>0</v>
      </c>
    </row>
    <row r="195" spans="1:31" x14ac:dyDescent="0.2">
      <c r="A195" s="431"/>
      <c r="B195" s="439"/>
      <c r="C195" s="439"/>
      <c r="D195" s="420" t="s">
        <v>567</v>
      </c>
      <c r="E195" s="466">
        <v>211</v>
      </c>
      <c r="F195" s="631" t="s">
        <v>358</v>
      </c>
      <c r="G195" s="621" t="s">
        <v>358</v>
      </c>
      <c r="H195" s="621" t="s">
        <v>358</v>
      </c>
      <c r="I195" s="622">
        <v>680000000</v>
      </c>
      <c r="J195" s="621" t="s">
        <v>358</v>
      </c>
      <c r="K195" s="622">
        <v>525000000</v>
      </c>
      <c r="L195" s="621" t="s">
        <v>358</v>
      </c>
      <c r="M195" s="622">
        <v>384000000</v>
      </c>
      <c r="N195" s="621" t="s">
        <v>358</v>
      </c>
      <c r="O195" s="621" t="s">
        <v>358</v>
      </c>
      <c r="P195" s="621" t="s">
        <v>358</v>
      </c>
      <c r="Q195" s="621" t="s">
        <v>358</v>
      </c>
      <c r="R195" s="622">
        <v>1589000000</v>
      </c>
      <c r="S195" s="411"/>
      <c r="T195" s="411"/>
      <c r="U195" s="411"/>
      <c r="V195" s="606"/>
      <c r="W195" s="411">
        <v>148000000</v>
      </c>
      <c r="X195" s="411"/>
      <c r="Y195" s="411"/>
      <c r="Z195" s="411"/>
      <c r="AA195" s="411"/>
      <c r="AB195" s="411"/>
      <c r="AC195" s="411"/>
      <c r="AD195" s="411"/>
      <c r="AE195" s="412">
        <f t="shared" si="2"/>
        <v>148000000</v>
      </c>
    </row>
    <row r="196" spans="1:31" x14ac:dyDescent="0.2">
      <c r="A196" s="433"/>
      <c r="B196" s="441"/>
      <c r="C196" s="441"/>
      <c r="D196" s="442" t="s">
        <v>570</v>
      </c>
      <c r="E196" s="456">
        <v>211</v>
      </c>
      <c r="F196" s="467"/>
      <c r="G196" s="467"/>
      <c r="H196" s="467"/>
      <c r="I196" s="610"/>
      <c r="J196" s="467"/>
      <c r="K196" s="467"/>
      <c r="L196" s="467"/>
      <c r="M196" s="467"/>
      <c r="N196" s="467"/>
      <c r="O196" s="467"/>
      <c r="P196" s="467"/>
      <c r="Q196" s="467"/>
      <c r="R196" s="436"/>
      <c r="S196" s="467"/>
      <c r="T196" s="467"/>
      <c r="U196" s="467"/>
      <c r="V196" s="610"/>
      <c r="W196" s="467"/>
      <c r="X196" s="467"/>
      <c r="Y196" s="467"/>
      <c r="Z196" s="467"/>
      <c r="AA196" s="467"/>
      <c r="AB196" s="467"/>
      <c r="AC196" s="467"/>
      <c r="AD196" s="467"/>
      <c r="AE196" s="436">
        <f t="shared" si="2"/>
        <v>0</v>
      </c>
    </row>
    <row r="197" spans="1:31" x14ac:dyDescent="0.2">
      <c r="A197" s="576">
        <v>12</v>
      </c>
      <c r="B197" s="577" t="s">
        <v>542</v>
      </c>
      <c r="C197" s="577" t="s">
        <v>543</v>
      </c>
      <c r="D197" s="578" t="s">
        <v>577</v>
      </c>
      <c r="E197" s="587" t="s">
        <v>574</v>
      </c>
      <c r="F197" s="582"/>
      <c r="G197" s="582"/>
      <c r="H197" s="582"/>
      <c r="I197" s="609"/>
      <c r="J197" s="582"/>
      <c r="K197" s="582"/>
      <c r="L197" s="582"/>
      <c r="M197" s="582"/>
      <c r="N197" s="582"/>
      <c r="O197" s="582"/>
      <c r="P197" s="582"/>
      <c r="Q197" s="582"/>
      <c r="R197" s="581"/>
      <c r="S197" s="582"/>
      <c r="T197" s="582"/>
      <c r="U197" s="582"/>
      <c r="V197" s="609"/>
      <c r="W197" s="582"/>
      <c r="X197" s="582"/>
      <c r="Y197" s="582"/>
      <c r="Z197" s="582"/>
      <c r="AA197" s="582"/>
      <c r="AB197" s="582"/>
      <c r="AC197" s="582"/>
      <c r="AD197" s="582"/>
      <c r="AE197" s="581">
        <f t="shared" si="2"/>
        <v>0</v>
      </c>
    </row>
    <row r="198" spans="1:31" x14ac:dyDescent="0.2">
      <c r="A198" s="433"/>
      <c r="B198" s="441"/>
      <c r="C198" s="441"/>
      <c r="D198" s="442" t="s">
        <v>567</v>
      </c>
      <c r="E198" s="456">
        <v>211</v>
      </c>
      <c r="F198" s="411"/>
      <c r="G198" s="411"/>
      <c r="H198" s="411"/>
      <c r="I198" s="606"/>
      <c r="J198" s="411"/>
      <c r="K198" s="411"/>
      <c r="L198" s="411"/>
      <c r="M198" s="411"/>
      <c r="N198" s="411"/>
      <c r="O198" s="411"/>
      <c r="P198" s="411"/>
      <c r="Q198" s="411"/>
      <c r="R198" s="412"/>
      <c r="S198" s="411"/>
      <c r="T198" s="411"/>
      <c r="U198" s="411"/>
      <c r="V198" s="606"/>
      <c r="W198" s="411"/>
      <c r="X198" s="411"/>
      <c r="Y198" s="411"/>
      <c r="Z198" s="411"/>
      <c r="AA198" s="411"/>
      <c r="AB198" s="411"/>
      <c r="AC198" s="411"/>
      <c r="AD198" s="411"/>
      <c r="AE198" s="412">
        <f t="shared" si="2"/>
        <v>0</v>
      </c>
    </row>
    <row r="199" spans="1:31" x14ac:dyDescent="0.2">
      <c r="A199" s="433"/>
      <c r="B199" s="441"/>
      <c r="C199" s="441"/>
      <c r="D199" s="442" t="s">
        <v>570</v>
      </c>
      <c r="E199" s="456">
        <v>152</v>
      </c>
      <c r="F199" s="467"/>
      <c r="G199" s="467"/>
      <c r="H199" s="467"/>
      <c r="I199" s="610"/>
      <c r="J199" s="467"/>
      <c r="K199" s="467"/>
      <c r="L199" s="467"/>
      <c r="M199" s="467"/>
      <c r="N199" s="467"/>
      <c r="O199" s="467"/>
      <c r="P199" s="467"/>
      <c r="Q199" s="467"/>
      <c r="R199" s="436"/>
      <c r="S199" s="467"/>
      <c r="T199" s="467"/>
      <c r="U199" s="467"/>
      <c r="V199" s="610"/>
      <c r="W199" s="467"/>
      <c r="X199" s="467"/>
      <c r="Y199" s="467"/>
      <c r="Z199" s="467"/>
      <c r="AA199" s="467"/>
      <c r="AB199" s="467"/>
      <c r="AC199" s="467"/>
      <c r="AD199" s="467"/>
      <c r="AE199" s="436">
        <f t="shared" si="2"/>
        <v>0</v>
      </c>
    </row>
    <row r="200" spans="1:31" x14ac:dyDescent="0.2">
      <c r="A200" s="576">
        <v>13</v>
      </c>
      <c r="B200" s="577" t="s">
        <v>544</v>
      </c>
      <c r="C200" s="577" t="s">
        <v>545</v>
      </c>
      <c r="D200" s="578" t="s">
        <v>581</v>
      </c>
      <c r="E200" s="587">
        <v>152</v>
      </c>
      <c r="F200" s="582"/>
      <c r="G200" s="582"/>
      <c r="H200" s="582"/>
      <c r="I200" s="609"/>
      <c r="J200" s="582"/>
      <c r="K200" s="582"/>
      <c r="L200" s="582"/>
      <c r="M200" s="582"/>
      <c r="N200" s="582"/>
      <c r="O200" s="582"/>
      <c r="P200" s="582"/>
      <c r="Q200" s="582"/>
      <c r="R200" s="581"/>
      <c r="S200" s="582"/>
      <c r="T200" s="582"/>
      <c r="U200" s="582"/>
      <c r="V200" s="609"/>
      <c r="W200" s="582"/>
      <c r="X200" s="582"/>
      <c r="Y200" s="582"/>
      <c r="Z200" s="582"/>
      <c r="AA200" s="582"/>
      <c r="AB200" s="582"/>
      <c r="AC200" s="582"/>
      <c r="AD200" s="582"/>
      <c r="AE200" s="581">
        <f t="shared" si="2"/>
        <v>0</v>
      </c>
    </row>
    <row r="201" spans="1:31" x14ac:dyDescent="0.2">
      <c r="A201" s="433"/>
      <c r="B201" s="439"/>
      <c r="C201" s="441"/>
      <c r="D201" s="442" t="s">
        <v>572</v>
      </c>
      <c r="E201" s="456" t="s">
        <v>582</v>
      </c>
      <c r="F201" s="411"/>
      <c r="G201" s="411"/>
      <c r="H201" s="411"/>
      <c r="I201" s="606"/>
      <c r="J201" s="411"/>
      <c r="K201" s="411"/>
      <c r="L201" s="411"/>
      <c r="M201" s="411"/>
      <c r="N201" s="411"/>
      <c r="O201" s="411"/>
      <c r="P201" s="411"/>
      <c r="Q201" s="411"/>
      <c r="R201" s="412"/>
      <c r="S201" s="411"/>
      <c r="T201" s="411"/>
      <c r="U201" s="411"/>
      <c r="V201" s="606"/>
      <c r="W201" s="411"/>
      <c r="X201" s="411"/>
      <c r="Y201" s="411"/>
      <c r="Z201" s="411"/>
      <c r="AA201" s="411"/>
      <c r="AB201" s="411"/>
      <c r="AC201" s="411"/>
      <c r="AD201" s="411"/>
      <c r="AE201" s="412">
        <f t="shared" ref="AE201:AE231" si="3">SUM(S201:AD201)</f>
        <v>0</v>
      </c>
    </row>
    <row r="202" spans="1:31" x14ac:dyDescent="0.2">
      <c r="A202" s="433"/>
      <c r="B202" s="439"/>
      <c r="C202" s="441"/>
      <c r="D202" s="442" t="s">
        <v>572</v>
      </c>
      <c r="E202" s="456" t="s">
        <v>582</v>
      </c>
      <c r="F202" s="411"/>
      <c r="G202" s="411"/>
      <c r="H202" s="411"/>
      <c r="I202" s="606"/>
      <c r="J202" s="411"/>
      <c r="K202" s="411"/>
      <c r="L202" s="411"/>
      <c r="M202" s="411"/>
      <c r="N202" s="411"/>
      <c r="O202" s="411"/>
      <c r="P202" s="411"/>
      <c r="Q202" s="411"/>
      <c r="R202" s="412"/>
      <c r="S202" s="411"/>
      <c r="T202" s="411"/>
      <c r="U202" s="411"/>
      <c r="V202" s="606"/>
      <c r="W202" s="411"/>
      <c r="X202" s="411"/>
      <c r="Y202" s="411"/>
      <c r="Z202" s="411"/>
      <c r="AA202" s="411"/>
      <c r="AB202" s="411"/>
      <c r="AC202" s="411"/>
      <c r="AD202" s="411"/>
      <c r="AE202" s="412">
        <f t="shared" si="3"/>
        <v>0</v>
      </c>
    </row>
    <row r="203" spans="1:31" x14ac:dyDescent="0.2">
      <c r="A203" s="433"/>
      <c r="B203" s="441"/>
      <c r="C203" s="441"/>
      <c r="D203" s="442" t="s">
        <v>570</v>
      </c>
      <c r="E203" s="456"/>
      <c r="F203" s="467"/>
      <c r="G203" s="467"/>
      <c r="H203" s="467"/>
      <c r="I203" s="610"/>
      <c r="J203" s="467"/>
      <c r="K203" s="467"/>
      <c r="L203" s="467"/>
      <c r="M203" s="467"/>
      <c r="N203" s="467"/>
      <c r="O203" s="467"/>
      <c r="P203" s="467"/>
      <c r="Q203" s="467"/>
      <c r="R203" s="436"/>
      <c r="S203" s="467"/>
      <c r="T203" s="467"/>
      <c r="U203" s="467"/>
      <c r="V203" s="610"/>
      <c r="W203" s="467"/>
      <c r="X203" s="467"/>
      <c r="Y203" s="467"/>
      <c r="Z203" s="467"/>
      <c r="AA203" s="467"/>
      <c r="AB203" s="467"/>
      <c r="AC203" s="467"/>
      <c r="AD203" s="467"/>
      <c r="AE203" s="436">
        <f t="shared" si="3"/>
        <v>0</v>
      </c>
    </row>
    <row r="204" spans="1:31" x14ac:dyDescent="0.2">
      <c r="A204" s="576">
        <v>14</v>
      </c>
      <c r="B204" s="577" t="s">
        <v>546</v>
      </c>
      <c r="C204" s="577" t="s">
        <v>547</v>
      </c>
      <c r="D204" s="578" t="s">
        <v>577</v>
      </c>
      <c r="E204" s="587" t="s">
        <v>574</v>
      </c>
      <c r="F204" s="582"/>
      <c r="G204" s="582"/>
      <c r="H204" s="582"/>
      <c r="I204" s="609"/>
      <c r="J204" s="582"/>
      <c r="K204" s="582"/>
      <c r="L204" s="582"/>
      <c r="M204" s="582"/>
      <c r="N204" s="582"/>
      <c r="O204" s="582"/>
      <c r="P204" s="582"/>
      <c r="Q204" s="582"/>
      <c r="R204" s="581"/>
      <c r="S204" s="582"/>
      <c r="T204" s="582"/>
      <c r="U204" s="582"/>
      <c r="V204" s="609"/>
      <c r="W204" s="582"/>
      <c r="X204" s="582"/>
      <c r="Y204" s="582"/>
      <c r="Z204" s="582"/>
      <c r="AA204" s="582"/>
      <c r="AB204" s="582"/>
      <c r="AC204" s="582"/>
      <c r="AD204" s="582"/>
      <c r="AE204" s="581">
        <f t="shared" si="3"/>
        <v>0</v>
      </c>
    </row>
    <row r="205" spans="1:31" x14ac:dyDescent="0.2">
      <c r="A205" s="433"/>
      <c r="B205" s="439"/>
      <c r="C205" s="441"/>
      <c r="D205" s="442" t="s">
        <v>567</v>
      </c>
      <c r="E205" s="456">
        <v>211</v>
      </c>
      <c r="F205" s="411"/>
      <c r="G205" s="411"/>
      <c r="H205" s="411"/>
      <c r="I205" s="606"/>
      <c r="J205" s="411"/>
      <c r="K205" s="411"/>
      <c r="L205" s="411"/>
      <c r="M205" s="411"/>
      <c r="N205" s="411"/>
      <c r="O205" s="411"/>
      <c r="P205" s="411"/>
      <c r="Q205" s="411"/>
      <c r="R205" s="412"/>
      <c r="S205" s="411"/>
      <c r="T205" s="411"/>
      <c r="U205" s="411"/>
      <c r="V205" s="606"/>
      <c r="W205" s="411"/>
      <c r="X205" s="411"/>
      <c r="Y205" s="411"/>
      <c r="Z205" s="411"/>
      <c r="AA205" s="411"/>
      <c r="AB205" s="411"/>
      <c r="AC205" s="411"/>
      <c r="AD205" s="411"/>
      <c r="AE205" s="412">
        <f t="shared" si="3"/>
        <v>0</v>
      </c>
    </row>
    <row r="206" spans="1:31" x14ac:dyDescent="0.2">
      <c r="A206" s="433"/>
      <c r="B206" s="441"/>
      <c r="C206" s="441"/>
      <c r="D206" s="442" t="s">
        <v>570</v>
      </c>
      <c r="E206" s="456">
        <v>152</v>
      </c>
      <c r="F206" s="467"/>
      <c r="G206" s="467"/>
      <c r="H206" s="467"/>
      <c r="I206" s="610"/>
      <c r="J206" s="467"/>
      <c r="K206" s="467"/>
      <c r="L206" s="467"/>
      <c r="M206" s="467"/>
      <c r="N206" s="467"/>
      <c r="O206" s="467"/>
      <c r="P206" s="467"/>
      <c r="Q206" s="467"/>
      <c r="R206" s="436"/>
      <c r="S206" s="467"/>
      <c r="T206" s="467"/>
      <c r="U206" s="467"/>
      <c r="V206" s="610"/>
      <c r="W206" s="467"/>
      <c r="X206" s="467"/>
      <c r="Y206" s="467"/>
      <c r="Z206" s="467"/>
      <c r="AA206" s="467"/>
      <c r="AB206" s="467"/>
      <c r="AC206" s="467"/>
      <c r="AD206" s="467"/>
      <c r="AE206" s="436">
        <f t="shared" si="3"/>
        <v>0</v>
      </c>
    </row>
    <row r="207" spans="1:31" x14ac:dyDescent="0.2">
      <c r="A207" s="576">
        <v>15</v>
      </c>
      <c r="B207" s="590" t="s">
        <v>548</v>
      </c>
      <c r="C207" s="590" t="s">
        <v>549</v>
      </c>
      <c r="D207" s="578" t="s">
        <v>577</v>
      </c>
      <c r="E207" s="587" t="s">
        <v>574</v>
      </c>
      <c r="F207" s="582"/>
      <c r="G207" s="582"/>
      <c r="H207" s="582"/>
      <c r="I207" s="609"/>
      <c r="J207" s="582"/>
      <c r="K207" s="582"/>
      <c r="L207" s="582"/>
      <c r="M207" s="582"/>
      <c r="N207" s="582"/>
      <c r="O207" s="582"/>
      <c r="P207" s="582"/>
      <c r="Q207" s="582"/>
      <c r="R207" s="581"/>
      <c r="S207" s="582"/>
      <c r="T207" s="582"/>
      <c r="U207" s="582"/>
      <c r="V207" s="609"/>
      <c r="W207" s="582"/>
      <c r="X207" s="582"/>
      <c r="Y207" s="582"/>
      <c r="Z207" s="582"/>
      <c r="AA207" s="582"/>
      <c r="AB207" s="582"/>
      <c r="AC207" s="582"/>
      <c r="AD207" s="582"/>
      <c r="AE207" s="581">
        <f t="shared" si="3"/>
        <v>0</v>
      </c>
    </row>
    <row r="208" spans="1:31" x14ac:dyDescent="0.2">
      <c r="A208" s="433"/>
      <c r="B208" s="499"/>
      <c r="C208" s="510"/>
      <c r="D208" s="442" t="s">
        <v>567</v>
      </c>
      <c r="E208" s="456">
        <v>211</v>
      </c>
      <c r="F208" s="411"/>
      <c r="G208" s="411"/>
      <c r="H208" s="411"/>
      <c r="I208" s="606"/>
      <c r="J208" s="411"/>
      <c r="K208" s="411"/>
      <c r="L208" s="411"/>
      <c r="M208" s="411"/>
      <c r="N208" s="411"/>
      <c r="O208" s="411"/>
      <c r="P208" s="411"/>
      <c r="Q208" s="411"/>
      <c r="R208" s="412"/>
      <c r="S208" s="411"/>
      <c r="T208" s="411"/>
      <c r="U208" s="411"/>
      <c r="V208" s="606"/>
      <c r="W208" s="411"/>
      <c r="X208" s="411"/>
      <c r="Y208" s="411"/>
      <c r="Z208" s="411"/>
      <c r="AA208" s="411"/>
      <c r="AB208" s="411"/>
      <c r="AC208" s="411"/>
      <c r="AD208" s="411"/>
      <c r="AE208" s="412">
        <f t="shared" si="3"/>
        <v>0</v>
      </c>
    </row>
    <row r="209" spans="1:31" x14ac:dyDescent="0.2">
      <c r="A209" s="433"/>
      <c r="B209" s="510"/>
      <c r="C209" s="510"/>
      <c r="D209" s="442" t="s">
        <v>570</v>
      </c>
      <c r="E209" s="456">
        <v>152</v>
      </c>
      <c r="F209" s="467"/>
      <c r="G209" s="467"/>
      <c r="H209" s="467"/>
      <c r="I209" s="610"/>
      <c r="J209" s="467"/>
      <c r="K209" s="467"/>
      <c r="L209" s="467"/>
      <c r="M209" s="467"/>
      <c r="N209" s="467"/>
      <c r="O209" s="467"/>
      <c r="P209" s="467"/>
      <c r="Q209" s="467"/>
      <c r="R209" s="436"/>
      <c r="S209" s="467"/>
      <c r="T209" s="467"/>
      <c r="U209" s="467"/>
      <c r="V209" s="610"/>
      <c r="W209" s="467"/>
      <c r="X209" s="467"/>
      <c r="Y209" s="467"/>
      <c r="Z209" s="467"/>
      <c r="AA209" s="467"/>
      <c r="AB209" s="467"/>
      <c r="AC209" s="467"/>
      <c r="AD209" s="467"/>
      <c r="AE209" s="436">
        <f t="shared" si="3"/>
        <v>0</v>
      </c>
    </row>
    <row r="210" spans="1:31" x14ac:dyDescent="0.2">
      <c r="A210" s="576">
        <v>16</v>
      </c>
      <c r="B210" s="590" t="s">
        <v>550</v>
      </c>
      <c r="C210" s="590" t="s">
        <v>551</v>
      </c>
      <c r="D210" s="578" t="s">
        <v>577</v>
      </c>
      <c r="E210" s="587" t="s">
        <v>574</v>
      </c>
      <c r="F210" s="582"/>
      <c r="G210" s="582"/>
      <c r="H210" s="582"/>
      <c r="I210" s="609"/>
      <c r="J210" s="582"/>
      <c r="K210" s="582"/>
      <c r="L210" s="582"/>
      <c r="M210" s="582"/>
      <c r="N210" s="582"/>
      <c r="O210" s="582"/>
      <c r="P210" s="582"/>
      <c r="Q210" s="582"/>
      <c r="R210" s="581"/>
      <c r="S210" s="582"/>
      <c r="T210" s="582"/>
      <c r="U210" s="582"/>
      <c r="V210" s="609"/>
      <c r="W210" s="582"/>
      <c r="X210" s="582"/>
      <c r="Y210" s="582"/>
      <c r="Z210" s="582"/>
      <c r="AA210" s="582"/>
      <c r="AB210" s="582"/>
      <c r="AC210" s="582"/>
      <c r="AD210" s="582"/>
      <c r="AE210" s="581">
        <f t="shared" si="3"/>
        <v>0</v>
      </c>
    </row>
    <row r="211" spans="1:31" x14ac:dyDescent="0.2">
      <c r="A211" s="433"/>
      <c r="B211" s="499"/>
      <c r="C211" s="510"/>
      <c r="D211" s="442" t="s">
        <v>567</v>
      </c>
      <c r="E211" s="456">
        <v>211</v>
      </c>
      <c r="F211" s="411"/>
      <c r="G211" s="411"/>
      <c r="H211" s="411"/>
      <c r="I211" s="606"/>
      <c r="J211" s="411"/>
      <c r="K211" s="411"/>
      <c r="L211" s="411"/>
      <c r="M211" s="411"/>
      <c r="N211" s="411"/>
      <c r="O211" s="411"/>
      <c r="P211" s="411"/>
      <c r="Q211" s="411"/>
      <c r="R211" s="412"/>
      <c r="S211" s="411"/>
      <c r="T211" s="411"/>
      <c r="U211" s="411"/>
      <c r="V211" s="606"/>
      <c r="W211" s="411"/>
      <c r="X211" s="411"/>
      <c r="Y211" s="411"/>
      <c r="Z211" s="411"/>
      <c r="AA211" s="411"/>
      <c r="AB211" s="411"/>
      <c r="AC211" s="411"/>
      <c r="AD211" s="411"/>
      <c r="AE211" s="412">
        <f t="shared" si="3"/>
        <v>0</v>
      </c>
    </row>
    <row r="212" spans="1:31" x14ac:dyDescent="0.2">
      <c r="A212" s="433"/>
      <c r="B212" s="510"/>
      <c r="C212" s="510"/>
      <c r="D212" s="442" t="s">
        <v>570</v>
      </c>
      <c r="E212" s="456">
        <v>152</v>
      </c>
      <c r="F212" s="467"/>
      <c r="G212" s="467"/>
      <c r="H212" s="467"/>
      <c r="I212" s="610"/>
      <c r="J212" s="467"/>
      <c r="K212" s="467"/>
      <c r="L212" s="467"/>
      <c r="M212" s="467"/>
      <c r="N212" s="467"/>
      <c r="O212" s="467"/>
      <c r="P212" s="467"/>
      <c r="Q212" s="467"/>
      <c r="R212" s="436"/>
      <c r="S212" s="467"/>
      <c r="T212" s="467"/>
      <c r="U212" s="467"/>
      <c r="V212" s="610"/>
      <c r="W212" s="467"/>
      <c r="X212" s="467"/>
      <c r="Y212" s="467"/>
      <c r="Z212" s="467"/>
      <c r="AA212" s="467"/>
      <c r="AB212" s="467"/>
      <c r="AC212" s="467"/>
      <c r="AD212" s="467"/>
      <c r="AE212" s="436">
        <f t="shared" si="3"/>
        <v>0</v>
      </c>
    </row>
    <row r="213" spans="1:31" x14ac:dyDescent="0.2">
      <c r="A213" s="576">
        <v>17</v>
      </c>
      <c r="B213" s="590" t="s">
        <v>552</v>
      </c>
      <c r="C213" s="590" t="s">
        <v>553</v>
      </c>
      <c r="D213" s="578" t="s">
        <v>577</v>
      </c>
      <c r="E213" s="587" t="s">
        <v>574</v>
      </c>
      <c r="F213" s="582"/>
      <c r="G213" s="582"/>
      <c r="H213" s="582"/>
      <c r="I213" s="609"/>
      <c r="J213" s="582"/>
      <c r="K213" s="582"/>
      <c r="L213" s="582"/>
      <c r="M213" s="582"/>
      <c r="N213" s="582"/>
      <c r="O213" s="582"/>
      <c r="P213" s="582"/>
      <c r="Q213" s="582"/>
      <c r="R213" s="581"/>
      <c r="S213" s="582"/>
      <c r="T213" s="582"/>
      <c r="U213" s="582"/>
      <c r="V213" s="609"/>
      <c r="W213" s="582"/>
      <c r="X213" s="582"/>
      <c r="Y213" s="582"/>
      <c r="Z213" s="582"/>
      <c r="AA213" s="582"/>
      <c r="AB213" s="582"/>
      <c r="AC213" s="582"/>
      <c r="AD213" s="582"/>
      <c r="AE213" s="581">
        <f t="shared" si="3"/>
        <v>0</v>
      </c>
    </row>
    <row r="214" spans="1:31" x14ac:dyDescent="0.2">
      <c r="A214" s="433"/>
      <c r="B214" s="499"/>
      <c r="C214" s="510"/>
      <c r="D214" s="442" t="s">
        <v>567</v>
      </c>
      <c r="E214" s="456">
        <v>211</v>
      </c>
      <c r="F214" s="411"/>
      <c r="G214" s="411"/>
      <c r="H214" s="411"/>
      <c r="I214" s="606"/>
      <c r="J214" s="411"/>
      <c r="K214" s="411"/>
      <c r="L214" s="411"/>
      <c r="M214" s="411"/>
      <c r="N214" s="411"/>
      <c r="O214" s="411"/>
      <c r="P214" s="411"/>
      <c r="Q214" s="411"/>
      <c r="R214" s="412"/>
      <c r="S214" s="411"/>
      <c r="T214" s="411"/>
      <c r="U214" s="411"/>
      <c r="V214" s="606"/>
      <c r="W214" s="411"/>
      <c r="X214" s="411"/>
      <c r="Y214" s="411"/>
      <c r="Z214" s="411"/>
      <c r="AA214" s="411"/>
      <c r="AB214" s="411"/>
      <c r="AC214" s="411"/>
      <c r="AD214" s="411"/>
      <c r="AE214" s="412">
        <f t="shared" si="3"/>
        <v>0</v>
      </c>
    </row>
    <row r="215" spans="1:31" x14ac:dyDescent="0.2">
      <c r="A215" s="433"/>
      <c r="B215" s="510"/>
      <c r="C215" s="510"/>
      <c r="D215" s="442" t="s">
        <v>570</v>
      </c>
      <c r="E215" s="456">
        <v>152</v>
      </c>
      <c r="F215" s="467"/>
      <c r="G215" s="467"/>
      <c r="H215" s="467"/>
      <c r="I215" s="610"/>
      <c r="J215" s="467"/>
      <c r="K215" s="467"/>
      <c r="L215" s="467"/>
      <c r="M215" s="467"/>
      <c r="N215" s="467"/>
      <c r="O215" s="467"/>
      <c r="P215" s="467"/>
      <c r="Q215" s="467"/>
      <c r="R215" s="436"/>
      <c r="S215" s="467"/>
      <c r="T215" s="467"/>
      <c r="U215" s="467"/>
      <c r="V215" s="610"/>
      <c r="W215" s="467"/>
      <c r="X215" s="467"/>
      <c r="Y215" s="467"/>
      <c r="Z215" s="467"/>
      <c r="AA215" s="467"/>
      <c r="AB215" s="467"/>
      <c r="AC215" s="467"/>
      <c r="AD215" s="467"/>
      <c r="AE215" s="436">
        <f t="shared" si="3"/>
        <v>0</v>
      </c>
    </row>
    <row r="216" spans="1:31" x14ac:dyDescent="0.2">
      <c r="A216" s="576">
        <v>18</v>
      </c>
      <c r="B216" s="577" t="s">
        <v>554</v>
      </c>
      <c r="C216" s="577" t="s">
        <v>555</v>
      </c>
      <c r="D216" s="578" t="s">
        <v>577</v>
      </c>
      <c r="E216" s="587" t="s">
        <v>574</v>
      </c>
      <c r="F216" s="582"/>
      <c r="G216" s="582"/>
      <c r="H216" s="582"/>
      <c r="I216" s="609"/>
      <c r="J216" s="582"/>
      <c r="K216" s="582"/>
      <c r="L216" s="582"/>
      <c r="M216" s="582"/>
      <c r="N216" s="582"/>
      <c r="O216" s="582"/>
      <c r="P216" s="582"/>
      <c r="Q216" s="582"/>
      <c r="R216" s="581"/>
      <c r="S216" s="582"/>
      <c r="T216" s="582"/>
      <c r="U216" s="582"/>
      <c r="V216" s="609"/>
      <c r="W216" s="582"/>
      <c r="X216" s="582"/>
      <c r="Y216" s="582"/>
      <c r="Z216" s="582"/>
      <c r="AA216" s="582"/>
      <c r="AB216" s="582"/>
      <c r="AC216" s="582"/>
      <c r="AD216" s="582"/>
      <c r="AE216" s="581">
        <f t="shared" si="3"/>
        <v>0</v>
      </c>
    </row>
    <row r="217" spans="1:31" x14ac:dyDescent="0.2">
      <c r="A217" s="433"/>
      <c r="B217" s="439"/>
      <c r="C217" s="439"/>
      <c r="D217" s="420" t="s">
        <v>567</v>
      </c>
      <c r="E217" s="466">
        <v>211</v>
      </c>
      <c r="F217" s="429"/>
      <c r="G217" s="429"/>
      <c r="H217" s="429"/>
      <c r="I217" s="606"/>
      <c r="J217" s="429"/>
      <c r="K217" s="429"/>
      <c r="L217" s="429"/>
      <c r="M217" s="429"/>
      <c r="N217" s="429"/>
      <c r="O217" s="429"/>
      <c r="P217" s="429"/>
      <c r="Q217" s="429"/>
      <c r="R217" s="446"/>
      <c r="S217" s="429"/>
      <c r="T217" s="429"/>
      <c r="U217" s="429"/>
      <c r="V217" s="606"/>
      <c r="W217" s="429"/>
      <c r="X217" s="429"/>
      <c r="Y217" s="429"/>
      <c r="Z217" s="429"/>
      <c r="AA217" s="429"/>
      <c r="AB217" s="429"/>
      <c r="AC217" s="429"/>
      <c r="AD217" s="429"/>
      <c r="AE217" s="446">
        <f t="shared" si="3"/>
        <v>0</v>
      </c>
    </row>
    <row r="218" spans="1:31" x14ac:dyDescent="0.2">
      <c r="A218" s="433"/>
      <c r="B218" s="510"/>
      <c r="C218" s="510"/>
      <c r="D218" s="442" t="s">
        <v>570</v>
      </c>
      <c r="E218" s="456">
        <v>152</v>
      </c>
      <c r="F218" s="458"/>
      <c r="G218" s="458"/>
      <c r="H218" s="458"/>
      <c r="I218" s="610"/>
      <c r="J218" s="458"/>
      <c r="K218" s="458"/>
      <c r="L218" s="458"/>
      <c r="M218" s="458"/>
      <c r="N218" s="458"/>
      <c r="O218" s="458"/>
      <c r="P218" s="458"/>
      <c r="Q218" s="458"/>
      <c r="R218" s="469"/>
      <c r="S218" s="458"/>
      <c r="T218" s="458"/>
      <c r="U218" s="458"/>
      <c r="V218" s="610"/>
      <c r="W218" s="458"/>
      <c r="X218" s="458"/>
      <c r="Y218" s="458"/>
      <c r="Z218" s="458"/>
      <c r="AA218" s="458"/>
      <c r="AB218" s="458"/>
      <c r="AC218" s="458"/>
      <c r="AD218" s="458"/>
      <c r="AE218" s="469">
        <f t="shared" si="3"/>
        <v>0</v>
      </c>
    </row>
    <row r="219" spans="1:31" x14ac:dyDescent="0.2">
      <c r="A219" s="576">
        <v>19</v>
      </c>
      <c r="B219" s="577" t="s">
        <v>556</v>
      </c>
      <c r="C219" s="577" t="s">
        <v>557</v>
      </c>
      <c r="D219" s="578" t="s">
        <v>577</v>
      </c>
      <c r="E219" s="587" t="s">
        <v>574</v>
      </c>
      <c r="F219" s="582"/>
      <c r="G219" s="582"/>
      <c r="H219" s="582"/>
      <c r="I219" s="609"/>
      <c r="J219" s="582"/>
      <c r="K219" s="582"/>
      <c r="L219" s="582"/>
      <c r="M219" s="582"/>
      <c r="N219" s="582"/>
      <c r="O219" s="582"/>
      <c r="P219" s="582"/>
      <c r="Q219" s="582"/>
      <c r="R219" s="581"/>
      <c r="S219" s="582"/>
      <c r="T219" s="582"/>
      <c r="U219" s="582"/>
      <c r="V219" s="609"/>
      <c r="W219" s="582"/>
      <c r="X219" s="582"/>
      <c r="Y219" s="582"/>
      <c r="Z219" s="582"/>
      <c r="AA219" s="582"/>
      <c r="AB219" s="582"/>
      <c r="AC219" s="582"/>
      <c r="AD219" s="582"/>
      <c r="AE219" s="581">
        <f t="shared" si="3"/>
        <v>0</v>
      </c>
    </row>
    <row r="220" spans="1:31" x14ac:dyDescent="0.2">
      <c r="A220" s="433"/>
      <c r="B220" s="499"/>
      <c r="C220" s="510"/>
      <c r="D220" s="442" t="s">
        <v>567</v>
      </c>
      <c r="E220" s="456">
        <v>211</v>
      </c>
      <c r="F220" s="411"/>
      <c r="G220" s="411"/>
      <c r="H220" s="411"/>
      <c r="I220" s="606"/>
      <c r="J220" s="411"/>
      <c r="K220" s="411"/>
      <c r="L220" s="411"/>
      <c r="M220" s="411"/>
      <c r="N220" s="411"/>
      <c r="O220" s="411"/>
      <c r="P220" s="411"/>
      <c r="Q220" s="411"/>
      <c r="R220" s="412"/>
      <c r="S220" s="411"/>
      <c r="T220" s="411"/>
      <c r="U220" s="411"/>
      <c r="V220" s="606"/>
      <c r="W220" s="411"/>
      <c r="X220" s="411"/>
      <c r="Y220" s="411"/>
      <c r="Z220" s="411"/>
      <c r="AA220" s="411"/>
      <c r="AB220" s="411"/>
      <c r="AC220" s="411"/>
      <c r="AD220" s="411"/>
      <c r="AE220" s="412">
        <f t="shared" si="3"/>
        <v>0</v>
      </c>
    </row>
    <row r="221" spans="1:31" x14ac:dyDescent="0.2">
      <c r="A221" s="433"/>
      <c r="B221" s="510"/>
      <c r="C221" s="510"/>
      <c r="D221" s="442" t="s">
        <v>570</v>
      </c>
      <c r="E221" s="456">
        <v>152</v>
      </c>
      <c r="F221" s="467"/>
      <c r="G221" s="467"/>
      <c r="H221" s="467"/>
      <c r="I221" s="610"/>
      <c r="J221" s="467"/>
      <c r="K221" s="467"/>
      <c r="L221" s="467"/>
      <c r="M221" s="467"/>
      <c r="N221" s="467"/>
      <c r="O221" s="467"/>
      <c r="P221" s="467"/>
      <c r="Q221" s="467"/>
      <c r="R221" s="436"/>
      <c r="S221" s="467"/>
      <c r="T221" s="467"/>
      <c r="U221" s="467"/>
      <c r="V221" s="610"/>
      <c r="W221" s="467"/>
      <c r="X221" s="467"/>
      <c r="Y221" s="467"/>
      <c r="Z221" s="467"/>
      <c r="AA221" s="467"/>
      <c r="AB221" s="467"/>
      <c r="AC221" s="467"/>
      <c r="AD221" s="467"/>
      <c r="AE221" s="436">
        <f t="shared" si="3"/>
        <v>0</v>
      </c>
    </row>
    <row r="222" spans="1:31" x14ac:dyDescent="0.2">
      <c r="A222" s="576">
        <v>20</v>
      </c>
      <c r="B222" s="590" t="s">
        <v>558</v>
      </c>
      <c r="C222" s="591" t="s">
        <v>559</v>
      </c>
      <c r="D222" s="592" t="s">
        <v>577</v>
      </c>
      <c r="E222" s="587" t="s">
        <v>574</v>
      </c>
      <c r="F222" s="582"/>
      <c r="G222" s="582"/>
      <c r="H222" s="582"/>
      <c r="I222" s="609"/>
      <c r="J222" s="582"/>
      <c r="K222" s="582"/>
      <c r="L222" s="582"/>
      <c r="M222" s="582"/>
      <c r="N222" s="582"/>
      <c r="O222" s="582"/>
      <c r="P222" s="582"/>
      <c r="Q222" s="582"/>
      <c r="R222" s="581"/>
      <c r="S222" s="582"/>
      <c r="T222" s="582"/>
      <c r="U222" s="582"/>
      <c r="V222" s="609"/>
      <c r="W222" s="582"/>
      <c r="X222" s="582"/>
      <c r="Y222" s="582"/>
      <c r="Z222" s="582"/>
      <c r="AA222" s="582"/>
      <c r="AB222" s="582"/>
      <c r="AC222" s="582"/>
      <c r="AD222" s="582"/>
      <c r="AE222" s="581">
        <f t="shared" si="3"/>
        <v>0</v>
      </c>
    </row>
    <row r="223" spans="1:31" x14ac:dyDescent="0.2">
      <c r="A223" s="433"/>
      <c r="B223" s="499"/>
      <c r="C223" s="510"/>
      <c r="D223" s="442" t="s">
        <v>567</v>
      </c>
      <c r="E223" s="456">
        <v>211</v>
      </c>
      <c r="F223" s="411"/>
      <c r="G223" s="411"/>
      <c r="H223" s="411"/>
      <c r="I223" s="606"/>
      <c r="J223" s="411"/>
      <c r="K223" s="411"/>
      <c r="L223" s="411"/>
      <c r="M223" s="411"/>
      <c r="N223" s="411"/>
      <c r="O223" s="411"/>
      <c r="P223" s="411"/>
      <c r="Q223" s="411"/>
      <c r="R223" s="412"/>
      <c r="S223" s="411"/>
      <c r="T223" s="411"/>
      <c r="U223" s="411"/>
      <c r="V223" s="606"/>
      <c r="W223" s="411"/>
      <c r="X223" s="411"/>
      <c r="Y223" s="411"/>
      <c r="Z223" s="411"/>
      <c r="AA223" s="411"/>
      <c r="AB223" s="411"/>
      <c r="AC223" s="411"/>
      <c r="AD223" s="411"/>
      <c r="AE223" s="412">
        <f t="shared" si="3"/>
        <v>0</v>
      </c>
    </row>
    <row r="224" spans="1:31" x14ac:dyDescent="0.2">
      <c r="A224" s="433"/>
      <c r="B224" s="510"/>
      <c r="C224" s="510"/>
      <c r="D224" s="442" t="s">
        <v>570</v>
      </c>
      <c r="E224" s="456">
        <v>152</v>
      </c>
      <c r="F224" s="467"/>
      <c r="G224" s="467"/>
      <c r="H224" s="467"/>
      <c r="I224" s="610"/>
      <c r="J224" s="467"/>
      <c r="K224" s="467"/>
      <c r="L224" s="467"/>
      <c r="M224" s="467"/>
      <c r="N224" s="467"/>
      <c r="O224" s="467"/>
      <c r="P224" s="467"/>
      <c r="Q224" s="467"/>
      <c r="R224" s="436"/>
      <c r="S224" s="467"/>
      <c r="T224" s="467"/>
      <c r="U224" s="467"/>
      <c r="V224" s="610"/>
      <c r="W224" s="467"/>
      <c r="X224" s="467"/>
      <c r="Y224" s="467"/>
      <c r="Z224" s="467"/>
      <c r="AA224" s="467"/>
      <c r="AB224" s="467"/>
      <c r="AC224" s="467"/>
      <c r="AD224" s="467"/>
      <c r="AE224" s="436">
        <f t="shared" si="3"/>
        <v>0</v>
      </c>
    </row>
    <row r="225" spans="1:31" x14ac:dyDescent="0.2">
      <c r="A225" s="576">
        <v>21</v>
      </c>
      <c r="B225" s="590" t="s">
        <v>560</v>
      </c>
      <c r="C225" s="590" t="s">
        <v>561</v>
      </c>
      <c r="D225" s="578" t="s">
        <v>577</v>
      </c>
      <c r="E225" s="587" t="s">
        <v>574</v>
      </c>
      <c r="F225" s="582"/>
      <c r="G225" s="582"/>
      <c r="H225" s="582"/>
      <c r="I225" s="609"/>
      <c r="J225" s="582"/>
      <c r="K225" s="582"/>
      <c r="L225" s="582"/>
      <c r="M225" s="582"/>
      <c r="N225" s="582"/>
      <c r="O225" s="582"/>
      <c r="P225" s="582"/>
      <c r="Q225" s="582"/>
      <c r="R225" s="581"/>
      <c r="S225" s="582"/>
      <c r="T225" s="582"/>
      <c r="U225" s="582"/>
      <c r="V225" s="609"/>
      <c r="W225" s="582"/>
      <c r="X225" s="582"/>
      <c r="Y225" s="582"/>
      <c r="Z225" s="582"/>
      <c r="AA225" s="582"/>
      <c r="AB225" s="582"/>
      <c r="AC225" s="582"/>
      <c r="AD225" s="582"/>
      <c r="AE225" s="581">
        <f t="shared" si="3"/>
        <v>0</v>
      </c>
    </row>
    <row r="226" spans="1:31" x14ac:dyDescent="0.2">
      <c r="A226" s="433"/>
      <c r="B226" s="499"/>
      <c r="C226" s="510"/>
      <c r="D226" s="442" t="s">
        <v>567</v>
      </c>
      <c r="E226" s="456">
        <v>211</v>
      </c>
      <c r="F226" s="411"/>
      <c r="G226" s="411"/>
      <c r="H226" s="411"/>
      <c r="I226" s="606"/>
      <c r="J226" s="411"/>
      <c r="K226" s="411"/>
      <c r="L226" s="411"/>
      <c r="M226" s="411"/>
      <c r="N226" s="411"/>
      <c r="O226" s="411"/>
      <c r="P226" s="411"/>
      <c r="Q226" s="411"/>
      <c r="R226" s="412"/>
      <c r="S226" s="411"/>
      <c r="T226" s="411"/>
      <c r="U226" s="411"/>
      <c r="V226" s="606"/>
      <c r="W226" s="411"/>
      <c r="X226" s="411"/>
      <c r="Y226" s="411"/>
      <c r="Z226" s="411"/>
      <c r="AA226" s="411"/>
      <c r="AB226" s="411"/>
      <c r="AC226" s="411"/>
      <c r="AD226" s="411"/>
      <c r="AE226" s="412">
        <f t="shared" si="3"/>
        <v>0</v>
      </c>
    </row>
    <row r="227" spans="1:31" x14ac:dyDescent="0.2">
      <c r="A227" s="433"/>
      <c r="B227" s="510"/>
      <c r="C227" s="510"/>
      <c r="D227" s="442" t="s">
        <v>570</v>
      </c>
      <c r="E227" s="456">
        <v>152</v>
      </c>
      <c r="F227" s="467"/>
      <c r="G227" s="467"/>
      <c r="H227" s="467"/>
      <c r="I227" s="610"/>
      <c r="J227" s="467"/>
      <c r="K227" s="467"/>
      <c r="L227" s="467"/>
      <c r="M227" s="467"/>
      <c r="N227" s="467"/>
      <c r="O227" s="467"/>
      <c r="P227" s="467"/>
      <c r="Q227" s="467"/>
      <c r="R227" s="436"/>
      <c r="S227" s="467"/>
      <c r="T227" s="467"/>
      <c r="U227" s="467"/>
      <c r="V227" s="610"/>
      <c r="W227" s="467"/>
      <c r="X227" s="467"/>
      <c r="Y227" s="467"/>
      <c r="Z227" s="467"/>
      <c r="AA227" s="467"/>
      <c r="AB227" s="467"/>
      <c r="AC227" s="467"/>
      <c r="AD227" s="467"/>
      <c r="AE227" s="436">
        <f t="shared" si="3"/>
        <v>0</v>
      </c>
    </row>
    <row r="228" spans="1:31" x14ac:dyDescent="0.2">
      <c r="A228" s="576">
        <v>22</v>
      </c>
      <c r="B228" s="590" t="s">
        <v>562</v>
      </c>
      <c r="C228" s="590" t="s">
        <v>563</v>
      </c>
      <c r="D228" s="578" t="s">
        <v>577</v>
      </c>
      <c r="E228" s="587" t="s">
        <v>574</v>
      </c>
      <c r="F228" s="582"/>
      <c r="G228" s="582"/>
      <c r="H228" s="582"/>
      <c r="I228" s="609"/>
      <c r="J228" s="582"/>
      <c r="K228" s="582"/>
      <c r="L228" s="582"/>
      <c r="M228" s="582"/>
      <c r="N228" s="582"/>
      <c r="O228" s="582"/>
      <c r="P228" s="582"/>
      <c r="Q228" s="582"/>
      <c r="R228" s="581"/>
      <c r="S228" s="582"/>
      <c r="T228" s="582"/>
      <c r="U228" s="582"/>
      <c r="V228" s="609"/>
      <c r="W228" s="582"/>
      <c r="X228" s="582"/>
      <c r="Y228" s="582"/>
      <c r="Z228" s="582"/>
      <c r="AA228" s="582"/>
      <c r="AB228" s="582"/>
      <c r="AC228" s="582"/>
      <c r="AD228" s="582"/>
      <c r="AE228" s="581">
        <f t="shared" si="3"/>
        <v>0</v>
      </c>
    </row>
    <row r="229" spans="1:31" x14ac:dyDescent="0.2">
      <c r="A229" s="433"/>
      <c r="B229" s="499"/>
      <c r="C229" s="510"/>
      <c r="D229" s="442" t="s">
        <v>567</v>
      </c>
      <c r="E229" s="456">
        <v>211</v>
      </c>
      <c r="F229" s="411"/>
      <c r="G229" s="411"/>
      <c r="H229" s="411"/>
      <c r="I229" s="606"/>
      <c r="J229" s="411"/>
      <c r="K229" s="411"/>
      <c r="L229" s="411"/>
      <c r="M229" s="411"/>
      <c r="N229" s="411"/>
      <c r="O229" s="411"/>
      <c r="P229" s="411"/>
      <c r="Q229" s="411"/>
      <c r="R229" s="412"/>
      <c r="S229" s="411"/>
      <c r="T229" s="411"/>
      <c r="U229" s="411"/>
      <c r="V229" s="606"/>
      <c r="W229" s="411"/>
      <c r="X229" s="411"/>
      <c r="Y229" s="411"/>
      <c r="Z229" s="411"/>
      <c r="AA229" s="411"/>
      <c r="AB229" s="411"/>
      <c r="AC229" s="411"/>
      <c r="AD229" s="411"/>
      <c r="AE229" s="412">
        <f t="shared" si="3"/>
        <v>0</v>
      </c>
    </row>
    <row r="230" spans="1:31" x14ac:dyDescent="0.2">
      <c r="A230" s="433"/>
      <c r="B230" s="499"/>
      <c r="C230" s="510"/>
      <c r="D230" s="442" t="s">
        <v>570</v>
      </c>
      <c r="E230" s="456">
        <v>152</v>
      </c>
      <c r="F230" s="411"/>
      <c r="G230" s="411"/>
      <c r="H230" s="411"/>
      <c r="I230" s="606"/>
      <c r="J230" s="411"/>
      <c r="K230" s="411"/>
      <c r="L230" s="411"/>
      <c r="M230" s="411"/>
      <c r="N230" s="411"/>
      <c r="O230" s="411"/>
      <c r="P230" s="411"/>
      <c r="Q230" s="411"/>
      <c r="R230" s="412"/>
      <c r="S230" s="411"/>
      <c r="T230" s="411"/>
      <c r="U230" s="411"/>
      <c r="V230" s="606"/>
      <c r="W230" s="411"/>
      <c r="X230" s="411"/>
      <c r="Y230" s="411"/>
      <c r="Z230" s="411"/>
      <c r="AA230" s="411"/>
      <c r="AB230" s="411"/>
      <c r="AC230" s="411"/>
      <c r="AD230" s="411"/>
      <c r="AE230" s="412">
        <f t="shared" si="3"/>
        <v>0</v>
      </c>
    </row>
    <row r="231" spans="1:31" x14ac:dyDescent="0.2">
      <c r="A231" s="433"/>
      <c r="B231" s="510"/>
      <c r="C231" s="510"/>
      <c r="D231" s="417"/>
      <c r="E231" s="417"/>
      <c r="F231" s="411"/>
      <c r="G231" s="411"/>
      <c r="H231" s="411"/>
      <c r="I231" s="606"/>
      <c r="J231" s="411"/>
      <c r="K231" s="411"/>
      <c r="L231" s="411"/>
      <c r="M231" s="411"/>
      <c r="N231" s="411"/>
      <c r="O231" s="411"/>
      <c r="P231" s="411"/>
      <c r="Q231" s="411"/>
      <c r="R231" s="412"/>
      <c r="S231" s="411"/>
      <c r="T231" s="411"/>
      <c r="U231" s="411"/>
      <c r="V231" s="606"/>
      <c r="W231" s="411"/>
      <c r="X231" s="411"/>
      <c r="Y231" s="411"/>
      <c r="Z231" s="411"/>
      <c r="AA231" s="411"/>
      <c r="AB231" s="411"/>
      <c r="AC231" s="411"/>
      <c r="AD231" s="411"/>
      <c r="AE231" s="412">
        <f t="shared" si="3"/>
        <v>0</v>
      </c>
    </row>
    <row r="232" spans="1:31" x14ac:dyDescent="0.2">
      <c r="A232" s="584" t="s">
        <v>583</v>
      </c>
      <c r="B232" s="572" t="s">
        <v>584</v>
      </c>
      <c r="C232" s="572"/>
      <c r="D232" s="593" t="s">
        <v>585</v>
      </c>
      <c r="E232" s="594" t="s">
        <v>586</v>
      </c>
      <c r="F232" s="585"/>
      <c r="G232" s="586"/>
      <c r="H232" s="586"/>
      <c r="I232" s="613"/>
      <c r="J232" s="586"/>
      <c r="K232" s="586"/>
      <c r="L232" s="586"/>
      <c r="M232" s="586"/>
      <c r="N232" s="586"/>
      <c r="O232" s="586"/>
      <c r="P232" s="586"/>
      <c r="Q232" s="586"/>
      <c r="R232" s="586"/>
      <c r="S232" s="585"/>
      <c r="T232" s="586"/>
      <c r="U232" s="586"/>
      <c r="V232" s="613"/>
      <c r="W232" s="586"/>
      <c r="X232" s="586"/>
      <c r="Y232" s="586"/>
      <c r="Z232" s="586"/>
      <c r="AA232" s="586"/>
      <c r="AB232" s="586"/>
      <c r="AC232" s="586"/>
      <c r="AD232" s="586"/>
      <c r="AE232" s="586"/>
    </row>
    <row r="233" spans="1:31" x14ac:dyDescent="0.2">
      <c r="A233" s="470"/>
      <c r="B233" s="499" t="s">
        <v>503</v>
      </c>
      <c r="C233" s="407" t="s">
        <v>504</v>
      </c>
      <c r="D233" s="588" t="s">
        <v>587</v>
      </c>
      <c r="E233" s="471">
        <v>128</v>
      </c>
      <c r="F233" s="581"/>
      <c r="G233" s="588"/>
      <c r="H233" s="588"/>
      <c r="I233" s="609"/>
      <c r="J233" s="588"/>
      <c r="K233" s="588"/>
      <c r="L233" s="588"/>
      <c r="M233" s="588"/>
      <c r="N233" s="588"/>
      <c r="O233" s="588"/>
      <c r="P233" s="588"/>
      <c r="Q233" s="588"/>
      <c r="R233" s="412"/>
      <c r="S233" s="581"/>
      <c r="T233" s="588"/>
      <c r="U233" s="588"/>
      <c r="V233" s="609"/>
      <c r="W233" s="588"/>
      <c r="X233" s="588"/>
      <c r="Y233" s="588"/>
      <c r="Z233" s="588"/>
      <c r="AA233" s="588"/>
      <c r="AB233" s="588"/>
      <c r="AC233" s="588"/>
      <c r="AD233" s="588"/>
      <c r="AE233" s="412">
        <f t="shared" ref="AE233:AE240" si="4">SUM(S233:AD233)</f>
        <v>0</v>
      </c>
    </row>
    <row r="234" spans="1:31" x14ac:dyDescent="0.2">
      <c r="A234" s="470"/>
      <c r="B234" s="511"/>
      <c r="C234" s="466"/>
      <c r="D234" s="414"/>
      <c r="E234" s="471">
        <v>138</v>
      </c>
      <c r="F234" s="446"/>
      <c r="G234" s="414"/>
      <c r="H234" s="414"/>
      <c r="I234" s="606"/>
      <c r="J234" s="414"/>
      <c r="K234" s="414"/>
      <c r="L234" s="414"/>
      <c r="M234" s="414"/>
      <c r="N234" s="414"/>
      <c r="O234" s="414"/>
      <c r="P234" s="414"/>
      <c r="Q234" s="414"/>
      <c r="R234" s="412"/>
      <c r="S234" s="446"/>
      <c r="T234" s="414"/>
      <c r="U234" s="414"/>
      <c r="V234" s="606"/>
      <c r="W234" s="414"/>
      <c r="X234" s="414"/>
      <c r="Y234" s="414"/>
      <c r="Z234" s="414"/>
      <c r="AA234" s="414"/>
      <c r="AB234" s="414"/>
      <c r="AC234" s="414"/>
      <c r="AD234" s="414"/>
      <c r="AE234" s="412">
        <f t="shared" si="4"/>
        <v>0</v>
      </c>
    </row>
    <row r="235" spans="1:31" x14ac:dyDescent="0.2">
      <c r="A235" s="470"/>
      <c r="B235" s="439" t="s">
        <v>550</v>
      </c>
      <c r="C235" s="439" t="s">
        <v>551</v>
      </c>
      <c r="D235" s="414" t="s">
        <v>483</v>
      </c>
      <c r="E235" s="471">
        <v>128</v>
      </c>
      <c r="F235" s="446"/>
      <c r="G235" s="414"/>
      <c r="H235" s="414"/>
      <c r="I235" s="606"/>
      <c r="J235" s="414"/>
      <c r="K235" s="414"/>
      <c r="L235" s="414"/>
      <c r="M235" s="414"/>
      <c r="N235" s="414"/>
      <c r="O235" s="414"/>
      <c r="P235" s="414"/>
      <c r="Q235" s="414"/>
      <c r="R235" s="412"/>
      <c r="S235" s="446"/>
      <c r="T235" s="414"/>
      <c r="U235" s="414"/>
      <c r="V235" s="606"/>
      <c r="W235" s="414"/>
      <c r="X235" s="414"/>
      <c r="Y235" s="414"/>
      <c r="Z235" s="414"/>
      <c r="AA235" s="414"/>
      <c r="AB235" s="414"/>
      <c r="AC235" s="414"/>
      <c r="AD235" s="414"/>
      <c r="AE235" s="412">
        <f t="shared" si="4"/>
        <v>0</v>
      </c>
    </row>
    <row r="236" spans="1:31" x14ac:dyDescent="0.2">
      <c r="A236" s="470"/>
      <c r="B236" s="439"/>
      <c r="C236" s="443"/>
      <c r="D236" s="408"/>
      <c r="E236" s="473">
        <v>138</v>
      </c>
      <c r="F236" s="446"/>
      <c r="G236" s="414"/>
      <c r="H236" s="414"/>
      <c r="I236" s="606"/>
      <c r="J236" s="414"/>
      <c r="K236" s="414"/>
      <c r="L236" s="414"/>
      <c r="M236" s="414"/>
      <c r="N236" s="414"/>
      <c r="O236" s="414"/>
      <c r="P236" s="414"/>
      <c r="Q236" s="414"/>
      <c r="R236" s="412"/>
      <c r="S236" s="446"/>
      <c r="T236" s="414"/>
      <c r="U236" s="414"/>
      <c r="V236" s="606"/>
      <c r="W236" s="414"/>
      <c r="X236" s="414"/>
      <c r="Y236" s="414"/>
      <c r="Z236" s="414"/>
      <c r="AA236" s="414"/>
      <c r="AB236" s="414"/>
      <c r="AC236" s="414"/>
      <c r="AD236" s="414"/>
      <c r="AE236" s="412">
        <f t="shared" si="4"/>
        <v>0</v>
      </c>
    </row>
    <row r="237" spans="1:31" x14ac:dyDescent="0.2">
      <c r="A237" s="470"/>
      <c r="B237" s="439" t="s">
        <v>538</v>
      </c>
      <c r="C237" s="439" t="s">
        <v>539</v>
      </c>
      <c r="D237" s="414" t="s">
        <v>483</v>
      </c>
      <c r="E237" s="473">
        <v>128</v>
      </c>
      <c r="F237" s="446"/>
      <c r="G237" s="414"/>
      <c r="H237" s="414"/>
      <c r="I237" s="606"/>
      <c r="J237" s="414"/>
      <c r="K237" s="414"/>
      <c r="L237" s="414"/>
      <c r="M237" s="414"/>
      <c r="N237" s="414"/>
      <c r="O237" s="414"/>
      <c r="P237" s="414"/>
      <c r="Q237" s="414"/>
      <c r="R237" s="412"/>
      <c r="S237" s="446"/>
      <c r="T237" s="414"/>
      <c r="U237" s="414"/>
      <c r="V237" s="606"/>
      <c r="W237" s="414"/>
      <c r="X237" s="414"/>
      <c r="Y237" s="414"/>
      <c r="Z237" s="414"/>
      <c r="AA237" s="414"/>
      <c r="AB237" s="414"/>
      <c r="AC237" s="414"/>
      <c r="AD237" s="414"/>
      <c r="AE237" s="412">
        <f t="shared" si="4"/>
        <v>0</v>
      </c>
    </row>
    <row r="238" spans="1:31" x14ac:dyDescent="0.2">
      <c r="A238" s="470"/>
      <c r="B238" s="439" t="s">
        <v>588</v>
      </c>
      <c r="C238" s="439"/>
      <c r="D238" s="414" t="s">
        <v>589</v>
      </c>
      <c r="E238" s="473">
        <v>128</v>
      </c>
      <c r="F238" s="446"/>
      <c r="G238" s="414"/>
      <c r="H238" s="414"/>
      <c r="I238" s="606"/>
      <c r="J238" s="414"/>
      <c r="K238" s="414"/>
      <c r="L238" s="414"/>
      <c r="M238" s="414"/>
      <c r="N238" s="414"/>
      <c r="O238" s="414"/>
      <c r="P238" s="414"/>
      <c r="Q238" s="414"/>
      <c r="R238" s="412"/>
      <c r="S238" s="446"/>
      <c r="T238" s="414"/>
      <c r="U238" s="414"/>
      <c r="V238" s="606"/>
      <c r="W238" s="414"/>
      <c r="X238" s="414"/>
      <c r="Y238" s="414"/>
      <c r="Z238" s="414"/>
      <c r="AA238" s="414"/>
      <c r="AB238" s="414"/>
      <c r="AC238" s="414"/>
      <c r="AD238" s="414"/>
      <c r="AE238" s="412">
        <f t="shared" si="4"/>
        <v>0</v>
      </c>
    </row>
    <row r="239" spans="1:31" x14ac:dyDescent="0.2">
      <c r="A239" s="470"/>
      <c r="B239" s="439" t="s">
        <v>590</v>
      </c>
      <c r="C239" s="439"/>
      <c r="D239" s="414"/>
      <c r="E239" s="473">
        <v>138</v>
      </c>
      <c r="F239" s="446"/>
      <c r="G239" s="414"/>
      <c r="H239" s="414"/>
      <c r="I239" s="606"/>
      <c r="J239" s="414"/>
      <c r="K239" s="414"/>
      <c r="L239" s="414"/>
      <c r="M239" s="414"/>
      <c r="N239" s="414"/>
      <c r="O239" s="414"/>
      <c r="P239" s="414"/>
      <c r="Q239" s="414"/>
      <c r="R239" s="412"/>
      <c r="S239" s="446"/>
      <c r="T239" s="414"/>
      <c r="U239" s="414"/>
      <c r="V239" s="606"/>
      <c r="W239" s="414"/>
      <c r="X239" s="414"/>
      <c r="Y239" s="414"/>
      <c r="Z239" s="414"/>
      <c r="AA239" s="414"/>
      <c r="AB239" s="414"/>
      <c r="AC239" s="414"/>
      <c r="AD239" s="414"/>
      <c r="AE239" s="412">
        <f t="shared" si="4"/>
        <v>0</v>
      </c>
    </row>
    <row r="240" spans="1:31" x14ac:dyDescent="0.2">
      <c r="A240" s="470"/>
      <c r="B240" s="439" t="s">
        <v>591</v>
      </c>
      <c r="C240" s="439"/>
      <c r="D240" s="414"/>
      <c r="E240" s="473">
        <v>138</v>
      </c>
      <c r="F240" s="446"/>
      <c r="G240" s="414"/>
      <c r="H240" s="414"/>
      <c r="I240" s="606"/>
      <c r="J240" s="414"/>
      <c r="K240" s="414"/>
      <c r="L240" s="414"/>
      <c r="M240" s="414"/>
      <c r="N240" s="414"/>
      <c r="O240" s="414"/>
      <c r="P240" s="414"/>
      <c r="Q240" s="414"/>
      <c r="R240" s="412"/>
      <c r="S240" s="446"/>
      <c r="T240" s="414"/>
      <c r="U240" s="414"/>
      <c r="V240" s="606"/>
      <c r="W240" s="414"/>
      <c r="X240" s="414"/>
      <c r="Y240" s="414"/>
      <c r="Z240" s="414"/>
      <c r="AA240" s="414"/>
      <c r="AB240" s="414"/>
      <c r="AC240" s="414"/>
      <c r="AD240" s="414"/>
      <c r="AE240" s="412">
        <f t="shared" si="4"/>
        <v>0</v>
      </c>
    </row>
    <row r="241" spans="1:31" x14ac:dyDescent="0.2">
      <c r="A241" s="470"/>
      <c r="B241" s="439" t="s">
        <v>513</v>
      </c>
      <c r="C241" s="439" t="s">
        <v>514</v>
      </c>
      <c r="D241" s="407" t="s">
        <v>483</v>
      </c>
      <c r="E241" s="473">
        <v>138</v>
      </c>
      <c r="F241" s="446"/>
      <c r="G241" s="414"/>
      <c r="H241" s="414"/>
      <c r="I241" s="606"/>
      <c r="J241" s="414"/>
      <c r="K241" s="414"/>
      <c r="L241" s="414"/>
      <c r="M241" s="414"/>
      <c r="N241" s="414"/>
      <c r="O241" s="414"/>
      <c r="P241" s="414"/>
      <c r="Q241" s="414"/>
      <c r="R241" s="412"/>
      <c r="S241" s="446"/>
      <c r="T241" s="414"/>
      <c r="U241" s="414"/>
      <c r="V241" s="606"/>
      <c r="W241" s="414"/>
      <c r="X241" s="414"/>
      <c r="Y241" s="414"/>
      <c r="Z241" s="414"/>
      <c r="AA241" s="414"/>
      <c r="AB241" s="414"/>
      <c r="AC241" s="414"/>
      <c r="AD241" s="414"/>
      <c r="AE241" s="412"/>
    </row>
    <row r="242" spans="1:31" x14ac:dyDescent="0.2">
      <c r="A242" s="584" t="s">
        <v>592</v>
      </c>
      <c r="B242" s="572" t="s">
        <v>593</v>
      </c>
      <c r="C242" s="572"/>
      <c r="D242" s="593" t="s">
        <v>585</v>
      </c>
      <c r="E242" s="594" t="s">
        <v>586</v>
      </c>
      <c r="F242" s="585"/>
      <c r="G242" s="586"/>
      <c r="H242" s="586"/>
      <c r="I242" s="613"/>
      <c r="J242" s="586"/>
      <c r="K242" s="586"/>
      <c r="L242" s="586"/>
      <c r="M242" s="586"/>
      <c r="N242" s="586"/>
      <c r="O242" s="586"/>
      <c r="P242" s="586"/>
      <c r="Q242" s="586"/>
      <c r="R242" s="586"/>
      <c r="S242" s="585"/>
      <c r="T242" s="586"/>
      <c r="U242" s="586"/>
      <c r="V242" s="613"/>
      <c r="W242" s="586"/>
      <c r="X242" s="586"/>
      <c r="Y242" s="586"/>
      <c r="Z242" s="586"/>
      <c r="AA242" s="586"/>
      <c r="AB242" s="586"/>
      <c r="AC242" s="586"/>
      <c r="AD242" s="586"/>
      <c r="AE242" s="586"/>
    </row>
    <row r="243" spans="1:31" x14ac:dyDescent="0.2">
      <c r="A243" s="477"/>
      <c r="B243" s="414" t="s">
        <v>503</v>
      </c>
      <c r="C243" s="408" t="s">
        <v>504</v>
      </c>
      <c r="D243" s="588" t="s">
        <v>587</v>
      </c>
      <c r="E243" s="471">
        <v>128</v>
      </c>
      <c r="F243" s="581"/>
      <c r="G243" s="588"/>
      <c r="H243" s="588"/>
      <c r="I243" s="609"/>
      <c r="J243" s="588"/>
      <c r="K243" s="588"/>
      <c r="L243" s="588"/>
      <c r="M243" s="588"/>
      <c r="N243" s="588"/>
      <c r="O243" s="588"/>
      <c r="P243" s="588"/>
      <c r="Q243" s="588"/>
      <c r="R243" s="412"/>
      <c r="S243" s="581"/>
      <c r="T243" s="588"/>
      <c r="U243" s="588"/>
      <c r="V243" s="609"/>
      <c r="W243" s="588"/>
      <c r="X243" s="588"/>
      <c r="Y243" s="588"/>
      <c r="Z243" s="588"/>
      <c r="AA243" s="588"/>
      <c r="AB243" s="588"/>
      <c r="AC243" s="588"/>
      <c r="AD243" s="588"/>
      <c r="AE243" s="412">
        <f t="shared" ref="AE243:AE248" si="5">SUM(S243:AD243)</f>
        <v>0</v>
      </c>
    </row>
    <row r="244" spans="1:31" x14ac:dyDescent="0.2">
      <c r="A244" s="477"/>
      <c r="B244" s="472"/>
      <c r="C244" s="418"/>
      <c r="D244" s="414"/>
      <c r="E244" s="471">
        <v>138</v>
      </c>
      <c r="F244" s="446"/>
      <c r="G244" s="414"/>
      <c r="H244" s="414"/>
      <c r="I244" s="606"/>
      <c r="J244" s="414"/>
      <c r="K244" s="414"/>
      <c r="L244" s="414"/>
      <c r="M244" s="414"/>
      <c r="N244" s="414"/>
      <c r="O244" s="414"/>
      <c r="P244" s="414"/>
      <c r="Q244" s="414"/>
      <c r="R244" s="412"/>
      <c r="S244" s="446"/>
      <c r="T244" s="414"/>
      <c r="U244" s="414"/>
      <c r="V244" s="606"/>
      <c r="W244" s="414"/>
      <c r="X244" s="414"/>
      <c r="Y244" s="414"/>
      <c r="Z244" s="414"/>
      <c r="AA244" s="414"/>
      <c r="AB244" s="414"/>
      <c r="AC244" s="414"/>
      <c r="AD244" s="414"/>
      <c r="AE244" s="412">
        <f t="shared" si="5"/>
        <v>0</v>
      </c>
    </row>
    <row r="245" spans="1:31" x14ac:dyDescent="0.2">
      <c r="A245" s="477"/>
      <c r="B245" s="439" t="s">
        <v>550</v>
      </c>
      <c r="C245" s="439" t="s">
        <v>551</v>
      </c>
      <c r="D245" s="414" t="s">
        <v>483</v>
      </c>
      <c r="E245" s="471">
        <v>128</v>
      </c>
      <c r="F245" s="446"/>
      <c r="G245" s="414"/>
      <c r="H245" s="414"/>
      <c r="I245" s="606"/>
      <c r="J245" s="414"/>
      <c r="K245" s="414"/>
      <c r="L245" s="414"/>
      <c r="M245" s="414"/>
      <c r="N245" s="414"/>
      <c r="O245" s="414"/>
      <c r="P245" s="414"/>
      <c r="Q245" s="414"/>
      <c r="R245" s="412"/>
      <c r="S245" s="446"/>
      <c r="T245" s="414"/>
      <c r="U245" s="414"/>
      <c r="V245" s="606"/>
      <c r="W245" s="414"/>
      <c r="X245" s="414"/>
      <c r="Y245" s="414"/>
      <c r="Z245" s="414"/>
      <c r="AA245" s="414"/>
      <c r="AB245" s="414"/>
      <c r="AC245" s="414"/>
      <c r="AD245" s="414"/>
      <c r="AE245" s="412">
        <f t="shared" si="5"/>
        <v>0</v>
      </c>
    </row>
    <row r="246" spans="1:31" x14ac:dyDescent="0.2">
      <c r="A246" s="477"/>
      <c r="B246" s="439"/>
      <c r="C246" s="443"/>
      <c r="D246" s="408"/>
      <c r="E246" s="473">
        <v>138</v>
      </c>
      <c r="F246" s="446"/>
      <c r="G246" s="414"/>
      <c r="H246" s="414"/>
      <c r="I246" s="606"/>
      <c r="J246" s="414"/>
      <c r="K246" s="414"/>
      <c r="L246" s="414"/>
      <c r="M246" s="414"/>
      <c r="N246" s="414"/>
      <c r="O246" s="414"/>
      <c r="P246" s="414"/>
      <c r="Q246" s="414"/>
      <c r="R246" s="412"/>
      <c r="S246" s="446"/>
      <c r="T246" s="414"/>
      <c r="U246" s="414"/>
      <c r="V246" s="606"/>
      <c r="W246" s="414"/>
      <c r="X246" s="414"/>
      <c r="Y246" s="414"/>
      <c r="Z246" s="414"/>
      <c r="AA246" s="414"/>
      <c r="AB246" s="414"/>
      <c r="AC246" s="414"/>
      <c r="AD246" s="414"/>
      <c r="AE246" s="412">
        <f t="shared" si="5"/>
        <v>0</v>
      </c>
    </row>
    <row r="247" spans="1:31" x14ac:dyDescent="0.2">
      <c r="A247" s="477"/>
      <c r="B247" s="439" t="s">
        <v>538</v>
      </c>
      <c r="C247" s="439" t="s">
        <v>539</v>
      </c>
      <c r="D247" s="414" t="s">
        <v>483</v>
      </c>
      <c r="E247" s="473">
        <v>128</v>
      </c>
      <c r="F247" s="446"/>
      <c r="G247" s="414"/>
      <c r="H247" s="414"/>
      <c r="I247" s="606"/>
      <c r="J247" s="414"/>
      <c r="K247" s="414"/>
      <c r="L247" s="414"/>
      <c r="M247" s="414"/>
      <c r="N247" s="414"/>
      <c r="O247" s="414"/>
      <c r="P247" s="414"/>
      <c r="Q247" s="414"/>
      <c r="R247" s="412"/>
      <c r="S247" s="446"/>
      <c r="T247" s="414"/>
      <c r="U247" s="414"/>
      <c r="V247" s="606"/>
      <c r="W247" s="414"/>
      <c r="X247" s="414"/>
      <c r="Y247" s="414"/>
      <c r="Z247" s="414"/>
      <c r="AA247" s="414"/>
      <c r="AB247" s="414"/>
      <c r="AC247" s="414"/>
      <c r="AD247" s="414"/>
      <c r="AE247" s="412">
        <f t="shared" si="5"/>
        <v>0</v>
      </c>
    </row>
    <row r="248" spans="1:31" x14ac:dyDescent="0.2">
      <c r="A248" s="477"/>
      <c r="B248" s="414" t="s">
        <v>588</v>
      </c>
      <c r="C248" s="408"/>
      <c r="D248" s="474" t="s">
        <v>589</v>
      </c>
      <c r="E248" s="473">
        <v>128</v>
      </c>
      <c r="F248" s="427"/>
      <c r="G248" s="423"/>
      <c r="H248" s="423"/>
      <c r="I248" s="607"/>
      <c r="J248" s="423"/>
      <c r="K248" s="423"/>
      <c r="L248" s="423"/>
      <c r="M248" s="423"/>
      <c r="N248" s="423"/>
      <c r="O248" s="423"/>
      <c r="P248" s="423"/>
      <c r="Q248" s="423"/>
      <c r="R248" s="412"/>
      <c r="S248" s="427"/>
      <c r="T248" s="423"/>
      <c r="U248" s="423"/>
      <c r="V248" s="607"/>
      <c r="W248" s="423"/>
      <c r="X248" s="423"/>
      <c r="Y248" s="423"/>
      <c r="Z248" s="423"/>
      <c r="AA248" s="423"/>
      <c r="AB248" s="423"/>
      <c r="AC248" s="423"/>
      <c r="AD248" s="423"/>
      <c r="AE248" s="412">
        <f t="shared" si="5"/>
        <v>0</v>
      </c>
    </row>
    <row r="249" spans="1:31" x14ac:dyDescent="0.2">
      <c r="A249" s="584" t="s">
        <v>594</v>
      </c>
      <c r="B249" s="572" t="s">
        <v>595</v>
      </c>
      <c r="C249" s="572"/>
      <c r="D249" s="593" t="s">
        <v>585</v>
      </c>
      <c r="E249" s="594" t="s">
        <v>586</v>
      </c>
      <c r="F249" s="585"/>
      <c r="G249" s="586"/>
      <c r="H249" s="586"/>
      <c r="I249" s="613"/>
      <c r="J249" s="586"/>
      <c r="K249" s="586"/>
      <c r="L249" s="586"/>
      <c r="M249" s="586"/>
      <c r="N249" s="586"/>
      <c r="O249" s="586"/>
      <c r="P249" s="586"/>
      <c r="Q249" s="586"/>
      <c r="R249" s="586"/>
      <c r="S249" s="585"/>
      <c r="T249" s="586"/>
      <c r="U249" s="586"/>
      <c r="V249" s="613"/>
      <c r="W249" s="586"/>
      <c r="X249" s="586"/>
      <c r="Y249" s="586"/>
      <c r="Z249" s="586"/>
      <c r="AA249" s="586"/>
      <c r="AB249" s="586"/>
      <c r="AC249" s="586"/>
      <c r="AD249" s="586"/>
      <c r="AE249" s="586"/>
    </row>
    <row r="250" spans="1:31" x14ac:dyDescent="0.2">
      <c r="A250" s="470"/>
      <c r="B250" s="577" t="s">
        <v>533</v>
      </c>
      <c r="C250" s="577" t="s">
        <v>534</v>
      </c>
      <c r="D250" s="590" t="s">
        <v>483</v>
      </c>
      <c r="E250" s="471">
        <v>341</v>
      </c>
      <c r="F250" s="581"/>
      <c r="G250" s="588"/>
      <c r="H250" s="588"/>
      <c r="I250" s="609"/>
      <c r="J250" s="588"/>
      <c r="K250" s="588"/>
      <c r="L250" s="588"/>
      <c r="M250" s="588"/>
      <c r="N250" s="588"/>
      <c r="O250" s="588"/>
      <c r="P250" s="588"/>
      <c r="Q250" s="588"/>
      <c r="R250" s="412"/>
      <c r="S250" s="581"/>
      <c r="T250" s="588"/>
      <c r="U250" s="588"/>
      <c r="V250" s="609"/>
      <c r="W250" s="588"/>
      <c r="X250" s="588"/>
      <c r="Y250" s="588"/>
      <c r="Z250" s="588"/>
      <c r="AA250" s="588"/>
      <c r="AB250" s="588"/>
      <c r="AC250" s="588"/>
      <c r="AD250" s="588"/>
      <c r="AE250" s="412">
        <f t="shared" ref="AE250:AE252" si="6">SUM(S250:AD250)</f>
        <v>0</v>
      </c>
    </row>
    <row r="251" spans="1:31" x14ac:dyDescent="0.2">
      <c r="A251" s="470"/>
      <c r="B251" s="439" t="s">
        <v>513</v>
      </c>
      <c r="C251" s="443" t="s">
        <v>514</v>
      </c>
      <c r="D251" s="407" t="s">
        <v>483</v>
      </c>
      <c r="E251" s="471">
        <v>338</v>
      </c>
      <c r="F251" s="446"/>
      <c r="G251" s="414"/>
      <c r="H251" s="414"/>
      <c r="I251" s="606"/>
      <c r="J251" s="414"/>
      <c r="K251" s="414"/>
      <c r="L251" s="414"/>
      <c r="M251" s="414"/>
      <c r="N251" s="414"/>
      <c r="O251" s="414"/>
      <c r="P251" s="414"/>
      <c r="Q251" s="414"/>
      <c r="R251" s="412"/>
      <c r="S251" s="446"/>
      <c r="T251" s="414"/>
      <c r="U251" s="414"/>
      <c r="V251" s="606"/>
      <c r="W251" s="414"/>
      <c r="X251" s="414"/>
      <c r="Y251" s="414"/>
      <c r="Z251" s="414"/>
      <c r="AA251" s="414"/>
      <c r="AB251" s="414"/>
      <c r="AC251" s="414"/>
      <c r="AD251" s="414"/>
      <c r="AE251" s="412">
        <f t="shared" si="6"/>
        <v>0</v>
      </c>
    </row>
    <row r="252" spans="1:31" x14ac:dyDescent="0.2">
      <c r="A252" s="477"/>
      <c r="B252" s="414" t="s">
        <v>588</v>
      </c>
      <c r="C252" s="478"/>
      <c r="D252" s="478"/>
      <c r="E252" s="471">
        <v>341</v>
      </c>
      <c r="F252" s="479"/>
      <c r="G252" s="423"/>
      <c r="H252" s="423"/>
      <c r="I252" s="607"/>
      <c r="J252" s="423"/>
      <c r="K252" s="423"/>
      <c r="L252" s="423"/>
      <c r="M252" s="423"/>
      <c r="N252" s="423"/>
      <c r="O252" s="423"/>
      <c r="P252" s="423"/>
      <c r="Q252" s="423"/>
      <c r="R252" s="480"/>
      <c r="S252" s="479"/>
      <c r="T252" s="423"/>
      <c r="U252" s="423"/>
      <c r="V252" s="607"/>
      <c r="W252" s="423"/>
      <c r="X252" s="423"/>
      <c r="Y252" s="423"/>
      <c r="Z252" s="423"/>
      <c r="AA252" s="423"/>
      <c r="AB252" s="423"/>
      <c r="AC252" s="423"/>
      <c r="AD252" s="423"/>
      <c r="AE252" s="480">
        <f t="shared" si="6"/>
        <v>0</v>
      </c>
    </row>
    <row r="253" spans="1:31" x14ac:dyDescent="0.2">
      <c r="A253" s="584" t="s">
        <v>596</v>
      </c>
      <c r="B253" s="572" t="s">
        <v>597</v>
      </c>
      <c r="C253" s="572"/>
      <c r="D253" s="593" t="s">
        <v>585</v>
      </c>
      <c r="E253" s="594" t="s">
        <v>586</v>
      </c>
      <c r="F253" s="585"/>
      <c r="G253" s="586"/>
      <c r="H253" s="586"/>
      <c r="I253" s="613"/>
      <c r="J253" s="586"/>
      <c r="K253" s="586"/>
      <c r="L253" s="586"/>
      <c r="M253" s="586"/>
      <c r="N253" s="586"/>
      <c r="O253" s="586"/>
      <c r="P253" s="586"/>
      <c r="Q253" s="586"/>
      <c r="R253" s="586"/>
      <c r="S253" s="585"/>
      <c r="T253" s="586"/>
      <c r="U253" s="586"/>
      <c r="V253" s="613"/>
      <c r="W253" s="586"/>
      <c r="X253" s="586"/>
      <c r="Y253" s="586"/>
      <c r="Z253" s="586"/>
      <c r="AA253" s="586"/>
      <c r="AB253" s="586"/>
      <c r="AC253" s="586"/>
      <c r="AD253" s="586"/>
      <c r="AE253" s="586"/>
    </row>
    <row r="254" spans="1:31" x14ac:dyDescent="0.2">
      <c r="A254" s="481"/>
      <c r="B254" s="577" t="s">
        <v>533</v>
      </c>
      <c r="C254" s="577" t="s">
        <v>534</v>
      </c>
      <c r="D254" s="590" t="s">
        <v>483</v>
      </c>
      <c r="E254" s="471">
        <v>341</v>
      </c>
      <c r="F254" s="581"/>
      <c r="G254" s="588"/>
      <c r="H254" s="588"/>
      <c r="I254" s="609"/>
      <c r="J254" s="588"/>
      <c r="K254" s="588"/>
      <c r="L254" s="588"/>
      <c r="M254" s="588"/>
      <c r="N254" s="588"/>
      <c r="O254" s="588"/>
      <c r="P254" s="588"/>
      <c r="Q254" s="588"/>
      <c r="R254" s="412"/>
      <c r="S254" s="581"/>
      <c r="T254" s="588"/>
      <c r="U254" s="588"/>
      <c r="V254" s="609"/>
      <c r="W254" s="588"/>
      <c r="X254" s="588"/>
      <c r="Y254" s="588"/>
      <c r="Z254" s="588"/>
      <c r="AA254" s="588"/>
      <c r="AB254" s="588"/>
      <c r="AC254" s="588"/>
      <c r="AD254" s="588"/>
      <c r="AE254" s="412">
        <f t="shared" ref="AE254:AE256" si="7">SUM(S254:AD254)</f>
        <v>0</v>
      </c>
    </row>
    <row r="255" spans="1:31" x14ac:dyDescent="0.2">
      <c r="A255" s="481"/>
      <c r="B255" s="499" t="s">
        <v>588</v>
      </c>
      <c r="C255" s="482"/>
      <c r="D255" s="482"/>
      <c r="E255" s="483"/>
      <c r="F255" s="484"/>
      <c r="G255" s="414"/>
      <c r="H255" s="414"/>
      <c r="I255" s="606"/>
      <c r="J255" s="414"/>
      <c r="K255" s="414"/>
      <c r="L255" s="414"/>
      <c r="M255" s="414"/>
      <c r="N255" s="414"/>
      <c r="O255" s="414"/>
      <c r="P255" s="414"/>
      <c r="Q255" s="414"/>
      <c r="R255" s="480"/>
      <c r="S255" s="484"/>
      <c r="T255" s="414"/>
      <c r="U255" s="414"/>
      <c r="V255" s="606"/>
      <c r="W255" s="414"/>
      <c r="X255" s="414"/>
      <c r="Y255" s="414"/>
      <c r="Z255" s="414"/>
      <c r="AA255" s="414"/>
      <c r="AB255" s="414"/>
      <c r="AC255" s="414"/>
      <c r="AD255" s="414"/>
      <c r="AE255" s="480">
        <f t="shared" si="7"/>
        <v>0</v>
      </c>
    </row>
    <row r="256" spans="1:31" x14ac:dyDescent="0.2">
      <c r="A256" s="475"/>
      <c r="B256" s="439"/>
      <c r="C256" s="441"/>
      <c r="D256" s="423"/>
      <c r="E256" s="423"/>
      <c r="F256" s="427"/>
      <c r="G256" s="423"/>
      <c r="H256" s="423"/>
      <c r="I256" s="607"/>
      <c r="J256" s="423"/>
      <c r="K256" s="423"/>
      <c r="L256" s="423"/>
      <c r="M256" s="423"/>
      <c r="N256" s="423"/>
      <c r="O256" s="423"/>
      <c r="P256" s="423"/>
      <c r="Q256" s="423"/>
      <c r="R256" s="412"/>
      <c r="S256" s="427"/>
      <c r="T256" s="423"/>
      <c r="U256" s="423"/>
      <c r="V256" s="607"/>
      <c r="W256" s="423"/>
      <c r="X256" s="423"/>
      <c r="Y256" s="423"/>
      <c r="Z256" s="423"/>
      <c r="AA256" s="423"/>
      <c r="AB256" s="423"/>
      <c r="AC256" s="423"/>
      <c r="AD256" s="423"/>
      <c r="AE256" s="412">
        <f t="shared" si="7"/>
        <v>0</v>
      </c>
    </row>
    <row r="257" spans="1:31" x14ac:dyDescent="0.2">
      <c r="A257" s="584" t="s">
        <v>598</v>
      </c>
      <c r="B257" s="572" t="s">
        <v>599</v>
      </c>
      <c r="C257" s="572"/>
      <c r="D257" s="593" t="s">
        <v>585</v>
      </c>
      <c r="E257" s="594" t="s">
        <v>586</v>
      </c>
      <c r="F257" s="585"/>
      <c r="G257" s="586"/>
      <c r="H257" s="586"/>
      <c r="I257" s="613"/>
      <c r="J257" s="586"/>
      <c r="K257" s="586"/>
      <c r="L257" s="586"/>
      <c r="M257" s="586"/>
      <c r="N257" s="586"/>
      <c r="O257" s="586"/>
      <c r="P257" s="586"/>
      <c r="Q257" s="586"/>
      <c r="R257" s="586"/>
      <c r="S257" s="585"/>
      <c r="T257" s="586"/>
      <c r="U257" s="586"/>
      <c r="V257" s="613"/>
      <c r="W257" s="586"/>
      <c r="X257" s="586"/>
      <c r="Y257" s="586"/>
      <c r="Z257" s="586"/>
      <c r="AA257" s="586"/>
      <c r="AB257" s="586"/>
      <c r="AC257" s="586"/>
      <c r="AD257" s="586"/>
      <c r="AE257" s="586"/>
    </row>
    <row r="258" spans="1:31" x14ac:dyDescent="0.2">
      <c r="A258" s="595"/>
      <c r="B258" s="577"/>
      <c r="C258" s="577"/>
      <c r="D258" s="588" t="s">
        <v>600</v>
      </c>
      <c r="E258" s="596">
        <v>515</v>
      </c>
      <c r="F258" s="581"/>
      <c r="G258" s="588"/>
      <c r="H258" s="588"/>
      <c r="I258" s="609"/>
      <c r="J258" s="588"/>
      <c r="K258" s="588"/>
      <c r="L258" s="588"/>
      <c r="M258" s="588"/>
      <c r="N258" s="588"/>
      <c r="O258" s="588"/>
      <c r="P258" s="588"/>
      <c r="Q258" s="588"/>
      <c r="R258" s="412"/>
      <c r="S258" s="581"/>
      <c r="T258" s="588"/>
      <c r="U258" s="588"/>
      <c r="V258" s="609"/>
      <c r="W258" s="588"/>
      <c r="X258" s="588"/>
      <c r="Y258" s="588"/>
      <c r="Z258" s="588"/>
      <c r="AA258" s="588"/>
      <c r="AB258" s="588"/>
      <c r="AC258" s="588"/>
      <c r="AD258" s="588"/>
      <c r="AE258" s="412">
        <f t="shared" ref="AE258:AE266" si="8">SUM(S258:AD258)</f>
        <v>0</v>
      </c>
    </row>
    <row r="259" spans="1:31" x14ac:dyDescent="0.2">
      <c r="A259" s="470"/>
      <c r="B259" s="499"/>
      <c r="C259" s="499"/>
      <c r="D259" s="414"/>
      <c r="E259" s="418">
        <v>138</v>
      </c>
      <c r="F259" s="446"/>
      <c r="G259" s="414"/>
      <c r="H259" s="414"/>
      <c r="I259" s="606"/>
      <c r="J259" s="414"/>
      <c r="K259" s="414"/>
      <c r="L259" s="414"/>
      <c r="M259" s="414"/>
      <c r="N259" s="414"/>
      <c r="O259" s="414"/>
      <c r="P259" s="414"/>
      <c r="Q259" s="414"/>
      <c r="R259" s="412"/>
      <c r="S259" s="446"/>
      <c r="T259" s="414"/>
      <c r="U259" s="414"/>
      <c r="V259" s="606"/>
      <c r="W259" s="414"/>
      <c r="X259" s="414"/>
      <c r="Y259" s="414"/>
      <c r="Z259" s="414"/>
      <c r="AA259" s="414"/>
      <c r="AB259" s="414"/>
      <c r="AC259" s="414"/>
      <c r="AD259" s="414"/>
      <c r="AE259" s="412">
        <f t="shared" si="8"/>
        <v>0</v>
      </c>
    </row>
    <row r="260" spans="1:31" x14ac:dyDescent="0.2">
      <c r="A260" s="470"/>
      <c r="B260" s="499"/>
      <c r="C260" s="499"/>
      <c r="D260" s="414" t="s">
        <v>600</v>
      </c>
      <c r="E260" s="471">
        <v>515</v>
      </c>
      <c r="F260" s="446"/>
      <c r="G260" s="414"/>
      <c r="H260" s="414"/>
      <c r="I260" s="606"/>
      <c r="J260" s="414"/>
      <c r="K260" s="414"/>
      <c r="L260" s="414"/>
      <c r="M260" s="414"/>
      <c r="N260" s="414"/>
      <c r="O260" s="414"/>
      <c r="P260" s="414"/>
      <c r="Q260" s="414"/>
      <c r="R260" s="412"/>
      <c r="S260" s="446"/>
      <c r="T260" s="414"/>
      <c r="U260" s="414"/>
      <c r="V260" s="606"/>
      <c r="W260" s="414"/>
      <c r="X260" s="414"/>
      <c r="Y260" s="414"/>
      <c r="Z260" s="414"/>
      <c r="AA260" s="414"/>
      <c r="AB260" s="414"/>
      <c r="AC260" s="414"/>
      <c r="AD260" s="414"/>
      <c r="AE260" s="412">
        <f t="shared" si="8"/>
        <v>0</v>
      </c>
    </row>
    <row r="261" spans="1:31" x14ac:dyDescent="0.2">
      <c r="A261" s="470"/>
      <c r="B261" s="499"/>
      <c r="C261" s="499"/>
      <c r="D261" s="414"/>
      <c r="E261" s="418">
        <v>138</v>
      </c>
      <c r="F261" s="446"/>
      <c r="G261" s="414"/>
      <c r="H261" s="414"/>
      <c r="I261" s="606"/>
      <c r="J261" s="414"/>
      <c r="K261" s="414"/>
      <c r="L261" s="414"/>
      <c r="M261" s="414"/>
      <c r="N261" s="414"/>
      <c r="O261" s="414"/>
      <c r="P261" s="414"/>
      <c r="Q261" s="414"/>
      <c r="R261" s="412"/>
      <c r="S261" s="446"/>
      <c r="T261" s="414"/>
      <c r="U261" s="414"/>
      <c r="V261" s="606"/>
      <c r="W261" s="414"/>
      <c r="X261" s="414"/>
      <c r="Y261" s="414"/>
      <c r="Z261" s="414"/>
      <c r="AA261" s="414"/>
      <c r="AB261" s="414"/>
      <c r="AC261" s="414"/>
      <c r="AD261" s="414"/>
      <c r="AE261" s="412">
        <f t="shared" si="8"/>
        <v>0</v>
      </c>
    </row>
    <row r="262" spans="1:31" x14ac:dyDescent="0.2">
      <c r="A262" s="470"/>
      <c r="B262" s="512"/>
      <c r="C262" s="466"/>
      <c r="D262" s="414" t="s">
        <v>600</v>
      </c>
      <c r="E262" s="471">
        <v>515</v>
      </c>
      <c r="F262" s="446"/>
      <c r="G262" s="414"/>
      <c r="H262" s="414"/>
      <c r="I262" s="606"/>
      <c r="J262" s="414"/>
      <c r="K262" s="414"/>
      <c r="L262" s="414"/>
      <c r="M262" s="414"/>
      <c r="N262" s="414"/>
      <c r="O262" s="414"/>
      <c r="P262" s="414"/>
      <c r="Q262" s="414"/>
      <c r="R262" s="412"/>
      <c r="S262" s="446"/>
      <c r="T262" s="414"/>
      <c r="U262" s="414"/>
      <c r="V262" s="606"/>
      <c r="W262" s="414"/>
      <c r="X262" s="414"/>
      <c r="Y262" s="414"/>
      <c r="Z262" s="414"/>
      <c r="AA262" s="414"/>
      <c r="AB262" s="414"/>
      <c r="AC262" s="414"/>
      <c r="AD262" s="414"/>
      <c r="AE262" s="412">
        <f t="shared" si="8"/>
        <v>0</v>
      </c>
    </row>
    <row r="263" spans="1:31" x14ac:dyDescent="0.2">
      <c r="A263" s="470"/>
      <c r="B263" s="513"/>
      <c r="C263" s="499"/>
      <c r="D263" s="414"/>
      <c r="E263" s="418">
        <v>138</v>
      </c>
      <c r="F263" s="446"/>
      <c r="G263" s="414"/>
      <c r="H263" s="414"/>
      <c r="I263" s="606"/>
      <c r="J263" s="414"/>
      <c r="K263" s="414"/>
      <c r="L263" s="414"/>
      <c r="M263" s="414"/>
      <c r="N263" s="414"/>
      <c r="O263" s="414"/>
      <c r="P263" s="414"/>
      <c r="Q263" s="414"/>
      <c r="R263" s="412"/>
      <c r="S263" s="446"/>
      <c r="T263" s="414"/>
      <c r="U263" s="414"/>
      <c r="V263" s="606"/>
      <c r="W263" s="414"/>
      <c r="X263" s="414"/>
      <c r="Y263" s="414"/>
      <c r="Z263" s="414"/>
      <c r="AA263" s="414"/>
      <c r="AB263" s="414"/>
      <c r="AC263" s="414"/>
      <c r="AD263" s="414"/>
      <c r="AE263" s="412">
        <f t="shared" si="8"/>
        <v>0</v>
      </c>
    </row>
    <row r="264" spans="1:31" x14ac:dyDescent="0.2">
      <c r="A264" s="470"/>
      <c r="B264" s="512"/>
      <c r="C264" s="466"/>
      <c r="D264" s="414" t="s">
        <v>600</v>
      </c>
      <c r="E264" s="471">
        <v>515</v>
      </c>
      <c r="F264" s="446"/>
      <c r="G264" s="414"/>
      <c r="H264" s="414"/>
      <c r="I264" s="606"/>
      <c r="J264" s="414"/>
      <c r="K264" s="414"/>
      <c r="L264" s="414"/>
      <c r="M264" s="414"/>
      <c r="N264" s="414"/>
      <c r="O264" s="414"/>
      <c r="P264" s="414"/>
      <c r="Q264" s="414"/>
      <c r="R264" s="412"/>
      <c r="S264" s="446"/>
      <c r="T264" s="414"/>
      <c r="U264" s="414"/>
      <c r="V264" s="606"/>
      <c r="W264" s="414"/>
      <c r="X264" s="414"/>
      <c r="Y264" s="414"/>
      <c r="Z264" s="414"/>
      <c r="AA264" s="414"/>
      <c r="AB264" s="414"/>
      <c r="AC264" s="414"/>
      <c r="AD264" s="414"/>
      <c r="AE264" s="412">
        <f t="shared" si="8"/>
        <v>0</v>
      </c>
    </row>
    <row r="265" spans="1:31" x14ac:dyDescent="0.2">
      <c r="A265" s="470"/>
      <c r="B265" s="513"/>
      <c r="C265" s="499"/>
      <c r="D265" s="414"/>
      <c r="E265" s="418">
        <v>138</v>
      </c>
      <c r="F265" s="446"/>
      <c r="G265" s="414"/>
      <c r="H265" s="414"/>
      <c r="I265" s="606"/>
      <c r="J265" s="414"/>
      <c r="K265" s="414"/>
      <c r="L265" s="414"/>
      <c r="M265" s="414"/>
      <c r="N265" s="414"/>
      <c r="O265" s="414"/>
      <c r="P265" s="414"/>
      <c r="Q265" s="414"/>
      <c r="R265" s="412"/>
      <c r="S265" s="446"/>
      <c r="T265" s="414"/>
      <c r="U265" s="414"/>
      <c r="V265" s="606"/>
      <c r="W265" s="414"/>
      <c r="X265" s="414"/>
      <c r="Y265" s="414"/>
      <c r="Z265" s="414"/>
      <c r="AA265" s="414"/>
      <c r="AB265" s="414"/>
      <c r="AC265" s="414"/>
      <c r="AD265" s="414"/>
      <c r="AE265" s="412">
        <f t="shared" si="8"/>
        <v>0</v>
      </c>
    </row>
    <row r="266" spans="1:31" x14ac:dyDescent="0.2">
      <c r="A266" s="475"/>
      <c r="B266" s="495"/>
      <c r="C266" s="495"/>
      <c r="D266" s="423"/>
      <c r="E266" s="422"/>
      <c r="F266" s="427"/>
      <c r="G266" s="423"/>
      <c r="H266" s="423"/>
      <c r="I266" s="607"/>
      <c r="J266" s="423"/>
      <c r="K266" s="423"/>
      <c r="L266" s="423"/>
      <c r="M266" s="423"/>
      <c r="N266" s="423"/>
      <c r="O266" s="423"/>
      <c r="P266" s="423"/>
      <c r="Q266" s="423"/>
      <c r="R266" s="412"/>
      <c r="S266" s="427"/>
      <c r="T266" s="423"/>
      <c r="U266" s="423"/>
      <c r="V266" s="607"/>
      <c r="W266" s="423"/>
      <c r="X266" s="423"/>
      <c r="Y266" s="423"/>
      <c r="Z266" s="423"/>
      <c r="AA266" s="423"/>
      <c r="AB266" s="423"/>
      <c r="AC266" s="423"/>
      <c r="AD266" s="423"/>
      <c r="AE266" s="412">
        <f t="shared" si="8"/>
        <v>0</v>
      </c>
    </row>
    <row r="267" spans="1:31" x14ac:dyDescent="0.2">
      <c r="A267" s="584" t="s">
        <v>601</v>
      </c>
      <c r="B267" s="572" t="s">
        <v>602</v>
      </c>
      <c r="C267" s="572"/>
      <c r="D267" s="593" t="s">
        <v>585</v>
      </c>
      <c r="E267" s="594" t="s">
        <v>586</v>
      </c>
      <c r="F267" s="585"/>
      <c r="G267" s="586"/>
      <c r="H267" s="586"/>
      <c r="I267" s="613"/>
      <c r="J267" s="586"/>
      <c r="K267" s="586"/>
      <c r="L267" s="586"/>
      <c r="M267" s="586"/>
      <c r="N267" s="586"/>
      <c r="O267" s="586"/>
      <c r="P267" s="586"/>
      <c r="Q267" s="586"/>
      <c r="R267" s="586"/>
      <c r="S267" s="585"/>
      <c r="T267" s="586"/>
      <c r="U267" s="586"/>
      <c r="V267" s="613"/>
      <c r="W267" s="586"/>
      <c r="X267" s="586"/>
      <c r="Y267" s="586"/>
      <c r="Z267" s="586"/>
      <c r="AA267" s="586"/>
      <c r="AB267" s="586"/>
      <c r="AC267" s="586"/>
      <c r="AD267" s="586"/>
      <c r="AE267" s="586"/>
    </row>
    <row r="268" spans="1:31" x14ac:dyDescent="0.2">
      <c r="A268" s="477"/>
      <c r="B268" s="499" t="s">
        <v>503</v>
      </c>
      <c r="C268" s="407" t="s">
        <v>504</v>
      </c>
      <c r="D268" s="588"/>
      <c r="E268" s="471" t="s">
        <v>603</v>
      </c>
      <c r="F268" s="581"/>
      <c r="G268" s="588"/>
      <c r="H268" s="588"/>
      <c r="I268" s="609"/>
      <c r="J268" s="588"/>
      <c r="K268" s="588"/>
      <c r="L268" s="588"/>
      <c r="M268" s="588"/>
      <c r="N268" s="588"/>
      <c r="O268" s="588"/>
      <c r="P268" s="588"/>
      <c r="Q268" s="588"/>
      <c r="R268" s="412"/>
      <c r="S268" s="581"/>
      <c r="T268" s="588"/>
      <c r="U268" s="588"/>
      <c r="V268" s="609"/>
      <c r="W268" s="588"/>
      <c r="X268" s="588"/>
      <c r="Y268" s="588"/>
      <c r="Z268" s="588"/>
      <c r="AA268" s="588"/>
      <c r="AB268" s="588"/>
      <c r="AC268" s="588"/>
      <c r="AD268" s="588"/>
      <c r="AE268" s="412">
        <f t="shared" ref="AE268:AE272" si="9">SUM(S268:AD268)</f>
        <v>0</v>
      </c>
    </row>
    <row r="269" spans="1:31" x14ac:dyDescent="0.2">
      <c r="A269" s="477"/>
      <c r="B269" s="499"/>
      <c r="C269" s="407"/>
      <c r="D269" s="408"/>
      <c r="E269" s="471" t="s">
        <v>604</v>
      </c>
      <c r="F269" s="446"/>
      <c r="G269" s="414"/>
      <c r="H269" s="414"/>
      <c r="I269" s="606"/>
      <c r="J269" s="414"/>
      <c r="K269" s="414"/>
      <c r="L269" s="414"/>
      <c r="M269" s="414"/>
      <c r="N269" s="414"/>
      <c r="O269" s="414"/>
      <c r="P269" s="414"/>
      <c r="Q269" s="414"/>
      <c r="R269" s="412"/>
      <c r="S269" s="446"/>
      <c r="T269" s="414"/>
      <c r="U269" s="414"/>
      <c r="V269" s="606"/>
      <c r="W269" s="414"/>
      <c r="X269" s="414"/>
      <c r="Y269" s="414"/>
      <c r="Z269" s="414"/>
      <c r="AA269" s="414"/>
      <c r="AB269" s="414"/>
      <c r="AC269" s="414"/>
      <c r="AD269" s="414"/>
      <c r="AE269" s="412">
        <f t="shared" si="9"/>
        <v>0</v>
      </c>
    </row>
    <row r="270" spans="1:31" x14ac:dyDescent="0.2">
      <c r="A270" s="477"/>
      <c r="B270" s="499" t="s">
        <v>588</v>
      </c>
      <c r="C270" s="407"/>
      <c r="D270" s="474"/>
      <c r="E270" s="471" t="s">
        <v>604</v>
      </c>
      <c r="F270" s="446"/>
      <c r="G270" s="414"/>
      <c r="H270" s="414"/>
      <c r="I270" s="606"/>
      <c r="J270" s="414"/>
      <c r="K270" s="414"/>
      <c r="L270" s="414"/>
      <c r="M270" s="414"/>
      <c r="N270" s="414"/>
      <c r="O270" s="414"/>
      <c r="P270" s="414"/>
      <c r="Q270" s="414"/>
      <c r="R270" s="412"/>
      <c r="S270" s="446"/>
      <c r="T270" s="414"/>
      <c r="U270" s="414"/>
      <c r="V270" s="606"/>
      <c r="W270" s="414"/>
      <c r="X270" s="414"/>
      <c r="Y270" s="414"/>
      <c r="Z270" s="414"/>
      <c r="AA270" s="414"/>
      <c r="AB270" s="414"/>
      <c r="AC270" s="414"/>
      <c r="AD270" s="414"/>
      <c r="AE270" s="412">
        <f t="shared" si="9"/>
        <v>0</v>
      </c>
    </row>
    <row r="271" spans="1:31" x14ac:dyDescent="0.2">
      <c r="A271" s="477"/>
      <c r="B271" s="439" t="s">
        <v>605</v>
      </c>
      <c r="C271" s="443"/>
      <c r="D271" s="474"/>
      <c r="E271" s="471" t="s">
        <v>604</v>
      </c>
      <c r="F271" s="446"/>
      <c r="G271" s="414"/>
      <c r="H271" s="414"/>
      <c r="I271" s="606"/>
      <c r="J271" s="414"/>
      <c r="K271" s="414"/>
      <c r="L271" s="414"/>
      <c r="M271" s="414"/>
      <c r="N271" s="414"/>
      <c r="O271" s="414"/>
      <c r="P271" s="414"/>
      <c r="Q271" s="414"/>
      <c r="R271" s="412"/>
      <c r="S271" s="446"/>
      <c r="T271" s="414"/>
      <c r="U271" s="414"/>
      <c r="V271" s="606"/>
      <c r="W271" s="414"/>
      <c r="X271" s="414"/>
      <c r="Y271" s="414"/>
      <c r="Z271" s="414"/>
      <c r="AA271" s="414"/>
      <c r="AB271" s="414"/>
      <c r="AC271" s="414"/>
      <c r="AD271" s="414"/>
      <c r="AE271" s="412">
        <f t="shared" si="9"/>
        <v>0</v>
      </c>
    </row>
    <row r="272" spans="1:31" x14ac:dyDescent="0.2">
      <c r="A272" s="477"/>
      <c r="B272" s="439" t="s">
        <v>606</v>
      </c>
      <c r="C272" s="443"/>
      <c r="D272" s="474"/>
      <c r="E272" s="471" t="s">
        <v>604</v>
      </c>
      <c r="F272" s="427"/>
      <c r="G272" s="423"/>
      <c r="H272" s="423"/>
      <c r="I272" s="607"/>
      <c r="J272" s="423"/>
      <c r="K272" s="423"/>
      <c r="L272" s="423"/>
      <c r="M272" s="423"/>
      <c r="N272" s="423"/>
      <c r="O272" s="423"/>
      <c r="P272" s="423"/>
      <c r="Q272" s="423"/>
      <c r="R272" s="412"/>
      <c r="S272" s="427"/>
      <c r="T272" s="423"/>
      <c r="U272" s="423"/>
      <c r="V272" s="607"/>
      <c r="W272" s="423"/>
      <c r="X272" s="423"/>
      <c r="Y272" s="423"/>
      <c r="Z272" s="423"/>
      <c r="AA272" s="423"/>
      <c r="AB272" s="423"/>
      <c r="AC272" s="423"/>
      <c r="AD272" s="423"/>
      <c r="AE272" s="412">
        <f t="shared" si="9"/>
        <v>0</v>
      </c>
    </row>
    <row r="273" spans="1:31" x14ac:dyDescent="0.2">
      <c r="A273" s="584" t="s">
        <v>607</v>
      </c>
      <c r="B273" s="572" t="s">
        <v>608</v>
      </c>
      <c r="C273" s="572"/>
      <c r="D273" s="593" t="s">
        <v>585</v>
      </c>
      <c r="E273" s="594" t="s">
        <v>586</v>
      </c>
      <c r="F273" s="585"/>
      <c r="G273" s="586"/>
      <c r="H273" s="586"/>
      <c r="I273" s="613"/>
      <c r="J273" s="586"/>
      <c r="K273" s="586"/>
      <c r="L273" s="586"/>
      <c r="M273" s="586"/>
      <c r="N273" s="586"/>
      <c r="O273" s="586"/>
      <c r="P273" s="586"/>
      <c r="Q273" s="586"/>
      <c r="R273" s="586"/>
      <c r="S273" s="585"/>
      <c r="T273" s="586"/>
      <c r="U273" s="586"/>
      <c r="V273" s="613"/>
      <c r="W273" s="586"/>
      <c r="X273" s="586"/>
      <c r="Y273" s="586"/>
      <c r="Z273" s="586"/>
      <c r="AA273" s="586"/>
      <c r="AB273" s="586"/>
      <c r="AC273" s="586"/>
      <c r="AD273" s="586"/>
      <c r="AE273" s="586"/>
    </row>
    <row r="274" spans="1:31" x14ac:dyDescent="0.2">
      <c r="A274" s="477"/>
      <c r="B274" s="499" t="s">
        <v>503</v>
      </c>
      <c r="C274" s="407" t="s">
        <v>504</v>
      </c>
      <c r="D274" s="588"/>
      <c r="E274" s="471" t="s">
        <v>609</v>
      </c>
      <c r="F274" s="581"/>
      <c r="G274" s="588"/>
      <c r="H274" s="588"/>
      <c r="I274" s="609"/>
      <c r="J274" s="588"/>
      <c r="K274" s="588"/>
      <c r="L274" s="588"/>
      <c r="M274" s="588"/>
      <c r="N274" s="588"/>
      <c r="O274" s="588"/>
      <c r="P274" s="588"/>
      <c r="Q274" s="588"/>
      <c r="R274" s="412"/>
      <c r="S274" s="581"/>
      <c r="T274" s="588"/>
      <c r="U274" s="588"/>
      <c r="V274" s="609"/>
      <c r="W274" s="588"/>
      <c r="X274" s="588"/>
      <c r="Y274" s="588"/>
      <c r="Z274" s="588"/>
      <c r="AA274" s="588"/>
      <c r="AB274" s="588"/>
      <c r="AC274" s="588"/>
      <c r="AD274" s="588"/>
      <c r="AE274" s="412">
        <f t="shared" ref="AE274:AE281" si="10">SUM(S274:AD274)</f>
        <v>0</v>
      </c>
    </row>
    <row r="275" spans="1:31" x14ac:dyDescent="0.2">
      <c r="A275" s="477"/>
      <c r="B275" s="499"/>
      <c r="C275" s="407"/>
      <c r="D275" s="408"/>
      <c r="E275" s="471"/>
      <c r="F275" s="446"/>
      <c r="G275" s="414"/>
      <c r="H275" s="414"/>
      <c r="I275" s="606"/>
      <c r="J275" s="414"/>
      <c r="K275" s="414"/>
      <c r="L275" s="414"/>
      <c r="M275" s="414"/>
      <c r="N275" s="414"/>
      <c r="O275" s="414"/>
      <c r="P275" s="414"/>
      <c r="Q275" s="414"/>
      <c r="R275" s="412"/>
      <c r="S275" s="446"/>
      <c r="T275" s="414"/>
      <c r="U275" s="414"/>
      <c r="V275" s="606"/>
      <c r="W275" s="414"/>
      <c r="X275" s="414"/>
      <c r="Y275" s="414"/>
      <c r="Z275" s="414"/>
      <c r="AA275" s="414"/>
      <c r="AB275" s="414"/>
      <c r="AC275" s="414"/>
      <c r="AD275" s="414"/>
      <c r="AE275" s="412">
        <f t="shared" si="10"/>
        <v>0</v>
      </c>
    </row>
    <row r="276" spans="1:31" x14ac:dyDescent="0.2">
      <c r="A276" s="477"/>
      <c r="B276" s="499" t="s">
        <v>588</v>
      </c>
      <c r="C276" s="407"/>
      <c r="D276" s="474"/>
      <c r="E276" s="471" t="s">
        <v>609</v>
      </c>
      <c r="F276" s="446"/>
      <c r="G276" s="414"/>
      <c r="H276" s="414"/>
      <c r="I276" s="606"/>
      <c r="J276" s="414"/>
      <c r="K276" s="414"/>
      <c r="L276" s="414"/>
      <c r="M276" s="414"/>
      <c r="N276" s="414"/>
      <c r="O276" s="414"/>
      <c r="P276" s="414"/>
      <c r="Q276" s="414"/>
      <c r="R276" s="412"/>
      <c r="S276" s="446"/>
      <c r="T276" s="414"/>
      <c r="U276" s="414"/>
      <c r="V276" s="606"/>
      <c r="W276" s="414"/>
      <c r="X276" s="414"/>
      <c r="Y276" s="414"/>
      <c r="Z276" s="414"/>
      <c r="AA276" s="414"/>
      <c r="AB276" s="414"/>
      <c r="AC276" s="414"/>
      <c r="AD276" s="414"/>
      <c r="AE276" s="412">
        <f t="shared" si="10"/>
        <v>0</v>
      </c>
    </row>
    <row r="277" spans="1:31" x14ac:dyDescent="0.2">
      <c r="A277" s="477"/>
      <c r="B277" s="499"/>
      <c r="C277" s="407"/>
      <c r="D277" s="474"/>
      <c r="E277" s="471" t="s">
        <v>610</v>
      </c>
      <c r="F277" s="446"/>
      <c r="G277" s="414"/>
      <c r="H277" s="414"/>
      <c r="I277" s="606"/>
      <c r="J277" s="414"/>
      <c r="K277" s="414"/>
      <c r="L277" s="414"/>
      <c r="M277" s="414"/>
      <c r="N277" s="414"/>
      <c r="O277" s="414"/>
      <c r="P277" s="414"/>
      <c r="Q277" s="414"/>
      <c r="R277" s="412"/>
      <c r="S277" s="446"/>
      <c r="T277" s="414"/>
      <c r="U277" s="414"/>
      <c r="V277" s="606"/>
      <c r="W277" s="414"/>
      <c r="X277" s="414"/>
      <c r="Y277" s="414"/>
      <c r="Z277" s="414"/>
      <c r="AA277" s="414"/>
      <c r="AB277" s="414"/>
      <c r="AC277" s="414"/>
      <c r="AD277" s="414"/>
      <c r="AE277" s="412">
        <f t="shared" si="10"/>
        <v>0</v>
      </c>
    </row>
    <row r="278" spans="1:31" x14ac:dyDescent="0.2">
      <c r="A278" s="477"/>
      <c r="B278" s="439" t="s">
        <v>605</v>
      </c>
      <c r="C278" s="443"/>
      <c r="D278" s="474"/>
      <c r="E278" s="471" t="s">
        <v>609</v>
      </c>
      <c r="F278" s="446"/>
      <c r="G278" s="414"/>
      <c r="H278" s="414"/>
      <c r="I278" s="606"/>
      <c r="J278" s="414"/>
      <c r="K278" s="414"/>
      <c r="L278" s="414"/>
      <c r="M278" s="414"/>
      <c r="N278" s="414"/>
      <c r="O278" s="414"/>
      <c r="P278" s="414"/>
      <c r="Q278" s="414"/>
      <c r="R278" s="412"/>
      <c r="S278" s="446"/>
      <c r="T278" s="414"/>
      <c r="U278" s="414"/>
      <c r="V278" s="606"/>
      <c r="W278" s="414"/>
      <c r="X278" s="414"/>
      <c r="Y278" s="414"/>
      <c r="Z278" s="414"/>
      <c r="AA278" s="414"/>
      <c r="AB278" s="414"/>
      <c r="AC278" s="414"/>
      <c r="AD278" s="414"/>
      <c r="AE278" s="412">
        <f t="shared" si="10"/>
        <v>0</v>
      </c>
    </row>
    <row r="279" spans="1:31" x14ac:dyDescent="0.2">
      <c r="B279" s="439"/>
      <c r="C279" s="443"/>
      <c r="D279" s="474"/>
      <c r="E279" s="471" t="s">
        <v>610</v>
      </c>
      <c r="F279" s="446"/>
      <c r="G279" s="414"/>
      <c r="H279" s="414"/>
      <c r="I279" s="606"/>
      <c r="J279" s="414"/>
      <c r="K279" s="414"/>
      <c r="L279" s="414"/>
      <c r="M279" s="414"/>
      <c r="N279" s="414"/>
      <c r="O279" s="414"/>
      <c r="P279" s="414"/>
      <c r="Q279" s="414"/>
      <c r="R279" s="412"/>
      <c r="S279" s="446"/>
      <c r="T279" s="414"/>
      <c r="U279" s="414"/>
      <c r="V279" s="606"/>
      <c r="W279" s="414"/>
      <c r="X279" s="414"/>
      <c r="Y279" s="414"/>
      <c r="Z279" s="414"/>
      <c r="AA279" s="414"/>
      <c r="AB279" s="414"/>
      <c r="AC279" s="414"/>
      <c r="AD279" s="414"/>
      <c r="AE279" s="412">
        <f t="shared" si="10"/>
        <v>0</v>
      </c>
    </row>
    <row r="280" spans="1:31" x14ac:dyDescent="0.2">
      <c r="A280" s="477"/>
      <c r="B280" s="439" t="s">
        <v>606</v>
      </c>
      <c r="C280" s="443"/>
      <c r="D280" s="474" t="s">
        <v>611</v>
      </c>
      <c r="E280" s="471" t="s">
        <v>609</v>
      </c>
      <c r="F280" s="446"/>
      <c r="G280" s="414"/>
      <c r="H280" s="414"/>
      <c r="I280" s="606"/>
      <c r="J280" s="414"/>
      <c r="K280" s="414"/>
      <c r="L280" s="414"/>
      <c r="M280" s="414"/>
      <c r="N280" s="414"/>
      <c r="O280" s="414"/>
      <c r="P280" s="414"/>
      <c r="Q280" s="414"/>
      <c r="R280" s="412"/>
      <c r="S280" s="446"/>
      <c r="T280" s="414"/>
      <c r="U280" s="414"/>
      <c r="V280" s="606"/>
      <c r="W280" s="414"/>
      <c r="X280" s="414"/>
      <c r="Y280" s="414"/>
      <c r="Z280" s="414"/>
      <c r="AA280" s="414"/>
      <c r="AB280" s="414"/>
      <c r="AC280" s="414"/>
      <c r="AD280" s="414"/>
      <c r="AE280" s="412">
        <f t="shared" si="10"/>
        <v>0</v>
      </c>
    </row>
    <row r="281" spans="1:31" x14ac:dyDescent="0.2">
      <c r="A281" s="485"/>
      <c r="B281" s="454"/>
      <c r="C281" s="508"/>
      <c r="D281" s="486"/>
      <c r="E281" s="476" t="s">
        <v>610</v>
      </c>
      <c r="F281" s="427"/>
      <c r="G281" s="423"/>
      <c r="H281" s="423"/>
      <c r="I281" s="607"/>
      <c r="J281" s="423"/>
      <c r="K281" s="423"/>
      <c r="L281" s="423"/>
      <c r="M281" s="423"/>
      <c r="N281" s="423"/>
      <c r="O281" s="423"/>
      <c r="P281" s="423"/>
      <c r="Q281" s="423"/>
      <c r="R281" s="427"/>
      <c r="S281" s="427"/>
      <c r="T281" s="423"/>
      <c r="U281" s="423"/>
      <c r="V281" s="607"/>
      <c r="W281" s="423"/>
      <c r="X281" s="423"/>
      <c r="Y281" s="423"/>
      <c r="Z281" s="423"/>
      <c r="AA281" s="423"/>
      <c r="AB281" s="423"/>
      <c r="AC281" s="423"/>
      <c r="AD281" s="423"/>
      <c r="AE281" s="427">
        <f t="shared" si="10"/>
        <v>0</v>
      </c>
    </row>
    <row r="282" spans="1:31" x14ac:dyDescent="0.2">
      <c r="B282" s="452"/>
      <c r="C282" s="452"/>
      <c r="D282" s="487"/>
      <c r="E282" s="488"/>
      <c r="I282" s="603"/>
      <c r="V282" s="603"/>
    </row>
    <row r="283" spans="1:31" x14ac:dyDescent="0.2">
      <c r="I283" s="603"/>
      <c r="V283" s="603"/>
    </row>
    <row r="284" spans="1:31" x14ac:dyDescent="0.2">
      <c r="A284" s="398" t="s">
        <v>612</v>
      </c>
      <c r="B284" s="399" t="s">
        <v>613</v>
      </c>
      <c r="C284" s="399"/>
      <c r="D284" s="400"/>
      <c r="I284" s="603"/>
      <c r="V284" s="603"/>
    </row>
    <row r="285" spans="1:31" x14ac:dyDescent="0.2">
      <c r="F285" s="401" t="s">
        <v>614</v>
      </c>
      <c r="G285" s="402"/>
      <c r="H285" s="402"/>
      <c r="I285" s="620"/>
      <c r="J285" s="402"/>
      <c r="K285" s="402"/>
      <c r="L285" s="402"/>
      <c r="M285" s="402"/>
      <c r="N285" s="402"/>
      <c r="O285" s="402"/>
      <c r="P285" s="402"/>
      <c r="Q285" s="402"/>
      <c r="S285" s="401" t="s">
        <v>614</v>
      </c>
      <c r="T285" s="402"/>
      <c r="U285" s="402"/>
      <c r="V285" s="620"/>
      <c r="W285" s="402"/>
      <c r="X285" s="402"/>
      <c r="Y285" s="402"/>
      <c r="Z285" s="402"/>
      <c r="AA285" s="402"/>
      <c r="AB285" s="402"/>
      <c r="AC285" s="402"/>
      <c r="AD285" s="402"/>
    </row>
    <row r="286" spans="1:31" x14ac:dyDescent="0.2">
      <c r="A286" s="597" t="s">
        <v>501</v>
      </c>
      <c r="B286" s="598" t="s">
        <v>615</v>
      </c>
      <c r="C286" s="598"/>
      <c r="D286" s="599" t="s">
        <v>586</v>
      </c>
      <c r="E286" s="588"/>
      <c r="F286" s="600" t="s">
        <v>616</v>
      </c>
      <c r="G286" s="600" t="s">
        <v>488</v>
      </c>
      <c r="H286" s="600" t="s">
        <v>489</v>
      </c>
      <c r="I286" s="604" t="s">
        <v>490</v>
      </c>
      <c r="J286" s="600" t="s">
        <v>491</v>
      </c>
      <c r="K286" s="600" t="s">
        <v>492</v>
      </c>
      <c r="L286" s="600" t="s">
        <v>493</v>
      </c>
      <c r="M286" s="600" t="s">
        <v>494</v>
      </c>
      <c r="N286" s="600" t="s">
        <v>495</v>
      </c>
      <c r="O286" s="600" t="s">
        <v>496</v>
      </c>
      <c r="P286" s="600" t="s">
        <v>497</v>
      </c>
      <c r="Q286" s="600" t="s">
        <v>498</v>
      </c>
      <c r="S286" s="600" t="s">
        <v>617</v>
      </c>
      <c r="T286" s="600" t="s">
        <v>488</v>
      </c>
      <c r="U286" s="600" t="s">
        <v>489</v>
      </c>
      <c r="V286" s="604" t="s">
        <v>490</v>
      </c>
      <c r="W286" s="600" t="s">
        <v>491</v>
      </c>
      <c r="X286" s="600" t="s">
        <v>492</v>
      </c>
      <c r="Y286" s="600" t="s">
        <v>493</v>
      </c>
      <c r="Z286" s="600" t="s">
        <v>494</v>
      </c>
      <c r="AA286" s="600" t="s">
        <v>495</v>
      </c>
      <c r="AB286" s="600" t="s">
        <v>496</v>
      </c>
      <c r="AC286" s="600" t="s">
        <v>497</v>
      </c>
      <c r="AD286" s="600" t="s">
        <v>498</v>
      </c>
    </row>
    <row r="287" spans="1:31" x14ac:dyDescent="0.2">
      <c r="A287" s="601">
        <v>1</v>
      </c>
      <c r="B287" s="590" t="s">
        <v>503</v>
      </c>
      <c r="C287" s="590" t="s">
        <v>504</v>
      </c>
      <c r="D287" s="589">
        <v>131</v>
      </c>
      <c r="E287" s="588"/>
      <c r="F287" s="602"/>
      <c r="G287" s="602"/>
      <c r="H287" s="602"/>
      <c r="I287" s="614"/>
      <c r="J287" s="602"/>
      <c r="K287" s="602"/>
      <c r="L287" s="602"/>
      <c r="M287" s="602"/>
      <c r="N287" s="602"/>
      <c r="O287" s="602"/>
      <c r="P287" s="602"/>
      <c r="Q287" s="582"/>
      <c r="S287" s="602"/>
      <c r="T287" s="602"/>
      <c r="U287" s="602"/>
      <c r="V287" s="614"/>
      <c r="W287" s="602"/>
      <c r="X287" s="602"/>
      <c r="Y287" s="602"/>
      <c r="Z287" s="602"/>
      <c r="AA287" s="602"/>
      <c r="AB287" s="602"/>
      <c r="AC287" s="602"/>
      <c r="AD287" s="582"/>
    </row>
    <row r="288" spans="1:31" x14ac:dyDescent="0.2">
      <c r="A288" s="489"/>
      <c r="B288" s="490"/>
      <c r="C288" s="490"/>
      <c r="D288" s="491">
        <v>138</v>
      </c>
      <c r="E288" s="461"/>
      <c r="F288" s="492"/>
      <c r="G288" s="492"/>
      <c r="H288" s="492"/>
      <c r="I288" s="615"/>
      <c r="J288" s="492"/>
      <c r="K288" s="492"/>
      <c r="L288" s="492"/>
      <c r="M288" s="492"/>
      <c r="N288" s="492"/>
      <c r="O288" s="492"/>
      <c r="P288" s="492"/>
      <c r="Q288" s="493"/>
      <c r="S288" s="492"/>
      <c r="T288" s="492"/>
      <c r="U288" s="492"/>
      <c r="V288" s="615"/>
      <c r="W288" s="492"/>
      <c r="X288" s="492"/>
      <c r="Y288" s="492"/>
      <c r="Z288" s="492"/>
      <c r="AA288" s="492"/>
      <c r="AB288" s="492"/>
      <c r="AC288" s="492"/>
      <c r="AD288" s="493"/>
    </row>
    <row r="289" spans="1:30" x14ac:dyDescent="0.2">
      <c r="A289" s="601">
        <v>2</v>
      </c>
      <c r="B289" s="590" t="s">
        <v>513</v>
      </c>
      <c r="C289" s="590" t="s">
        <v>514</v>
      </c>
      <c r="D289" s="589">
        <v>131</v>
      </c>
      <c r="E289" s="588"/>
      <c r="F289" s="633">
        <v>97050744</v>
      </c>
      <c r="G289" s="632" t="s">
        <v>358</v>
      </c>
      <c r="H289" s="632" t="s">
        <v>358</v>
      </c>
      <c r="I289" s="633">
        <v>561024640</v>
      </c>
      <c r="J289" s="633">
        <v>874096379</v>
      </c>
      <c r="K289" s="632" t="s">
        <v>358</v>
      </c>
      <c r="L289" s="632" t="s">
        <v>358</v>
      </c>
      <c r="M289" s="632" t="s">
        <v>358</v>
      </c>
      <c r="N289" s="633">
        <v>502553255</v>
      </c>
      <c r="O289" s="633">
        <v>1440037055</v>
      </c>
      <c r="P289" s="633">
        <v>1712124540</v>
      </c>
      <c r="Q289" s="634">
        <v>1967294520</v>
      </c>
      <c r="S289" s="602">
        <v>130705920</v>
      </c>
      <c r="T289" s="602">
        <v>2136557371</v>
      </c>
      <c r="U289" s="602">
        <v>4506468999</v>
      </c>
      <c r="V289" s="616">
        <v>1945280816</v>
      </c>
      <c r="W289" s="602">
        <v>1482666995</v>
      </c>
      <c r="X289" s="602">
        <v>1943875984</v>
      </c>
      <c r="Y289" s="602"/>
      <c r="Z289" s="602"/>
      <c r="AA289" s="602"/>
      <c r="AB289" s="602"/>
      <c r="AC289" s="602"/>
      <c r="AD289" s="582"/>
    </row>
    <row r="290" spans="1:30" x14ac:dyDescent="0.2">
      <c r="A290" s="489"/>
      <c r="B290" s="490"/>
      <c r="C290" s="490"/>
      <c r="D290" s="491">
        <v>138</v>
      </c>
      <c r="E290" s="461"/>
      <c r="F290" s="492"/>
      <c r="G290" s="492"/>
      <c r="H290" s="492"/>
      <c r="I290" s="615"/>
      <c r="J290" s="492"/>
      <c r="K290" s="492"/>
      <c r="L290" s="492"/>
      <c r="M290" s="492"/>
      <c r="N290" s="492"/>
      <c r="O290" s="492"/>
      <c r="P290" s="492"/>
      <c r="Q290" s="493"/>
      <c r="S290" s="492"/>
      <c r="T290" s="492"/>
      <c r="U290" s="492"/>
      <c r="V290" s="615"/>
      <c r="W290" s="492"/>
      <c r="X290" s="492"/>
      <c r="Y290" s="492"/>
      <c r="Z290" s="492"/>
      <c r="AA290" s="492"/>
      <c r="AB290" s="492"/>
      <c r="AC290" s="492"/>
      <c r="AD290" s="493"/>
    </row>
    <row r="291" spans="1:30" s="395" customFormat="1" x14ac:dyDescent="0.2">
      <c r="A291" s="601">
        <v>3</v>
      </c>
      <c r="B291" s="590" t="s">
        <v>519</v>
      </c>
      <c r="C291" s="590" t="s">
        <v>520</v>
      </c>
      <c r="D291" s="589">
        <v>131</v>
      </c>
      <c r="E291" s="588"/>
      <c r="F291" s="633">
        <v>1270465560</v>
      </c>
      <c r="G291" s="633">
        <v>1270465560</v>
      </c>
      <c r="H291" s="632" t="s">
        <v>358</v>
      </c>
      <c r="I291" s="632" t="s">
        <v>358</v>
      </c>
      <c r="J291" s="632" t="s">
        <v>358</v>
      </c>
      <c r="K291" s="632" t="s">
        <v>358</v>
      </c>
      <c r="L291" s="632" t="s">
        <v>358</v>
      </c>
      <c r="M291" s="632" t="s">
        <v>358</v>
      </c>
      <c r="N291" s="632" t="s">
        <v>358</v>
      </c>
      <c r="O291" s="632" t="s">
        <v>358</v>
      </c>
      <c r="P291" s="632" t="s">
        <v>358</v>
      </c>
      <c r="Q291" s="628" t="s">
        <v>358</v>
      </c>
      <c r="S291" s="602"/>
      <c r="T291" s="602"/>
      <c r="U291" s="602"/>
      <c r="V291" s="617"/>
      <c r="W291" s="602"/>
      <c r="X291" s="602"/>
      <c r="Y291" s="602"/>
      <c r="Z291" s="602"/>
      <c r="AA291" s="602"/>
      <c r="AB291" s="602"/>
      <c r="AC291" s="602"/>
      <c r="AD291" s="582"/>
    </row>
    <row r="292" spans="1:30" s="395" customFormat="1" x14ac:dyDescent="0.2">
      <c r="A292" s="489"/>
      <c r="B292" s="490"/>
      <c r="C292" s="490"/>
      <c r="D292" s="491">
        <v>138</v>
      </c>
      <c r="E292" s="461"/>
      <c r="F292" s="492"/>
      <c r="G292" s="492"/>
      <c r="H292" s="492"/>
      <c r="I292" s="615"/>
      <c r="J292" s="492"/>
      <c r="K292" s="492"/>
      <c r="L292" s="492"/>
      <c r="M292" s="492"/>
      <c r="N292" s="492"/>
      <c r="O292" s="492"/>
      <c r="P292" s="492"/>
      <c r="Q292" s="493"/>
      <c r="S292" s="492"/>
      <c r="T292" s="492"/>
      <c r="U292" s="492"/>
      <c r="V292" s="615"/>
      <c r="W292" s="492"/>
      <c r="X292" s="492"/>
      <c r="Y292" s="492"/>
      <c r="Z292" s="492"/>
      <c r="AA292" s="492"/>
      <c r="AB292" s="492"/>
      <c r="AC292" s="492"/>
      <c r="AD292" s="493"/>
    </row>
    <row r="293" spans="1:30" s="395" customFormat="1" x14ac:dyDescent="0.2">
      <c r="A293" s="601">
        <v>4</v>
      </c>
      <c r="B293" s="590" t="s">
        <v>522</v>
      </c>
      <c r="C293" s="590" t="s">
        <v>523</v>
      </c>
      <c r="D293" s="589">
        <v>131</v>
      </c>
      <c r="E293" s="588"/>
      <c r="F293" s="602"/>
      <c r="G293" s="602"/>
      <c r="H293" s="602"/>
      <c r="I293" s="617"/>
      <c r="J293" s="602"/>
      <c r="K293" s="602"/>
      <c r="L293" s="602"/>
      <c r="M293" s="602"/>
      <c r="N293" s="602"/>
      <c r="O293" s="602"/>
      <c r="P293" s="602"/>
      <c r="Q293" s="582"/>
      <c r="S293" s="602"/>
      <c r="T293" s="602"/>
      <c r="U293" s="602"/>
      <c r="V293" s="617"/>
      <c r="W293" s="602"/>
      <c r="X293" s="602"/>
      <c r="Y293" s="602"/>
      <c r="Z293" s="602"/>
      <c r="AA293" s="602"/>
      <c r="AB293" s="602"/>
      <c r="AC293" s="602"/>
      <c r="AD293" s="582"/>
    </row>
    <row r="294" spans="1:30" s="395" customFormat="1" x14ac:dyDescent="0.2">
      <c r="A294" s="489"/>
      <c r="B294" s="490"/>
      <c r="C294" s="490"/>
      <c r="D294" s="491">
        <v>138</v>
      </c>
      <c r="E294" s="461"/>
      <c r="F294" s="492"/>
      <c r="G294" s="492"/>
      <c r="H294" s="492"/>
      <c r="I294" s="615"/>
      <c r="J294" s="492"/>
      <c r="K294" s="492"/>
      <c r="L294" s="492"/>
      <c r="M294" s="492"/>
      <c r="N294" s="492"/>
      <c r="O294" s="492"/>
      <c r="P294" s="492"/>
      <c r="Q294" s="493"/>
      <c r="S294" s="492"/>
      <c r="T294" s="492"/>
      <c r="U294" s="492"/>
      <c r="V294" s="615"/>
      <c r="W294" s="492"/>
      <c r="X294" s="492"/>
      <c r="Y294" s="492"/>
      <c r="Z294" s="492"/>
      <c r="AA294" s="492"/>
      <c r="AB294" s="492"/>
      <c r="AC294" s="492"/>
      <c r="AD294" s="493"/>
    </row>
    <row r="295" spans="1:30" s="395" customFormat="1" x14ac:dyDescent="0.2">
      <c r="A295" s="601">
        <v>5</v>
      </c>
      <c r="B295" s="590" t="s">
        <v>524</v>
      </c>
      <c r="C295" s="590" t="s">
        <v>525</v>
      </c>
      <c r="D295" s="589">
        <v>131</v>
      </c>
      <c r="E295" s="588"/>
      <c r="F295" s="602"/>
      <c r="G295" s="602"/>
      <c r="H295" s="602"/>
      <c r="I295" s="617"/>
      <c r="J295" s="602"/>
      <c r="K295" s="602"/>
      <c r="L295" s="602"/>
      <c r="M295" s="602"/>
      <c r="N295" s="602"/>
      <c r="O295" s="602"/>
      <c r="P295" s="602"/>
      <c r="Q295" s="582"/>
      <c r="S295" s="602"/>
      <c r="T295" s="602"/>
      <c r="U295" s="602"/>
      <c r="V295" s="617"/>
      <c r="W295" s="602"/>
      <c r="X295" s="602"/>
      <c r="Y295" s="602"/>
      <c r="Z295" s="602"/>
      <c r="AA295" s="602"/>
      <c r="AB295" s="602"/>
      <c r="AC295" s="602"/>
      <c r="AD295" s="582"/>
    </row>
    <row r="296" spans="1:30" s="395" customFormat="1" x14ac:dyDescent="0.2">
      <c r="A296" s="489"/>
      <c r="B296" s="490"/>
      <c r="C296" s="490"/>
      <c r="D296" s="491">
        <v>138</v>
      </c>
      <c r="E296" s="461"/>
      <c r="F296" s="492"/>
      <c r="G296" s="492"/>
      <c r="H296" s="492"/>
      <c r="I296" s="615"/>
      <c r="J296" s="492"/>
      <c r="K296" s="492"/>
      <c r="L296" s="492"/>
      <c r="M296" s="492"/>
      <c r="N296" s="492"/>
      <c r="O296" s="492"/>
      <c r="P296" s="492"/>
      <c r="Q296" s="493"/>
      <c r="S296" s="492"/>
      <c r="T296" s="492"/>
      <c r="U296" s="492"/>
      <c r="V296" s="615"/>
      <c r="W296" s="492"/>
      <c r="X296" s="492"/>
      <c r="Y296" s="492"/>
      <c r="Z296" s="492"/>
      <c r="AA296" s="492"/>
      <c r="AB296" s="492"/>
      <c r="AC296" s="492"/>
      <c r="AD296" s="493"/>
    </row>
    <row r="297" spans="1:30" s="395" customFormat="1" x14ac:dyDescent="0.2">
      <c r="A297" s="601">
        <v>6</v>
      </c>
      <c r="B297" s="590" t="s">
        <v>527</v>
      </c>
      <c r="C297" s="590" t="s">
        <v>528</v>
      </c>
      <c r="D297" s="589">
        <v>131</v>
      </c>
      <c r="E297" s="588"/>
      <c r="F297" s="602"/>
      <c r="G297" s="602"/>
      <c r="H297" s="602"/>
      <c r="I297" s="617"/>
      <c r="J297" s="602"/>
      <c r="K297" s="602"/>
      <c r="L297" s="602"/>
      <c r="M297" s="602"/>
      <c r="N297" s="602"/>
      <c r="O297" s="602"/>
      <c r="P297" s="602"/>
      <c r="Q297" s="582"/>
      <c r="S297" s="602"/>
      <c r="T297" s="602"/>
      <c r="U297" s="602"/>
      <c r="V297" s="617"/>
      <c r="W297" s="602"/>
      <c r="X297" s="602"/>
      <c r="Y297" s="602"/>
      <c r="Z297" s="602"/>
      <c r="AA297" s="602"/>
      <c r="AB297" s="602"/>
      <c r="AC297" s="602"/>
      <c r="AD297" s="582"/>
    </row>
    <row r="298" spans="1:30" s="395" customFormat="1" x14ac:dyDescent="0.2">
      <c r="A298" s="489"/>
      <c r="B298" s="490"/>
      <c r="C298" s="490"/>
      <c r="D298" s="491">
        <v>138</v>
      </c>
      <c r="E298" s="461"/>
      <c r="F298" s="492"/>
      <c r="G298" s="492"/>
      <c r="H298" s="492"/>
      <c r="I298" s="615"/>
      <c r="J298" s="492"/>
      <c r="K298" s="492"/>
      <c r="L298" s="492"/>
      <c r="M298" s="492"/>
      <c r="N298" s="492"/>
      <c r="O298" s="492"/>
      <c r="P298" s="492"/>
      <c r="Q298" s="493"/>
      <c r="S298" s="492"/>
      <c r="T298" s="492"/>
      <c r="U298" s="492"/>
      <c r="V298" s="615"/>
      <c r="W298" s="492"/>
      <c r="X298" s="492"/>
      <c r="Y298" s="492"/>
      <c r="Z298" s="492"/>
      <c r="AA298" s="492"/>
      <c r="AB298" s="492"/>
      <c r="AC298" s="492"/>
      <c r="AD298" s="493"/>
    </row>
    <row r="299" spans="1:30" s="395" customFormat="1" x14ac:dyDescent="0.2">
      <c r="A299" s="601">
        <v>7</v>
      </c>
      <c r="B299" s="577" t="s">
        <v>531</v>
      </c>
      <c r="C299" s="577" t="s">
        <v>532</v>
      </c>
      <c r="D299" s="589">
        <v>131</v>
      </c>
      <c r="E299" s="588"/>
      <c r="F299" s="602"/>
      <c r="G299" s="602"/>
      <c r="H299" s="602"/>
      <c r="I299" s="617"/>
      <c r="J299" s="602"/>
      <c r="K299" s="602"/>
      <c r="L299" s="602"/>
      <c r="M299" s="602"/>
      <c r="N299" s="602"/>
      <c r="O299" s="602"/>
      <c r="P299" s="602"/>
      <c r="Q299" s="582"/>
      <c r="S299" s="602"/>
      <c r="T299" s="602"/>
      <c r="U299" s="602"/>
      <c r="V299" s="617"/>
      <c r="W299" s="602"/>
      <c r="X299" s="602"/>
      <c r="Y299" s="602"/>
      <c r="Z299" s="602"/>
      <c r="AA299" s="602"/>
      <c r="AB299" s="602"/>
      <c r="AC299" s="602"/>
      <c r="AD299" s="582"/>
    </row>
    <row r="300" spans="1:30" s="395" customFormat="1" x14ac:dyDescent="0.2">
      <c r="A300" s="494"/>
      <c r="B300" s="495"/>
      <c r="C300" s="495"/>
      <c r="D300" s="463">
        <v>138</v>
      </c>
      <c r="E300" s="423"/>
      <c r="F300" s="496"/>
      <c r="G300" s="496"/>
      <c r="H300" s="496"/>
      <c r="I300" s="615"/>
      <c r="J300" s="496"/>
      <c r="K300" s="496"/>
      <c r="L300" s="496"/>
      <c r="M300" s="496"/>
      <c r="N300" s="496"/>
      <c r="O300" s="496"/>
      <c r="P300" s="496"/>
      <c r="Q300" s="468"/>
      <c r="S300" s="496"/>
      <c r="T300" s="496"/>
      <c r="U300" s="496"/>
      <c r="V300" s="615"/>
      <c r="W300" s="496"/>
      <c r="X300" s="496"/>
      <c r="Y300" s="496"/>
      <c r="Z300" s="496"/>
      <c r="AA300" s="496"/>
      <c r="AB300" s="496"/>
      <c r="AC300" s="496"/>
      <c r="AD300" s="468"/>
    </row>
    <row r="301" spans="1:30" s="395" customFormat="1" x14ac:dyDescent="0.2">
      <c r="A301" s="601">
        <v>8</v>
      </c>
      <c r="B301" s="590" t="s">
        <v>533</v>
      </c>
      <c r="C301" s="590" t="s">
        <v>534</v>
      </c>
      <c r="D301" s="589">
        <v>131</v>
      </c>
      <c r="E301" s="588"/>
      <c r="F301" s="602"/>
      <c r="G301" s="602"/>
      <c r="H301" s="602"/>
      <c r="I301" s="617"/>
      <c r="J301" s="602"/>
      <c r="K301" s="602"/>
      <c r="L301" s="602"/>
      <c r="M301" s="602"/>
      <c r="N301" s="602"/>
      <c r="O301" s="602"/>
      <c r="P301" s="602"/>
      <c r="Q301" s="582"/>
      <c r="S301" s="602"/>
      <c r="T301" s="602"/>
      <c r="U301" s="602"/>
      <c r="V301" s="617"/>
      <c r="W301" s="602"/>
      <c r="X301" s="602"/>
      <c r="Y301" s="602"/>
      <c r="Z301" s="602"/>
      <c r="AA301" s="602"/>
      <c r="AB301" s="602"/>
      <c r="AC301" s="602"/>
      <c r="AD301" s="582"/>
    </row>
    <row r="302" spans="1:30" s="395" customFormat="1" x14ac:dyDescent="0.2">
      <c r="A302" s="489"/>
      <c r="B302" s="490"/>
      <c r="C302" s="490"/>
      <c r="D302" s="491">
        <v>138</v>
      </c>
      <c r="E302" s="461"/>
      <c r="F302" s="492"/>
      <c r="G302" s="492"/>
      <c r="H302" s="492"/>
      <c r="I302" s="615"/>
      <c r="J302" s="492"/>
      <c r="K302" s="492"/>
      <c r="L302" s="492"/>
      <c r="M302" s="492"/>
      <c r="N302" s="492"/>
      <c r="O302" s="492"/>
      <c r="P302" s="492"/>
      <c r="Q302" s="493"/>
      <c r="S302" s="492"/>
      <c r="T302" s="492"/>
      <c r="U302" s="492"/>
      <c r="V302" s="615"/>
      <c r="W302" s="492"/>
      <c r="X302" s="492"/>
      <c r="Y302" s="492"/>
      <c r="Z302" s="492"/>
      <c r="AA302" s="492"/>
      <c r="AB302" s="492"/>
      <c r="AC302" s="492"/>
      <c r="AD302" s="493"/>
    </row>
    <row r="303" spans="1:30" s="395" customFormat="1" x14ac:dyDescent="0.2">
      <c r="A303" s="601">
        <v>9</v>
      </c>
      <c r="B303" s="590" t="s">
        <v>536</v>
      </c>
      <c r="C303" s="590" t="s">
        <v>537</v>
      </c>
      <c r="D303" s="589">
        <v>131</v>
      </c>
      <c r="E303" s="588"/>
      <c r="F303" s="602"/>
      <c r="G303" s="602"/>
      <c r="H303" s="602"/>
      <c r="I303" s="617"/>
      <c r="J303" s="602"/>
      <c r="K303" s="602"/>
      <c r="L303" s="602"/>
      <c r="M303" s="602"/>
      <c r="N303" s="602"/>
      <c r="O303" s="602"/>
      <c r="P303" s="602"/>
      <c r="Q303" s="582"/>
      <c r="S303" s="602"/>
      <c r="T303" s="602"/>
      <c r="U303" s="602"/>
      <c r="V303" s="617"/>
      <c r="W303" s="602"/>
      <c r="X303" s="602"/>
      <c r="Y303" s="602"/>
      <c r="Z303" s="602"/>
      <c r="AA303" s="602"/>
      <c r="AB303" s="602"/>
      <c r="AC303" s="602"/>
      <c r="AD303" s="582"/>
    </row>
    <row r="304" spans="1:30" s="395" customFormat="1" x14ac:dyDescent="0.2">
      <c r="A304" s="489"/>
      <c r="B304" s="490"/>
      <c r="C304" s="490"/>
      <c r="D304" s="491">
        <v>138</v>
      </c>
      <c r="E304" s="461"/>
      <c r="F304" s="492"/>
      <c r="G304" s="492"/>
      <c r="H304" s="492"/>
      <c r="I304" s="615"/>
      <c r="J304" s="492"/>
      <c r="K304" s="492"/>
      <c r="L304" s="492"/>
      <c r="M304" s="492"/>
      <c r="N304" s="492"/>
      <c r="O304" s="492"/>
      <c r="P304" s="492"/>
      <c r="Q304" s="493"/>
      <c r="S304" s="492"/>
      <c r="T304" s="492"/>
      <c r="U304" s="492"/>
      <c r="V304" s="615"/>
      <c r="W304" s="492"/>
      <c r="X304" s="492"/>
      <c r="Y304" s="492"/>
      <c r="Z304" s="492"/>
      <c r="AA304" s="492"/>
      <c r="AB304" s="492"/>
      <c r="AC304" s="492"/>
      <c r="AD304" s="493"/>
    </row>
    <row r="305" spans="1:30" s="395" customFormat="1" x14ac:dyDescent="0.2">
      <c r="A305" s="601">
        <v>10</v>
      </c>
      <c r="B305" s="590" t="s">
        <v>538</v>
      </c>
      <c r="C305" s="590" t="s">
        <v>539</v>
      </c>
      <c r="D305" s="589">
        <v>131</v>
      </c>
      <c r="E305" s="588"/>
      <c r="F305" s="602"/>
      <c r="G305" s="602"/>
      <c r="H305" s="602"/>
      <c r="I305" s="617"/>
      <c r="J305" s="602"/>
      <c r="K305" s="602"/>
      <c r="L305" s="602"/>
      <c r="M305" s="602"/>
      <c r="N305" s="602"/>
      <c r="O305" s="602"/>
      <c r="P305" s="602"/>
      <c r="Q305" s="582"/>
      <c r="S305" s="602"/>
      <c r="T305" s="602"/>
      <c r="U305" s="602"/>
      <c r="V305" s="617"/>
      <c r="W305" s="602"/>
      <c r="X305" s="602"/>
      <c r="Y305" s="602"/>
      <c r="Z305" s="602"/>
      <c r="AA305" s="602"/>
      <c r="AB305" s="602"/>
      <c r="AC305" s="602"/>
      <c r="AD305" s="582"/>
    </row>
    <row r="306" spans="1:30" s="395" customFormat="1" x14ac:dyDescent="0.2">
      <c r="A306" s="489"/>
      <c r="B306" s="490"/>
      <c r="C306" s="490"/>
      <c r="D306" s="491">
        <v>138</v>
      </c>
      <c r="E306" s="461"/>
      <c r="F306" s="492"/>
      <c r="G306" s="492"/>
      <c r="H306" s="492"/>
      <c r="I306" s="615"/>
      <c r="J306" s="492"/>
      <c r="K306" s="492"/>
      <c r="L306" s="492"/>
      <c r="M306" s="492"/>
      <c r="N306" s="492"/>
      <c r="O306" s="492"/>
      <c r="P306" s="492"/>
      <c r="Q306" s="493"/>
      <c r="S306" s="492"/>
      <c r="T306" s="492"/>
      <c r="U306" s="492"/>
      <c r="V306" s="615"/>
      <c r="W306" s="492"/>
      <c r="X306" s="492"/>
      <c r="Y306" s="492"/>
      <c r="Z306" s="492"/>
      <c r="AA306" s="492"/>
      <c r="AB306" s="492"/>
      <c r="AC306" s="492"/>
      <c r="AD306" s="493"/>
    </row>
    <row r="307" spans="1:30" s="395" customFormat="1" x14ac:dyDescent="0.2">
      <c r="A307" s="601">
        <v>11</v>
      </c>
      <c r="B307" s="590" t="s">
        <v>540</v>
      </c>
      <c r="C307" s="590" t="s">
        <v>541</v>
      </c>
      <c r="D307" s="589">
        <v>131</v>
      </c>
      <c r="E307" s="588"/>
      <c r="F307" s="602"/>
      <c r="G307" s="602"/>
      <c r="H307" s="602"/>
      <c r="I307" s="617"/>
      <c r="J307" s="602"/>
      <c r="K307" s="602"/>
      <c r="L307" s="602"/>
      <c r="M307" s="602"/>
      <c r="N307" s="602"/>
      <c r="O307" s="602"/>
      <c r="P307" s="602"/>
      <c r="Q307" s="582"/>
      <c r="S307" s="602"/>
      <c r="T307" s="602"/>
      <c r="U307" s="602"/>
      <c r="V307" s="617"/>
      <c r="W307" s="602"/>
      <c r="X307" s="602"/>
      <c r="Y307" s="602"/>
      <c r="Z307" s="602"/>
      <c r="AA307" s="602"/>
      <c r="AB307" s="602"/>
      <c r="AC307" s="602"/>
      <c r="AD307" s="582"/>
    </row>
    <row r="308" spans="1:30" s="395" customFormat="1" x14ac:dyDescent="0.2">
      <c r="A308" s="489"/>
      <c r="B308" s="490"/>
      <c r="C308" s="490"/>
      <c r="D308" s="491">
        <v>138</v>
      </c>
      <c r="E308" s="461"/>
      <c r="F308" s="492"/>
      <c r="G308" s="492"/>
      <c r="H308" s="492"/>
      <c r="I308" s="615"/>
      <c r="J308" s="492"/>
      <c r="K308" s="492"/>
      <c r="L308" s="492"/>
      <c r="M308" s="492"/>
      <c r="N308" s="492"/>
      <c r="O308" s="492"/>
      <c r="P308" s="492"/>
      <c r="Q308" s="493"/>
      <c r="S308" s="492"/>
      <c r="T308" s="492"/>
      <c r="U308" s="492"/>
      <c r="V308" s="615"/>
      <c r="W308" s="492"/>
      <c r="X308" s="492"/>
      <c r="Y308" s="492"/>
      <c r="Z308" s="492"/>
      <c r="AA308" s="492"/>
      <c r="AB308" s="492"/>
      <c r="AC308" s="492"/>
      <c r="AD308" s="493"/>
    </row>
    <row r="309" spans="1:30" s="395" customFormat="1" x14ac:dyDescent="0.2">
      <c r="A309" s="601">
        <v>12</v>
      </c>
      <c r="B309" s="590" t="s">
        <v>542</v>
      </c>
      <c r="C309" s="590" t="s">
        <v>543</v>
      </c>
      <c r="D309" s="589">
        <v>131</v>
      </c>
      <c r="E309" s="588"/>
      <c r="F309" s="602"/>
      <c r="G309" s="602"/>
      <c r="H309" s="602"/>
      <c r="I309" s="617"/>
      <c r="J309" s="602"/>
      <c r="K309" s="602"/>
      <c r="L309" s="602"/>
      <c r="M309" s="602"/>
      <c r="N309" s="602"/>
      <c r="O309" s="602"/>
      <c r="P309" s="602"/>
      <c r="Q309" s="582"/>
      <c r="S309" s="602"/>
      <c r="T309" s="602"/>
      <c r="U309" s="602"/>
      <c r="V309" s="617"/>
      <c r="W309" s="602"/>
      <c r="X309" s="602"/>
      <c r="Y309" s="602"/>
      <c r="Z309" s="602"/>
      <c r="AA309" s="602"/>
      <c r="AB309" s="602"/>
      <c r="AC309" s="602"/>
      <c r="AD309" s="582"/>
    </row>
    <row r="310" spans="1:30" s="395" customFormat="1" x14ac:dyDescent="0.2">
      <c r="A310" s="489"/>
      <c r="B310" s="490"/>
      <c r="C310" s="490"/>
      <c r="D310" s="491">
        <v>138</v>
      </c>
      <c r="E310" s="461"/>
      <c r="F310" s="492"/>
      <c r="G310" s="492"/>
      <c r="H310" s="492"/>
      <c r="I310" s="615"/>
      <c r="J310" s="492"/>
      <c r="K310" s="492"/>
      <c r="L310" s="492"/>
      <c r="M310" s="492"/>
      <c r="N310" s="492"/>
      <c r="O310" s="492"/>
      <c r="P310" s="492"/>
      <c r="Q310" s="493"/>
      <c r="S310" s="492"/>
      <c r="T310" s="492"/>
      <c r="U310" s="492"/>
      <c r="V310" s="615"/>
      <c r="W310" s="492"/>
      <c r="X310" s="492"/>
      <c r="Y310" s="492"/>
      <c r="Z310" s="492"/>
      <c r="AA310" s="492"/>
      <c r="AB310" s="492"/>
      <c r="AC310" s="492"/>
      <c r="AD310" s="493"/>
    </row>
    <row r="311" spans="1:30" s="395" customFormat="1" x14ac:dyDescent="0.2">
      <c r="A311" s="601">
        <v>13</v>
      </c>
      <c r="B311" s="590" t="s">
        <v>544</v>
      </c>
      <c r="C311" s="590" t="s">
        <v>545</v>
      </c>
      <c r="D311" s="589">
        <v>131</v>
      </c>
      <c r="E311" s="588"/>
      <c r="F311" s="602"/>
      <c r="G311" s="602"/>
      <c r="H311" s="602"/>
      <c r="I311" s="617"/>
      <c r="J311" s="602"/>
      <c r="K311" s="602"/>
      <c r="L311" s="602"/>
      <c r="M311" s="602"/>
      <c r="N311" s="602"/>
      <c r="O311" s="602"/>
      <c r="P311" s="602"/>
      <c r="Q311" s="582"/>
      <c r="S311" s="602"/>
      <c r="T311" s="602"/>
      <c r="U311" s="602"/>
      <c r="V311" s="617"/>
      <c r="W311" s="602"/>
      <c r="X311" s="602"/>
      <c r="Y311" s="602"/>
      <c r="Z311" s="602"/>
      <c r="AA311" s="602"/>
      <c r="AB311" s="602"/>
      <c r="AC311" s="602"/>
      <c r="AD311" s="582"/>
    </row>
    <row r="312" spans="1:30" s="395" customFormat="1" x14ac:dyDescent="0.2">
      <c r="A312" s="489"/>
      <c r="B312" s="490"/>
      <c r="C312" s="490"/>
      <c r="D312" s="491">
        <v>138</v>
      </c>
      <c r="E312" s="461"/>
      <c r="F312" s="492"/>
      <c r="G312" s="492"/>
      <c r="H312" s="492"/>
      <c r="I312" s="615"/>
      <c r="J312" s="492"/>
      <c r="K312" s="492"/>
      <c r="L312" s="492"/>
      <c r="M312" s="492"/>
      <c r="N312" s="492"/>
      <c r="O312" s="492"/>
      <c r="P312" s="492"/>
      <c r="Q312" s="493"/>
      <c r="S312" s="492"/>
      <c r="T312" s="492"/>
      <c r="U312" s="492"/>
      <c r="V312" s="615"/>
      <c r="W312" s="492"/>
      <c r="X312" s="492"/>
      <c r="Y312" s="492"/>
      <c r="Z312" s="492"/>
      <c r="AA312" s="492"/>
      <c r="AB312" s="492"/>
      <c r="AC312" s="492"/>
      <c r="AD312" s="493"/>
    </row>
    <row r="313" spans="1:30" s="395" customFormat="1" x14ac:dyDescent="0.2">
      <c r="A313" s="601">
        <v>14</v>
      </c>
      <c r="B313" s="590" t="s">
        <v>546</v>
      </c>
      <c r="C313" s="590" t="s">
        <v>547</v>
      </c>
      <c r="D313" s="589">
        <v>131</v>
      </c>
      <c r="E313" s="588"/>
      <c r="F313" s="602"/>
      <c r="G313" s="602"/>
      <c r="H313" s="602"/>
      <c r="I313" s="617"/>
      <c r="J313" s="602"/>
      <c r="K313" s="602"/>
      <c r="L313" s="602"/>
      <c r="M313" s="602"/>
      <c r="N313" s="602"/>
      <c r="O313" s="602"/>
      <c r="P313" s="602"/>
      <c r="Q313" s="582"/>
      <c r="S313" s="602"/>
      <c r="T313" s="602"/>
      <c r="U313" s="602"/>
      <c r="V313" s="617"/>
      <c r="W313" s="602"/>
      <c r="X313" s="602"/>
      <c r="Y313" s="602"/>
      <c r="Z313" s="602"/>
      <c r="AA313" s="602"/>
      <c r="AB313" s="602"/>
      <c r="AC313" s="602"/>
      <c r="AD313" s="582"/>
    </row>
    <row r="314" spans="1:30" s="395" customFormat="1" x14ac:dyDescent="0.2">
      <c r="A314" s="489"/>
      <c r="B314" s="490"/>
      <c r="C314" s="490"/>
      <c r="D314" s="491">
        <v>138</v>
      </c>
      <c r="E314" s="461"/>
      <c r="F314" s="492"/>
      <c r="G314" s="492"/>
      <c r="H314" s="492"/>
      <c r="I314" s="615"/>
      <c r="J314" s="492"/>
      <c r="K314" s="492"/>
      <c r="L314" s="492"/>
      <c r="M314" s="492"/>
      <c r="N314" s="492"/>
      <c r="O314" s="492"/>
      <c r="P314" s="492"/>
      <c r="Q314" s="493"/>
      <c r="S314" s="492"/>
      <c r="T314" s="492"/>
      <c r="U314" s="492"/>
      <c r="V314" s="615"/>
      <c r="W314" s="492"/>
      <c r="X314" s="492"/>
      <c r="Y314" s="492"/>
      <c r="Z314" s="492"/>
      <c r="AA314" s="492"/>
      <c r="AB314" s="492"/>
      <c r="AC314" s="492"/>
      <c r="AD314" s="493"/>
    </row>
    <row r="315" spans="1:30" s="395" customFormat="1" x14ac:dyDescent="0.2">
      <c r="A315" s="601">
        <v>15</v>
      </c>
      <c r="B315" s="590" t="s">
        <v>548</v>
      </c>
      <c r="C315" s="590" t="s">
        <v>549</v>
      </c>
      <c r="D315" s="589">
        <v>131</v>
      </c>
      <c r="E315" s="588"/>
      <c r="F315" s="602"/>
      <c r="G315" s="602"/>
      <c r="H315" s="602"/>
      <c r="I315" s="617"/>
      <c r="J315" s="602"/>
      <c r="K315" s="602"/>
      <c r="L315" s="602"/>
      <c r="M315" s="602"/>
      <c r="N315" s="602"/>
      <c r="O315" s="602"/>
      <c r="P315" s="602"/>
      <c r="Q315" s="582"/>
      <c r="S315" s="602"/>
      <c r="T315" s="602"/>
      <c r="U315" s="602"/>
      <c r="V315" s="617"/>
      <c r="W315" s="602"/>
      <c r="X315" s="602"/>
      <c r="Y315" s="602"/>
      <c r="Z315" s="602"/>
      <c r="AA315" s="602"/>
      <c r="AB315" s="602"/>
      <c r="AC315" s="602"/>
      <c r="AD315" s="582"/>
    </row>
    <row r="316" spans="1:30" s="395" customFormat="1" x14ac:dyDescent="0.2">
      <c r="A316" s="489"/>
      <c r="B316" s="490"/>
      <c r="C316" s="490"/>
      <c r="D316" s="491">
        <v>138</v>
      </c>
      <c r="E316" s="461"/>
      <c r="F316" s="492"/>
      <c r="G316" s="492"/>
      <c r="H316" s="492"/>
      <c r="I316" s="615"/>
      <c r="J316" s="492"/>
      <c r="K316" s="492"/>
      <c r="L316" s="492"/>
      <c r="M316" s="492"/>
      <c r="N316" s="492"/>
      <c r="O316" s="492"/>
      <c r="P316" s="492"/>
      <c r="Q316" s="493"/>
      <c r="S316" s="492"/>
      <c r="T316" s="492"/>
      <c r="U316" s="492"/>
      <c r="V316" s="615"/>
      <c r="W316" s="492"/>
      <c r="X316" s="492"/>
      <c r="Y316" s="492"/>
      <c r="Z316" s="492"/>
      <c r="AA316" s="492"/>
      <c r="AB316" s="492"/>
      <c r="AC316" s="492"/>
      <c r="AD316" s="493"/>
    </row>
    <row r="317" spans="1:30" s="395" customFormat="1" x14ac:dyDescent="0.2">
      <c r="A317" s="601">
        <v>16</v>
      </c>
      <c r="B317" s="590" t="s">
        <v>550</v>
      </c>
      <c r="C317" s="590" t="s">
        <v>551</v>
      </c>
      <c r="D317" s="589">
        <v>131</v>
      </c>
      <c r="E317" s="588"/>
      <c r="F317" s="602"/>
      <c r="G317" s="602"/>
      <c r="H317" s="602"/>
      <c r="I317" s="617"/>
      <c r="J317" s="602"/>
      <c r="K317" s="602"/>
      <c r="L317" s="602"/>
      <c r="M317" s="602"/>
      <c r="N317" s="602"/>
      <c r="O317" s="602"/>
      <c r="P317" s="602"/>
      <c r="Q317" s="582"/>
      <c r="S317" s="602"/>
      <c r="T317" s="602"/>
      <c r="U317" s="602"/>
      <c r="V317" s="617"/>
      <c r="W317" s="602"/>
      <c r="X317" s="602"/>
      <c r="Y317" s="602"/>
      <c r="Z317" s="602"/>
      <c r="AA317" s="602"/>
      <c r="AB317" s="602"/>
      <c r="AC317" s="602"/>
      <c r="AD317" s="582"/>
    </row>
    <row r="318" spans="1:30" s="395" customFormat="1" x14ac:dyDescent="0.2">
      <c r="A318" s="489"/>
      <c r="B318" s="490"/>
      <c r="C318" s="490"/>
      <c r="D318" s="491">
        <v>138</v>
      </c>
      <c r="E318" s="461"/>
      <c r="F318" s="492"/>
      <c r="G318" s="492"/>
      <c r="H318" s="492"/>
      <c r="I318" s="615"/>
      <c r="J318" s="492"/>
      <c r="K318" s="492"/>
      <c r="L318" s="492"/>
      <c r="M318" s="492"/>
      <c r="N318" s="492"/>
      <c r="O318" s="492"/>
      <c r="P318" s="492"/>
      <c r="Q318" s="493"/>
      <c r="S318" s="492"/>
      <c r="T318" s="492"/>
      <c r="U318" s="492"/>
      <c r="V318" s="615"/>
      <c r="W318" s="492"/>
      <c r="X318" s="492"/>
      <c r="Y318" s="492"/>
      <c r="Z318" s="492"/>
      <c r="AA318" s="492"/>
      <c r="AB318" s="492"/>
      <c r="AC318" s="492"/>
      <c r="AD318" s="493"/>
    </row>
    <row r="319" spans="1:30" s="395" customFormat="1" x14ac:dyDescent="0.2">
      <c r="A319" s="601">
        <v>17</v>
      </c>
      <c r="B319" s="590" t="s">
        <v>552</v>
      </c>
      <c r="C319" s="590" t="s">
        <v>553</v>
      </c>
      <c r="D319" s="589">
        <v>131</v>
      </c>
      <c r="E319" s="588"/>
      <c r="F319" s="602"/>
      <c r="G319" s="602"/>
      <c r="H319" s="602"/>
      <c r="I319" s="617"/>
      <c r="J319" s="602"/>
      <c r="K319" s="602"/>
      <c r="L319" s="602"/>
      <c r="M319" s="602"/>
      <c r="N319" s="602"/>
      <c r="O319" s="602"/>
      <c r="P319" s="602"/>
      <c r="Q319" s="582"/>
      <c r="S319" s="602"/>
      <c r="T319" s="602"/>
      <c r="U319" s="602"/>
      <c r="V319" s="617"/>
      <c r="W319" s="602"/>
      <c r="X319" s="602"/>
      <c r="Y319" s="602"/>
      <c r="Z319" s="602"/>
      <c r="AA319" s="602"/>
      <c r="AB319" s="602"/>
      <c r="AC319" s="602"/>
      <c r="AD319" s="582"/>
    </row>
    <row r="320" spans="1:30" s="395" customFormat="1" x14ac:dyDescent="0.2">
      <c r="A320" s="489"/>
      <c r="B320" s="490"/>
      <c r="C320" s="490"/>
      <c r="D320" s="491">
        <v>138</v>
      </c>
      <c r="E320" s="461"/>
      <c r="F320" s="492"/>
      <c r="G320" s="492"/>
      <c r="H320" s="492"/>
      <c r="I320" s="615"/>
      <c r="J320" s="492"/>
      <c r="K320" s="492"/>
      <c r="L320" s="492"/>
      <c r="M320" s="492"/>
      <c r="N320" s="492"/>
      <c r="O320" s="492"/>
      <c r="P320" s="492"/>
      <c r="Q320" s="493"/>
      <c r="S320" s="492"/>
      <c r="T320" s="492"/>
      <c r="U320" s="492"/>
      <c r="V320" s="615"/>
      <c r="W320" s="492"/>
      <c r="X320" s="492"/>
      <c r="Y320" s="492"/>
      <c r="Z320" s="492"/>
      <c r="AA320" s="492"/>
      <c r="AB320" s="492"/>
      <c r="AC320" s="492"/>
      <c r="AD320" s="493"/>
    </row>
    <row r="321" spans="1:30" s="395" customFormat="1" x14ac:dyDescent="0.2">
      <c r="A321" s="601">
        <v>18</v>
      </c>
      <c r="B321" s="590" t="s">
        <v>554</v>
      </c>
      <c r="C321" s="590" t="s">
        <v>555</v>
      </c>
      <c r="D321" s="589">
        <v>131</v>
      </c>
      <c r="E321" s="588"/>
      <c r="F321" s="602"/>
      <c r="G321" s="602"/>
      <c r="H321" s="602"/>
      <c r="I321" s="617"/>
      <c r="J321" s="602"/>
      <c r="K321" s="602"/>
      <c r="L321" s="602"/>
      <c r="M321" s="602"/>
      <c r="N321" s="602"/>
      <c r="O321" s="602"/>
      <c r="P321" s="602"/>
      <c r="Q321" s="582"/>
      <c r="S321" s="602"/>
      <c r="T321" s="602"/>
      <c r="U321" s="602"/>
      <c r="V321" s="617"/>
      <c r="W321" s="602"/>
      <c r="X321" s="602"/>
      <c r="Y321" s="602"/>
      <c r="Z321" s="602"/>
      <c r="AA321" s="602"/>
      <c r="AB321" s="602"/>
      <c r="AC321" s="602"/>
      <c r="AD321" s="582"/>
    </row>
    <row r="322" spans="1:30" s="395" customFormat="1" x14ac:dyDescent="0.2">
      <c r="A322" s="489"/>
      <c r="B322" s="490"/>
      <c r="C322" s="490"/>
      <c r="D322" s="491">
        <v>138</v>
      </c>
      <c r="E322" s="461"/>
      <c r="F322" s="492"/>
      <c r="G322" s="492"/>
      <c r="H322" s="492"/>
      <c r="I322" s="615"/>
      <c r="J322" s="492"/>
      <c r="K322" s="492"/>
      <c r="L322" s="492"/>
      <c r="M322" s="492"/>
      <c r="N322" s="492"/>
      <c r="O322" s="492"/>
      <c r="P322" s="492"/>
      <c r="Q322" s="493"/>
      <c r="S322" s="492"/>
      <c r="T322" s="492"/>
      <c r="U322" s="492"/>
      <c r="V322" s="615"/>
      <c r="W322" s="492"/>
      <c r="X322" s="492"/>
      <c r="Y322" s="492"/>
      <c r="Z322" s="492"/>
      <c r="AA322" s="492"/>
      <c r="AB322" s="492"/>
      <c r="AC322" s="492"/>
      <c r="AD322" s="493"/>
    </row>
    <row r="323" spans="1:30" s="395" customFormat="1" x14ac:dyDescent="0.2">
      <c r="A323" s="601">
        <v>19</v>
      </c>
      <c r="B323" s="577" t="s">
        <v>556</v>
      </c>
      <c r="C323" s="577" t="s">
        <v>557</v>
      </c>
      <c r="D323" s="589">
        <v>131</v>
      </c>
      <c r="E323" s="588"/>
      <c r="F323" s="602"/>
      <c r="G323" s="602"/>
      <c r="H323" s="602"/>
      <c r="I323" s="617"/>
      <c r="J323" s="602"/>
      <c r="K323" s="602"/>
      <c r="L323" s="602"/>
      <c r="M323" s="602"/>
      <c r="N323" s="602"/>
      <c r="O323" s="602"/>
      <c r="P323" s="602"/>
      <c r="Q323" s="582"/>
      <c r="S323" s="602"/>
      <c r="T323" s="602"/>
      <c r="U323" s="602"/>
      <c r="V323" s="617"/>
      <c r="W323" s="602"/>
      <c r="X323" s="602"/>
      <c r="Y323" s="602"/>
      <c r="Z323" s="602"/>
      <c r="AA323" s="602"/>
      <c r="AB323" s="602"/>
      <c r="AC323" s="602"/>
      <c r="AD323" s="582"/>
    </row>
    <row r="324" spans="1:30" s="395" customFormat="1" x14ac:dyDescent="0.2">
      <c r="A324" s="489"/>
      <c r="B324" s="490"/>
      <c r="C324" s="490"/>
      <c r="D324" s="491">
        <v>138</v>
      </c>
      <c r="E324" s="461"/>
      <c r="F324" s="492"/>
      <c r="G324" s="492"/>
      <c r="H324" s="492"/>
      <c r="I324" s="615"/>
      <c r="J324" s="492"/>
      <c r="K324" s="492"/>
      <c r="L324" s="492"/>
      <c r="M324" s="492"/>
      <c r="N324" s="492"/>
      <c r="O324" s="492"/>
      <c r="P324" s="492"/>
      <c r="Q324" s="493"/>
      <c r="S324" s="492"/>
      <c r="T324" s="492"/>
      <c r="U324" s="492"/>
      <c r="V324" s="615"/>
      <c r="W324" s="492"/>
      <c r="X324" s="492"/>
      <c r="Y324" s="492"/>
      <c r="Z324" s="492"/>
      <c r="AA324" s="492"/>
      <c r="AB324" s="492"/>
      <c r="AC324" s="492"/>
      <c r="AD324" s="493"/>
    </row>
    <row r="325" spans="1:30" s="395" customFormat="1" x14ac:dyDescent="0.2">
      <c r="A325" s="601">
        <v>20</v>
      </c>
      <c r="B325" s="590" t="s">
        <v>558</v>
      </c>
      <c r="C325" s="590" t="s">
        <v>559</v>
      </c>
      <c r="D325" s="589">
        <v>131</v>
      </c>
      <c r="E325" s="588"/>
      <c r="F325" s="602"/>
      <c r="G325" s="602"/>
      <c r="H325" s="602"/>
      <c r="I325" s="617"/>
      <c r="J325" s="602"/>
      <c r="K325" s="602"/>
      <c r="L325" s="602"/>
      <c r="M325" s="602"/>
      <c r="N325" s="602"/>
      <c r="O325" s="602"/>
      <c r="P325" s="602"/>
      <c r="Q325" s="582"/>
      <c r="S325" s="602"/>
      <c r="T325" s="602"/>
      <c r="U325" s="602"/>
      <c r="V325" s="617"/>
      <c r="W325" s="602"/>
      <c r="X325" s="602"/>
      <c r="Y325" s="602"/>
      <c r="Z325" s="602"/>
      <c r="AA325" s="602"/>
      <c r="AB325" s="602"/>
      <c r="AC325" s="602"/>
      <c r="AD325" s="582"/>
    </row>
    <row r="326" spans="1:30" s="395" customFormat="1" x14ac:dyDescent="0.2">
      <c r="A326" s="489"/>
      <c r="B326" s="490"/>
      <c r="C326" s="490"/>
      <c r="D326" s="491">
        <v>138</v>
      </c>
      <c r="E326" s="461"/>
      <c r="F326" s="492"/>
      <c r="G326" s="492"/>
      <c r="H326" s="492"/>
      <c r="I326" s="615"/>
      <c r="J326" s="492"/>
      <c r="K326" s="492"/>
      <c r="L326" s="492"/>
      <c r="M326" s="492"/>
      <c r="N326" s="492"/>
      <c r="O326" s="492"/>
      <c r="P326" s="492"/>
      <c r="Q326" s="493"/>
      <c r="S326" s="492"/>
      <c r="T326" s="492"/>
      <c r="U326" s="492"/>
      <c r="V326" s="615"/>
      <c r="W326" s="492"/>
      <c r="X326" s="492"/>
      <c r="Y326" s="492"/>
      <c r="Z326" s="492"/>
      <c r="AA326" s="492"/>
      <c r="AB326" s="492"/>
      <c r="AC326" s="492"/>
      <c r="AD326" s="493"/>
    </row>
    <row r="327" spans="1:30" s="395" customFormat="1" x14ac:dyDescent="0.2">
      <c r="A327" s="601">
        <v>21</v>
      </c>
      <c r="B327" s="590" t="s">
        <v>560</v>
      </c>
      <c r="C327" s="590" t="s">
        <v>561</v>
      </c>
      <c r="D327" s="589">
        <v>131</v>
      </c>
      <c r="E327" s="588"/>
      <c r="F327" s="602"/>
      <c r="G327" s="602"/>
      <c r="H327" s="602"/>
      <c r="I327" s="617"/>
      <c r="J327" s="602"/>
      <c r="K327" s="602"/>
      <c r="L327" s="602"/>
      <c r="M327" s="602"/>
      <c r="N327" s="602"/>
      <c r="O327" s="602"/>
      <c r="P327" s="602"/>
      <c r="Q327" s="582"/>
      <c r="S327" s="602"/>
      <c r="T327" s="602"/>
      <c r="U327" s="602"/>
      <c r="V327" s="617"/>
      <c r="W327" s="602"/>
      <c r="X327" s="602"/>
      <c r="Y327" s="602"/>
      <c r="Z327" s="602"/>
      <c r="AA327" s="602"/>
      <c r="AB327" s="602"/>
      <c r="AC327" s="602"/>
      <c r="AD327" s="582"/>
    </row>
    <row r="328" spans="1:30" s="395" customFormat="1" x14ac:dyDescent="0.2">
      <c r="A328" s="489"/>
      <c r="B328" s="490"/>
      <c r="C328" s="490"/>
      <c r="D328" s="491">
        <v>138</v>
      </c>
      <c r="E328" s="461"/>
      <c r="F328" s="492"/>
      <c r="G328" s="492"/>
      <c r="H328" s="492"/>
      <c r="I328" s="615"/>
      <c r="J328" s="492"/>
      <c r="K328" s="492"/>
      <c r="L328" s="492"/>
      <c r="M328" s="492"/>
      <c r="N328" s="492"/>
      <c r="O328" s="492"/>
      <c r="P328" s="492"/>
      <c r="Q328" s="493"/>
      <c r="S328" s="492"/>
      <c r="T328" s="492"/>
      <c r="U328" s="492"/>
      <c r="V328" s="615"/>
      <c r="W328" s="492"/>
      <c r="X328" s="492"/>
      <c r="Y328" s="492"/>
      <c r="Z328" s="492"/>
      <c r="AA328" s="492"/>
      <c r="AB328" s="492"/>
      <c r="AC328" s="492"/>
      <c r="AD328" s="493"/>
    </row>
    <row r="329" spans="1:30" s="395" customFormat="1" x14ac:dyDescent="0.2">
      <c r="A329" s="601">
        <v>22</v>
      </c>
      <c r="B329" s="590" t="s">
        <v>562</v>
      </c>
      <c r="C329" s="590" t="s">
        <v>563</v>
      </c>
      <c r="D329" s="589">
        <v>131</v>
      </c>
      <c r="E329" s="588"/>
      <c r="F329" s="602"/>
      <c r="G329" s="602"/>
      <c r="H329" s="602"/>
      <c r="I329" s="617"/>
      <c r="J329" s="602"/>
      <c r="K329" s="602"/>
      <c r="L329" s="602"/>
      <c r="M329" s="602"/>
      <c r="N329" s="602"/>
      <c r="O329" s="602"/>
      <c r="P329" s="602"/>
      <c r="Q329" s="582"/>
      <c r="S329" s="602"/>
      <c r="T329" s="602"/>
      <c r="U329" s="602"/>
      <c r="V329" s="617"/>
      <c r="W329" s="602"/>
      <c r="X329" s="602"/>
      <c r="Y329" s="602"/>
      <c r="Z329" s="602"/>
      <c r="AA329" s="602"/>
      <c r="AB329" s="602"/>
      <c r="AC329" s="602"/>
      <c r="AD329" s="582"/>
    </row>
    <row r="330" spans="1:30" s="395" customFormat="1" x14ac:dyDescent="0.2">
      <c r="A330" s="481"/>
      <c r="B330" s="499"/>
      <c r="C330" s="510"/>
      <c r="D330" s="497">
        <v>138</v>
      </c>
      <c r="E330" s="478"/>
      <c r="F330" s="468"/>
      <c r="G330" s="468"/>
      <c r="H330" s="468"/>
      <c r="I330" s="607"/>
      <c r="J330" s="468"/>
      <c r="K330" s="468"/>
      <c r="L330" s="468"/>
      <c r="M330" s="468"/>
      <c r="N330" s="468"/>
      <c r="O330" s="468"/>
      <c r="P330" s="468"/>
      <c r="Q330" s="468"/>
      <c r="S330" s="468"/>
      <c r="T330" s="468"/>
      <c r="U330" s="468"/>
      <c r="V330" s="607"/>
      <c r="W330" s="468"/>
      <c r="X330" s="468"/>
      <c r="Y330" s="468"/>
      <c r="Z330" s="468"/>
      <c r="AA330" s="468"/>
      <c r="AB330" s="468"/>
      <c r="AC330" s="468"/>
      <c r="AD330" s="468"/>
    </row>
    <row r="331" spans="1:30" s="395" customFormat="1" x14ac:dyDescent="0.2">
      <c r="A331" s="584" t="s">
        <v>564</v>
      </c>
      <c r="B331" s="572" t="s">
        <v>618</v>
      </c>
      <c r="C331" s="572"/>
      <c r="D331" s="586"/>
      <c r="E331" s="586"/>
      <c r="F331" s="600" t="s">
        <v>616</v>
      </c>
      <c r="G331" s="600" t="s">
        <v>488</v>
      </c>
      <c r="H331" s="600" t="s">
        <v>489</v>
      </c>
      <c r="I331" s="604" t="s">
        <v>490</v>
      </c>
      <c r="J331" s="600" t="s">
        <v>491</v>
      </c>
      <c r="K331" s="600" t="s">
        <v>492</v>
      </c>
      <c r="L331" s="600" t="s">
        <v>493</v>
      </c>
      <c r="M331" s="600" t="s">
        <v>494</v>
      </c>
      <c r="N331" s="600" t="s">
        <v>495</v>
      </c>
      <c r="O331" s="600" t="s">
        <v>496</v>
      </c>
      <c r="P331" s="600" t="s">
        <v>497</v>
      </c>
      <c r="Q331" s="600" t="s">
        <v>498</v>
      </c>
      <c r="S331" s="600" t="s">
        <v>487</v>
      </c>
      <c r="T331" s="600" t="s">
        <v>488</v>
      </c>
      <c r="U331" s="600" t="s">
        <v>489</v>
      </c>
      <c r="V331" s="604" t="s">
        <v>490</v>
      </c>
      <c r="W331" s="600" t="s">
        <v>491</v>
      </c>
      <c r="X331" s="600" t="s">
        <v>492</v>
      </c>
      <c r="Y331" s="600" t="s">
        <v>493</v>
      </c>
      <c r="Z331" s="600" t="s">
        <v>494</v>
      </c>
      <c r="AA331" s="600" t="s">
        <v>495</v>
      </c>
      <c r="AB331" s="600" t="s">
        <v>496</v>
      </c>
      <c r="AC331" s="600" t="s">
        <v>497</v>
      </c>
      <c r="AD331" s="600" t="s">
        <v>498</v>
      </c>
    </row>
    <row r="332" spans="1:30" s="395" customFormat="1" x14ac:dyDescent="0.2">
      <c r="A332" s="601">
        <v>1</v>
      </c>
      <c r="B332" s="590" t="s">
        <v>503</v>
      </c>
      <c r="C332" s="590" t="s">
        <v>504</v>
      </c>
      <c r="D332" s="589">
        <v>131</v>
      </c>
      <c r="E332" s="588"/>
      <c r="F332" s="581"/>
      <c r="G332" s="588"/>
      <c r="H332" s="588"/>
      <c r="I332" s="609"/>
      <c r="J332" s="588"/>
      <c r="K332" s="588"/>
      <c r="L332" s="588"/>
      <c r="M332" s="588"/>
      <c r="N332" s="588"/>
      <c r="O332" s="588"/>
      <c r="P332" s="588"/>
      <c r="Q332" s="588"/>
      <c r="S332" s="581"/>
      <c r="T332" s="588"/>
      <c r="U332" s="588"/>
      <c r="V332" s="609"/>
      <c r="W332" s="588"/>
      <c r="X332" s="588"/>
      <c r="Y332" s="588"/>
      <c r="Z332" s="588"/>
      <c r="AA332" s="588"/>
      <c r="AB332" s="588"/>
      <c r="AC332" s="588"/>
      <c r="AD332" s="588"/>
    </row>
    <row r="333" spans="1:30" s="395" customFormat="1" x14ac:dyDescent="0.2">
      <c r="A333" s="498">
        <v>2</v>
      </c>
      <c r="B333" s="499" t="s">
        <v>513</v>
      </c>
      <c r="C333" s="499" t="s">
        <v>514</v>
      </c>
      <c r="D333" s="418">
        <v>131</v>
      </c>
      <c r="E333" s="414"/>
      <c r="F333" s="646" t="s">
        <v>358</v>
      </c>
      <c r="G333" s="645">
        <v>935620099</v>
      </c>
      <c r="H333" s="645">
        <v>395221564</v>
      </c>
      <c r="I333" s="647" t="s">
        <v>358</v>
      </c>
      <c r="J333" s="647" t="s">
        <v>358</v>
      </c>
      <c r="K333" s="645">
        <v>75706847</v>
      </c>
      <c r="L333" s="645">
        <v>295549202</v>
      </c>
      <c r="M333" s="645">
        <v>1597111967</v>
      </c>
      <c r="N333" s="647" t="s">
        <v>358</v>
      </c>
      <c r="O333" s="647" t="s">
        <v>358</v>
      </c>
      <c r="P333" s="647" t="s">
        <v>358</v>
      </c>
      <c r="Q333" s="647" t="s">
        <v>358</v>
      </c>
      <c r="S333" s="446"/>
      <c r="T333" s="414"/>
      <c r="U333" s="414"/>
      <c r="V333" s="606"/>
      <c r="W333" s="414"/>
      <c r="X333" s="414"/>
      <c r="Y333" s="414"/>
      <c r="Z333" s="414"/>
      <c r="AA333" s="414"/>
      <c r="AB333" s="414"/>
      <c r="AC333" s="414"/>
      <c r="AD333" s="414"/>
    </row>
    <row r="334" spans="1:30" s="395" customFormat="1" x14ac:dyDescent="0.2">
      <c r="A334" s="498">
        <v>3</v>
      </c>
      <c r="B334" s="439" t="s">
        <v>519</v>
      </c>
      <c r="C334" s="439" t="s">
        <v>520</v>
      </c>
      <c r="D334" s="418">
        <v>131</v>
      </c>
      <c r="E334" s="414"/>
      <c r="F334" s="446"/>
      <c r="G334" s="414"/>
      <c r="H334" s="414"/>
      <c r="I334" s="606"/>
      <c r="J334" s="414"/>
      <c r="K334" s="414"/>
      <c r="L334" s="414"/>
      <c r="M334" s="414"/>
      <c r="N334" s="414"/>
      <c r="O334" s="414"/>
      <c r="P334" s="414"/>
      <c r="Q334" s="414"/>
      <c r="S334" s="446"/>
      <c r="T334" s="414"/>
      <c r="U334" s="414"/>
      <c r="V334" s="606"/>
      <c r="W334" s="414"/>
      <c r="X334" s="414"/>
      <c r="Y334" s="414"/>
      <c r="Z334" s="414"/>
      <c r="AA334" s="414"/>
      <c r="AB334" s="414"/>
      <c r="AC334" s="414"/>
      <c r="AD334" s="414"/>
    </row>
    <row r="335" spans="1:30" s="395" customFormat="1" x14ac:dyDescent="0.2">
      <c r="A335" s="498">
        <v>4</v>
      </c>
      <c r="B335" s="439" t="s">
        <v>522</v>
      </c>
      <c r="C335" s="439" t="s">
        <v>523</v>
      </c>
      <c r="D335" s="418">
        <v>131</v>
      </c>
      <c r="E335" s="414"/>
      <c r="F335" s="446"/>
      <c r="G335" s="414"/>
      <c r="H335" s="414"/>
      <c r="I335" s="606"/>
      <c r="J335" s="414"/>
      <c r="K335" s="414"/>
      <c r="L335" s="414"/>
      <c r="M335" s="414"/>
      <c r="N335" s="414"/>
      <c r="O335" s="414"/>
      <c r="P335" s="414"/>
      <c r="Q335" s="414"/>
      <c r="S335" s="446"/>
      <c r="T335" s="414"/>
      <c r="U335" s="414"/>
      <c r="V335" s="606"/>
      <c r="W335" s="414"/>
      <c r="X335" s="414"/>
      <c r="Y335" s="414"/>
      <c r="Z335" s="414"/>
      <c r="AA335" s="414"/>
      <c r="AB335" s="414"/>
      <c r="AC335" s="414"/>
      <c r="AD335" s="414"/>
    </row>
    <row r="336" spans="1:30" s="395" customFormat="1" x14ac:dyDescent="0.2">
      <c r="A336" s="498">
        <v>5</v>
      </c>
      <c r="B336" s="439" t="s">
        <v>524</v>
      </c>
      <c r="C336" s="439" t="s">
        <v>525</v>
      </c>
      <c r="D336" s="418">
        <v>131</v>
      </c>
      <c r="E336" s="414"/>
      <c r="F336" s="446"/>
      <c r="G336" s="414"/>
      <c r="H336" s="414"/>
      <c r="I336" s="606"/>
      <c r="J336" s="414"/>
      <c r="K336" s="414"/>
      <c r="L336" s="414"/>
      <c r="M336" s="414"/>
      <c r="N336" s="414"/>
      <c r="O336" s="414"/>
      <c r="P336" s="414"/>
      <c r="Q336" s="414"/>
      <c r="S336" s="446"/>
      <c r="T336" s="414"/>
      <c r="U336" s="414"/>
      <c r="V336" s="606"/>
      <c r="W336" s="414"/>
      <c r="X336" s="414"/>
      <c r="Y336" s="414"/>
      <c r="Z336" s="414"/>
      <c r="AA336" s="414"/>
      <c r="AB336" s="414"/>
      <c r="AC336" s="414"/>
      <c r="AD336" s="414"/>
    </row>
    <row r="337" spans="1:30" s="395" customFormat="1" x14ac:dyDescent="0.2">
      <c r="A337" s="498">
        <v>6</v>
      </c>
      <c r="B337" s="439" t="s">
        <v>527</v>
      </c>
      <c r="C337" s="439" t="s">
        <v>528</v>
      </c>
      <c r="D337" s="418">
        <v>131</v>
      </c>
      <c r="E337" s="414"/>
      <c r="F337" s="446"/>
      <c r="G337" s="414"/>
      <c r="H337" s="414"/>
      <c r="I337" s="606"/>
      <c r="J337" s="414"/>
      <c r="K337" s="414"/>
      <c r="L337" s="414"/>
      <c r="M337" s="414"/>
      <c r="N337" s="414"/>
      <c r="O337" s="414"/>
      <c r="P337" s="414"/>
      <c r="Q337" s="414"/>
      <c r="S337" s="446"/>
      <c r="T337" s="414"/>
      <c r="U337" s="414"/>
      <c r="V337" s="606"/>
      <c r="W337" s="414"/>
      <c r="X337" s="414"/>
      <c r="Y337" s="414"/>
      <c r="Z337" s="414"/>
      <c r="AA337" s="414"/>
      <c r="AB337" s="414"/>
      <c r="AC337" s="414"/>
      <c r="AD337" s="414"/>
    </row>
    <row r="338" spans="1:30" s="395" customFormat="1" x14ac:dyDescent="0.2">
      <c r="A338" s="498">
        <v>7</v>
      </c>
      <c r="B338" s="443" t="s">
        <v>531</v>
      </c>
      <c r="C338" s="443" t="s">
        <v>532</v>
      </c>
      <c r="D338" s="418">
        <v>131</v>
      </c>
      <c r="E338" s="414"/>
      <c r="F338" s="446"/>
      <c r="G338" s="414"/>
      <c r="H338" s="414"/>
      <c r="I338" s="606"/>
      <c r="J338" s="414"/>
      <c r="K338" s="414"/>
      <c r="L338" s="414"/>
      <c r="M338" s="414"/>
      <c r="N338" s="414"/>
      <c r="O338" s="414"/>
      <c r="P338" s="414"/>
      <c r="Q338" s="414"/>
      <c r="S338" s="446"/>
      <c r="T338" s="414"/>
      <c r="U338" s="414"/>
      <c r="V338" s="606"/>
      <c r="W338" s="414"/>
      <c r="X338" s="414"/>
      <c r="Y338" s="414"/>
      <c r="Z338" s="414"/>
      <c r="AA338" s="414"/>
      <c r="AB338" s="414"/>
      <c r="AC338" s="414"/>
      <c r="AD338" s="414"/>
    </row>
    <row r="339" spans="1:30" s="395" customFormat="1" x14ac:dyDescent="0.2">
      <c r="A339" s="498">
        <v>8</v>
      </c>
      <c r="B339" s="439" t="s">
        <v>533</v>
      </c>
      <c r="C339" s="439" t="s">
        <v>534</v>
      </c>
      <c r="D339" s="418">
        <v>131</v>
      </c>
      <c r="E339" s="414"/>
      <c r="F339" s="446"/>
      <c r="G339" s="414"/>
      <c r="H339" s="414"/>
      <c r="I339" s="606"/>
      <c r="J339" s="414"/>
      <c r="K339" s="414"/>
      <c r="L339" s="414"/>
      <c r="M339" s="414"/>
      <c r="N339" s="414"/>
      <c r="O339" s="414"/>
      <c r="P339" s="414"/>
      <c r="Q339" s="414"/>
      <c r="S339" s="446"/>
      <c r="T339" s="414"/>
      <c r="U339" s="414"/>
      <c r="V339" s="606"/>
      <c r="W339" s="414"/>
      <c r="X339" s="414"/>
      <c r="Y339" s="414"/>
      <c r="Z339" s="414"/>
      <c r="AA339" s="414"/>
      <c r="AB339" s="414"/>
      <c r="AC339" s="414"/>
      <c r="AD339" s="414"/>
    </row>
    <row r="340" spans="1:30" s="395" customFormat="1" x14ac:dyDescent="0.2">
      <c r="A340" s="498">
        <v>9</v>
      </c>
      <c r="B340" s="439" t="s">
        <v>536</v>
      </c>
      <c r="C340" s="439" t="s">
        <v>537</v>
      </c>
      <c r="D340" s="418">
        <v>131</v>
      </c>
      <c r="E340" s="414"/>
      <c r="F340" s="446"/>
      <c r="G340" s="414"/>
      <c r="H340" s="414"/>
      <c r="I340" s="606"/>
      <c r="J340" s="414"/>
      <c r="K340" s="414"/>
      <c r="L340" s="414"/>
      <c r="M340" s="414"/>
      <c r="N340" s="414"/>
      <c r="O340" s="414"/>
      <c r="P340" s="414"/>
      <c r="Q340" s="414"/>
      <c r="S340" s="446"/>
      <c r="T340" s="414"/>
      <c r="U340" s="414"/>
      <c r="V340" s="606"/>
      <c r="W340" s="414"/>
      <c r="X340" s="414"/>
      <c r="Y340" s="414"/>
      <c r="Z340" s="414"/>
      <c r="AA340" s="414"/>
      <c r="AB340" s="414"/>
      <c r="AC340" s="414"/>
      <c r="AD340" s="414"/>
    </row>
    <row r="341" spans="1:30" s="395" customFormat="1" x14ac:dyDescent="0.2">
      <c r="A341" s="498">
        <v>10</v>
      </c>
      <c r="B341" s="439" t="s">
        <v>538</v>
      </c>
      <c r="C341" s="439" t="s">
        <v>539</v>
      </c>
      <c r="D341" s="418">
        <v>131</v>
      </c>
      <c r="E341" s="414"/>
      <c r="F341" s="446"/>
      <c r="G341" s="414"/>
      <c r="H341" s="414"/>
      <c r="I341" s="606"/>
      <c r="J341" s="414"/>
      <c r="K341" s="414"/>
      <c r="L341" s="414"/>
      <c r="M341" s="414"/>
      <c r="N341" s="414"/>
      <c r="O341" s="414"/>
      <c r="P341" s="414"/>
      <c r="Q341" s="414"/>
      <c r="S341" s="446"/>
      <c r="T341" s="414"/>
      <c r="U341" s="414"/>
      <c r="V341" s="606"/>
      <c r="W341" s="414"/>
      <c r="X341" s="414"/>
      <c r="Y341" s="414"/>
      <c r="Z341" s="414"/>
      <c r="AA341" s="414"/>
      <c r="AB341" s="414"/>
      <c r="AC341" s="414"/>
      <c r="AD341" s="414"/>
    </row>
    <row r="342" spans="1:30" s="395" customFormat="1" x14ac:dyDescent="0.2">
      <c r="A342" s="498">
        <v>11</v>
      </c>
      <c r="B342" s="439" t="s">
        <v>540</v>
      </c>
      <c r="C342" s="439" t="s">
        <v>541</v>
      </c>
      <c r="D342" s="418">
        <v>131</v>
      </c>
      <c r="E342" s="414"/>
      <c r="F342" s="446"/>
      <c r="G342" s="414"/>
      <c r="H342" s="414"/>
      <c r="I342" s="606"/>
      <c r="J342" s="414"/>
      <c r="K342" s="414"/>
      <c r="L342" s="414"/>
      <c r="M342" s="414"/>
      <c r="N342" s="414"/>
      <c r="O342" s="414"/>
      <c r="P342" s="414"/>
      <c r="Q342" s="414"/>
      <c r="S342" s="446"/>
      <c r="T342" s="414"/>
      <c r="U342" s="414"/>
      <c r="V342" s="606"/>
      <c r="W342" s="414"/>
      <c r="X342" s="414"/>
      <c r="Y342" s="414"/>
      <c r="Z342" s="414"/>
      <c r="AA342" s="414"/>
      <c r="AB342" s="414"/>
      <c r="AC342" s="414"/>
      <c r="AD342" s="414"/>
    </row>
    <row r="343" spans="1:30" s="395" customFormat="1" x14ac:dyDescent="0.2">
      <c r="A343" s="498">
        <v>12</v>
      </c>
      <c r="B343" s="439" t="s">
        <v>542</v>
      </c>
      <c r="C343" s="439" t="s">
        <v>543</v>
      </c>
      <c r="D343" s="418">
        <v>131</v>
      </c>
      <c r="E343" s="414"/>
      <c r="F343" s="446"/>
      <c r="G343" s="414"/>
      <c r="H343" s="414"/>
      <c r="I343" s="606"/>
      <c r="J343" s="414"/>
      <c r="K343" s="414"/>
      <c r="L343" s="414"/>
      <c r="M343" s="414"/>
      <c r="N343" s="414"/>
      <c r="O343" s="414"/>
      <c r="P343" s="414"/>
      <c r="Q343" s="414"/>
      <c r="S343" s="446"/>
      <c r="T343" s="414"/>
      <c r="U343" s="414"/>
      <c r="V343" s="606"/>
      <c r="W343" s="414"/>
      <c r="X343" s="414"/>
      <c r="Y343" s="414"/>
      <c r="Z343" s="414"/>
      <c r="AA343" s="414"/>
      <c r="AB343" s="414"/>
      <c r="AC343" s="414"/>
      <c r="AD343" s="414"/>
    </row>
    <row r="344" spans="1:30" s="395" customFormat="1" x14ac:dyDescent="0.2">
      <c r="A344" s="498">
        <v>13</v>
      </c>
      <c r="B344" s="439" t="s">
        <v>544</v>
      </c>
      <c r="C344" s="439" t="s">
        <v>545</v>
      </c>
      <c r="D344" s="418">
        <v>131</v>
      </c>
      <c r="E344" s="414"/>
      <c r="F344" s="446"/>
      <c r="G344" s="414"/>
      <c r="H344" s="414"/>
      <c r="I344" s="606"/>
      <c r="J344" s="414"/>
      <c r="K344" s="414"/>
      <c r="L344" s="429"/>
      <c r="M344" s="429"/>
      <c r="N344" s="414"/>
      <c r="O344" s="414"/>
      <c r="P344" s="414"/>
      <c r="Q344" s="414"/>
      <c r="S344" s="446"/>
      <c r="T344" s="414"/>
      <c r="U344" s="414"/>
      <c r="V344" s="606"/>
      <c r="W344" s="414"/>
      <c r="X344" s="414"/>
      <c r="Y344" s="429"/>
      <c r="Z344" s="429"/>
      <c r="AA344" s="414"/>
      <c r="AB344" s="414"/>
      <c r="AC344" s="414"/>
      <c r="AD344" s="414"/>
    </row>
    <row r="345" spans="1:30" s="395" customFormat="1" x14ac:dyDescent="0.2">
      <c r="A345" s="498">
        <v>14</v>
      </c>
      <c r="B345" s="441" t="s">
        <v>546</v>
      </c>
      <c r="C345" s="441" t="s">
        <v>547</v>
      </c>
      <c r="D345" s="418">
        <v>131</v>
      </c>
      <c r="E345" s="417"/>
      <c r="F345" s="469"/>
      <c r="G345" s="417"/>
      <c r="H345" s="417"/>
      <c r="I345" s="610"/>
      <c r="J345" s="417"/>
      <c r="K345" s="417"/>
      <c r="L345" s="458"/>
      <c r="M345" s="458"/>
      <c r="N345" s="417"/>
      <c r="O345" s="417"/>
      <c r="P345" s="417"/>
      <c r="Q345" s="417"/>
      <c r="S345" s="469"/>
      <c r="T345" s="417"/>
      <c r="U345" s="417"/>
      <c r="V345" s="610"/>
      <c r="W345" s="417"/>
      <c r="X345" s="417"/>
      <c r="Y345" s="458"/>
      <c r="Z345" s="458"/>
      <c r="AA345" s="417"/>
      <c r="AB345" s="417"/>
      <c r="AC345" s="417"/>
      <c r="AD345" s="417"/>
    </row>
    <row r="346" spans="1:30" s="395" customFormat="1" x14ac:dyDescent="0.2">
      <c r="A346" s="498">
        <v>15</v>
      </c>
      <c r="B346" s="441" t="s">
        <v>548</v>
      </c>
      <c r="C346" s="441" t="s">
        <v>549</v>
      </c>
      <c r="D346" s="418">
        <v>131</v>
      </c>
      <c r="E346" s="417"/>
      <c r="F346" s="469"/>
      <c r="G346" s="417"/>
      <c r="H346" s="417"/>
      <c r="I346" s="611"/>
      <c r="J346" s="417"/>
      <c r="K346" s="417"/>
      <c r="L346" s="458"/>
      <c r="M346" s="458"/>
      <c r="N346" s="417"/>
      <c r="O346" s="417"/>
      <c r="P346" s="417"/>
      <c r="Q346" s="417"/>
      <c r="S346" s="469"/>
      <c r="T346" s="417"/>
      <c r="U346" s="417"/>
      <c r="V346" s="611"/>
      <c r="W346" s="417"/>
      <c r="X346" s="417"/>
      <c r="Y346" s="458"/>
      <c r="Z346" s="458"/>
      <c r="AA346" s="417"/>
      <c r="AB346" s="417"/>
      <c r="AC346" s="417"/>
      <c r="AD346" s="417"/>
    </row>
    <row r="347" spans="1:30" s="395" customFormat="1" x14ac:dyDescent="0.2">
      <c r="A347" s="498">
        <v>16</v>
      </c>
      <c r="B347" s="441" t="s">
        <v>550</v>
      </c>
      <c r="C347" s="441" t="s">
        <v>551</v>
      </c>
      <c r="D347" s="418">
        <v>131</v>
      </c>
      <c r="E347" s="417"/>
      <c r="F347" s="469"/>
      <c r="G347" s="417"/>
      <c r="H347" s="417"/>
      <c r="I347" s="611"/>
      <c r="J347" s="417"/>
      <c r="K347" s="417"/>
      <c r="L347" s="458"/>
      <c r="M347" s="458"/>
      <c r="N347" s="417"/>
      <c r="O347" s="417"/>
      <c r="P347" s="417"/>
      <c r="Q347" s="417"/>
      <c r="S347" s="469"/>
      <c r="T347" s="417"/>
      <c r="U347" s="417"/>
      <c r="V347" s="611"/>
      <c r="W347" s="417"/>
      <c r="X347" s="417"/>
      <c r="Y347" s="458"/>
      <c r="Z347" s="458"/>
      <c r="AA347" s="417"/>
      <c r="AB347" s="417"/>
      <c r="AC347" s="417"/>
      <c r="AD347" s="417"/>
    </row>
    <row r="348" spans="1:30" s="395" customFormat="1" x14ac:dyDescent="0.2">
      <c r="A348" s="498">
        <v>17</v>
      </c>
      <c r="B348" s="441" t="s">
        <v>552</v>
      </c>
      <c r="C348" s="441" t="s">
        <v>553</v>
      </c>
      <c r="D348" s="418">
        <v>131</v>
      </c>
      <c r="E348" s="417"/>
      <c r="F348" s="469"/>
      <c r="G348" s="417"/>
      <c r="H348" s="417"/>
      <c r="I348" s="611"/>
      <c r="J348" s="417"/>
      <c r="K348" s="417"/>
      <c r="L348" s="458"/>
      <c r="M348" s="458"/>
      <c r="N348" s="417"/>
      <c r="O348" s="417"/>
      <c r="P348" s="417"/>
      <c r="Q348" s="417"/>
      <c r="S348" s="469"/>
      <c r="T348" s="417"/>
      <c r="U348" s="417"/>
      <c r="V348" s="611"/>
      <c r="W348" s="417"/>
      <c r="X348" s="417"/>
      <c r="Y348" s="458"/>
      <c r="Z348" s="458"/>
      <c r="AA348" s="417"/>
      <c r="AB348" s="417"/>
      <c r="AC348" s="417"/>
      <c r="AD348" s="417"/>
    </row>
    <row r="349" spans="1:30" s="395" customFormat="1" x14ac:dyDescent="0.2">
      <c r="A349" s="498">
        <v>18</v>
      </c>
      <c r="B349" s="439" t="s">
        <v>554</v>
      </c>
      <c r="C349" s="439" t="s">
        <v>555</v>
      </c>
      <c r="D349" s="418">
        <v>131</v>
      </c>
      <c r="E349" s="417"/>
      <c r="F349" s="469"/>
      <c r="G349" s="417"/>
      <c r="H349" s="417"/>
      <c r="I349" s="611"/>
      <c r="J349" s="417"/>
      <c r="K349" s="417"/>
      <c r="L349" s="458"/>
      <c r="M349" s="458"/>
      <c r="N349" s="417"/>
      <c r="O349" s="417"/>
      <c r="P349" s="417"/>
      <c r="Q349" s="417"/>
      <c r="S349" s="469"/>
      <c r="T349" s="417"/>
      <c r="U349" s="417"/>
      <c r="V349" s="611"/>
      <c r="W349" s="417"/>
      <c r="X349" s="417"/>
      <c r="Y349" s="458"/>
      <c r="Z349" s="458"/>
      <c r="AA349" s="417"/>
      <c r="AB349" s="417"/>
      <c r="AC349" s="417"/>
      <c r="AD349" s="417"/>
    </row>
    <row r="350" spans="1:30" s="395" customFormat="1" x14ac:dyDescent="0.2">
      <c r="A350" s="498">
        <v>19</v>
      </c>
      <c r="B350" s="443" t="s">
        <v>556</v>
      </c>
      <c r="C350" s="443" t="s">
        <v>557</v>
      </c>
      <c r="D350" s="418">
        <v>131</v>
      </c>
      <c r="E350" s="417"/>
      <c r="F350" s="469"/>
      <c r="G350" s="417"/>
      <c r="H350" s="417"/>
      <c r="I350" s="611"/>
      <c r="J350" s="417"/>
      <c r="K350" s="417"/>
      <c r="L350" s="458"/>
      <c r="M350" s="458"/>
      <c r="N350" s="417"/>
      <c r="O350" s="417"/>
      <c r="P350" s="417"/>
      <c r="Q350" s="417"/>
      <c r="S350" s="469"/>
      <c r="T350" s="417"/>
      <c r="U350" s="417"/>
      <c r="V350" s="611"/>
      <c r="W350" s="417"/>
      <c r="X350" s="417"/>
      <c r="Y350" s="458"/>
      <c r="Z350" s="458"/>
      <c r="AA350" s="417"/>
      <c r="AB350" s="417"/>
      <c r="AC350" s="417"/>
      <c r="AD350" s="417"/>
    </row>
    <row r="351" spans="1:30" s="395" customFormat="1" x14ac:dyDescent="0.2">
      <c r="A351" s="498">
        <v>20</v>
      </c>
      <c r="B351" s="441" t="s">
        <v>558</v>
      </c>
      <c r="C351" s="441" t="s">
        <v>559</v>
      </c>
      <c r="D351" s="418">
        <v>131</v>
      </c>
      <c r="E351" s="417"/>
      <c r="F351" s="469"/>
      <c r="G351" s="417"/>
      <c r="H351" s="417"/>
      <c r="I351" s="611"/>
      <c r="J351" s="417"/>
      <c r="K351" s="417"/>
      <c r="L351" s="458"/>
      <c r="M351" s="458"/>
      <c r="N351" s="417"/>
      <c r="O351" s="417"/>
      <c r="P351" s="417"/>
      <c r="Q351" s="417"/>
      <c r="S351" s="469"/>
      <c r="T351" s="417"/>
      <c r="U351" s="417"/>
      <c r="V351" s="611"/>
      <c r="W351" s="417"/>
      <c r="X351" s="417"/>
      <c r="Y351" s="458"/>
      <c r="Z351" s="458"/>
      <c r="AA351" s="417"/>
      <c r="AB351" s="417"/>
      <c r="AC351" s="417"/>
      <c r="AD351" s="417"/>
    </row>
    <row r="352" spans="1:30" s="395" customFormat="1" x14ac:dyDescent="0.2">
      <c r="A352" s="498">
        <v>21</v>
      </c>
      <c r="B352" s="441" t="s">
        <v>560</v>
      </c>
      <c r="C352" s="441" t="s">
        <v>561</v>
      </c>
      <c r="D352" s="418">
        <v>131</v>
      </c>
      <c r="E352" s="417"/>
      <c r="F352" s="469"/>
      <c r="G352" s="417"/>
      <c r="H352" s="417"/>
      <c r="I352" s="611"/>
      <c r="J352" s="417"/>
      <c r="K352" s="417"/>
      <c r="L352" s="458"/>
      <c r="M352" s="458"/>
      <c r="N352" s="417"/>
      <c r="O352" s="417"/>
      <c r="P352" s="417"/>
      <c r="Q352" s="417"/>
      <c r="S352" s="469"/>
      <c r="T352" s="417"/>
      <c r="U352" s="417"/>
      <c r="V352" s="611"/>
      <c r="W352" s="417"/>
      <c r="X352" s="417"/>
      <c r="Y352" s="458"/>
      <c r="Z352" s="458"/>
      <c r="AA352" s="417"/>
      <c r="AB352" s="417"/>
      <c r="AC352" s="417"/>
      <c r="AD352" s="417"/>
    </row>
    <row r="353" spans="1:30" s="395" customFormat="1" x14ac:dyDescent="0.2">
      <c r="A353" s="498">
        <v>22</v>
      </c>
      <c r="B353" s="441" t="s">
        <v>562</v>
      </c>
      <c r="C353" s="441" t="s">
        <v>563</v>
      </c>
      <c r="D353" s="418">
        <v>131</v>
      </c>
      <c r="E353" s="417"/>
      <c r="F353" s="469"/>
      <c r="G353" s="417"/>
      <c r="H353" s="417"/>
      <c r="I353" s="611"/>
      <c r="J353" s="417"/>
      <c r="K353" s="417"/>
      <c r="L353" s="458"/>
      <c r="M353" s="458"/>
      <c r="N353" s="417"/>
      <c r="O353" s="417"/>
      <c r="P353" s="417"/>
      <c r="Q353" s="417"/>
      <c r="S353" s="469"/>
      <c r="T353" s="417"/>
      <c r="U353" s="417"/>
      <c r="V353" s="611"/>
      <c r="W353" s="417"/>
      <c r="X353" s="417"/>
      <c r="Y353" s="458"/>
      <c r="Z353" s="458"/>
      <c r="AA353" s="417"/>
      <c r="AB353" s="417"/>
      <c r="AC353" s="417"/>
      <c r="AD353" s="417"/>
    </row>
    <row r="354" spans="1:30" s="395" customFormat="1" x14ac:dyDescent="0.2">
      <c r="A354" s="494"/>
      <c r="B354" s="495"/>
      <c r="C354" s="495"/>
      <c r="D354" s="423"/>
      <c r="E354" s="423"/>
      <c r="F354" s="427"/>
      <c r="G354" s="423"/>
      <c r="H354" s="423"/>
      <c r="I354" s="618"/>
      <c r="J354" s="423"/>
      <c r="K354" s="423"/>
      <c r="L354" s="423"/>
      <c r="M354" s="423"/>
      <c r="N354" s="423"/>
      <c r="O354" s="423"/>
      <c r="P354" s="423"/>
      <c r="Q354" s="423"/>
      <c r="S354" s="427"/>
      <c r="T354" s="423"/>
      <c r="U354" s="423"/>
      <c r="V354" s="618"/>
      <c r="W354" s="423"/>
      <c r="X354" s="423"/>
      <c r="Y354" s="423"/>
      <c r="Z354" s="423"/>
      <c r="AA354" s="423"/>
      <c r="AB354" s="423"/>
      <c r="AC354" s="423"/>
      <c r="AD354" s="423"/>
    </row>
    <row r="355" spans="1:30" s="395" customFormat="1" x14ac:dyDescent="0.2">
      <c r="A355" s="584" t="s">
        <v>583</v>
      </c>
      <c r="B355" s="572" t="s">
        <v>619</v>
      </c>
      <c r="C355" s="509"/>
      <c r="D355" s="408"/>
      <c r="E355" s="408"/>
      <c r="F355" s="600" t="s">
        <v>616</v>
      </c>
      <c r="G355" s="600" t="s">
        <v>488</v>
      </c>
      <c r="H355" s="600" t="s">
        <v>489</v>
      </c>
      <c r="I355" s="604" t="s">
        <v>490</v>
      </c>
      <c r="J355" s="600" t="s">
        <v>491</v>
      </c>
      <c r="K355" s="600" t="s">
        <v>492</v>
      </c>
      <c r="L355" s="600" t="s">
        <v>493</v>
      </c>
      <c r="M355" s="600" t="s">
        <v>494</v>
      </c>
      <c r="N355" s="600" t="s">
        <v>495</v>
      </c>
      <c r="O355" s="600" t="s">
        <v>496</v>
      </c>
      <c r="P355" s="600" t="s">
        <v>497</v>
      </c>
      <c r="Q355" s="600" t="s">
        <v>498</v>
      </c>
      <c r="S355" s="600" t="s">
        <v>487</v>
      </c>
      <c r="T355" s="600" t="s">
        <v>488</v>
      </c>
      <c r="U355" s="600" t="s">
        <v>489</v>
      </c>
      <c r="V355" s="604" t="s">
        <v>490</v>
      </c>
      <c r="W355" s="600" t="s">
        <v>491</v>
      </c>
      <c r="X355" s="600" t="s">
        <v>492</v>
      </c>
      <c r="Y355" s="600" t="s">
        <v>493</v>
      </c>
      <c r="Z355" s="600" t="s">
        <v>494</v>
      </c>
      <c r="AA355" s="600" t="s">
        <v>495</v>
      </c>
      <c r="AB355" s="600" t="s">
        <v>496</v>
      </c>
      <c r="AC355" s="600" t="s">
        <v>497</v>
      </c>
      <c r="AD355" s="600" t="s">
        <v>498</v>
      </c>
    </row>
    <row r="356" spans="1:30" s="395" customFormat="1" x14ac:dyDescent="0.2">
      <c r="A356" s="576">
        <v>1</v>
      </c>
      <c r="B356" s="590" t="s">
        <v>503</v>
      </c>
      <c r="C356" s="590" t="s">
        <v>504</v>
      </c>
      <c r="D356" s="589">
        <v>331</v>
      </c>
      <c r="E356" s="588"/>
      <c r="F356" s="628" t="s">
        <v>358</v>
      </c>
      <c r="G356" s="629" t="s">
        <v>358</v>
      </c>
      <c r="H356" s="629" t="s">
        <v>358</v>
      </c>
      <c r="I356" s="629" t="s">
        <v>358</v>
      </c>
      <c r="J356" s="629" t="s">
        <v>358</v>
      </c>
      <c r="K356" s="629" t="s">
        <v>358</v>
      </c>
      <c r="L356" s="629" t="s">
        <v>358</v>
      </c>
      <c r="M356" s="629" t="s">
        <v>358</v>
      </c>
      <c r="N356" s="629" t="s">
        <v>358</v>
      </c>
      <c r="O356" s="630">
        <v>54562200</v>
      </c>
      <c r="P356" s="629" t="s">
        <v>358</v>
      </c>
      <c r="Q356" s="630">
        <v>52344335</v>
      </c>
      <c r="S356" s="581"/>
      <c r="T356" s="588"/>
      <c r="U356" s="588"/>
      <c r="V356" s="609"/>
      <c r="W356" s="588"/>
      <c r="X356" s="588"/>
      <c r="Y356" s="588"/>
      <c r="Z356" s="588"/>
      <c r="AA356" s="588"/>
      <c r="AB356" s="588"/>
      <c r="AC356" s="588"/>
      <c r="AD356" s="588"/>
    </row>
    <row r="357" spans="1:30" s="395" customFormat="1" x14ac:dyDescent="0.2">
      <c r="A357" s="422"/>
      <c r="B357" s="495"/>
      <c r="C357" s="495"/>
      <c r="D357" s="463">
        <v>338</v>
      </c>
      <c r="E357" s="500"/>
      <c r="F357" s="427"/>
      <c r="G357" s="423"/>
      <c r="H357" s="423"/>
      <c r="I357" s="607"/>
      <c r="J357" s="423"/>
      <c r="K357" s="423"/>
      <c r="L357" s="423"/>
      <c r="M357" s="423"/>
      <c r="N357" s="423"/>
      <c r="O357" s="423"/>
      <c r="P357" s="423"/>
      <c r="Q357" s="423"/>
      <c r="S357" s="427"/>
      <c r="T357" s="423"/>
      <c r="U357" s="423"/>
      <c r="V357" s="607"/>
      <c r="W357" s="423"/>
      <c r="X357" s="423"/>
      <c r="Y357" s="423"/>
      <c r="Z357" s="423"/>
      <c r="AA357" s="423"/>
      <c r="AB357" s="423"/>
      <c r="AC357" s="423"/>
      <c r="AD357" s="423"/>
    </row>
    <row r="358" spans="1:30" s="395" customFormat="1" x14ac:dyDescent="0.2">
      <c r="A358" s="576">
        <v>2</v>
      </c>
      <c r="B358" s="590" t="s">
        <v>513</v>
      </c>
      <c r="C358" s="590" t="s">
        <v>514</v>
      </c>
      <c r="D358" s="589">
        <v>331</v>
      </c>
      <c r="E358" s="588"/>
      <c r="F358" s="628" t="s">
        <v>358</v>
      </c>
      <c r="G358" s="629" t="s">
        <v>358</v>
      </c>
      <c r="H358" s="630">
        <v>29160000</v>
      </c>
      <c r="I358" s="630">
        <v>72900000</v>
      </c>
      <c r="J358" s="630">
        <v>58320000</v>
      </c>
      <c r="K358" s="629" t="s">
        <v>358</v>
      </c>
      <c r="L358" s="630">
        <v>108540000</v>
      </c>
      <c r="M358" s="630">
        <v>21060000</v>
      </c>
      <c r="N358" s="629" t="s">
        <v>358</v>
      </c>
      <c r="O358" s="629" t="s">
        <v>358</v>
      </c>
      <c r="P358" s="629" t="s">
        <v>358</v>
      </c>
      <c r="Q358" s="629" t="s">
        <v>358</v>
      </c>
      <c r="S358" s="581"/>
      <c r="T358" s="588"/>
      <c r="U358" s="588"/>
      <c r="V358" s="606"/>
      <c r="W358" s="588"/>
      <c r="X358" s="588"/>
      <c r="Y358" s="588"/>
      <c r="Z358" s="588"/>
      <c r="AA358" s="588"/>
      <c r="AB358" s="588"/>
      <c r="AC358" s="588"/>
      <c r="AD358" s="588"/>
    </row>
    <row r="359" spans="1:30" s="395" customFormat="1" x14ac:dyDescent="0.2">
      <c r="A359" s="422"/>
      <c r="B359" s="495"/>
      <c r="C359" s="495"/>
      <c r="D359" s="463">
        <v>338</v>
      </c>
      <c r="E359" s="500"/>
      <c r="F359" s="427"/>
      <c r="G359" s="423"/>
      <c r="H359" s="423"/>
      <c r="I359" s="607"/>
      <c r="J359" s="423"/>
      <c r="K359" s="423"/>
      <c r="L359" s="423"/>
      <c r="M359" s="423"/>
      <c r="N359" s="423"/>
      <c r="O359" s="423"/>
      <c r="P359" s="423"/>
      <c r="Q359" s="423"/>
      <c r="S359" s="427"/>
      <c r="T359" s="423"/>
      <c r="U359" s="423"/>
      <c r="V359" s="607"/>
      <c r="W359" s="423"/>
      <c r="X359" s="423"/>
      <c r="Y359" s="423"/>
      <c r="Z359" s="423"/>
      <c r="AA359" s="423"/>
      <c r="AB359" s="423"/>
      <c r="AC359" s="423"/>
      <c r="AD359" s="423"/>
    </row>
    <row r="360" spans="1:30" s="395" customFormat="1" x14ac:dyDescent="0.2">
      <c r="A360" s="576">
        <v>3</v>
      </c>
      <c r="B360" s="590" t="s">
        <v>519</v>
      </c>
      <c r="C360" s="590" t="s">
        <v>520</v>
      </c>
      <c r="D360" s="589">
        <v>331</v>
      </c>
      <c r="E360" s="588"/>
      <c r="F360" s="581"/>
      <c r="G360" s="588"/>
      <c r="H360" s="588"/>
      <c r="I360" s="606"/>
      <c r="J360" s="588"/>
      <c r="K360" s="588"/>
      <c r="L360" s="588"/>
      <c r="M360" s="588"/>
      <c r="N360" s="588"/>
      <c r="O360" s="588"/>
      <c r="P360" s="588"/>
      <c r="Q360" s="588"/>
      <c r="S360" s="581"/>
      <c r="T360" s="588"/>
      <c r="U360" s="588"/>
      <c r="V360" s="606"/>
      <c r="W360" s="588"/>
      <c r="X360" s="588"/>
      <c r="Y360" s="588"/>
      <c r="Z360" s="588"/>
      <c r="AA360" s="588"/>
      <c r="AB360" s="588"/>
      <c r="AC360" s="588"/>
      <c r="AD360" s="588"/>
    </row>
    <row r="361" spans="1:30" s="395" customFormat="1" x14ac:dyDescent="0.2">
      <c r="A361" s="422"/>
      <c r="B361" s="495"/>
      <c r="C361" s="495"/>
      <c r="D361" s="463">
        <v>338</v>
      </c>
      <c r="E361" s="500"/>
      <c r="F361" s="427"/>
      <c r="G361" s="423"/>
      <c r="H361" s="423"/>
      <c r="I361" s="607"/>
      <c r="J361" s="423"/>
      <c r="K361" s="423"/>
      <c r="L361" s="423"/>
      <c r="M361" s="423"/>
      <c r="N361" s="423"/>
      <c r="O361" s="423"/>
      <c r="P361" s="423"/>
      <c r="Q361" s="423"/>
      <c r="S361" s="427"/>
      <c r="T361" s="423"/>
      <c r="U361" s="423"/>
      <c r="V361" s="607"/>
      <c r="W361" s="423"/>
      <c r="X361" s="423"/>
      <c r="Y361" s="423"/>
      <c r="Z361" s="423"/>
      <c r="AA361" s="423"/>
      <c r="AB361" s="423"/>
      <c r="AC361" s="423"/>
      <c r="AD361" s="423"/>
    </row>
    <row r="362" spans="1:30" s="395" customFormat="1" x14ac:dyDescent="0.2">
      <c r="A362" s="576">
        <v>4</v>
      </c>
      <c r="B362" s="590" t="s">
        <v>522</v>
      </c>
      <c r="C362" s="590" t="s">
        <v>523</v>
      </c>
      <c r="D362" s="589">
        <v>331</v>
      </c>
      <c r="E362" s="588"/>
      <c r="F362" s="581"/>
      <c r="G362" s="588"/>
      <c r="H362" s="588"/>
      <c r="I362" s="606"/>
      <c r="J362" s="588"/>
      <c r="K362" s="588"/>
      <c r="L362" s="588"/>
      <c r="M362" s="588"/>
      <c r="N362" s="588"/>
      <c r="O362" s="588"/>
      <c r="P362" s="588"/>
      <c r="Q362" s="588"/>
      <c r="S362" s="581"/>
      <c r="T362" s="588"/>
      <c r="U362" s="588"/>
      <c r="V362" s="606"/>
      <c r="W362" s="588"/>
      <c r="X362" s="588"/>
      <c r="Y362" s="588"/>
      <c r="Z362" s="588"/>
      <c r="AA362" s="588"/>
      <c r="AB362" s="588"/>
      <c r="AC362" s="588"/>
      <c r="AD362" s="588"/>
    </row>
    <row r="363" spans="1:30" s="395" customFormat="1" x14ac:dyDescent="0.2">
      <c r="A363" s="422"/>
      <c r="B363" s="495"/>
      <c r="C363" s="495"/>
      <c r="D363" s="463">
        <v>338</v>
      </c>
      <c r="E363" s="500"/>
      <c r="F363" s="427"/>
      <c r="G363" s="423"/>
      <c r="H363" s="423"/>
      <c r="I363" s="607"/>
      <c r="J363" s="423"/>
      <c r="K363" s="423"/>
      <c r="L363" s="423"/>
      <c r="M363" s="423"/>
      <c r="N363" s="423"/>
      <c r="O363" s="423"/>
      <c r="P363" s="423"/>
      <c r="Q363" s="423"/>
      <c r="S363" s="427"/>
      <c r="T363" s="423"/>
      <c r="U363" s="423"/>
      <c r="V363" s="607"/>
      <c r="W363" s="423"/>
      <c r="X363" s="423"/>
      <c r="Y363" s="423"/>
      <c r="Z363" s="423"/>
      <c r="AA363" s="423"/>
      <c r="AB363" s="423"/>
      <c r="AC363" s="423"/>
      <c r="AD363" s="423"/>
    </row>
    <row r="364" spans="1:30" s="395" customFormat="1" x14ac:dyDescent="0.2">
      <c r="A364" s="576">
        <v>5</v>
      </c>
      <c r="B364" s="590" t="s">
        <v>524</v>
      </c>
      <c r="C364" s="590" t="s">
        <v>525</v>
      </c>
      <c r="D364" s="589">
        <v>331</v>
      </c>
      <c r="E364" s="588"/>
      <c r="F364" s="581"/>
      <c r="G364" s="588"/>
      <c r="H364" s="588"/>
      <c r="I364" s="606"/>
      <c r="J364" s="588"/>
      <c r="K364" s="588"/>
      <c r="L364" s="588"/>
      <c r="M364" s="588"/>
      <c r="N364" s="588"/>
      <c r="O364" s="588"/>
      <c r="P364" s="588"/>
      <c r="Q364" s="588"/>
      <c r="S364" s="581"/>
      <c r="T364" s="588"/>
      <c r="U364" s="588"/>
      <c r="V364" s="606"/>
      <c r="W364" s="588"/>
      <c r="X364" s="588"/>
      <c r="Y364" s="588"/>
      <c r="Z364" s="588"/>
      <c r="AA364" s="588"/>
      <c r="AB364" s="588"/>
      <c r="AC364" s="588"/>
      <c r="AD364" s="588"/>
    </row>
    <row r="365" spans="1:30" s="395" customFormat="1" x14ac:dyDescent="0.2">
      <c r="A365" s="422"/>
      <c r="B365" s="495"/>
      <c r="C365" s="495"/>
      <c r="D365" s="463">
        <v>338</v>
      </c>
      <c r="E365" s="500"/>
      <c r="F365" s="427"/>
      <c r="G365" s="423"/>
      <c r="H365" s="423"/>
      <c r="I365" s="607"/>
      <c r="J365" s="423"/>
      <c r="K365" s="423"/>
      <c r="L365" s="423"/>
      <c r="M365" s="423"/>
      <c r="N365" s="423"/>
      <c r="O365" s="423"/>
      <c r="P365" s="423"/>
      <c r="Q365" s="423"/>
      <c r="S365" s="427"/>
      <c r="T365" s="423"/>
      <c r="U365" s="423"/>
      <c r="V365" s="607"/>
      <c r="W365" s="423"/>
      <c r="X365" s="423"/>
      <c r="Y365" s="423"/>
      <c r="Z365" s="423"/>
      <c r="AA365" s="423"/>
      <c r="AB365" s="423"/>
      <c r="AC365" s="423"/>
      <c r="AD365" s="423"/>
    </row>
    <row r="366" spans="1:30" s="395" customFormat="1" x14ac:dyDescent="0.2">
      <c r="A366" s="576">
        <v>6</v>
      </c>
      <c r="B366" s="590" t="s">
        <v>527</v>
      </c>
      <c r="C366" s="590" t="s">
        <v>528</v>
      </c>
      <c r="D366" s="589">
        <v>331</v>
      </c>
      <c r="E366" s="588"/>
      <c r="F366" s="581"/>
      <c r="G366" s="588"/>
      <c r="H366" s="588"/>
      <c r="I366" s="606"/>
      <c r="J366" s="588"/>
      <c r="K366" s="588"/>
      <c r="L366" s="588"/>
      <c r="M366" s="588"/>
      <c r="N366" s="588"/>
      <c r="O366" s="588"/>
      <c r="P366" s="588"/>
      <c r="Q366" s="588"/>
      <c r="S366" s="581"/>
      <c r="T366" s="588"/>
      <c r="U366" s="588"/>
      <c r="V366" s="606"/>
      <c r="W366" s="588"/>
      <c r="X366" s="588"/>
      <c r="Y366" s="588"/>
      <c r="Z366" s="588"/>
      <c r="AA366" s="588"/>
      <c r="AB366" s="588"/>
      <c r="AC366" s="588"/>
      <c r="AD366" s="588"/>
    </row>
    <row r="367" spans="1:30" s="395" customFormat="1" x14ac:dyDescent="0.2">
      <c r="A367" s="422"/>
      <c r="B367" s="495"/>
      <c r="C367" s="495"/>
      <c r="D367" s="463">
        <v>338</v>
      </c>
      <c r="E367" s="423"/>
      <c r="F367" s="427"/>
      <c r="G367" s="423"/>
      <c r="H367" s="423"/>
      <c r="I367" s="607"/>
      <c r="J367" s="423"/>
      <c r="K367" s="423"/>
      <c r="L367" s="423"/>
      <c r="M367" s="423"/>
      <c r="N367" s="423"/>
      <c r="O367" s="423"/>
      <c r="P367" s="423"/>
      <c r="Q367" s="423"/>
      <c r="S367" s="427"/>
      <c r="T367" s="423"/>
      <c r="U367" s="423"/>
      <c r="V367" s="607"/>
      <c r="W367" s="423"/>
      <c r="X367" s="423"/>
      <c r="Y367" s="423"/>
      <c r="Z367" s="423"/>
      <c r="AA367" s="423"/>
      <c r="AB367" s="423"/>
      <c r="AC367" s="423"/>
      <c r="AD367" s="423"/>
    </row>
    <row r="368" spans="1:30" s="395" customFormat="1" x14ac:dyDescent="0.2">
      <c r="A368" s="576">
        <v>7</v>
      </c>
      <c r="B368" s="577" t="s">
        <v>531</v>
      </c>
      <c r="C368" s="577" t="s">
        <v>532</v>
      </c>
      <c r="D368" s="589">
        <v>331</v>
      </c>
      <c r="E368" s="652"/>
      <c r="F368" s="581"/>
      <c r="G368" s="588"/>
      <c r="H368" s="588"/>
      <c r="I368" s="606"/>
      <c r="J368" s="588"/>
      <c r="K368" s="588"/>
      <c r="L368" s="588"/>
      <c r="M368" s="588"/>
      <c r="N368" s="588"/>
      <c r="O368" s="588"/>
      <c r="P368" s="588"/>
      <c r="Q368" s="588"/>
      <c r="S368" s="581"/>
      <c r="T368" s="588"/>
      <c r="U368" s="588"/>
      <c r="V368" s="606"/>
      <c r="W368" s="588"/>
      <c r="X368" s="588"/>
      <c r="Y368" s="588"/>
      <c r="Z368" s="588"/>
      <c r="AA368" s="588"/>
      <c r="AB368" s="588"/>
      <c r="AC368" s="588"/>
      <c r="AD368" s="588"/>
    </row>
    <row r="369" spans="1:30" s="395" customFormat="1" x14ac:dyDescent="0.2">
      <c r="A369" s="422"/>
      <c r="B369" s="495"/>
      <c r="C369" s="495"/>
      <c r="D369" s="463">
        <v>338</v>
      </c>
      <c r="E369" s="501"/>
      <c r="F369" s="427"/>
      <c r="G369" s="423"/>
      <c r="H369" s="423"/>
      <c r="I369" s="607"/>
      <c r="J369" s="423"/>
      <c r="K369" s="423"/>
      <c r="L369" s="423"/>
      <c r="M369" s="423"/>
      <c r="N369" s="423"/>
      <c r="O369" s="423"/>
      <c r="P369" s="423"/>
      <c r="Q369" s="423"/>
      <c r="S369" s="427"/>
      <c r="T369" s="423"/>
      <c r="U369" s="423"/>
      <c r="V369" s="607"/>
      <c r="W369" s="423"/>
      <c r="X369" s="423"/>
      <c r="Y369" s="423"/>
      <c r="Z369" s="423"/>
      <c r="AA369" s="423"/>
      <c r="AB369" s="423"/>
      <c r="AC369" s="423"/>
      <c r="AD369" s="423"/>
    </row>
    <row r="370" spans="1:30" s="395" customFormat="1" x14ac:dyDescent="0.2">
      <c r="A370" s="576">
        <v>8</v>
      </c>
      <c r="B370" s="590" t="s">
        <v>533</v>
      </c>
      <c r="C370" s="590" t="s">
        <v>534</v>
      </c>
      <c r="D370" s="589">
        <v>331</v>
      </c>
      <c r="E370" s="588"/>
      <c r="F370" s="581"/>
      <c r="G370" s="588"/>
      <c r="H370" s="588"/>
      <c r="I370" s="606"/>
      <c r="J370" s="588"/>
      <c r="K370" s="588"/>
      <c r="L370" s="588"/>
      <c r="M370" s="588"/>
      <c r="N370" s="588"/>
      <c r="O370" s="588"/>
      <c r="P370" s="588"/>
      <c r="Q370" s="588"/>
      <c r="S370" s="581"/>
      <c r="T370" s="588"/>
      <c r="U370" s="588"/>
      <c r="V370" s="606"/>
      <c r="W370" s="588"/>
      <c r="X370" s="588"/>
      <c r="Y370" s="588"/>
      <c r="Z370" s="588"/>
      <c r="AA370" s="588"/>
      <c r="AB370" s="588"/>
      <c r="AC370" s="588"/>
      <c r="AD370" s="588"/>
    </row>
    <row r="371" spans="1:30" s="395" customFormat="1" x14ac:dyDescent="0.2">
      <c r="A371" s="422"/>
      <c r="B371" s="495"/>
      <c r="C371" s="495"/>
      <c r="D371" s="463">
        <v>338</v>
      </c>
      <c r="E371" s="500"/>
      <c r="F371" s="427"/>
      <c r="G371" s="423"/>
      <c r="H371" s="423"/>
      <c r="I371" s="607"/>
      <c r="J371" s="423"/>
      <c r="K371" s="423"/>
      <c r="L371" s="423"/>
      <c r="M371" s="423"/>
      <c r="N371" s="423"/>
      <c r="O371" s="423"/>
      <c r="P371" s="423"/>
      <c r="Q371" s="423"/>
      <c r="S371" s="427"/>
      <c r="T371" s="423"/>
      <c r="U371" s="423"/>
      <c r="V371" s="607"/>
      <c r="W371" s="423"/>
      <c r="X371" s="423"/>
      <c r="Y371" s="423"/>
      <c r="Z371" s="423"/>
      <c r="AA371" s="423"/>
      <c r="AB371" s="423"/>
      <c r="AC371" s="423"/>
      <c r="AD371" s="423"/>
    </row>
    <row r="372" spans="1:30" s="395" customFormat="1" x14ac:dyDescent="0.2">
      <c r="A372" s="576">
        <v>9</v>
      </c>
      <c r="B372" s="590" t="s">
        <v>536</v>
      </c>
      <c r="C372" s="590" t="s">
        <v>537</v>
      </c>
      <c r="D372" s="589">
        <v>331</v>
      </c>
      <c r="E372" s="588"/>
      <c r="F372" s="581"/>
      <c r="G372" s="588"/>
      <c r="H372" s="588"/>
      <c r="I372" s="606"/>
      <c r="J372" s="588"/>
      <c r="K372" s="588"/>
      <c r="L372" s="588"/>
      <c r="M372" s="588"/>
      <c r="N372" s="588"/>
      <c r="O372" s="588"/>
      <c r="P372" s="588"/>
      <c r="Q372" s="588"/>
      <c r="S372" s="581"/>
      <c r="T372" s="588"/>
      <c r="U372" s="588"/>
      <c r="V372" s="606"/>
      <c r="W372" s="588"/>
      <c r="X372" s="588"/>
      <c r="Y372" s="588"/>
      <c r="Z372" s="588"/>
      <c r="AA372" s="588"/>
      <c r="AB372" s="588"/>
      <c r="AC372" s="588"/>
      <c r="AD372" s="588"/>
    </row>
    <row r="373" spans="1:30" s="395" customFormat="1" x14ac:dyDescent="0.2">
      <c r="A373" s="422"/>
      <c r="B373" s="495"/>
      <c r="C373" s="495"/>
      <c r="D373" s="463">
        <v>338</v>
      </c>
      <c r="E373" s="500"/>
      <c r="F373" s="427"/>
      <c r="G373" s="423"/>
      <c r="H373" s="423"/>
      <c r="I373" s="607"/>
      <c r="J373" s="423"/>
      <c r="K373" s="423"/>
      <c r="L373" s="423"/>
      <c r="M373" s="423"/>
      <c r="N373" s="423"/>
      <c r="O373" s="423"/>
      <c r="P373" s="423"/>
      <c r="Q373" s="423"/>
      <c r="S373" s="427"/>
      <c r="T373" s="423"/>
      <c r="U373" s="423"/>
      <c r="V373" s="607"/>
      <c r="W373" s="423"/>
      <c r="X373" s="423"/>
      <c r="Y373" s="423"/>
      <c r="Z373" s="423"/>
      <c r="AA373" s="423"/>
      <c r="AB373" s="423"/>
      <c r="AC373" s="423"/>
      <c r="AD373" s="423"/>
    </row>
    <row r="374" spans="1:30" s="395" customFormat="1" x14ac:dyDescent="0.2">
      <c r="A374" s="576">
        <v>10</v>
      </c>
      <c r="B374" s="590" t="s">
        <v>538</v>
      </c>
      <c r="C374" s="590" t="s">
        <v>539</v>
      </c>
      <c r="D374" s="589">
        <v>331</v>
      </c>
      <c r="E374" s="588"/>
      <c r="F374" s="581"/>
      <c r="G374" s="588"/>
      <c r="H374" s="588"/>
      <c r="I374" s="606"/>
      <c r="J374" s="588"/>
      <c r="K374" s="588"/>
      <c r="L374" s="588"/>
      <c r="M374" s="588"/>
      <c r="N374" s="588"/>
      <c r="O374" s="588"/>
      <c r="P374" s="588"/>
      <c r="Q374" s="588"/>
      <c r="S374" s="581"/>
      <c r="T374" s="588"/>
      <c r="U374" s="588"/>
      <c r="V374" s="606"/>
      <c r="W374" s="588"/>
      <c r="X374" s="588"/>
      <c r="Y374" s="588"/>
      <c r="Z374" s="588"/>
      <c r="AA374" s="588"/>
      <c r="AB374" s="588"/>
      <c r="AC374" s="588"/>
      <c r="AD374" s="588"/>
    </row>
    <row r="375" spans="1:30" s="395" customFormat="1" x14ac:dyDescent="0.2">
      <c r="A375" s="422"/>
      <c r="B375" s="495"/>
      <c r="C375" s="495"/>
      <c r="D375" s="463">
        <v>338</v>
      </c>
      <c r="E375" s="500"/>
      <c r="F375" s="427"/>
      <c r="G375" s="423"/>
      <c r="H375" s="423"/>
      <c r="I375" s="607"/>
      <c r="J375" s="423"/>
      <c r="K375" s="423"/>
      <c r="L375" s="423"/>
      <c r="M375" s="423"/>
      <c r="N375" s="423"/>
      <c r="O375" s="423"/>
      <c r="P375" s="423"/>
      <c r="Q375" s="423"/>
      <c r="S375" s="427"/>
      <c r="T375" s="423"/>
      <c r="U375" s="423"/>
      <c r="V375" s="607"/>
      <c r="W375" s="423"/>
      <c r="X375" s="423"/>
      <c r="Y375" s="423"/>
      <c r="Z375" s="423"/>
      <c r="AA375" s="423"/>
      <c r="AB375" s="423"/>
      <c r="AC375" s="423"/>
      <c r="AD375" s="423"/>
    </row>
    <row r="376" spans="1:30" s="395" customFormat="1" x14ac:dyDescent="0.2">
      <c r="A376" s="635">
        <v>11</v>
      </c>
      <c r="B376" s="636" t="s">
        <v>540</v>
      </c>
      <c r="C376" s="636" t="s">
        <v>541</v>
      </c>
      <c r="D376" s="463">
        <v>331</v>
      </c>
      <c r="E376" s="637"/>
      <c r="F376" s="638" t="s">
        <v>358</v>
      </c>
      <c r="G376" s="639" t="s">
        <v>358</v>
      </c>
      <c r="H376" s="639" t="s">
        <v>358</v>
      </c>
      <c r="I376" s="640" t="s">
        <v>358</v>
      </c>
      <c r="J376" s="639" t="s">
        <v>358</v>
      </c>
      <c r="K376" s="639">
        <v>199500000</v>
      </c>
      <c r="L376" s="639" t="s">
        <v>358</v>
      </c>
      <c r="M376" s="639">
        <v>264000000</v>
      </c>
      <c r="N376" s="639" t="s">
        <v>358</v>
      </c>
      <c r="O376" s="639" t="s">
        <v>358</v>
      </c>
      <c r="P376" s="639" t="s">
        <v>358</v>
      </c>
      <c r="Q376" s="639" t="s">
        <v>358</v>
      </c>
      <c r="R376" s="641"/>
      <c r="S376" s="638"/>
      <c r="T376" s="639"/>
      <c r="U376" s="639"/>
      <c r="V376" s="640"/>
      <c r="W376" s="639">
        <v>79920000</v>
      </c>
      <c r="X376" s="639"/>
      <c r="Y376" s="639"/>
      <c r="Z376" s="639"/>
      <c r="AA376" s="639"/>
      <c r="AB376" s="639"/>
      <c r="AC376" s="639"/>
      <c r="AD376" s="639"/>
    </row>
    <row r="377" spans="1:30" s="395" customFormat="1" x14ac:dyDescent="0.2">
      <c r="A377" s="422"/>
      <c r="B377" s="495"/>
      <c r="C377" s="495"/>
      <c r="D377" s="463">
        <v>338</v>
      </c>
      <c r="E377" s="500"/>
      <c r="F377" s="427"/>
      <c r="G377" s="423"/>
      <c r="H377" s="423"/>
      <c r="I377" s="607"/>
      <c r="J377" s="423"/>
      <c r="K377" s="423"/>
      <c r="L377" s="423"/>
      <c r="M377" s="423"/>
      <c r="N377" s="423"/>
      <c r="O377" s="423"/>
      <c r="P377" s="423"/>
      <c r="Q377" s="423"/>
      <c r="S377" s="427"/>
      <c r="T377" s="423"/>
      <c r="U377" s="423"/>
      <c r="V377" s="607"/>
      <c r="W377" s="423"/>
      <c r="X377" s="423"/>
      <c r="Y377" s="423"/>
      <c r="Z377" s="423"/>
      <c r="AA377" s="423"/>
      <c r="AB377" s="423"/>
      <c r="AC377" s="423"/>
      <c r="AD377" s="423"/>
    </row>
    <row r="378" spans="1:30" s="395" customFormat="1" x14ac:dyDescent="0.2">
      <c r="A378" s="576">
        <v>12</v>
      </c>
      <c r="B378" s="590" t="s">
        <v>542</v>
      </c>
      <c r="C378" s="590" t="s">
        <v>543</v>
      </c>
      <c r="D378" s="589">
        <v>331</v>
      </c>
      <c r="E378" s="588"/>
      <c r="F378" s="581"/>
      <c r="G378" s="588"/>
      <c r="H378" s="588"/>
      <c r="I378" s="606"/>
      <c r="J378" s="588"/>
      <c r="K378" s="588"/>
      <c r="L378" s="588"/>
      <c r="M378" s="588"/>
      <c r="N378" s="588"/>
      <c r="O378" s="588"/>
      <c r="P378" s="588"/>
      <c r="Q378" s="588"/>
      <c r="S378" s="581"/>
      <c r="T378" s="588"/>
      <c r="U378" s="588"/>
      <c r="V378" s="606"/>
      <c r="W378" s="588"/>
      <c r="X378" s="588"/>
      <c r="Y378" s="588"/>
      <c r="Z378" s="588"/>
      <c r="AA378" s="588"/>
      <c r="AB378" s="588"/>
      <c r="AC378" s="588"/>
      <c r="AD378" s="588"/>
    </row>
    <row r="379" spans="1:30" s="395" customFormat="1" x14ac:dyDescent="0.2">
      <c r="A379" s="422"/>
      <c r="B379" s="495"/>
      <c r="C379" s="495"/>
      <c r="D379" s="463">
        <v>338</v>
      </c>
      <c r="E379" s="500"/>
      <c r="F379" s="427"/>
      <c r="G379" s="423"/>
      <c r="H379" s="423"/>
      <c r="I379" s="607"/>
      <c r="J379" s="423"/>
      <c r="K379" s="423"/>
      <c r="L379" s="423"/>
      <c r="M379" s="423"/>
      <c r="N379" s="423"/>
      <c r="O379" s="423"/>
      <c r="P379" s="423"/>
      <c r="Q379" s="423"/>
      <c r="S379" s="427"/>
      <c r="T379" s="423"/>
      <c r="U379" s="423"/>
      <c r="V379" s="607"/>
      <c r="W379" s="423"/>
      <c r="X379" s="423"/>
      <c r="Y379" s="423"/>
      <c r="Z379" s="423"/>
      <c r="AA379" s="423"/>
      <c r="AB379" s="423"/>
      <c r="AC379" s="423"/>
      <c r="AD379" s="423"/>
    </row>
    <row r="380" spans="1:30" s="395" customFormat="1" x14ac:dyDescent="0.2">
      <c r="A380" s="576">
        <v>13</v>
      </c>
      <c r="B380" s="590" t="s">
        <v>544</v>
      </c>
      <c r="C380" s="590" t="s">
        <v>545</v>
      </c>
      <c r="D380" s="589">
        <v>331</v>
      </c>
      <c r="E380" s="588"/>
      <c r="F380" s="581"/>
      <c r="G380" s="588"/>
      <c r="H380" s="588"/>
      <c r="I380" s="606"/>
      <c r="J380" s="588"/>
      <c r="K380" s="588"/>
      <c r="L380" s="588"/>
      <c r="M380" s="588"/>
      <c r="N380" s="588"/>
      <c r="O380" s="588"/>
      <c r="P380" s="588"/>
      <c r="Q380" s="588"/>
      <c r="S380" s="581"/>
      <c r="T380" s="588"/>
      <c r="U380" s="588"/>
      <c r="V380" s="606"/>
      <c r="W380" s="588"/>
      <c r="X380" s="588"/>
      <c r="Y380" s="588"/>
      <c r="Z380" s="588"/>
      <c r="AA380" s="588"/>
      <c r="AB380" s="588"/>
      <c r="AC380" s="588"/>
      <c r="AD380" s="588"/>
    </row>
    <row r="381" spans="1:30" s="395" customFormat="1" x14ac:dyDescent="0.2">
      <c r="A381" s="422"/>
      <c r="B381" s="495"/>
      <c r="C381" s="495"/>
      <c r="D381" s="463">
        <v>338</v>
      </c>
      <c r="E381" s="500"/>
      <c r="F381" s="427"/>
      <c r="G381" s="423"/>
      <c r="H381" s="423"/>
      <c r="I381" s="607"/>
      <c r="J381" s="423"/>
      <c r="K381" s="423"/>
      <c r="L381" s="423"/>
      <c r="M381" s="423"/>
      <c r="N381" s="423"/>
      <c r="O381" s="423"/>
      <c r="P381" s="423"/>
      <c r="Q381" s="423"/>
      <c r="S381" s="427"/>
      <c r="T381" s="423"/>
      <c r="U381" s="423"/>
      <c r="V381" s="607"/>
      <c r="W381" s="423"/>
      <c r="X381" s="423"/>
      <c r="Y381" s="423"/>
      <c r="Z381" s="423"/>
      <c r="AA381" s="423"/>
      <c r="AB381" s="423"/>
      <c r="AC381" s="423"/>
      <c r="AD381" s="423"/>
    </row>
    <row r="382" spans="1:30" s="395" customFormat="1" x14ac:dyDescent="0.2">
      <c r="A382" s="576">
        <v>14</v>
      </c>
      <c r="B382" s="590" t="s">
        <v>546</v>
      </c>
      <c r="C382" s="590" t="s">
        <v>547</v>
      </c>
      <c r="D382" s="589">
        <v>331</v>
      </c>
      <c r="E382" s="588"/>
      <c r="F382" s="581"/>
      <c r="G382" s="588"/>
      <c r="H382" s="588"/>
      <c r="I382" s="606"/>
      <c r="J382" s="588"/>
      <c r="K382" s="588"/>
      <c r="L382" s="588"/>
      <c r="M382" s="588"/>
      <c r="N382" s="588"/>
      <c r="O382" s="588"/>
      <c r="P382" s="588"/>
      <c r="Q382" s="588"/>
      <c r="S382" s="581"/>
      <c r="T382" s="588"/>
      <c r="U382" s="588"/>
      <c r="V382" s="606"/>
      <c r="W382" s="588"/>
      <c r="X382" s="588"/>
      <c r="Y382" s="588"/>
      <c r="Z382" s="588"/>
      <c r="AA382" s="588"/>
      <c r="AB382" s="588"/>
      <c r="AC382" s="588"/>
      <c r="AD382" s="588"/>
    </row>
    <row r="383" spans="1:30" s="395" customFormat="1" x14ac:dyDescent="0.2">
      <c r="A383" s="422"/>
      <c r="B383" s="495"/>
      <c r="C383" s="495"/>
      <c r="D383" s="463">
        <v>338</v>
      </c>
      <c r="E383" s="500"/>
      <c r="F383" s="427"/>
      <c r="G383" s="423"/>
      <c r="H383" s="423"/>
      <c r="I383" s="607"/>
      <c r="J383" s="423"/>
      <c r="K383" s="423"/>
      <c r="L383" s="423"/>
      <c r="M383" s="423"/>
      <c r="N383" s="423"/>
      <c r="O383" s="423"/>
      <c r="P383" s="423"/>
      <c r="Q383" s="423"/>
      <c r="S383" s="427"/>
      <c r="T383" s="423"/>
      <c r="U383" s="423"/>
      <c r="V383" s="607"/>
      <c r="W383" s="423"/>
      <c r="X383" s="423"/>
      <c r="Y383" s="423"/>
      <c r="Z383" s="423"/>
      <c r="AA383" s="423"/>
      <c r="AB383" s="423"/>
      <c r="AC383" s="423"/>
      <c r="AD383" s="423"/>
    </row>
    <row r="384" spans="1:30" s="395" customFormat="1" x14ac:dyDescent="0.2">
      <c r="A384" s="576">
        <v>15</v>
      </c>
      <c r="B384" s="590" t="s">
        <v>548</v>
      </c>
      <c r="C384" s="590" t="s">
        <v>549</v>
      </c>
      <c r="D384" s="589">
        <v>331</v>
      </c>
      <c r="E384" s="588"/>
      <c r="F384" s="581"/>
      <c r="G384" s="588"/>
      <c r="H384" s="588"/>
      <c r="I384" s="606"/>
      <c r="J384" s="588"/>
      <c r="K384" s="588"/>
      <c r="L384" s="588"/>
      <c r="M384" s="588"/>
      <c r="N384" s="588"/>
      <c r="O384" s="588"/>
      <c r="P384" s="588"/>
      <c r="Q384" s="588"/>
      <c r="S384" s="581"/>
      <c r="T384" s="588"/>
      <c r="U384" s="588"/>
      <c r="V384" s="606"/>
      <c r="W384" s="588"/>
      <c r="X384" s="588"/>
      <c r="Y384" s="588"/>
      <c r="Z384" s="588"/>
      <c r="AA384" s="588"/>
      <c r="AB384" s="588"/>
      <c r="AC384" s="588"/>
      <c r="AD384" s="588"/>
    </row>
    <row r="385" spans="1:30" s="395" customFormat="1" x14ac:dyDescent="0.2">
      <c r="A385" s="422"/>
      <c r="B385" s="495"/>
      <c r="C385" s="495"/>
      <c r="D385" s="463">
        <v>338</v>
      </c>
      <c r="E385" s="500"/>
      <c r="F385" s="427"/>
      <c r="G385" s="423"/>
      <c r="H385" s="423"/>
      <c r="I385" s="607"/>
      <c r="J385" s="423"/>
      <c r="K385" s="423"/>
      <c r="L385" s="423"/>
      <c r="M385" s="423"/>
      <c r="N385" s="423"/>
      <c r="O385" s="423"/>
      <c r="P385" s="423"/>
      <c r="Q385" s="423"/>
      <c r="S385" s="427"/>
      <c r="T385" s="423"/>
      <c r="U385" s="423"/>
      <c r="V385" s="607"/>
      <c r="W385" s="423"/>
      <c r="X385" s="423"/>
      <c r="Y385" s="423"/>
      <c r="Z385" s="423"/>
      <c r="AA385" s="423"/>
      <c r="AB385" s="423"/>
      <c r="AC385" s="423"/>
      <c r="AD385" s="423"/>
    </row>
    <row r="386" spans="1:30" s="395" customFormat="1" x14ac:dyDescent="0.2">
      <c r="A386" s="576">
        <v>16</v>
      </c>
      <c r="B386" s="590" t="s">
        <v>550</v>
      </c>
      <c r="C386" s="590" t="s">
        <v>551</v>
      </c>
      <c r="D386" s="589">
        <v>331</v>
      </c>
      <c r="E386" s="588"/>
      <c r="F386" s="581"/>
      <c r="G386" s="588"/>
      <c r="H386" s="588"/>
      <c r="I386" s="606"/>
      <c r="J386" s="588"/>
      <c r="K386" s="588"/>
      <c r="L386" s="588"/>
      <c r="M386" s="588"/>
      <c r="N386" s="588"/>
      <c r="O386" s="588"/>
      <c r="P386" s="588"/>
      <c r="Q386" s="588"/>
      <c r="S386" s="581"/>
      <c r="T386" s="588"/>
      <c r="U386" s="588"/>
      <c r="V386" s="606"/>
      <c r="W386" s="588"/>
      <c r="X386" s="588"/>
      <c r="Y386" s="588"/>
      <c r="Z386" s="588"/>
      <c r="AA386" s="588"/>
      <c r="AB386" s="588"/>
      <c r="AC386" s="588"/>
      <c r="AD386" s="588"/>
    </row>
    <row r="387" spans="1:30" s="395" customFormat="1" x14ac:dyDescent="0.2">
      <c r="A387" s="422"/>
      <c r="B387" s="495"/>
      <c r="C387" s="495"/>
      <c r="D387" s="463">
        <v>338</v>
      </c>
      <c r="E387" s="500"/>
      <c r="F387" s="427"/>
      <c r="G387" s="423"/>
      <c r="H387" s="423"/>
      <c r="I387" s="607"/>
      <c r="J387" s="423"/>
      <c r="K387" s="423"/>
      <c r="L387" s="423"/>
      <c r="M387" s="423"/>
      <c r="N387" s="423"/>
      <c r="O387" s="423"/>
      <c r="P387" s="423"/>
      <c r="Q387" s="423"/>
      <c r="S387" s="427"/>
      <c r="T387" s="423"/>
      <c r="U387" s="423"/>
      <c r="V387" s="607"/>
      <c r="W387" s="423"/>
      <c r="X387" s="423"/>
      <c r="Y387" s="423"/>
      <c r="Z387" s="423"/>
      <c r="AA387" s="423"/>
      <c r="AB387" s="423"/>
      <c r="AC387" s="423"/>
      <c r="AD387" s="423"/>
    </row>
    <row r="388" spans="1:30" s="395" customFormat="1" x14ac:dyDescent="0.2">
      <c r="A388" s="576">
        <v>17</v>
      </c>
      <c r="B388" s="590" t="s">
        <v>552</v>
      </c>
      <c r="C388" s="590" t="s">
        <v>553</v>
      </c>
      <c r="D388" s="589">
        <v>331</v>
      </c>
      <c r="E388" s="588"/>
      <c r="F388" s="581"/>
      <c r="G388" s="588"/>
      <c r="H388" s="588"/>
      <c r="I388" s="606"/>
      <c r="J388" s="588"/>
      <c r="K388" s="588"/>
      <c r="L388" s="588"/>
      <c r="M388" s="588"/>
      <c r="N388" s="588"/>
      <c r="O388" s="588"/>
      <c r="P388" s="588"/>
      <c r="Q388" s="588"/>
      <c r="S388" s="581"/>
      <c r="T388" s="588"/>
      <c r="U388" s="588"/>
      <c r="V388" s="606"/>
      <c r="W388" s="588"/>
      <c r="X388" s="588"/>
      <c r="Y388" s="588"/>
      <c r="Z388" s="588"/>
      <c r="AA388" s="588"/>
      <c r="AB388" s="588"/>
      <c r="AC388" s="588"/>
      <c r="AD388" s="588"/>
    </row>
    <row r="389" spans="1:30" s="395" customFormat="1" x14ac:dyDescent="0.2">
      <c r="A389" s="422"/>
      <c r="B389" s="495"/>
      <c r="C389" s="495"/>
      <c r="D389" s="463">
        <v>338</v>
      </c>
      <c r="E389" s="500"/>
      <c r="F389" s="427"/>
      <c r="G389" s="423"/>
      <c r="H389" s="423"/>
      <c r="I389" s="607"/>
      <c r="J389" s="423"/>
      <c r="K389" s="423"/>
      <c r="L389" s="423"/>
      <c r="M389" s="423"/>
      <c r="N389" s="423"/>
      <c r="O389" s="423"/>
      <c r="P389" s="423"/>
      <c r="Q389" s="423"/>
      <c r="S389" s="427"/>
      <c r="T389" s="423"/>
      <c r="U389" s="423"/>
      <c r="V389" s="607"/>
      <c r="W389" s="423"/>
      <c r="X389" s="423"/>
      <c r="Y389" s="423"/>
      <c r="Z389" s="423"/>
      <c r="AA389" s="423"/>
      <c r="AB389" s="423"/>
      <c r="AC389" s="423"/>
      <c r="AD389" s="423"/>
    </row>
    <row r="390" spans="1:30" s="395" customFormat="1" x14ac:dyDescent="0.2">
      <c r="A390" s="576">
        <v>18</v>
      </c>
      <c r="B390" s="590" t="s">
        <v>554</v>
      </c>
      <c r="C390" s="590" t="s">
        <v>555</v>
      </c>
      <c r="D390" s="589">
        <v>331</v>
      </c>
      <c r="E390" s="588"/>
      <c r="F390" s="581"/>
      <c r="G390" s="588"/>
      <c r="H390" s="588"/>
      <c r="I390" s="606"/>
      <c r="J390" s="588"/>
      <c r="K390" s="588"/>
      <c r="L390" s="588"/>
      <c r="M390" s="588"/>
      <c r="N390" s="588"/>
      <c r="O390" s="588"/>
      <c r="P390" s="588"/>
      <c r="Q390" s="588"/>
      <c r="S390" s="581"/>
      <c r="T390" s="588"/>
      <c r="U390" s="588"/>
      <c r="V390" s="606"/>
      <c r="W390" s="588"/>
      <c r="X390" s="588"/>
      <c r="Y390" s="588"/>
      <c r="Z390" s="588"/>
      <c r="AA390" s="588"/>
      <c r="AB390" s="588"/>
      <c r="AC390" s="588"/>
      <c r="AD390" s="588"/>
    </row>
    <row r="391" spans="1:30" s="395" customFormat="1" x14ac:dyDescent="0.2">
      <c r="A391" s="422"/>
      <c r="B391" s="495"/>
      <c r="C391" s="495"/>
      <c r="D391" s="463">
        <v>338</v>
      </c>
      <c r="E391" s="500"/>
      <c r="F391" s="427"/>
      <c r="G391" s="423"/>
      <c r="H391" s="423"/>
      <c r="I391" s="607"/>
      <c r="J391" s="423"/>
      <c r="K391" s="423"/>
      <c r="L391" s="423"/>
      <c r="M391" s="423"/>
      <c r="N391" s="423"/>
      <c r="O391" s="423"/>
      <c r="P391" s="423"/>
      <c r="Q391" s="423"/>
      <c r="S391" s="427"/>
      <c r="T391" s="423"/>
      <c r="U391" s="423"/>
      <c r="V391" s="607"/>
      <c r="W391" s="423"/>
      <c r="X391" s="423"/>
      <c r="Y391" s="423"/>
      <c r="Z391" s="423"/>
      <c r="AA391" s="423"/>
      <c r="AB391" s="423"/>
      <c r="AC391" s="423"/>
      <c r="AD391" s="423"/>
    </row>
    <row r="392" spans="1:30" s="395" customFormat="1" x14ac:dyDescent="0.2">
      <c r="A392" s="576">
        <v>19</v>
      </c>
      <c r="B392" s="577" t="s">
        <v>556</v>
      </c>
      <c r="C392" s="577" t="s">
        <v>557</v>
      </c>
      <c r="D392" s="589">
        <v>331</v>
      </c>
      <c r="E392" s="588"/>
      <c r="F392" s="581"/>
      <c r="G392" s="588"/>
      <c r="H392" s="588"/>
      <c r="I392" s="606"/>
      <c r="J392" s="588"/>
      <c r="K392" s="588"/>
      <c r="L392" s="588"/>
      <c r="M392" s="588"/>
      <c r="N392" s="588"/>
      <c r="O392" s="588"/>
      <c r="P392" s="588"/>
      <c r="Q392" s="588"/>
      <c r="S392" s="581"/>
      <c r="T392" s="588"/>
      <c r="U392" s="588"/>
      <c r="V392" s="606"/>
      <c r="W392" s="588"/>
      <c r="X392" s="588"/>
      <c r="Y392" s="588"/>
      <c r="Z392" s="588"/>
      <c r="AA392" s="588"/>
      <c r="AB392" s="588"/>
      <c r="AC392" s="588"/>
      <c r="AD392" s="588"/>
    </row>
    <row r="393" spans="1:30" s="395" customFormat="1" x14ac:dyDescent="0.2">
      <c r="A393" s="422"/>
      <c r="B393" s="495"/>
      <c r="C393" s="495"/>
      <c r="D393" s="463">
        <v>338</v>
      </c>
      <c r="E393" s="500"/>
      <c r="F393" s="427"/>
      <c r="G393" s="423"/>
      <c r="H393" s="423"/>
      <c r="I393" s="607"/>
      <c r="J393" s="423"/>
      <c r="K393" s="423"/>
      <c r="L393" s="423"/>
      <c r="M393" s="423"/>
      <c r="N393" s="423"/>
      <c r="O393" s="423"/>
      <c r="P393" s="423"/>
      <c r="Q393" s="423"/>
      <c r="S393" s="427"/>
      <c r="T393" s="423"/>
      <c r="U393" s="423"/>
      <c r="V393" s="607"/>
      <c r="W393" s="423"/>
      <c r="X393" s="423"/>
      <c r="Y393" s="423"/>
      <c r="Z393" s="423"/>
      <c r="AA393" s="423"/>
      <c r="AB393" s="423"/>
      <c r="AC393" s="423"/>
      <c r="AD393" s="423"/>
    </row>
    <row r="394" spans="1:30" s="395" customFormat="1" x14ac:dyDescent="0.2">
      <c r="A394" s="576">
        <v>20</v>
      </c>
      <c r="B394" s="590" t="s">
        <v>558</v>
      </c>
      <c r="C394" s="590" t="s">
        <v>559</v>
      </c>
      <c r="D394" s="589">
        <v>331</v>
      </c>
      <c r="E394" s="588"/>
      <c r="F394" s="581"/>
      <c r="G394" s="588"/>
      <c r="H394" s="588"/>
      <c r="I394" s="606"/>
      <c r="J394" s="588"/>
      <c r="K394" s="588"/>
      <c r="L394" s="588"/>
      <c r="M394" s="588"/>
      <c r="N394" s="588"/>
      <c r="O394" s="588"/>
      <c r="P394" s="588"/>
      <c r="Q394" s="588"/>
      <c r="S394" s="581"/>
      <c r="T394" s="588"/>
      <c r="U394" s="588"/>
      <c r="V394" s="606"/>
      <c r="W394" s="588"/>
      <c r="X394" s="588"/>
      <c r="Y394" s="588"/>
      <c r="Z394" s="588"/>
      <c r="AA394" s="588"/>
      <c r="AB394" s="588"/>
      <c r="AC394" s="588"/>
      <c r="AD394" s="588"/>
    </row>
    <row r="395" spans="1:30" s="395" customFormat="1" x14ac:dyDescent="0.2">
      <c r="A395" s="422"/>
      <c r="B395" s="495"/>
      <c r="C395" s="495"/>
      <c r="D395" s="463">
        <v>338</v>
      </c>
      <c r="E395" s="423"/>
      <c r="F395" s="427"/>
      <c r="G395" s="423"/>
      <c r="H395" s="423"/>
      <c r="I395" s="607"/>
      <c r="J395" s="423"/>
      <c r="K395" s="468"/>
      <c r="L395" s="423"/>
      <c r="M395" s="423"/>
      <c r="N395" s="423"/>
      <c r="O395" s="423"/>
      <c r="P395" s="423"/>
      <c r="Q395" s="423"/>
      <c r="S395" s="427"/>
      <c r="T395" s="423"/>
      <c r="U395" s="423"/>
      <c r="V395" s="607"/>
      <c r="W395" s="423"/>
      <c r="X395" s="468"/>
      <c r="Y395" s="423"/>
      <c r="Z395" s="423"/>
      <c r="AA395" s="423"/>
      <c r="AB395" s="423"/>
      <c r="AC395" s="423"/>
      <c r="AD395" s="423"/>
    </row>
    <row r="396" spans="1:30" s="395" customFormat="1" x14ac:dyDescent="0.2">
      <c r="A396" s="576">
        <v>21</v>
      </c>
      <c r="B396" s="590" t="s">
        <v>560</v>
      </c>
      <c r="C396" s="590" t="s">
        <v>561</v>
      </c>
      <c r="D396" s="589">
        <v>331</v>
      </c>
      <c r="E396" s="588"/>
      <c r="F396" s="581"/>
      <c r="G396" s="588"/>
      <c r="H396" s="588"/>
      <c r="I396" s="606"/>
      <c r="J396" s="588"/>
      <c r="K396" s="582"/>
      <c r="L396" s="588"/>
      <c r="M396" s="588"/>
      <c r="N396" s="588"/>
      <c r="O396" s="588"/>
      <c r="P396" s="588"/>
      <c r="Q396" s="588"/>
      <c r="S396" s="581"/>
      <c r="T396" s="588"/>
      <c r="U396" s="588"/>
      <c r="V396" s="606"/>
      <c r="W396" s="588"/>
      <c r="X396" s="582"/>
      <c r="Y396" s="588"/>
      <c r="Z396" s="588"/>
      <c r="AA396" s="588"/>
      <c r="AB396" s="588"/>
      <c r="AC396" s="588"/>
      <c r="AD396" s="588"/>
    </row>
    <row r="397" spans="1:30" s="395" customFormat="1" x14ac:dyDescent="0.2">
      <c r="A397" s="422"/>
      <c r="B397" s="495"/>
      <c r="C397" s="495"/>
      <c r="D397" s="463">
        <v>338</v>
      </c>
      <c r="E397" s="423"/>
      <c r="F397" s="427"/>
      <c r="G397" s="423"/>
      <c r="H397" s="423"/>
      <c r="I397" s="607"/>
      <c r="J397" s="423"/>
      <c r="K397" s="468"/>
      <c r="L397" s="423"/>
      <c r="M397" s="423"/>
      <c r="N397" s="423"/>
      <c r="O397" s="423"/>
      <c r="P397" s="423"/>
      <c r="Q397" s="423"/>
      <c r="S397" s="427"/>
      <c r="T397" s="423"/>
      <c r="U397" s="423"/>
      <c r="V397" s="607"/>
      <c r="W397" s="423"/>
      <c r="X397" s="468"/>
      <c r="Y397" s="423"/>
      <c r="Z397" s="423"/>
      <c r="AA397" s="423"/>
      <c r="AB397" s="423"/>
      <c r="AC397" s="423"/>
      <c r="AD397" s="423"/>
    </row>
    <row r="398" spans="1:30" s="395" customFormat="1" x14ac:dyDescent="0.2">
      <c r="A398" s="406">
        <v>22</v>
      </c>
      <c r="B398" s="407" t="s">
        <v>562</v>
      </c>
      <c r="C398" s="407" t="s">
        <v>563</v>
      </c>
      <c r="D398" s="409">
        <v>331</v>
      </c>
      <c r="E398" s="408"/>
      <c r="F398" s="412"/>
      <c r="G398" s="408"/>
      <c r="H398" s="408"/>
      <c r="I398" s="606"/>
      <c r="J398" s="408"/>
      <c r="K398" s="411"/>
      <c r="L398" s="408"/>
      <c r="M398" s="408"/>
      <c r="N398" s="408"/>
      <c r="O398" s="408"/>
      <c r="P398" s="408"/>
      <c r="Q398" s="408"/>
      <c r="S398" s="412"/>
      <c r="T398" s="408"/>
      <c r="U398" s="408"/>
      <c r="V398" s="606"/>
      <c r="W398" s="408"/>
      <c r="X398" s="411"/>
      <c r="Y398" s="408"/>
      <c r="Z398" s="408"/>
      <c r="AA398" s="408"/>
      <c r="AB398" s="408"/>
      <c r="AC398" s="408"/>
      <c r="AD398" s="408"/>
    </row>
    <row r="399" spans="1:30" s="395" customFormat="1" x14ac:dyDescent="0.2">
      <c r="A399" s="475"/>
      <c r="B399" s="495"/>
      <c r="C399" s="495"/>
      <c r="D399" s="463">
        <v>338</v>
      </c>
      <c r="E399" s="423"/>
      <c r="F399" s="427"/>
      <c r="G399" s="423"/>
      <c r="H399" s="423"/>
      <c r="I399" s="607"/>
      <c r="J399" s="423"/>
      <c r="K399" s="468"/>
      <c r="L399" s="423"/>
      <c r="M399" s="423"/>
      <c r="N399" s="423"/>
      <c r="O399" s="423"/>
      <c r="P399" s="423"/>
      <c r="Q399" s="423"/>
      <c r="S399" s="427"/>
      <c r="T399" s="423"/>
      <c r="U399" s="423"/>
      <c r="V399" s="607"/>
      <c r="W399" s="423"/>
      <c r="X399" s="468"/>
      <c r="Y399" s="423"/>
      <c r="Z399" s="423"/>
      <c r="AA399" s="423"/>
      <c r="AB399" s="423"/>
      <c r="AC399" s="423"/>
      <c r="AD399" s="423"/>
    </row>
    <row r="400" spans="1:30" s="395" customFormat="1" x14ac:dyDescent="0.2">
      <c r="A400" s="584" t="s">
        <v>592</v>
      </c>
      <c r="B400" s="572" t="s">
        <v>620</v>
      </c>
      <c r="C400" s="572"/>
      <c r="D400" s="586"/>
      <c r="E400" s="408"/>
      <c r="F400" s="600" t="s">
        <v>616</v>
      </c>
      <c r="G400" s="600" t="s">
        <v>488</v>
      </c>
      <c r="H400" s="600" t="s">
        <v>489</v>
      </c>
      <c r="I400" s="604" t="s">
        <v>490</v>
      </c>
      <c r="J400" s="600" t="s">
        <v>491</v>
      </c>
      <c r="K400" s="600" t="s">
        <v>492</v>
      </c>
      <c r="L400" s="600" t="s">
        <v>493</v>
      </c>
      <c r="M400" s="600" t="s">
        <v>494</v>
      </c>
      <c r="N400" s="600" t="s">
        <v>495</v>
      </c>
      <c r="O400" s="600" t="s">
        <v>496</v>
      </c>
      <c r="P400" s="600" t="s">
        <v>497</v>
      </c>
      <c r="Q400" s="600" t="s">
        <v>498</v>
      </c>
      <c r="S400" s="600" t="s">
        <v>487</v>
      </c>
      <c r="T400" s="600" t="s">
        <v>488</v>
      </c>
      <c r="U400" s="600" t="s">
        <v>489</v>
      </c>
      <c r="V400" s="604" t="s">
        <v>490</v>
      </c>
      <c r="W400" s="600" t="s">
        <v>491</v>
      </c>
      <c r="X400" s="600" t="s">
        <v>492</v>
      </c>
      <c r="Y400" s="600" t="s">
        <v>493</v>
      </c>
      <c r="Z400" s="600" t="s">
        <v>494</v>
      </c>
      <c r="AA400" s="600" t="s">
        <v>495</v>
      </c>
      <c r="AB400" s="600" t="s">
        <v>496</v>
      </c>
      <c r="AC400" s="600" t="s">
        <v>497</v>
      </c>
      <c r="AD400" s="600" t="s">
        <v>498</v>
      </c>
    </row>
    <row r="401" spans="1:30" s="395" customFormat="1" x14ac:dyDescent="0.2">
      <c r="A401" s="576">
        <v>1</v>
      </c>
      <c r="B401" s="588" t="s">
        <v>503</v>
      </c>
      <c r="C401" s="588" t="s">
        <v>504</v>
      </c>
      <c r="D401" s="589">
        <v>331</v>
      </c>
      <c r="E401" s="588"/>
      <c r="F401" s="581"/>
      <c r="G401" s="588"/>
      <c r="H401" s="588"/>
      <c r="I401" s="609"/>
      <c r="J401" s="588"/>
      <c r="K401" s="588"/>
      <c r="L401" s="588"/>
      <c r="M401" s="588"/>
      <c r="N401" s="588"/>
      <c r="O401" s="588"/>
      <c r="P401" s="588"/>
      <c r="Q401" s="588"/>
      <c r="S401" s="581"/>
      <c r="T401" s="588"/>
      <c r="U401" s="588"/>
      <c r="V401" s="609"/>
      <c r="W401" s="588"/>
      <c r="X401" s="588"/>
      <c r="Y401" s="588"/>
      <c r="Z401" s="588"/>
      <c r="AA401" s="588"/>
      <c r="AB401" s="588"/>
      <c r="AC401" s="588"/>
      <c r="AD401" s="588"/>
    </row>
    <row r="402" spans="1:30" s="395" customFormat="1" x14ac:dyDescent="0.2">
      <c r="A402" s="431">
        <v>2</v>
      </c>
      <c r="B402" s="414" t="s">
        <v>513</v>
      </c>
      <c r="C402" s="414" t="s">
        <v>514</v>
      </c>
      <c r="D402" s="418">
        <v>331</v>
      </c>
      <c r="E402" s="414"/>
      <c r="F402" s="446"/>
      <c r="G402" s="414"/>
      <c r="H402" s="414"/>
      <c r="I402" s="606"/>
      <c r="J402" s="414"/>
      <c r="K402" s="414"/>
      <c r="L402" s="414"/>
      <c r="M402" s="414"/>
      <c r="N402" s="414"/>
      <c r="O402" s="414"/>
      <c r="P402" s="414"/>
      <c r="Q402" s="414"/>
      <c r="S402" s="446"/>
      <c r="T402" s="414"/>
      <c r="U402" s="414"/>
      <c r="V402" s="606"/>
      <c r="W402" s="414"/>
      <c r="X402" s="414"/>
      <c r="Y402" s="414"/>
      <c r="Z402" s="414"/>
      <c r="AA402" s="414"/>
      <c r="AB402" s="414"/>
      <c r="AC402" s="414"/>
      <c r="AD402" s="414"/>
    </row>
    <row r="403" spans="1:30" s="395" customFormat="1" x14ac:dyDescent="0.2">
      <c r="A403" s="431">
        <v>3</v>
      </c>
      <c r="B403" s="439" t="s">
        <v>519</v>
      </c>
      <c r="C403" s="439" t="s">
        <v>520</v>
      </c>
      <c r="D403" s="418">
        <v>331</v>
      </c>
      <c r="E403" s="414"/>
      <c r="F403" s="446"/>
      <c r="G403" s="414"/>
      <c r="H403" s="414"/>
      <c r="I403" s="606"/>
      <c r="J403" s="414"/>
      <c r="K403" s="414"/>
      <c r="L403" s="414"/>
      <c r="M403" s="414"/>
      <c r="N403" s="414"/>
      <c r="O403" s="414"/>
      <c r="P403" s="414"/>
      <c r="Q403" s="414"/>
      <c r="S403" s="446"/>
      <c r="T403" s="414"/>
      <c r="U403" s="414"/>
      <c r="V403" s="606"/>
      <c r="W403" s="414"/>
      <c r="X403" s="414"/>
      <c r="Y403" s="414"/>
      <c r="Z403" s="414"/>
      <c r="AA403" s="414"/>
      <c r="AB403" s="414"/>
      <c r="AC403" s="414"/>
      <c r="AD403" s="414"/>
    </row>
    <row r="404" spans="1:30" s="395" customFormat="1" x14ac:dyDescent="0.2">
      <c r="A404" s="431">
        <v>4</v>
      </c>
      <c r="B404" s="439" t="s">
        <v>522</v>
      </c>
      <c r="C404" s="439" t="s">
        <v>523</v>
      </c>
      <c r="D404" s="418">
        <v>331</v>
      </c>
      <c r="E404" s="414"/>
      <c r="F404" s="446"/>
      <c r="G404" s="414"/>
      <c r="H404" s="414"/>
      <c r="I404" s="606"/>
      <c r="J404" s="414"/>
      <c r="K404" s="414"/>
      <c r="L404" s="446"/>
      <c r="M404" s="414"/>
      <c r="N404" s="414"/>
      <c r="O404" s="414"/>
      <c r="P404" s="414"/>
      <c r="Q404" s="414"/>
      <c r="S404" s="446"/>
      <c r="T404" s="414"/>
      <c r="U404" s="414"/>
      <c r="V404" s="606"/>
      <c r="W404" s="414"/>
      <c r="X404" s="414"/>
      <c r="Y404" s="446"/>
      <c r="Z404" s="414"/>
      <c r="AA404" s="414"/>
      <c r="AB404" s="414"/>
      <c r="AC404" s="414"/>
      <c r="AD404" s="414"/>
    </row>
    <row r="405" spans="1:30" s="395" customFormat="1" x14ac:dyDescent="0.2">
      <c r="A405" s="413">
        <v>5</v>
      </c>
      <c r="B405" s="439" t="s">
        <v>524</v>
      </c>
      <c r="C405" s="439" t="s">
        <v>525</v>
      </c>
      <c r="D405" s="418">
        <v>331</v>
      </c>
      <c r="E405" s="414"/>
      <c r="F405" s="446"/>
      <c r="G405" s="414"/>
      <c r="H405" s="414"/>
      <c r="I405" s="606"/>
      <c r="J405" s="414"/>
      <c r="K405" s="414"/>
      <c r="L405" s="414"/>
      <c r="M405" s="414"/>
      <c r="N405" s="414"/>
      <c r="O405" s="414"/>
      <c r="P405" s="414"/>
      <c r="Q405" s="414"/>
      <c r="S405" s="446"/>
      <c r="T405" s="414"/>
      <c r="U405" s="414"/>
      <c r="V405" s="606"/>
      <c r="W405" s="414"/>
      <c r="X405" s="414"/>
      <c r="Y405" s="414"/>
      <c r="Z405" s="414"/>
      <c r="AA405" s="414"/>
      <c r="AB405" s="414"/>
      <c r="AC405" s="414"/>
      <c r="AD405" s="414"/>
    </row>
    <row r="406" spans="1:30" s="395" customFormat="1" x14ac:dyDescent="0.2">
      <c r="A406" s="431">
        <v>6</v>
      </c>
      <c r="B406" s="439" t="s">
        <v>527</v>
      </c>
      <c r="C406" s="439" t="s">
        <v>528</v>
      </c>
      <c r="D406" s="418">
        <v>331</v>
      </c>
      <c r="E406" s="414"/>
      <c r="F406" s="446"/>
      <c r="G406" s="414"/>
      <c r="H406" s="414"/>
      <c r="I406" s="606"/>
      <c r="J406" s="414"/>
      <c r="K406" s="414"/>
      <c r="L406" s="414"/>
      <c r="M406" s="414"/>
      <c r="N406" s="414"/>
      <c r="O406" s="414"/>
      <c r="P406" s="414"/>
      <c r="Q406" s="414"/>
      <c r="S406" s="446"/>
      <c r="T406" s="414"/>
      <c r="U406" s="414"/>
      <c r="V406" s="606"/>
      <c r="W406" s="414"/>
      <c r="X406" s="414"/>
      <c r="Y406" s="414"/>
      <c r="Z406" s="414"/>
      <c r="AA406" s="414"/>
      <c r="AB406" s="414"/>
      <c r="AC406" s="414"/>
      <c r="AD406" s="414"/>
    </row>
    <row r="407" spans="1:30" s="395" customFormat="1" x14ac:dyDescent="0.2">
      <c r="A407" s="431">
        <v>7</v>
      </c>
      <c r="B407" s="443" t="s">
        <v>531</v>
      </c>
      <c r="C407" s="443" t="s">
        <v>532</v>
      </c>
      <c r="D407" s="418">
        <v>331</v>
      </c>
      <c r="E407" s="414"/>
      <c r="F407" s="446"/>
      <c r="G407" s="414"/>
      <c r="H407" s="414"/>
      <c r="I407" s="606"/>
      <c r="J407" s="414"/>
      <c r="K407" s="414"/>
      <c r="L407" s="414"/>
      <c r="M407" s="414"/>
      <c r="N407" s="414"/>
      <c r="O407" s="414"/>
      <c r="P407" s="414"/>
      <c r="Q407" s="414"/>
      <c r="S407" s="446"/>
      <c r="T407" s="414"/>
      <c r="U407" s="414"/>
      <c r="V407" s="606"/>
      <c r="W407" s="414"/>
      <c r="X407" s="414"/>
      <c r="Y407" s="414"/>
      <c r="Z407" s="414"/>
      <c r="AA407" s="414"/>
      <c r="AB407" s="414"/>
      <c r="AC407" s="414"/>
      <c r="AD407" s="414"/>
    </row>
    <row r="408" spans="1:30" s="395" customFormat="1" x14ac:dyDescent="0.2">
      <c r="A408" s="431">
        <v>8</v>
      </c>
      <c r="B408" s="439" t="s">
        <v>533</v>
      </c>
      <c r="C408" s="439" t="s">
        <v>534</v>
      </c>
      <c r="D408" s="418">
        <v>331</v>
      </c>
      <c r="E408" s="414"/>
      <c r="F408" s="446"/>
      <c r="G408" s="414"/>
      <c r="H408" s="414"/>
      <c r="I408" s="606"/>
      <c r="J408" s="414"/>
      <c r="K408" s="414"/>
      <c r="L408" s="414"/>
      <c r="M408" s="414"/>
      <c r="N408" s="414"/>
      <c r="O408" s="414"/>
      <c r="P408" s="414"/>
      <c r="Q408" s="414"/>
      <c r="S408" s="446"/>
      <c r="T408" s="414"/>
      <c r="U408" s="414"/>
      <c r="V408" s="606"/>
      <c r="W408" s="414"/>
      <c r="X408" s="414"/>
      <c r="Y408" s="414"/>
      <c r="Z408" s="414"/>
      <c r="AA408" s="414"/>
      <c r="AB408" s="414"/>
      <c r="AC408" s="414"/>
      <c r="AD408" s="414"/>
    </row>
    <row r="409" spans="1:30" s="395" customFormat="1" x14ac:dyDescent="0.2">
      <c r="A409" s="431">
        <v>9</v>
      </c>
      <c r="B409" s="439" t="s">
        <v>536</v>
      </c>
      <c r="C409" s="439" t="s">
        <v>537</v>
      </c>
      <c r="D409" s="418">
        <v>331</v>
      </c>
      <c r="E409" s="414"/>
      <c r="F409" s="446"/>
      <c r="G409" s="414"/>
      <c r="H409" s="414"/>
      <c r="I409" s="606"/>
      <c r="J409" s="414"/>
      <c r="K409" s="414"/>
      <c r="L409" s="414"/>
      <c r="M409" s="414"/>
      <c r="N409" s="414"/>
      <c r="O409" s="414"/>
      <c r="P409" s="414"/>
      <c r="Q409" s="414"/>
      <c r="S409" s="446"/>
      <c r="T409" s="414"/>
      <c r="U409" s="414"/>
      <c r="V409" s="606"/>
      <c r="W409" s="414"/>
      <c r="X409" s="414"/>
      <c r="Y409" s="414"/>
      <c r="Z409" s="414"/>
      <c r="AA409" s="414"/>
      <c r="AB409" s="414"/>
      <c r="AC409" s="414"/>
      <c r="AD409" s="414"/>
    </row>
    <row r="410" spans="1:30" s="395" customFormat="1" x14ac:dyDescent="0.2">
      <c r="A410" s="431">
        <v>10</v>
      </c>
      <c r="B410" s="414" t="s">
        <v>538</v>
      </c>
      <c r="C410" s="414" t="s">
        <v>539</v>
      </c>
      <c r="D410" s="418">
        <v>331</v>
      </c>
      <c r="E410" s="414"/>
      <c r="F410" s="446"/>
      <c r="G410" s="414"/>
      <c r="H410" s="414"/>
      <c r="I410" s="606"/>
      <c r="J410" s="414"/>
      <c r="K410" s="414"/>
      <c r="L410" s="414"/>
      <c r="M410" s="414"/>
      <c r="N410" s="414"/>
      <c r="O410" s="414"/>
      <c r="P410" s="414"/>
      <c r="Q410" s="414"/>
      <c r="S410" s="446"/>
      <c r="T410" s="414"/>
      <c r="U410" s="414"/>
      <c r="V410" s="606"/>
      <c r="W410" s="414"/>
      <c r="X410" s="414"/>
      <c r="Y410" s="414"/>
      <c r="Z410" s="414"/>
      <c r="AA410" s="414"/>
      <c r="AB410" s="414"/>
      <c r="AC410" s="414"/>
      <c r="AD410" s="414"/>
    </row>
    <row r="411" spans="1:30" s="395" customFormat="1" x14ac:dyDescent="0.2">
      <c r="A411" s="431">
        <v>11</v>
      </c>
      <c r="B411" s="439" t="s">
        <v>540</v>
      </c>
      <c r="C411" s="439" t="s">
        <v>541</v>
      </c>
      <c r="D411" s="418">
        <v>331</v>
      </c>
      <c r="E411" s="414"/>
      <c r="F411" s="646" t="s">
        <v>358</v>
      </c>
      <c r="G411" s="647" t="s">
        <v>358</v>
      </c>
      <c r="H411" s="647" t="s">
        <v>358</v>
      </c>
      <c r="I411" s="642">
        <v>44000000</v>
      </c>
      <c r="J411" s="643">
        <v>520000000</v>
      </c>
      <c r="K411" s="643" t="s">
        <v>358</v>
      </c>
      <c r="L411" s="643">
        <v>158400000</v>
      </c>
      <c r="M411" s="646" t="s">
        <v>358</v>
      </c>
      <c r="N411" s="647" t="s">
        <v>358</v>
      </c>
      <c r="O411" s="647" t="s">
        <v>358</v>
      </c>
      <c r="P411" s="647" t="s">
        <v>358</v>
      </c>
      <c r="Q411" s="647" t="s">
        <v>358</v>
      </c>
      <c r="S411" s="446"/>
      <c r="T411" s="414"/>
      <c r="U411" s="414"/>
      <c r="V411" s="606"/>
      <c r="W411" s="414"/>
      <c r="X411" s="414"/>
      <c r="Y411" s="414"/>
      <c r="Z411" s="414"/>
      <c r="AA411" s="414"/>
      <c r="AB411" s="414"/>
      <c r="AC411" s="414"/>
      <c r="AD411" s="414"/>
    </row>
    <row r="412" spans="1:30" s="395" customFormat="1" x14ac:dyDescent="0.2">
      <c r="A412" s="431">
        <v>12</v>
      </c>
      <c r="B412" s="439" t="s">
        <v>542</v>
      </c>
      <c r="C412" s="439" t="s">
        <v>543</v>
      </c>
      <c r="D412" s="418">
        <v>331</v>
      </c>
      <c r="E412" s="414"/>
      <c r="F412" s="446"/>
      <c r="G412" s="414"/>
      <c r="H412" s="414"/>
      <c r="I412" s="606"/>
      <c r="J412" s="414"/>
      <c r="K412" s="414"/>
      <c r="L412" s="414"/>
      <c r="M412" s="414"/>
      <c r="N412" s="414"/>
      <c r="O412" s="414"/>
      <c r="P412" s="414"/>
      <c r="Q412" s="414"/>
      <c r="S412" s="446"/>
      <c r="T412" s="414"/>
      <c r="U412" s="414"/>
      <c r="V412" s="606"/>
      <c r="W412" s="414"/>
      <c r="X412" s="414"/>
      <c r="Y412" s="414"/>
      <c r="Z412" s="414"/>
      <c r="AA412" s="414"/>
      <c r="AB412" s="414"/>
      <c r="AC412" s="414"/>
      <c r="AD412" s="414"/>
    </row>
    <row r="413" spans="1:30" s="395" customFormat="1" x14ac:dyDescent="0.2">
      <c r="A413" s="431">
        <v>13</v>
      </c>
      <c r="B413" s="414" t="s">
        <v>544</v>
      </c>
      <c r="C413" s="414" t="s">
        <v>545</v>
      </c>
      <c r="D413" s="418">
        <v>331</v>
      </c>
      <c r="E413" s="414"/>
      <c r="F413" s="484"/>
      <c r="G413" s="414"/>
      <c r="H413" s="414"/>
      <c r="I413" s="606"/>
      <c r="J413" s="414"/>
      <c r="K413" s="414"/>
      <c r="L413" s="414"/>
      <c r="M413" s="414"/>
      <c r="N413" s="414"/>
      <c r="O413" s="414"/>
      <c r="P413" s="414"/>
      <c r="Q413" s="414"/>
      <c r="S413" s="484"/>
      <c r="T413" s="414"/>
      <c r="U413" s="414"/>
      <c r="V413" s="606"/>
      <c r="W413" s="414"/>
      <c r="X413" s="414"/>
      <c r="Y413" s="414"/>
      <c r="Z413" s="414"/>
      <c r="AA413" s="414"/>
      <c r="AB413" s="414"/>
      <c r="AC413" s="414"/>
      <c r="AD413" s="414"/>
    </row>
    <row r="414" spans="1:30" s="395" customFormat="1" x14ac:dyDescent="0.2">
      <c r="A414" s="431">
        <v>14</v>
      </c>
      <c r="B414" s="414" t="s">
        <v>546</v>
      </c>
      <c r="C414" s="414" t="s">
        <v>547</v>
      </c>
      <c r="D414" s="418">
        <v>331</v>
      </c>
      <c r="E414" s="414"/>
      <c r="F414" s="484"/>
      <c r="G414" s="414"/>
      <c r="H414" s="414"/>
      <c r="I414" s="606"/>
      <c r="J414" s="414"/>
      <c r="K414" s="414"/>
      <c r="L414" s="414"/>
      <c r="M414" s="414"/>
      <c r="N414" s="414"/>
      <c r="O414" s="414"/>
      <c r="P414" s="414"/>
      <c r="Q414" s="414"/>
      <c r="S414" s="484"/>
      <c r="T414" s="414"/>
      <c r="U414" s="414"/>
      <c r="V414" s="606"/>
      <c r="W414" s="414"/>
      <c r="X414" s="414"/>
      <c r="Y414" s="414"/>
      <c r="Z414" s="414"/>
      <c r="AA414" s="414"/>
      <c r="AB414" s="414"/>
      <c r="AC414" s="414"/>
      <c r="AD414" s="414"/>
    </row>
    <row r="415" spans="1:30" s="395" customFormat="1" x14ac:dyDescent="0.2">
      <c r="A415" s="431">
        <v>15</v>
      </c>
      <c r="B415" s="414" t="s">
        <v>548</v>
      </c>
      <c r="C415" s="414" t="s">
        <v>549</v>
      </c>
      <c r="D415" s="418">
        <v>331</v>
      </c>
      <c r="E415" s="414"/>
      <c r="F415" s="484"/>
      <c r="G415" s="414"/>
      <c r="H415" s="414"/>
      <c r="I415" s="606"/>
      <c r="J415" s="414"/>
      <c r="K415" s="414"/>
      <c r="L415" s="414"/>
      <c r="M415" s="414"/>
      <c r="N415" s="414"/>
      <c r="O415" s="414"/>
      <c r="P415" s="414"/>
      <c r="Q415" s="414"/>
      <c r="S415" s="484"/>
      <c r="T415" s="414"/>
      <c r="U415" s="414"/>
      <c r="V415" s="606"/>
      <c r="W415" s="414"/>
      <c r="X415" s="414"/>
      <c r="Y415" s="414"/>
      <c r="Z415" s="414"/>
      <c r="AA415" s="414"/>
      <c r="AB415" s="414"/>
      <c r="AC415" s="414"/>
      <c r="AD415" s="414"/>
    </row>
    <row r="416" spans="1:30" s="395" customFormat="1" x14ac:dyDescent="0.2">
      <c r="A416" s="431">
        <v>16</v>
      </c>
      <c r="B416" s="414" t="s">
        <v>550</v>
      </c>
      <c r="C416" s="414" t="s">
        <v>551</v>
      </c>
      <c r="D416" s="418">
        <v>331</v>
      </c>
      <c r="E416" s="414"/>
      <c r="F416" s="484"/>
      <c r="G416" s="414"/>
      <c r="H416" s="414"/>
      <c r="I416" s="606"/>
      <c r="J416" s="414"/>
      <c r="K416" s="414"/>
      <c r="L416" s="414"/>
      <c r="M416" s="414"/>
      <c r="N416" s="414"/>
      <c r="O416" s="414"/>
      <c r="P416" s="414"/>
      <c r="Q416" s="414"/>
      <c r="S416" s="484"/>
      <c r="T416" s="414"/>
      <c r="U416" s="414"/>
      <c r="V416" s="606"/>
      <c r="W416" s="414"/>
      <c r="X416" s="414"/>
      <c r="Y416" s="414"/>
      <c r="Z416" s="414"/>
      <c r="AA416" s="414"/>
      <c r="AB416" s="414"/>
      <c r="AC416" s="414"/>
      <c r="AD416" s="414"/>
    </row>
    <row r="417" spans="1:30" s="395" customFormat="1" x14ac:dyDescent="0.2">
      <c r="A417" s="431">
        <v>17</v>
      </c>
      <c r="B417" s="414" t="s">
        <v>552</v>
      </c>
      <c r="C417" s="414" t="s">
        <v>553</v>
      </c>
      <c r="D417" s="418">
        <v>331</v>
      </c>
      <c r="E417" s="414"/>
      <c r="F417" s="484"/>
      <c r="G417" s="414"/>
      <c r="H417" s="414"/>
      <c r="I417" s="606"/>
      <c r="J417" s="414"/>
      <c r="K417" s="414"/>
      <c r="L417" s="414"/>
      <c r="M417" s="414"/>
      <c r="N417" s="414"/>
      <c r="O417" s="414"/>
      <c r="P417" s="414"/>
      <c r="Q417" s="414"/>
      <c r="S417" s="484"/>
      <c r="T417" s="414"/>
      <c r="U417" s="414"/>
      <c r="V417" s="606"/>
      <c r="W417" s="414"/>
      <c r="X417" s="414"/>
      <c r="Y417" s="414"/>
      <c r="Z417" s="414"/>
      <c r="AA417" s="414"/>
      <c r="AB417" s="414"/>
      <c r="AC417" s="414"/>
      <c r="AD417" s="414"/>
    </row>
    <row r="418" spans="1:30" s="395" customFormat="1" x14ac:dyDescent="0.2">
      <c r="A418" s="431">
        <v>18</v>
      </c>
      <c r="B418" s="414" t="s">
        <v>554</v>
      </c>
      <c r="C418" s="414" t="s">
        <v>555</v>
      </c>
      <c r="D418" s="418">
        <v>331</v>
      </c>
      <c r="E418" s="414"/>
      <c r="F418" s="484"/>
      <c r="G418" s="414"/>
      <c r="H418" s="414"/>
      <c r="I418" s="606"/>
      <c r="J418" s="414"/>
      <c r="K418" s="414"/>
      <c r="L418" s="414"/>
      <c r="M418" s="414"/>
      <c r="N418" s="414"/>
      <c r="O418" s="414"/>
      <c r="P418" s="414"/>
      <c r="Q418" s="414"/>
      <c r="S418" s="484"/>
      <c r="T418" s="414"/>
      <c r="U418" s="414"/>
      <c r="V418" s="606"/>
      <c r="W418" s="414"/>
      <c r="X418" s="414"/>
      <c r="Y418" s="414"/>
      <c r="Z418" s="414"/>
      <c r="AA418" s="414"/>
      <c r="AB418" s="414"/>
      <c r="AC418" s="414"/>
      <c r="AD418" s="414"/>
    </row>
    <row r="419" spans="1:30" s="395" customFormat="1" x14ac:dyDescent="0.2">
      <c r="A419" s="431">
        <v>19</v>
      </c>
      <c r="B419" s="443" t="s">
        <v>556</v>
      </c>
      <c r="C419" s="443" t="s">
        <v>557</v>
      </c>
      <c r="D419" s="418">
        <v>331</v>
      </c>
      <c r="E419" s="414"/>
      <c r="F419" s="484"/>
      <c r="G419" s="414"/>
      <c r="H419" s="414"/>
      <c r="I419" s="606"/>
      <c r="J419" s="414"/>
      <c r="K419" s="414"/>
      <c r="L419" s="414"/>
      <c r="M419" s="414"/>
      <c r="N419" s="414"/>
      <c r="O419" s="414"/>
      <c r="P419" s="414"/>
      <c r="Q419" s="414"/>
      <c r="S419" s="484"/>
      <c r="T419" s="414"/>
      <c r="U419" s="414"/>
      <c r="V419" s="606"/>
      <c r="W419" s="414"/>
      <c r="X419" s="414"/>
      <c r="Y419" s="414"/>
      <c r="Z419" s="414"/>
      <c r="AA419" s="414"/>
      <c r="AB419" s="414"/>
      <c r="AC419" s="414"/>
      <c r="AD419" s="414"/>
    </row>
    <row r="420" spans="1:30" s="395" customFormat="1" x14ac:dyDescent="0.2">
      <c r="A420" s="431">
        <v>20</v>
      </c>
      <c r="B420" s="414" t="s">
        <v>558</v>
      </c>
      <c r="C420" s="414" t="s">
        <v>559</v>
      </c>
      <c r="D420" s="418">
        <v>331</v>
      </c>
      <c r="E420" s="414"/>
      <c r="F420" s="484"/>
      <c r="G420" s="414"/>
      <c r="H420" s="414"/>
      <c r="I420" s="606"/>
      <c r="J420" s="414"/>
      <c r="K420" s="414"/>
      <c r="L420" s="414"/>
      <c r="M420" s="414"/>
      <c r="N420" s="414"/>
      <c r="O420" s="414"/>
      <c r="P420" s="414"/>
      <c r="Q420" s="414"/>
      <c r="S420" s="484"/>
      <c r="T420" s="414"/>
      <c r="U420" s="414"/>
      <c r="V420" s="606"/>
      <c r="W420" s="414"/>
      <c r="X420" s="414"/>
      <c r="Y420" s="414"/>
      <c r="Z420" s="414"/>
      <c r="AA420" s="414"/>
      <c r="AB420" s="414"/>
      <c r="AC420" s="414"/>
      <c r="AD420" s="414"/>
    </row>
    <row r="421" spans="1:30" s="395" customFormat="1" x14ac:dyDescent="0.2">
      <c r="A421" s="431">
        <v>21</v>
      </c>
      <c r="B421" s="414" t="s">
        <v>560</v>
      </c>
      <c r="C421" s="414" t="s">
        <v>561</v>
      </c>
      <c r="D421" s="418">
        <v>331</v>
      </c>
      <c r="E421" s="414"/>
      <c r="F421" s="484"/>
      <c r="G421" s="414"/>
      <c r="H421" s="414"/>
      <c r="I421" s="606"/>
      <c r="J421" s="414"/>
      <c r="K421" s="414"/>
      <c r="L421" s="414"/>
      <c r="M421" s="414"/>
      <c r="N421" s="414"/>
      <c r="O421" s="414"/>
      <c r="P421" s="414"/>
      <c r="Q421" s="414"/>
      <c r="S421" s="484"/>
      <c r="T421" s="414"/>
      <c r="U421" s="414"/>
      <c r="V421" s="606"/>
      <c r="W421" s="414"/>
      <c r="X421" s="414"/>
      <c r="Y421" s="414"/>
      <c r="Z421" s="414"/>
      <c r="AA421" s="414"/>
      <c r="AB421" s="414"/>
      <c r="AC421" s="414"/>
      <c r="AD421" s="414"/>
    </row>
    <row r="422" spans="1:30" s="395" customFormat="1" x14ac:dyDescent="0.2">
      <c r="A422" s="431">
        <v>22</v>
      </c>
      <c r="B422" s="414" t="s">
        <v>562</v>
      </c>
      <c r="C422" s="414" t="s">
        <v>563</v>
      </c>
      <c r="D422" s="418">
        <v>331</v>
      </c>
      <c r="E422" s="414"/>
      <c r="F422" s="484"/>
      <c r="G422" s="414"/>
      <c r="H422" s="414"/>
      <c r="I422" s="606"/>
      <c r="J422" s="414"/>
      <c r="K422" s="414"/>
      <c r="L422" s="414"/>
      <c r="M422" s="414"/>
      <c r="N422" s="414"/>
      <c r="O422" s="414"/>
      <c r="P422" s="414"/>
      <c r="Q422" s="414"/>
      <c r="S422" s="484"/>
      <c r="T422" s="414"/>
      <c r="U422" s="414"/>
      <c r="V422" s="606"/>
      <c r="W422" s="414"/>
      <c r="X422" s="414"/>
      <c r="Y422" s="414"/>
      <c r="Z422" s="414"/>
      <c r="AA422" s="414"/>
      <c r="AB422" s="414"/>
      <c r="AC422" s="414"/>
      <c r="AD422" s="414"/>
    </row>
    <row r="423" spans="1:30" s="395" customFormat="1" x14ac:dyDescent="0.2">
      <c r="A423" s="475"/>
      <c r="B423" s="423"/>
      <c r="C423" s="423"/>
      <c r="D423" s="423"/>
      <c r="E423" s="423"/>
      <c r="F423" s="427"/>
      <c r="G423" s="423"/>
      <c r="H423" s="423"/>
      <c r="I423" s="607"/>
      <c r="J423" s="423"/>
      <c r="K423" s="423"/>
      <c r="L423" s="423"/>
      <c r="M423" s="423"/>
      <c r="N423" s="423"/>
      <c r="O423" s="423"/>
      <c r="P423" s="423"/>
      <c r="Q423" s="423"/>
      <c r="S423" s="427"/>
      <c r="T423" s="423"/>
      <c r="U423" s="423"/>
      <c r="V423" s="607"/>
      <c r="W423" s="423"/>
      <c r="X423" s="423"/>
      <c r="Y423" s="423"/>
      <c r="Z423" s="423"/>
      <c r="AA423" s="423"/>
      <c r="AB423" s="423"/>
      <c r="AC423" s="423"/>
      <c r="AD423" s="423"/>
    </row>
    <row r="424" spans="1:30" s="395" customFormat="1" x14ac:dyDescent="0.2">
      <c r="A424" s="584" t="s">
        <v>621</v>
      </c>
      <c r="B424" s="572" t="s">
        <v>622</v>
      </c>
      <c r="C424" s="572"/>
      <c r="D424" s="586"/>
      <c r="E424" s="586"/>
      <c r="F424" s="600" t="s">
        <v>616</v>
      </c>
      <c r="G424" s="600" t="s">
        <v>488</v>
      </c>
      <c r="H424" s="600" t="s">
        <v>489</v>
      </c>
      <c r="I424" s="604" t="s">
        <v>490</v>
      </c>
      <c r="J424" s="600" t="s">
        <v>491</v>
      </c>
      <c r="K424" s="600" t="s">
        <v>492</v>
      </c>
      <c r="L424" s="600" t="s">
        <v>493</v>
      </c>
      <c r="M424" s="600" t="s">
        <v>494</v>
      </c>
      <c r="N424" s="600" t="s">
        <v>495</v>
      </c>
      <c r="O424" s="600" t="s">
        <v>496</v>
      </c>
      <c r="P424" s="600" t="s">
        <v>497</v>
      </c>
      <c r="Q424" s="600" t="s">
        <v>498</v>
      </c>
      <c r="S424" s="600" t="s">
        <v>487</v>
      </c>
      <c r="T424" s="600" t="s">
        <v>488</v>
      </c>
      <c r="U424" s="600" t="s">
        <v>489</v>
      </c>
      <c r="V424" s="604" t="s">
        <v>490</v>
      </c>
      <c r="W424" s="600" t="s">
        <v>491</v>
      </c>
      <c r="X424" s="600" t="s">
        <v>492</v>
      </c>
      <c r="Y424" s="600" t="s">
        <v>493</v>
      </c>
      <c r="Z424" s="600" t="s">
        <v>494</v>
      </c>
      <c r="AA424" s="600" t="s">
        <v>495</v>
      </c>
      <c r="AB424" s="600" t="s">
        <v>496</v>
      </c>
      <c r="AC424" s="600" t="s">
        <v>497</v>
      </c>
      <c r="AD424" s="600" t="s">
        <v>498</v>
      </c>
    </row>
    <row r="425" spans="1:30" s="395" customFormat="1" x14ac:dyDescent="0.2">
      <c r="A425" s="470"/>
      <c r="B425" s="502" t="s">
        <v>623</v>
      </c>
      <c r="C425" s="502"/>
      <c r="D425" s="503"/>
      <c r="E425" s="414"/>
      <c r="F425" s="580"/>
      <c r="G425" s="588"/>
      <c r="H425" s="588"/>
      <c r="I425" s="609"/>
      <c r="J425" s="588"/>
      <c r="K425" s="588"/>
      <c r="L425" s="588"/>
      <c r="M425" s="588"/>
      <c r="N425" s="588"/>
      <c r="O425" s="588"/>
      <c r="P425" s="588"/>
      <c r="Q425" s="588"/>
      <c r="S425" s="580"/>
      <c r="T425" s="588"/>
      <c r="U425" s="588"/>
      <c r="V425" s="609"/>
      <c r="W425" s="588"/>
      <c r="X425" s="588"/>
      <c r="Y425" s="588"/>
      <c r="Z425" s="588"/>
      <c r="AA425" s="588"/>
      <c r="AB425" s="588"/>
      <c r="AC425" s="588"/>
      <c r="AD425" s="588"/>
    </row>
    <row r="426" spans="1:30" s="395" customFormat="1" x14ac:dyDescent="0.2">
      <c r="A426" s="431">
        <v>1</v>
      </c>
      <c r="B426" s="499" t="s">
        <v>503</v>
      </c>
      <c r="C426" s="499" t="s">
        <v>504</v>
      </c>
      <c r="D426" s="418">
        <v>128</v>
      </c>
      <c r="E426" s="414"/>
      <c r="F426" s="446"/>
      <c r="G426" s="414"/>
      <c r="H426" s="414"/>
      <c r="I426" s="606"/>
      <c r="J426" s="414"/>
      <c r="K426" s="414"/>
      <c r="L426" s="414"/>
      <c r="M426" s="414"/>
      <c r="N426" s="414"/>
      <c r="O426" s="414"/>
      <c r="P426" s="414"/>
      <c r="Q426" s="414"/>
      <c r="S426" s="446"/>
      <c r="T426" s="414"/>
      <c r="U426" s="414"/>
      <c r="V426" s="606"/>
      <c r="W426" s="414"/>
      <c r="X426" s="414"/>
      <c r="Y426" s="414"/>
      <c r="Z426" s="414"/>
      <c r="AA426" s="414"/>
      <c r="AB426" s="414"/>
      <c r="AC426" s="414"/>
      <c r="AD426" s="414"/>
    </row>
    <row r="427" spans="1:30" s="395" customFormat="1" x14ac:dyDescent="0.2">
      <c r="A427" s="431">
        <v>2</v>
      </c>
      <c r="B427" s="439" t="s">
        <v>513</v>
      </c>
      <c r="C427" s="439" t="s">
        <v>514</v>
      </c>
      <c r="D427" s="418">
        <v>128</v>
      </c>
      <c r="E427" s="414"/>
      <c r="F427" s="446"/>
      <c r="G427" s="414"/>
      <c r="H427" s="414"/>
      <c r="I427" s="606"/>
      <c r="J427" s="414"/>
      <c r="K427" s="414"/>
      <c r="L427" s="414"/>
      <c r="M427" s="414"/>
      <c r="N427" s="414"/>
      <c r="O427" s="414"/>
      <c r="P427" s="414"/>
      <c r="Q427" s="414"/>
      <c r="S427" s="446"/>
      <c r="T427" s="414"/>
      <c r="U427" s="414"/>
      <c r="V427" s="606"/>
      <c r="W427" s="414"/>
      <c r="X427" s="414"/>
      <c r="Y427" s="414"/>
      <c r="Z427" s="414"/>
      <c r="AA427" s="414"/>
      <c r="AB427" s="414"/>
      <c r="AC427" s="414"/>
      <c r="AD427" s="414"/>
    </row>
    <row r="428" spans="1:30" s="395" customFormat="1" x14ac:dyDescent="0.2">
      <c r="A428" s="431">
        <v>3</v>
      </c>
      <c r="B428" s="499" t="s">
        <v>519</v>
      </c>
      <c r="C428" s="499" t="s">
        <v>520</v>
      </c>
      <c r="D428" s="418">
        <v>128</v>
      </c>
      <c r="E428" s="414"/>
      <c r="F428" s="446"/>
      <c r="G428" s="414"/>
      <c r="H428" s="414"/>
      <c r="I428" s="606"/>
      <c r="J428" s="414"/>
      <c r="K428" s="414"/>
      <c r="L428" s="414"/>
      <c r="M428" s="414"/>
      <c r="N428" s="414"/>
      <c r="O428" s="414"/>
      <c r="P428" s="414"/>
      <c r="Q428" s="414"/>
      <c r="S428" s="446"/>
      <c r="T428" s="414"/>
      <c r="U428" s="414"/>
      <c r="V428" s="606"/>
      <c r="W428" s="414"/>
      <c r="X428" s="414"/>
      <c r="Y428" s="414"/>
      <c r="Z428" s="414"/>
      <c r="AA428" s="414"/>
      <c r="AB428" s="414"/>
      <c r="AC428" s="414"/>
      <c r="AD428" s="414"/>
    </row>
    <row r="429" spans="1:30" s="395" customFormat="1" x14ac:dyDescent="0.2">
      <c r="A429" s="431">
        <v>4</v>
      </c>
      <c r="B429" s="499" t="s">
        <v>522</v>
      </c>
      <c r="C429" s="499" t="s">
        <v>523</v>
      </c>
      <c r="D429" s="418">
        <v>128</v>
      </c>
      <c r="E429" s="414"/>
      <c r="F429" s="446"/>
      <c r="G429" s="414"/>
      <c r="H429" s="414"/>
      <c r="I429" s="606"/>
      <c r="J429" s="414"/>
      <c r="K429" s="414"/>
      <c r="L429" s="414"/>
      <c r="M429" s="414"/>
      <c r="N429" s="414"/>
      <c r="O429" s="414"/>
      <c r="P429" s="414"/>
      <c r="Q429" s="414"/>
      <c r="S429" s="446"/>
      <c r="T429" s="414"/>
      <c r="U429" s="414"/>
      <c r="V429" s="606"/>
      <c r="W429" s="414"/>
      <c r="X429" s="414"/>
      <c r="Y429" s="414"/>
      <c r="Z429" s="414"/>
      <c r="AA429" s="414"/>
      <c r="AB429" s="414"/>
      <c r="AC429" s="414"/>
      <c r="AD429" s="414"/>
    </row>
    <row r="430" spans="1:30" s="395" customFormat="1" x14ac:dyDescent="0.2">
      <c r="A430" s="431">
        <v>5</v>
      </c>
      <c r="B430" s="499" t="s">
        <v>524</v>
      </c>
      <c r="C430" s="499" t="s">
        <v>525</v>
      </c>
      <c r="D430" s="418">
        <v>128</v>
      </c>
      <c r="E430" s="414"/>
      <c r="F430" s="446"/>
      <c r="G430" s="414"/>
      <c r="H430" s="414"/>
      <c r="I430" s="606"/>
      <c r="J430" s="414"/>
      <c r="K430" s="414"/>
      <c r="L430" s="414"/>
      <c r="M430" s="414"/>
      <c r="N430" s="414"/>
      <c r="O430" s="414"/>
      <c r="P430" s="414"/>
      <c r="Q430" s="414"/>
      <c r="S430" s="446"/>
      <c r="T430" s="414"/>
      <c r="U430" s="414"/>
      <c r="V430" s="606"/>
      <c r="W430" s="414"/>
      <c r="X430" s="414"/>
      <c r="Y430" s="414"/>
      <c r="Z430" s="414"/>
      <c r="AA430" s="414"/>
      <c r="AB430" s="414"/>
      <c r="AC430" s="414"/>
      <c r="AD430" s="414"/>
    </row>
    <row r="431" spans="1:30" s="395" customFormat="1" x14ac:dyDescent="0.2">
      <c r="A431" s="431">
        <v>6</v>
      </c>
      <c r="B431" s="499" t="s">
        <v>527</v>
      </c>
      <c r="C431" s="499" t="s">
        <v>528</v>
      </c>
      <c r="D431" s="418">
        <v>128</v>
      </c>
      <c r="E431" s="414"/>
      <c r="F431" s="446"/>
      <c r="G431" s="414"/>
      <c r="H431" s="414"/>
      <c r="I431" s="606"/>
      <c r="J431" s="414"/>
      <c r="K431" s="414"/>
      <c r="L431" s="414"/>
      <c r="M431" s="414"/>
      <c r="N431" s="414"/>
      <c r="O431" s="414"/>
      <c r="P431" s="414"/>
      <c r="Q431" s="414"/>
      <c r="S431" s="446"/>
      <c r="T431" s="414"/>
      <c r="U431" s="414"/>
      <c r="V431" s="606"/>
      <c r="W431" s="414"/>
      <c r="X431" s="414"/>
      <c r="Y431" s="414"/>
      <c r="Z431" s="414"/>
      <c r="AA431" s="414"/>
      <c r="AB431" s="414"/>
      <c r="AC431" s="414"/>
      <c r="AD431" s="414"/>
    </row>
    <row r="432" spans="1:30" s="395" customFormat="1" x14ac:dyDescent="0.2">
      <c r="A432" s="431">
        <v>7</v>
      </c>
      <c r="B432" s="443" t="s">
        <v>531</v>
      </c>
      <c r="C432" s="443" t="s">
        <v>532</v>
      </c>
      <c r="D432" s="418">
        <v>128</v>
      </c>
      <c r="E432" s="414"/>
      <c r="F432" s="446"/>
      <c r="G432" s="414"/>
      <c r="H432" s="414"/>
      <c r="I432" s="606"/>
      <c r="J432" s="414"/>
      <c r="K432" s="414"/>
      <c r="L432" s="414"/>
      <c r="M432" s="414"/>
      <c r="N432" s="414"/>
      <c r="O432" s="414"/>
      <c r="P432" s="414"/>
      <c r="Q432" s="414"/>
      <c r="S432" s="446"/>
      <c r="T432" s="414"/>
      <c r="U432" s="414"/>
      <c r="V432" s="606"/>
      <c r="W432" s="414"/>
      <c r="X432" s="414"/>
      <c r="Y432" s="414"/>
      <c r="Z432" s="414"/>
      <c r="AA432" s="414"/>
      <c r="AB432" s="414"/>
      <c r="AC432" s="414"/>
      <c r="AD432" s="414"/>
    </row>
    <row r="433" spans="1:30" s="395" customFormat="1" x14ac:dyDescent="0.2">
      <c r="A433" s="431">
        <v>8</v>
      </c>
      <c r="B433" s="499" t="s">
        <v>533</v>
      </c>
      <c r="C433" s="499" t="s">
        <v>534</v>
      </c>
      <c r="D433" s="418">
        <v>128</v>
      </c>
      <c r="E433" s="414"/>
      <c r="F433" s="446"/>
      <c r="G433" s="414"/>
      <c r="H433" s="414"/>
      <c r="I433" s="606"/>
      <c r="J433" s="414"/>
      <c r="K433" s="414"/>
      <c r="L433" s="414"/>
      <c r="M433" s="414"/>
      <c r="N433" s="414"/>
      <c r="O433" s="414"/>
      <c r="P433" s="414"/>
      <c r="Q433" s="414"/>
      <c r="S433" s="446"/>
      <c r="T433" s="414"/>
      <c r="U433" s="414"/>
      <c r="V433" s="606"/>
      <c r="W433" s="414"/>
      <c r="X433" s="414"/>
      <c r="Y433" s="414"/>
      <c r="Z433" s="414"/>
      <c r="AA433" s="414"/>
      <c r="AB433" s="414"/>
      <c r="AC433" s="414"/>
      <c r="AD433" s="414"/>
    </row>
    <row r="434" spans="1:30" s="395" customFormat="1" x14ac:dyDescent="0.2">
      <c r="A434" s="431">
        <v>9</v>
      </c>
      <c r="B434" s="499" t="s">
        <v>536</v>
      </c>
      <c r="C434" s="499" t="s">
        <v>537</v>
      </c>
      <c r="D434" s="418">
        <v>128</v>
      </c>
      <c r="E434" s="414"/>
      <c r="F434" s="446"/>
      <c r="G434" s="414"/>
      <c r="H434" s="414"/>
      <c r="I434" s="606"/>
      <c r="J434" s="414"/>
      <c r="K434" s="414"/>
      <c r="L434" s="414"/>
      <c r="M434" s="414"/>
      <c r="N434" s="414"/>
      <c r="O434" s="414"/>
      <c r="P434" s="414"/>
      <c r="Q434" s="414"/>
      <c r="S434" s="446"/>
      <c r="T434" s="414"/>
      <c r="U434" s="414"/>
      <c r="V434" s="606"/>
      <c r="W434" s="414"/>
      <c r="X434" s="414"/>
      <c r="Y434" s="414"/>
      <c r="Z434" s="414"/>
      <c r="AA434" s="414"/>
      <c r="AB434" s="414"/>
      <c r="AC434" s="414"/>
      <c r="AD434" s="414"/>
    </row>
    <row r="435" spans="1:30" s="395" customFormat="1" x14ac:dyDescent="0.2">
      <c r="A435" s="431">
        <v>10</v>
      </c>
      <c r="B435" s="499" t="s">
        <v>538</v>
      </c>
      <c r="C435" s="499" t="s">
        <v>539</v>
      </c>
      <c r="D435" s="418">
        <v>128</v>
      </c>
      <c r="E435" s="414"/>
      <c r="F435" s="446"/>
      <c r="G435" s="414"/>
      <c r="H435" s="414"/>
      <c r="I435" s="606"/>
      <c r="J435" s="414"/>
      <c r="K435" s="414"/>
      <c r="L435" s="414"/>
      <c r="M435" s="414"/>
      <c r="N435" s="414"/>
      <c r="O435" s="414"/>
      <c r="P435" s="414"/>
      <c r="Q435" s="414"/>
      <c r="S435" s="446"/>
      <c r="T435" s="414"/>
      <c r="U435" s="414"/>
      <c r="V435" s="606"/>
      <c r="W435" s="414"/>
      <c r="X435" s="414"/>
      <c r="Y435" s="414"/>
      <c r="Z435" s="414"/>
      <c r="AA435" s="414"/>
      <c r="AB435" s="414"/>
      <c r="AC435" s="414"/>
      <c r="AD435" s="414"/>
    </row>
    <row r="436" spans="1:30" s="395" customFormat="1" x14ac:dyDescent="0.2">
      <c r="A436" s="431">
        <v>11</v>
      </c>
      <c r="B436" s="499" t="s">
        <v>540</v>
      </c>
      <c r="C436" s="499" t="s">
        <v>541</v>
      </c>
      <c r="D436" s="418">
        <v>128</v>
      </c>
      <c r="E436" s="414"/>
      <c r="F436" s="446"/>
      <c r="G436" s="414"/>
      <c r="H436" s="414"/>
      <c r="I436" s="606"/>
      <c r="J436" s="414"/>
      <c r="K436" s="414"/>
      <c r="L436" s="414"/>
      <c r="M436" s="414"/>
      <c r="N436" s="414"/>
      <c r="O436" s="414"/>
      <c r="P436" s="414"/>
      <c r="Q436" s="414"/>
      <c r="S436" s="446"/>
      <c r="T436" s="414"/>
      <c r="U436" s="414"/>
      <c r="V436" s="606"/>
      <c r="W436" s="414"/>
      <c r="X436" s="414"/>
      <c r="Y436" s="414"/>
      <c r="Z436" s="414"/>
      <c r="AA436" s="414"/>
      <c r="AB436" s="414"/>
      <c r="AC436" s="414"/>
      <c r="AD436" s="414"/>
    </row>
    <row r="437" spans="1:30" s="395" customFormat="1" x14ac:dyDescent="0.2">
      <c r="A437" s="431">
        <v>12</v>
      </c>
      <c r="B437" s="499" t="s">
        <v>542</v>
      </c>
      <c r="C437" s="499" t="s">
        <v>543</v>
      </c>
      <c r="D437" s="418">
        <v>128</v>
      </c>
      <c r="E437" s="414"/>
      <c r="F437" s="446"/>
      <c r="G437" s="414"/>
      <c r="H437" s="414"/>
      <c r="I437" s="606"/>
      <c r="J437" s="414"/>
      <c r="K437" s="414"/>
      <c r="L437" s="414"/>
      <c r="M437" s="414"/>
      <c r="N437" s="414"/>
      <c r="O437" s="414"/>
      <c r="P437" s="414"/>
      <c r="Q437" s="414"/>
      <c r="S437" s="446"/>
      <c r="T437" s="414"/>
      <c r="U437" s="414"/>
      <c r="V437" s="606"/>
      <c r="W437" s="414"/>
      <c r="X437" s="414"/>
      <c r="Y437" s="414"/>
      <c r="Z437" s="414"/>
      <c r="AA437" s="414"/>
      <c r="AB437" s="414"/>
      <c r="AC437" s="414"/>
      <c r="AD437" s="414"/>
    </row>
    <row r="438" spans="1:30" s="395" customFormat="1" x14ac:dyDescent="0.2">
      <c r="A438" s="431">
        <v>13</v>
      </c>
      <c r="B438" s="499" t="s">
        <v>544</v>
      </c>
      <c r="C438" s="499" t="s">
        <v>545</v>
      </c>
      <c r="D438" s="418">
        <v>128</v>
      </c>
      <c r="E438" s="414"/>
      <c r="F438" s="446"/>
      <c r="G438" s="414"/>
      <c r="H438" s="414"/>
      <c r="I438" s="606"/>
      <c r="J438" s="414"/>
      <c r="K438" s="414"/>
      <c r="L438" s="414"/>
      <c r="M438" s="414"/>
      <c r="N438" s="414"/>
      <c r="O438" s="414"/>
      <c r="P438" s="414"/>
      <c r="Q438" s="414"/>
      <c r="S438" s="446"/>
      <c r="T438" s="414"/>
      <c r="U438" s="414"/>
      <c r="V438" s="606"/>
      <c r="W438" s="414"/>
      <c r="X438" s="414"/>
      <c r="Y438" s="414"/>
      <c r="Z438" s="414"/>
      <c r="AA438" s="414"/>
      <c r="AB438" s="414"/>
      <c r="AC438" s="414"/>
      <c r="AD438" s="414"/>
    </row>
    <row r="439" spans="1:30" s="395" customFormat="1" x14ac:dyDescent="0.2">
      <c r="A439" s="431">
        <v>14</v>
      </c>
      <c r="B439" s="499" t="s">
        <v>546</v>
      </c>
      <c r="C439" s="499" t="s">
        <v>547</v>
      </c>
      <c r="D439" s="418">
        <v>128</v>
      </c>
      <c r="E439" s="414"/>
      <c r="F439" s="446"/>
      <c r="G439" s="414"/>
      <c r="H439" s="414"/>
      <c r="I439" s="606"/>
      <c r="J439" s="414"/>
      <c r="K439" s="414"/>
      <c r="L439" s="414"/>
      <c r="M439" s="414"/>
      <c r="N439" s="414"/>
      <c r="O439" s="414"/>
      <c r="P439" s="414"/>
      <c r="Q439" s="414"/>
      <c r="S439" s="446"/>
      <c r="T439" s="414"/>
      <c r="U439" s="414"/>
      <c r="V439" s="606"/>
      <c r="W439" s="414"/>
      <c r="X439" s="414"/>
      <c r="Y439" s="414"/>
      <c r="Z439" s="414"/>
      <c r="AA439" s="414"/>
      <c r="AB439" s="414"/>
      <c r="AC439" s="414"/>
      <c r="AD439" s="414"/>
    </row>
    <row r="440" spans="1:30" s="395" customFormat="1" x14ac:dyDescent="0.2">
      <c r="A440" s="431">
        <v>15</v>
      </c>
      <c r="B440" s="499" t="s">
        <v>548</v>
      </c>
      <c r="C440" s="499" t="s">
        <v>549</v>
      </c>
      <c r="D440" s="418">
        <v>128</v>
      </c>
      <c r="E440" s="414"/>
      <c r="F440" s="446"/>
      <c r="G440" s="414"/>
      <c r="H440" s="414"/>
      <c r="I440" s="606"/>
      <c r="J440" s="414"/>
      <c r="K440" s="414"/>
      <c r="L440" s="414"/>
      <c r="M440" s="414"/>
      <c r="N440" s="414"/>
      <c r="O440" s="414"/>
      <c r="P440" s="414"/>
      <c r="Q440" s="414"/>
      <c r="S440" s="446"/>
      <c r="T440" s="414"/>
      <c r="U440" s="414"/>
      <c r="V440" s="606"/>
      <c r="W440" s="414"/>
      <c r="X440" s="414"/>
      <c r="Y440" s="414"/>
      <c r="Z440" s="414"/>
      <c r="AA440" s="414"/>
      <c r="AB440" s="414"/>
      <c r="AC440" s="414"/>
      <c r="AD440" s="414"/>
    </row>
    <row r="441" spans="1:30" s="395" customFormat="1" x14ac:dyDescent="0.2">
      <c r="A441" s="431">
        <v>16</v>
      </c>
      <c r="B441" s="499" t="s">
        <v>550</v>
      </c>
      <c r="C441" s="499" t="s">
        <v>551</v>
      </c>
      <c r="D441" s="418">
        <v>128</v>
      </c>
      <c r="E441" s="414"/>
      <c r="F441" s="446"/>
      <c r="G441" s="414"/>
      <c r="H441" s="414"/>
      <c r="I441" s="606"/>
      <c r="J441" s="414"/>
      <c r="K441" s="414"/>
      <c r="L441" s="414"/>
      <c r="M441" s="414"/>
      <c r="N441" s="414"/>
      <c r="O441" s="414"/>
      <c r="P441" s="414"/>
      <c r="Q441" s="414"/>
      <c r="S441" s="446"/>
      <c r="T441" s="414"/>
      <c r="U441" s="414"/>
      <c r="V441" s="606"/>
      <c r="W441" s="414"/>
      <c r="X441" s="414"/>
      <c r="Y441" s="414"/>
      <c r="Z441" s="414"/>
      <c r="AA441" s="414"/>
      <c r="AB441" s="414"/>
      <c r="AC441" s="414"/>
      <c r="AD441" s="414"/>
    </row>
    <row r="442" spans="1:30" s="395" customFormat="1" x14ac:dyDescent="0.2">
      <c r="A442" s="431">
        <v>17</v>
      </c>
      <c r="B442" s="499" t="s">
        <v>552</v>
      </c>
      <c r="C442" s="499" t="s">
        <v>553</v>
      </c>
      <c r="D442" s="418">
        <v>128</v>
      </c>
      <c r="E442" s="414"/>
      <c r="F442" s="446"/>
      <c r="G442" s="414"/>
      <c r="H442" s="414"/>
      <c r="I442" s="606"/>
      <c r="J442" s="414"/>
      <c r="K442" s="414"/>
      <c r="L442" s="414"/>
      <c r="M442" s="414"/>
      <c r="N442" s="414"/>
      <c r="O442" s="414"/>
      <c r="P442" s="414"/>
      <c r="Q442" s="414"/>
      <c r="S442" s="446"/>
      <c r="T442" s="414"/>
      <c r="U442" s="414"/>
      <c r="V442" s="606"/>
      <c r="W442" s="414"/>
      <c r="X442" s="414"/>
      <c r="Y442" s="414"/>
      <c r="Z442" s="414"/>
      <c r="AA442" s="414"/>
      <c r="AB442" s="414"/>
      <c r="AC442" s="414"/>
      <c r="AD442" s="414"/>
    </row>
    <row r="443" spans="1:30" s="395" customFormat="1" x14ac:dyDescent="0.2">
      <c r="A443" s="431">
        <v>18</v>
      </c>
      <c r="B443" s="499" t="s">
        <v>554</v>
      </c>
      <c r="C443" s="499" t="s">
        <v>555</v>
      </c>
      <c r="D443" s="418">
        <v>128</v>
      </c>
      <c r="E443" s="414"/>
      <c r="F443" s="446"/>
      <c r="G443" s="414"/>
      <c r="H443" s="414"/>
      <c r="I443" s="606"/>
      <c r="J443" s="414"/>
      <c r="K443" s="414"/>
      <c r="L443" s="414"/>
      <c r="M443" s="414"/>
      <c r="N443" s="414"/>
      <c r="O443" s="414"/>
      <c r="P443" s="414"/>
      <c r="Q443" s="414"/>
      <c r="S443" s="446"/>
      <c r="T443" s="414"/>
      <c r="U443" s="414"/>
      <c r="V443" s="606"/>
      <c r="W443" s="414"/>
      <c r="X443" s="414"/>
      <c r="Y443" s="414"/>
      <c r="Z443" s="414"/>
      <c r="AA443" s="414"/>
      <c r="AB443" s="414"/>
      <c r="AC443" s="414"/>
      <c r="AD443" s="414"/>
    </row>
    <row r="444" spans="1:30" s="395" customFormat="1" x14ac:dyDescent="0.2">
      <c r="A444" s="431">
        <v>19</v>
      </c>
      <c r="B444" s="443" t="s">
        <v>556</v>
      </c>
      <c r="C444" s="443" t="s">
        <v>557</v>
      </c>
      <c r="D444" s="418">
        <v>128</v>
      </c>
      <c r="E444" s="414"/>
      <c r="F444" s="446"/>
      <c r="G444" s="414"/>
      <c r="H444" s="414"/>
      <c r="I444" s="606"/>
      <c r="J444" s="414"/>
      <c r="K444" s="414"/>
      <c r="L444" s="414"/>
      <c r="M444" s="414"/>
      <c r="N444" s="414"/>
      <c r="O444" s="414"/>
      <c r="P444" s="414"/>
      <c r="Q444" s="414"/>
      <c r="S444" s="446"/>
      <c r="T444" s="414"/>
      <c r="U444" s="414"/>
      <c r="V444" s="606"/>
      <c r="W444" s="414"/>
      <c r="X444" s="414"/>
      <c r="Y444" s="414"/>
      <c r="Z444" s="414"/>
      <c r="AA444" s="414"/>
      <c r="AB444" s="414"/>
      <c r="AC444" s="414"/>
      <c r="AD444" s="414"/>
    </row>
    <row r="445" spans="1:30" s="395" customFormat="1" x14ac:dyDescent="0.2">
      <c r="A445" s="431">
        <v>20</v>
      </c>
      <c r="B445" s="499" t="s">
        <v>558</v>
      </c>
      <c r="C445" s="499" t="s">
        <v>559</v>
      </c>
      <c r="D445" s="418">
        <v>128</v>
      </c>
      <c r="E445" s="414"/>
      <c r="F445" s="446"/>
      <c r="G445" s="414"/>
      <c r="H445" s="414"/>
      <c r="I445" s="606"/>
      <c r="J445" s="414"/>
      <c r="K445" s="414"/>
      <c r="L445" s="414"/>
      <c r="M445" s="414"/>
      <c r="N445" s="414"/>
      <c r="O445" s="414"/>
      <c r="P445" s="414"/>
      <c r="Q445" s="414"/>
      <c r="S445" s="446"/>
      <c r="T445" s="414"/>
      <c r="U445" s="414"/>
      <c r="V445" s="606"/>
      <c r="W445" s="414"/>
      <c r="X445" s="414"/>
      <c r="Y445" s="414"/>
      <c r="Z445" s="414"/>
      <c r="AA445" s="414"/>
      <c r="AB445" s="414"/>
      <c r="AC445" s="414"/>
      <c r="AD445" s="414"/>
    </row>
    <row r="446" spans="1:30" s="395" customFormat="1" x14ac:dyDescent="0.2">
      <c r="A446" s="431">
        <v>21</v>
      </c>
      <c r="B446" s="499" t="s">
        <v>560</v>
      </c>
      <c r="C446" s="499" t="s">
        <v>561</v>
      </c>
      <c r="D446" s="418">
        <v>128</v>
      </c>
      <c r="E446" s="414"/>
      <c r="F446" s="446"/>
      <c r="G446" s="414"/>
      <c r="H446" s="414"/>
      <c r="I446" s="606"/>
      <c r="J446" s="414"/>
      <c r="K446" s="414"/>
      <c r="L446" s="414"/>
      <c r="M446" s="414"/>
      <c r="N446" s="414"/>
      <c r="O446" s="414"/>
      <c r="P446" s="414"/>
      <c r="Q446" s="414"/>
      <c r="S446" s="446"/>
      <c r="T446" s="414"/>
      <c r="U446" s="414"/>
      <c r="V446" s="606"/>
      <c r="W446" s="414"/>
      <c r="X446" s="414"/>
      <c r="Y446" s="414"/>
      <c r="Z446" s="414"/>
      <c r="AA446" s="414"/>
      <c r="AB446" s="414"/>
      <c r="AC446" s="414"/>
      <c r="AD446" s="414"/>
    </row>
    <row r="447" spans="1:30" s="395" customFormat="1" x14ac:dyDescent="0.2">
      <c r="A447" s="431">
        <v>22</v>
      </c>
      <c r="B447" s="499" t="s">
        <v>562</v>
      </c>
      <c r="C447" s="499" t="s">
        <v>563</v>
      </c>
      <c r="D447" s="418">
        <v>128</v>
      </c>
      <c r="E447" s="414"/>
      <c r="F447" s="446"/>
      <c r="G447" s="414"/>
      <c r="H447" s="414"/>
      <c r="I447" s="606"/>
      <c r="J447" s="414"/>
      <c r="K447" s="414"/>
      <c r="L447" s="414"/>
      <c r="M447" s="414"/>
      <c r="N447" s="414"/>
      <c r="O447" s="414"/>
      <c r="P447" s="414"/>
      <c r="Q447" s="414"/>
      <c r="S447" s="446"/>
      <c r="T447" s="414"/>
      <c r="U447" s="414"/>
      <c r="V447" s="606"/>
      <c r="W447" s="414"/>
      <c r="X447" s="414"/>
      <c r="Y447" s="414"/>
      <c r="Z447" s="414"/>
      <c r="AA447" s="414"/>
      <c r="AB447" s="414"/>
      <c r="AC447" s="414"/>
      <c r="AD447" s="414"/>
    </row>
    <row r="448" spans="1:30" s="395" customFormat="1" x14ac:dyDescent="0.2">
      <c r="A448" s="431"/>
      <c r="B448" s="499"/>
      <c r="C448" s="499"/>
      <c r="D448" s="418"/>
      <c r="E448" s="414"/>
      <c r="F448" s="446"/>
      <c r="G448" s="414"/>
      <c r="H448" s="414"/>
      <c r="I448" s="606"/>
      <c r="J448" s="414"/>
      <c r="K448" s="414"/>
      <c r="L448" s="414"/>
      <c r="M448" s="414"/>
      <c r="N448" s="414"/>
      <c r="O448" s="414"/>
      <c r="P448" s="414"/>
      <c r="Q448" s="414"/>
      <c r="S448" s="446"/>
      <c r="T448" s="414"/>
      <c r="U448" s="414"/>
      <c r="V448" s="606"/>
      <c r="W448" s="414"/>
      <c r="X448" s="414"/>
      <c r="Y448" s="414"/>
      <c r="Z448" s="414"/>
      <c r="AA448" s="414"/>
      <c r="AB448" s="414"/>
      <c r="AC448" s="414"/>
      <c r="AD448" s="414"/>
    </row>
    <row r="449" spans="1:30" s="395" customFormat="1" x14ac:dyDescent="0.2">
      <c r="A449" s="470"/>
      <c r="B449" s="502" t="s">
        <v>624</v>
      </c>
      <c r="C449" s="502"/>
      <c r="D449" s="503"/>
      <c r="E449" s="414"/>
      <c r="F449" s="430"/>
      <c r="G449" s="414"/>
      <c r="H449" s="414"/>
      <c r="I449" s="606"/>
      <c r="J449" s="414"/>
      <c r="K449" s="414"/>
      <c r="L449" s="414"/>
      <c r="M449" s="414"/>
      <c r="N449" s="414"/>
      <c r="O449" s="414"/>
      <c r="P449" s="414"/>
      <c r="Q449" s="414"/>
      <c r="S449" s="430"/>
      <c r="T449" s="414"/>
      <c r="U449" s="414"/>
      <c r="V449" s="606"/>
      <c r="W449" s="414"/>
      <c r="X449" s="414"/>
      <c r="Y449" s="414"/>
      <c r="Z449" s="414"/>
      <c r="AA449" s="414"/>
      <c r="AB449" s="414"/>
      <c r="AC449" s="414"/>
      <c r="AD449" s="414"/>
    </row>
    <row r="450" spans="1:30" s="395" customFormat="1" x14ac:dyDescent="0.2">
      <c r="A450" s="433"/>
      <c r="B450" s="414" t="s">
        <v>588</v>
      </c>
      <c r="C450" s="414"/>
      <c r="D450" s="418">
        <v>128</v>
      </c>
      <c r="E450" s="417"/>
      <c r="F450" s="446"/>
      <c r="G450" s="414"/>
      <c r="H450" s="414"/>
      <c r="I450" s="606"/>
      <c r="J450" s="414"/>
      <c r="K450" s="414"/>
      <c r="L450" s="414"/>
      <c r="M450" s="414"/>
      <c r="N450" s="414"/>
      <c r="O450" s="414"/>
      <c r="P450" s="414"/>
      <c r="Q450" s="414"/>
      <c r="S450" s="446"/>
      <c r="T450" s="414"/>
      <c r="U450" s="414"/>
      <c r="V450" s="606"/>
      <c r="W450" s="414"/>
      <c r="X450" s="414"/>
      <c r="Y450" s="414"/>
      <c r="Z450" s="414"/>
      <c r="AA450" s="414"/>
      <c r="AB450" s="414"/>
      <c r="AC450" s="414"/>
      <c r="AD450" s="414"/>
    </row>
    <row r="451" spans="1:30" s="395" customFormat="1" x14ac:dyDescent="0.2">
      <c r="A451" s="433"/>
      <c r="B451" s="510"/>
      <c r="C451" s="510"/>
      <c r="D451" s="497"/>
      <c r="E451" s="417"/>
      <c r="F451" s="427"/>
      <c r="G451" s="423"/>
      <c r="H451" s="423"/>
      <c r="I451" s="607"/>
      <c r="J451" s="423"/>
      <c r="K451" s="423"/>
      <c r="L451" s="423"/>
      <c r="M451" s="423"/>
      <c r="N451" s="423"/>
      <c r="O451" s="423"/>
      <c r="P451" s="423"/>
      <c r="Q451" s="423"/>
      <c r="S451" s="427"/>
      <c r="T451" s="423"/>
      <c r="U451" s="423"/>
      <c r="V451" s="607"/>
      <c r="W451" s="423"/>
      <c r="X451" s="423"/>
      <c r="Y451" s="423"/>
      <c r="Z451" s="423"/>
      <c r="AA451" s="423"/>
      <c r="AB451" s="423"/>
      <c r="AC451" s="423"/>
      <c r="AD451" s="423"/>
    </row>
    <row r="452" spans="1:30" s="395" customFormat="1" x14ac:dyDescent="0.2">
      <c r="A452" s="584" t="s">
        <v>625</v>
      </c>
      <c r="B452" s="572" t="s">
        <v>626</v>
      </c>
      <c r="C452" s="572"/>
      <c r="D452" s="586"/>
      <c r="E452" s="586"/>
      <c r="F452" s="600" t="s">
        <v>616</v>
      </c>
      <c r="G452" s="600" t="s">
        <v>488</v>
      </c>
      <c r="H452" s="600" t="s">
        <v>489</v>
      </c>
      <c r="I452" s="604" t="s">
        <v>490</v>
      </c>
      <c r="J452" s="600" t="s">
        <v>491</v>
      </c>
      <c r="K452" s="600" t="s">
        <v>492</v>
      </c>
      <c r="L452" s="600" t="s">
        <v>493</v>
      </c>
      <c r="M452" s="600" t="s">
        <v>494</v>
      </c>
      <c r="N452" s="600" t="s">
        <v>495</v>
      </c>
      <c r="O452" s="600" t="s">
        <v>496</v>
      </c>
      <c r="P452" s="600" t="s">
        <v>497</v>
      </c>
      <c r="Q452" s="600" t="s">
        <v>498</v>
      </c>
      <c r="S452" s="600" t="s">
        <v>487</v>
      </c>
      <c r="T452" s="600" t="s">
        <v>488</v>
      </c>
      <c r="U452" s="600" t="s">
        <v>489</v>
      </c>
      <c r="V452" s="604" t="s">
        <v>490</v>
      </c>
      <c r="W452" s="600" t="s">
        <v>491</v>
      </c>
      <c r="X452" s="600" t="s">
        <v>492</v>
      </c>
      <c r="Y452" s="600" t="s">
        <v>493</v>
      </c>
      <c r="Z452" s="600" t="s">
        <v>494</v>
      </c>
      <c r="AA452" s="600" t="s">
        <v>495</v>
      </c>
      <c r="AB452" s="600" t="s">
        <v>496</v>
      </c>
      <c r="AC452" s="600" t="s">
        <v>497</v>
      </c>
      <c r="AD452" s="600" t="s">
        <v>498</v>
      </c>
    </row>
    <row r="453" spans="1:30" s="395" customFormat="1" x14ac:dyDescent="0.2">
      <c r="A453" s="470"/>
      <c r="B453" s="504" t="s">
        <v>623</v>
      </c>
      <c r="C453" s="504"/>
      <c r="D453" s="502"/>
      <c r="E453" s="414"/>
      <c r="F453" s="580"/>
      <c r="G453" s="582"/>
      <c r="H453" s="582"/>
      <c r="I453" s="609"/>
      <c r="J453" s="582"/>
      <c r="K453" s="582"/>
      <c r="L453" s="582"/>
      <c r="M453" s="582"/>
      <c r="N453" s="582"/>
      <c r="O453" s="582"/>
      <c r="P453" s="582"/>
      <c r="Q453" s="582"/>
      <c r="S453" s="580"/>
      <c r="T453" s="582"/>
      <c r="U453" s="582"/>
      <c r="V453" s="609"/>
      <c r="W453" s="582"/>
      <c r="X453" s="582"/>
      <c r="Y453" s="582"/>
      <c r="Z453" s="582"/>
      <c r="AA453" s="582"/>
      <c r="AB453" s="582"/>
      <c r="AC453" s="582"/>
      <c r="AD453" s="582"/>
    </row>
    <row r="454" spans="1:30" s="395" customFormat="1" x14ac:dyDescent="0.2">
      <c r="A454" s="431">
        <v>1</v>
      </c>
      <c r="B454" s="443" t="s">
        <v>503</v>
      </c>
      <c r="C454" s="443" t="s">
        <v>504</v>
      </c>
      <c r="D454" s="418">
        <v>341</v>
      </c>
      <c r="E454" s="414"/>
      <c r="F454" s="519"/>
      <c r="G454" s="429"/>
      <c r="H454" s="429"/>
      <c r="I454" s="606"/>
      <c r="J454" s="429"/>
      <c r="K454" s="429"/>
      <c r="L454" s="429"/>
      <c r="M454" s="429"/>
      <c r="N454" s="429"/>
      <c r="O454" s="429"/>
      <c r="P454" s="429"/>
      <c r="Q454" s="429"/>
      <c r="S454" s="519"/>
      <c r="T454" s="429"/>
      <c r="U454" s="429"/>
      <c r="V454" s="606"/>
      <c r="W454" s="429"/>
      <c r="X454" s="429"/>
      <c r="Y454" s="429"/>
      <c r="Z454" s="429"/>
      <c r="AA454" s="429"/>
      <c r="AB454" s="429"/>
      <c r="AC454" s="429"/>
      <c r="AD454" s="429"/>
    </row>
    <row r="455" spans="1:30" s="395" customFormat="1" x14ac:dyDescent="0.2">
      <c r="A455" s="431">
        <v>2</v>
      </c>
      <c r="B455" s="439" t="s">
        <v>513</v>
      </c>
      <c r="C455" s="439" t="s">
        <v>514</v>
      </c>
      <c r="D455" s="418">
        <v>341</v>
      </c>
      <c r="E455" s="414"/>
      <c r="F455" s="519"/>
      <c r="G455" s="429"/>
      <c r="H455" s="429"/>
      <c r="I455" s="606"/>
      <c r="J455" s="429"/>
      <c r="K455" s="429"/>
      <c r="L455" s="429"/>
      <c r="M455" s="429"/>
      <c r="N455" s="429"/>
      <c r="O455" s="429"/>
      <c r="P455" s="429"/>
      <c r="Q455" s="429"/>
      <c r="S455" s="519"/>
      <c r="T455" s="429"/>
      <c r="U455" s="429"/>
      <c r="V455" s="606"/>
      <c r="W455" s="429"/>
      <c r="X455" s="429"/>
      <c r="Y455" s="429"/>
      <c r="Z455" s="429"/>
      <c r="AA455" s="429"/>
      <c r="AB455" s="429"/>
      <c r="AC455" s="429"/>
      <c r="AD455" s="429"/>
    </row>
    <row r="456" spans="1:30" s="395" customFormat="1" x14ac:dyDescent="0.2">
      <c r="A456" s="431">
        <v>3</v>
      </c>
      <c r="B456" s="499" t="s">
        <v>519</v>
      </c>
      <c r="C456" s="499" t="s">
        <v>520</v>
      </c>
      <c r="D456" s="418">
        <v>341</v>
      </c>
      <c r="E456" s="414"/>
      <c r="F456" s="519"/>
      <c r="G456" s="429"/>
      <c r="H456" s="429"/>
      <c r="I456" s="606"/>
      <c r="J456" s="429"/>
      <c r="K456" s="429"/>
      <c r="L456" s="429"/>
      <c r="M456" s="429"/>
      <c r="N456" s="429"/>
      <c r="O456" s="429"/>
      <c r="P456" s="429"/>
      <c r="Q456" s="429"/>
      <c r="S456" s="519"/>
      <c r="T456" s="429"/>
      <c r="U456" s="429"/>
      <c r="V456" s="606"/>
      <c r="W456" s="429"/>
      <c r="X456" s="429"/>
      <c r="Y456" s="429"/>
      <c r="Z456" s="429"/>
      <c r="AA456" s="429"/>
      <c r="AB456" s="429"/>
      <c r="AC456" s="429"/>
      <c r="AD456" s="429"/>
    </row>
    <row r="457" spans="1:30" s="395" customFormat="1" x14ac:dyDescent="0.2">
      <c r="A457" s="431">
        <v>4</v>
      </c>
      <c r="B457" s="499" t="s">
        <v>522</v>
      </c>
      <c r="C457" s="499" t="s">
        <v>523</v>
      </c>
      <c r="D457" s="418">
        <v>341</v>
      </c>
      <c r="E457" s="414"/>
      <c r="F457" s="519"/>
      <c r="G457" s="429"/>
      <c r="H457" s="429"/>
      <c r="I457" s="606"/>
      <c r="J457" s="429"/>
      <c r="K457" s="429"/>
      <c r="L457" s="429"/>
      <c r="M457" s="429"/>
      <c r="N457" s="429"/>
      <c r="O457" s="429"/>
      <c r="P457" s="429"/>
      <c r="Q457" s="429"/>
      <c r="S457" s="519"/>
      <c r="T457" s="429"/>
      <c r="U457" s="429"/>
      <c r="V457" s="606"/>
      <c r="W457" s="429"/>
      <c r="X457" s="429"/>
      <c r="Y457" s="429"/>
      <c r="Z457" s="429"/>
      <c r="AA457" s="429"/>
      <c r="AB457" s="429"/>
      <c r="AC457" s="429"/>
      <c r="AD457" s="429"/>
    </row>
    <row r="458" spans="1:30" s="395" customFormat="1" x14ac:dyDescent="0.2">
      <c r="A458" s="431">
        <v>5</v>
      </c>
      <c r="B458" s="499" t="s">
        <v>524</v>
      </c>
      <c r="C458" s="499" t="s">
        <v>525</v>
      </c>
      <c r="D458" s="418">
        <v>341</v>
      </c>
      <c r="E458" s="414"/>
      <c r="F458" s="519"/>
      <c r="G458" s="429"/>
      <c r="H458" s="429"/>
      <c r="I458" s="606"/>
      <c r="J458" s="429"/>
      <c r="K458" s="429"/>
      <c r="L458" s="429"/>
      <c r="M458" s="429"/>
      <c r="N458" s="429"/>
      <c r="O458" s="429"/>
      <c r="P458" s="429"/>
      <c r="Q458" s="429"/>
      <c r="S458" s="519"/>
      <c r="T458" s="429"/>
      <c r="U458" s="429"/>
      <c r="V458" s="606"/>
      <c r="W458" s="429"/>
      <c r="X458" s="429"/>
      <c r="Y458" s="429"/>
      <c r="Z458" s="429"/>
      <c r="AA458" s="429"/>
      <c r="AB458" s="429"/>
      <c r="AC458" s="429"/>
      <c r="AD458" s="429"/>
    </row>
    <row r="459" spans="1:30" s="395" customFormat="1" x14ac:dyDescent="0.2">
      <c r="A459" s="431">
        <v>6</v>
      </c>
      <c r="B459" s="499" t="s">
        <v>527</v>
      </c>
      <c r="C459" s="499" t="s">
        <v>528</v>
      </c>
      <c r="D459" s="418">
        <v>341</v>
      </c>
      <c r="E459" s="414"/>
      <c r="F459" s="519"/>
      <c r="G459" s="429"/>
      <c r="H459" s="429"/>
      <c r="I459" s="606"/>
      <c r="J459" s="429"/>
      <c r="K459" s="429"/>
      <c r="L459" s="429"/>
      <c r="M459" s="429"/>
      <c r="N459" s="429"/>
      <c r="O459" s="429"/>
      <c r="P459" s="429"/>
      <c r="Q459" s="429"/>
      <c r="S459" s="519"/>
      <c r="T459" s="429"/>
      <c r="U459" s="429"/>
      <c r="V459" s="606"/>
      <c r="W459" s="429"/>
      <c r="X459" s="429"/>
      <c r="Y459" s="429"/>
      <c r="Z459" s="429"/>
      <c r="AA459" s="429"/>
      <c r="AB459" s="429"/>
      <c r="AC459" s="429"/>
      <c r="AD459" s="429"/>
    </row>
    <row r="460" spans="1:30" s="395" customFormat="1" x14ac:dyDescent="0.2">
      <c r="A460" s="431">
        <v>7</v>
      </c>
      <c r="B460" s="443" t="s">
        <v>531</v>
      </c>
      <c r="C460" s="443" t="s">
        <v>532</v>
      </c>
      <c r="D460" s="418">
        <v>341</v>
      </c>
      <c r="E460" s="414"/>
      <c r="F460" s="519"/>
      <c r="G460" s="429"/>
      <c r="H460" s="429"/>
      <c r="I460" s="606"/>
      <c r="J460" s="429"/>
      <c r="K460" s="429"/>
      <c r="L460" s="429"/>
      <c r="M460" s="429"/>
      <c r="N460" s="429"/>
      <c r="O460" s="429"/>
      <c r="P460" s="429"/>
      <c r="Q460" s="429"/>
      <c r="S460" s="519"/>
      <c r="T460" s="429"/>
      <c r="U460" s="429"/>
      <c r="V460" s="606"/>
      <c r="W460" s="429"/>
      <c r="X460" s="429"/>
      <c r="Y460" s="429"/>
      <c r="Z460" s="429"/>
      <c r="AA460" s="429"/>
      <c r="AB460" s="429"/>
      <c r="AC460" s="429"/>
      <c r="AD460" s="429"/>
    </row>
    <row r="461" spans="1:30" s="395" customFormat="1" x14ac:dyDescent="0.2">
      <c r="A461" s="431">
        <v>8</v>
      </c>
      <c r="B461" s="499" t="s">
        <v>533</v>
      </c>
      <c r="C461" s="499" t="s">
        <v>534</v>
      </c>
      <c r="D461" s="418">
        <v>341</v>
      </c>
      <c r="E461" s="414"/>
      <c r="F461" s="519"/>
      <c r="G461" s="429"/>
      <c r="H461" s="429"/>
      <c r="I461" s="606"/>
      <c r="J461" s="429"/>
      <c r="K461" s="429"/>
      <c r="L461" s="429"/>
      <c r="M461" s="429"/>
      <c r="N461" s="429"/>
      <c r="O461" s="429"/>
      <c r="P461" s="429"/>
      <c r="Q461" s="429"/>
      <c r="S461" s="519"/>
      <c r="T461" s="429"/>
      <c r="U461" s="429"/>
      <c r="V461" s="606"/>
      <c r="W461" s="429"/>
      <c r="X461" s="429"/>
      <c r="Y461" s="429"/>
      <c r="Z461" s="429"/>
      <c r="AA461" s="429"/>
      <c r="AB461" s="429"/>
      <c r="AC461" s="429"/>
      <c r="AD461" s="429"/>
    </row>
    <row r="462" spans="1:30" s="395" customFormat="1" x14ac:dyDescent="0.2">
      <c r="A462" s="431">
        <v>9</v>
      </c>
      <c r="B462" s="499" t="s">
        <v>536</v>
      </c>
      <c r="C462" s="499" t="s">
        <v>537</v>
      </c>
      <c r="D462" s="418">
        <v>341</v>
      </c>
      <c r="E462" s="414"/>
      <c r="F462" s="519"/>
      <c r="G462" s="429"/>
      <c r="H462" s="429"/>
      <c r="I462" s="606"/>
      <c r="J462" s="429"/>
      <c r="K462" s="429"/>
      <c r="L462" s="429"/>
      <c r="M462" s="429"/>
      <c r="N462" s="429"/>
      <c r="O462" s="429"/>
      <c r="P462" s="429"/>
      <c r="Q462" s="429"/>
      <c r="S462" s="519"/>
      <c r="T462" s="429"/>
      <c r="U462" s="429"/>
      <c r="V462" s="606"/>
      <c r="W462" s="429"/>
      <c r="X462" s="429"/>
      <c r="Y462" s="429"/>
      <c r="Z462" s="429"/>
      <c r="AA462" s="429"/>
      <c r="AB462" s="429"/>
      <c r="AC462" s="429"/>
      <c r="AD462" s="429"/>
    </row>
    <row r="463" spans="1:30" s="395" customFormat="1" x14ac:dyDescent="0.2">
      <c r="A463" s="431">
        <v>10</v>
      </c>
      <c r="B463" s="499" t="s">
        <v>538</v>
      </c>
      <c r="C463" s="499" t="s">
        <v>539</v>
      </c>
      <c r="D463" s="418">
        <v>341</v>
      </c>
      <c r="E463" s="414"/>
      <c r="F463" s="519"/>
      <c r="G463" s="429"/>
      <c r="H463" s="429"/>
      <c r="I463" s="606"/>
      <c r="J463" s="429"/>
      <c r="K463" s="429"/>
      <c r="L463" s="429"/>
      <c r="M463" s="429"/>
      <c r="N463" s="429"/>
      <c r="O463" s="429"/>
      <c r="P463" s="429"/>
      <c r="Q463" s="429"/>
      <c r="S463" s="519"/>
      <c r="T463" s="429"/>
      <c r="U463" s="429"/>
      <c r="V463" s="606"/>
      <c r="W463" s="429"/>
      <c r="X463" s="429"/>
      <c r="Y463" s="429"/>
      <c r="Z463" s="429"/>
      <c r="AA463" s="429"/>
      <c r="AB463" s="429"/>
      <c r="AC463" s="429"/>
      <c r="AD463" s="429"/>
    </row>
    <row r="464" spans="1:30" s="395" customFormat="1" x14ac:dyDescent="0.2">
      <c r="A464" s="431">
        <v>11</v>
      </c>
      <c r="B464" s="499" t="s">
        <v>540</v>
      </c>
      <c r="C464" s="499" t="s">
        <v>541</v>
      </c>
      <c r="D464" s="418">
        <v>341</v>
      </c>
      <c r="E464" s="414"/>
      <c r="F464" s="519"/>
      <c r="G464" s="429"/>
      <c r="H464" s="429"/>
      <c r="I464" s="606"/>
      <c r="J464" s="429"/>
      <c r="K464" s="429"/>
      <c r="L464" s="429"/>
      <c r="M464" s="429"/>
      <c r="N464" s="429"/>
      <c r="O464" s="429"/>
      <c r="P464" s="429"/>
      <c r="Q464" s="429"/>
      <c r="S464" s="519"/>
      <c r="T464" s="429"/>
      <c r="U464" s="429"/>
      <c r="V464" s="606"/>
      <c r="W464" s="429"/>
      <c r="X464" s="429"/>
      <c r="Y464" s="429"/>
      <c r="Z464" s="429"/>
      <c r="AA464" s="429"/>
      <c r="AB464" s="429"/>
      <c r="AC464" s="429"/>
      <c r="AD464" s="429"/>
    </row>
    <row r="465" spans="1:30" s="395" customFormat="1" x14ac:dyDescent="0.2">
      <c r="A465" s="431">
        <v>12</v>
      </c>
      <c r="B465" s="499" t="s">
        <v>542</v>
      </c>
      <c r="C465" s="499" t="s">
        <v>543</v>
      </c>
      <c r="D465" s="418">
        <v>341</v>
      </c>
      <c r="E465" s="414"/>
      <c r="F465" s="519"/>
      <c r="G465" s="429"/>
      <c r="H465" s="429"/>
      <c r="I465" s="606"/>
      <c r="J465" s="429"/>
      <c r="K465" s="429"/>
      <c r="L465" s="429"/>
      <c r="M465" s="429"/>
      <c r="N465" s="429"/>
      <c r="O465" s="429"/>
      <c r="P465" s="429"/>
      <c r="Q465" s="429"/>
      <c r="S465" s="519"/>
      <c r="T465" s="429"/>
      <c r="U465" s="429"/>
      <c r="V465" s="606"/>
      <c r="W465" s="429"/>
      <c r="X465" s="429"/>
      <c r="Y465" s="429"/>
      <c r="Z465" s="429"/>
      <c r="AA465" s="429"/>
      <c r="AB465" s="429"/>
      <c r="AC465" s="429"/>
      <c r="AD465" s="429"/>
    </row>
    <row r="466" spans="1:30" s="395" customFormat="1" x14ac:dyDescent="0.2">
      <c r="A466" s="431">
        <v>13</v>
      </c>
      <c r="B466" s="499" t="s">
        <v>544</v>
      </c>
      <c r="C466" s="499" t="s">
        <v>545</v>
      </c>
      <c r="D466" s="418">
        <v>341</v>
      </c>
      <c r="E466" s="414"/>
      <c r="F466" s="519"/>
      <c r="G466" s="429"/>
      <c r="H466" s="429"/>
      <c r="I466" s="606"/>
      <c r="J466" s="429"/>
      <c r="K466" s="429"/>
      <c r="L466" s="429"/>
      <c r="M466" s="429"/>
      <c r="N466" s="429"/>
      <c r="O466" s="429"/>
      <c r="P466" s="429"/>
      <c r="Q466" s="429"/>
      <c r="S466" s="519"/>
      <c r="T466" s="429"/>
      <c r="U466" s="429"/>
      <c r="V466" s="606"/>
      <c r="W466" s="429"/>
      <c r="X466" s="429"/>
      <c r="Y466" s="429"/>
      <c r="Z466" s="429"/>
      <c r="AA466" s="429"/>
      <c r="AB466" s="429"/>
      <c r="AC466" s="429"/>
      <c r="AD466" s="429"/>
    </row>
    <row r="467" spans="1:30" s="395" customFormat="1" x14ac:dyDescent="0.2">
      <c r="A467" s="431">
        <v>14</v>
      </c>
      <c r="B467" s="499" t="s">
        <v>546</v>
      </c>
      <c r="C467" s="499" t="s">
        <v>547</v>
      </c>
      <c r="D467" s="418">
        <v>341</v>
      </c>
      <c r="E467" s="414"/>
      <c r="F467" s="519"/>
      <c r="G467" s="429"/>
      <c r="H467" s="429"/>
      <c r="I467" s="606"/>
      <c r="J467" s="429"/>
      <c r="K467" s="429"/>
      <c r="L467" s="429"/>
      <c r="M467" s="429"/>
      <c r="N467" s="429"/>
      <c r="O467" s="429"/>
      <c r="P467" s="429"/>
      <c r="Q467" s="429"/>
      <c r="S467" s="519"/>
      <c r="T467" s="429"/>
      <c r="U467" s="429"/>
      <c r="V467" s="606"/>
      <c r="W467" s="429"/>
      <c r="X467" s="429"/>
      <c r="Y467" s="429"/>
      <c r="Z467" s="429"/>
      <c r="AA467" s="429"/>
      <c r="AB467" s="429"/>
      <c r="AC467" s="429"/>
      <c r="AD467" s="429"/>
    </row>
    <row r="468" spans="1:30" s="395" customFormat="1" x14ac:dyDescent="0.2">
      <c r="A468" s="431">
        <v>15</v>
      </c>
      <c r="B468" s="499" t="s">
        <v>548</v>
      </c>
      <c r="C468" s="499" t="s">
        <v>549</v>
      </c>
      <c r="D468" s="418">
        <v>341</v>
      </c>
      <c r="E468" s="414"/>
      <c r="F468" s="519"/>
      <c r="G468" s="429"/>
      <c r="H468" s="429"/>
      <c r="I468" s="606"/>
      <c r="J468" s="429"/>
      <c r="K468" s="429"/>
      <c r="L468" s="429"/>
      <c r="M468" s="429"/>
      <c r="N468" s="429"/>
      <c r="O468" s="429"/>
      <c r="P468" s="429"/>
      <c r="Q468" s="429"/>
      <c r="S468" s="519"/>
      <c r="T468" s="429"/>
      <c r="U468" s="429"/>
      <c r="V468" s="606"/>
      <c r="W468" s="429"/>
      <c r="X468" s="429"/>
      <c r="Y468" s="429"/>
      <c r="Z468" s="429"/>
      <c r="AA468" s="429"/>
      <c r="AB468" s="429"/>
      <c r="AC468" s="429"/>
      <c r="AD468" s="429"/>
    </row>
    <row r="469" spans="1:30" s="395" customFormat="1" x14ac:dyDescent="0.2">
      <c r="A469" s="431">
        <v>16</v>
      </c>
      <c r="B469" s="499" t="s">
        <v>550</v>
      </c>
      <c r="C469" s="499" t="s">
        <v>551</v>
      </c>
      <c r="D469" s="418">
        <v>341</v>
      </c>
      <c r="E469" s="414"/>
      <c r="F469" s="519"/>
      <c r="G469" s="429"/>
      <c r="H469" s="429"/>
      <c r="I469" s="606"/>
      <c r="J469" s="429"/>
      <c r="K469" s="429"/>
      <c r="L469" s="429"/>
      <c r="M469" s="429"/>
      <c r="N469" s="429"/>
      <c r="O469" s="429"/>
      <c r="P469" s="429"/>
      <c r="Q469" s="429"/>
      <c r="S469" s="519"/>
      <c r="T469" s="429"/>
      <c r="U469" s="429"/>
      <c r="V469" s="606"/>
      <c r="W469" s="429"/>
      <c r="X469" s="429"/>
      <c r="Y469" s="429"/>
      <c r="Z469" s="429"/>
      <c r="AA469" s="429"/>
      <c r="AB469" s="429"/>
      <c r="AC469" s="429"/>
      <c r="AD469" s="429"/>
    </row>
    <row r="470" spans="1:30" s="395" customFormat="1" x14ac:dyDescent="0.2">
      <c r="A470" s="431">
        <v>17</v>
      </c>
      <c r="B470" s="499" t="s">
        <v>552</v>
      </c>
      <c r="C470" s="499" t="s">
        <v>553</v>
      </c>
      <c r="D470" s="418">
        <v>341</v>
      </c>
      <c r="E470" s="414"/>
      <c r="F470" s="519"/>
      <c r="G470" s="429"/>
      <c r="H470" s="429"/>
      <c r="I470" s="606"/>
      <c r="J470" s="429"/>
      <c r="K470" s="429"/>
      <c r="L470" s="429"/>
      <c r="M470" s="429"/>
      <c r="N470" s="429"/>
      <c r="O470" s="429"/>
      <c r="P470" s="429"/>
      <c r="Q470" s="429"/>
      <c r="S470" s="519"/>
      <c r="T470" s="429"/>
      <c r="U470" s="429"/>
      <c r="V470" s="606"/>
      <c r="W470" s="429"/>
      <c r="X470" s="429"/>
      <c r="Y470" s="429"/>
      <c r="Z470" s="429"/>
      <c r="AA470" s="429"/>
      <c r="AB470" s="429"/>
      <c r="AC470" s="429"/>
      <c r="AD470" s="429"/>
    </row>
    <row r="471" spans="1:30" s="395" customFormat="1" x14ac:dyDescent="0.2">
      <c r="A471" s="431">
        <v>18</v>
      </c>
      <c r="B471" s="499" t="s">
        <v>554</v>
      </c>
      <c r="C471" s="499" t="s">
        <v>555</v>
      </c>
      <c r="D471" s="418">
        <v>341</v>
      </c>
      <c r="E471" s="414"/>
      <c r="F471" s="519"/>
      <c r="G471" s="429"/>
      <c r="H471" s="429"/>
      <c r="I471" s="606"/>
      <c r="J471" s="429"/>
      <c r="K471" s="429"/>
      <c r="L471" s="429"/>
      <c r="M471" s="429"/>
      <c r="N471" s="429"/>
      <c r="O471" s="429"/>
      <c r="P471" s="429"/>
      <c r="Q471" s="429"/>
      <c r="S471" s="519"/>
      <c r="T471" s="429"/>
      <c r="U471" s="429"/>
      <c r="V471" s="606"/>
      <c r="W471" s="429"/>
      <c r="X471" s="429"/>
      <c r="Y471" s="429"/>
      <c r="Z471" s="429"/>
      <c r="AA471" s="429"/>
      <c r="AB471" s="429"/>
      <c r="AC471" s="429"/>
      <c r="AD471" s="429"/>
    </row>
    <row r="472" spans="1:30" s="395" customFormat="1" x14ac:dyDescent="0.2">
      <c r="A472" s="431">
        <v>19</v>
      </c>
      <c r="B472" s="443" t="s">
        <v>556</v>
      </c>
      <c r="C472" s="443" t="s">
        <v>557</v>
      </c>
      <c r="D472" s="418">
        <v>341</v>
      </c>
      <c r="E472" s="414"/>
      <c r="F472" s="519"/>
      <c r="G472" s="429"/>
      <c r="H472" s="429"/>
      <c r="I472" s="606"/>
      <c r="J472" s="429"/>
      <c r="K472" s="429"/>
      <c r="L472" s="429"/>
      <c r="M472" s="429"/>
      <c r="N472" s="429"/>
      <c r="O472" s="429"/>
      <c r="P472" s="429"/>
      <c r="Q472" s="429"/>
      <c r="S472" s="519"/>
      <c r="T472" s="429"/>
      <c r="U472" s="429"/>
      <c r="V472" s="606"/>
      <c r="W472" s="429"/>
      <c r="X472" s="429"/>
      <c r="Y472" s="429"/>
      <c r="Z472" s="429"/>
      <c r="AA472" s="429"/>
      <c r="AB472" s="429"/>
      <c r="AC472" s="429"/>
      <c r="AD472" s="429"/>
    </row>
    <row r="473" spans="1:30" s="395" customFormat="1" x14ac:dyDescent="0.2">
      <c r="A473" s="431">
        <v>20</v>
      </c>
      <c r="B473" s="499" t="s">
        <v>558</v>
      </c>
      <c r="C473" s="499" t="s">
        <v>559</v>
      </c>
      <c r="D473" s="418">
        <v>341</v>
      </c>
      <c r="E473" s="414"/>
      <c r="F473" s="519"/>
      <c r="G473" s="429"/>
      <c r="H473" s="429"/>
      <c r="I473" s="606"/>
      <c r="J473" s="429"/>
      <c r="K473" s="429"/>
      <c r="L473" s="429"/>
      <c r="M473" s="429"/>
      <c r="N473" s="429"/>
      <c r="O473" s="429"/>
      <c r="P473" s="429"/>
      <c r="Q473" s="429"/>
      <c r="S473" s="519"/>
      <c r="T473" s="429"/>
      <c r="U473" s="429"/>
      <c r="V473" s="606"/>
      <c r="W473" s="429"/>
      <c r="X473" s="429"/>
      <c r="Y473" s="429"/>
      <c r="Z473" s="429"/>
      <c r="AA473" s="429"/>
      <c r="AB473" s="429"/>
      <c r="AC473" s="429"/>
      <c r="AD473" s="429"/>
    </row>
    <row r="474" spans="1:30" s="395" customFormat="1" x14ac:dyDescent="0.2">
      <c r="A474" s="431">
        <v>21</v>
      </c>
      <c r="B474" s="499" t="s">
        <v>560</v>
      </c>
      <c r="C474" s="499" t="s">
        <v>561</v>
      </c>
      <c r="D474" s="418">
        <v>341</v>
      </c>
      <c r="E474" s="414"/>
      <c r="F474" s="519"/>
      <c r="G474" s="429"/>
      <c r="H474" s="429"/>
      <c r="I474" s="606"/>
      <c r="J474" s="429"/>
      <c r="K474" s="429"/>
      <c r="L474" s="429"/>
      <c r="M474" s="429"/>
      <c r="N474" s="429"/>
      <c r="O474" s="429"/>
      <c r="P474" s="429"/>
      <c r="Q474" s="429"/>
      <c r="S474" s="519"/>
      <c r="T474" s="429"/>
      <c r="U474" s="429"/>
      <c r="V474" s="606"/>
      <c r="W474" s="429"/>
      <c r="X474" s="429"/>
      <c r="Y474" s="429"/>
      <c r="Z474" s="429"/>
      <c r="AA474" s="429"/>
      <c r="AB474" s="429"/>
      <c r="AC474" s="429"/>
      <c r="AD474" s="429"/>
    </row>
    <row r="475" spans="1:30" s="395" customFormat="1" x14ac:dyDescent="0.2">
      <c r="A475" s="431">
        <v>22</v>
      </c>
      <c r="B475" s="499" t="s">
        <v>562</v>
      </c>
      <c r="C475" s="499" t="s">
        <v>563</v>
      </c>
      <c r="D475" s="418">
        <v>341</v>
      </c>
      <c r="E475" s="414"/>
      <c r="F475" s="519"/>
      <c r="G475" s="429"/>
      <c r="H475" s="429"/>
      <c r="I475" s="606"/>
      <c r="J475" s="429"/>
      <c r="K475" s="429"/>
      <c r="L475" s="429"/>
      <c r="M475" s="429"/>
      <c r="N475" s="429"/>
      <c r="O475" s="429"/>
      <c r="P475" s="429"/>
      <c r="Q475" s="429"/>
      <c r="S475" s="519"/>
      <c r="T475" s="429"/>
      <c r="U475" s="429"/>
      <c r="V475" s="606"/>
      <c r="W475" s="429"/>
      <c r="X475" s="429"/>
      <c r="Y475" s="429"/>
      <c r="Z475" s="429"/>
      <c r="AA475" s="429"/>
      <c r="AB475" s="429"/>
      <c r="AC475" s="429"/>
      <c r="AD475" s="429"/>
    </row>
    <row r="476" spans="1:30" s="395" customFormat="1" x14ac:dyDescent="0.2">
      <c r="A476" s="470"/>
      <c r="B476" s="499"/>
      <c r="C476" s="499"/>
      <c r="D476" s="418"/>
      <c r="E476" s="414"/>
      <c r="F476" s="519"/>
      <c r="G476" s="429"/>
      <c r="H476" s="429"/>
      <c r="I476" s="606"/>
      <c r="J476" s="429"/>
      <c r="K476" s="429"/>
      <c r="L476" s="429"/>
      <c r="M476" s="429"/>
      <c r="N476" s="429"/>
      <c r="O476" s="429"/>
      <c r="P476" s="429"/>
      <c r="Q476" s="429"/>
      <c r="S476" s="519"/>
      <c r="T476" s="429"/>
      <c r="U476" s="429"/>
      <c r="V476" s="606"/>
      <c r="W476" s="429"/>
      <c r="X476" s="429"/>
      <c r="Y476" s="429"/>
      <c r="Z476" s="429"/>
      <c r="AA476" s="429"/>
      <c r="AB476" s="429"/>
      <c r="AC476" s="429"/>
      <c r="AD476" s="429"/>
    </row>
    <row r="477" spans="1:30" s="395" customFormat="1" x14ac:dyDescent="0.2">
      <c r="A477" s="470"/>
      <c r="B477" s="504" t="s">
        <v>627</v>
      </c>
      <c r="C477" s="504"/>
      <c r="D477" s="503"/>
      <c r="E477" s="414"/>
      <c r="F477" s="519"/>
      <c r="G477" s="429"/>
      <c r="H477" s="429"/>
      <c r="I477" s="606"/>
      <c r="J477" s="429"/>
      <c r="K477" s="429"/>
      <c r="L477" s="429"/>
      <c r="M477" s="429"/>
      <c r="N477" s="429"/>
      <c r="O477" s="429"/>
      <c r="P477" s="429"/>
      <c r="Q477" s="429"/>
      <c r="S477" s="519"/>
      <c r="T477" s="429"/>
      <c r="U477" s="429"/>
      <c r="V477" s="606"/>
      <c r="W477" s="429"/>
      <c r="X477" s="429"/>
      <c r="Y477" s="429"/>
      <c r="Z477" s="429"/>
      <c r="AA477" s="429"/>
      <c r="AB477" s="429"/>
      <c r="AC477" s="429"/>
      <c r="AD477" s="429"/>
    </row>
    <row r="478" spans="1:30" s="395" customFormat="1" x14ac:dyDescent="0.2">
      <c r="A478" s="470"/>
      <c r="B478" s="499" t="s">
        <v>588</v>
      </c>
      <c r="C478" s="499"/>
      <c r="D478" s="418">
        <v>338</v>
      </c>
      <c r="E478" s="414"/>
      <c r="F478" s="644">
        <v>5000000000</v>
      </c>
      <c r="G478" s="645">
        <v>5000000000</v>
      </c>
      <c r="H478" s="645">
        <v>5000000000</v>
      </c>
      <c r="I478" s="645">
        <v>5000000000</v>
      </c>
      <c r="J478" s="645">
        <v>5000000000</v>
      </c>
      <c r="K478" s="645">
        <v>5000000000</v>
      </c>
      <c r="L478" s="645">
        <v>5000000000</v>
      </c>
      <c r="M478" s="645">
        <v>5000000000</v>
      </c>
      <c r="N478" s="645">
        <v>5000000000</v>
      </c>
      <c r="O478" s="645">
        <v>5000000000</v>
      </c>
      <c r="P478" s="645">
        <v>5000000000</v>
      </c>
      <c r="Q478" s="645">
        <v>5000000000</v>
      </c>
      <c r="S478" s="519">
        <v>5000000000</v>
      </c>
      <c r="T478" s="519">
        <v>5000000000</v>
      </c>
      <c r="U478" s="519">
        <v>5000000000</v>
      </c>
      <c r="V478" s="608">
        <v>5000000000</v>
      </c>
      <c r="W478" s="429">
        <v>5000000000</v>
      </c>
      <c r="X478" s="429">
        <v>5000000000</v>
      </c>
      <c r="Y478" s="429"/>
      <c r="Z478" s="429"/>
      <c r="AA478" s="429"/>
      <c r="AB478" s="429"/>
      <c r="AC478" s="429"/>
      <c r="AD478" s="429"/>
    </row>
    <row r="479" spans="1:30" s="395" customFormat="1" x14ac:dyDescent="0.2">
      <c r="A479" s="470"/>
      <c r="B479" s="499" t="s">
        <v>628</v>
      </c>
      <c r="C479" s="499"/>
      <c r="D479" s="418">
        <v>341</v>
      </c>
      <c r="E479" s="414"/>
      <c r="F479" s="519"/>
      <c r="G479" s="429"/>
      <c r="H479" s="429"/>
      <c r="I479" s="606"/>
      <c r="J479" s="429"/>
      <c r="K479" s="429"/>
      <c r="L479" s="429"/>
      <c r="M479" s="429"/>
      <c r="N479" s="429"/>
      <c r="O479" s="429"/>
      <c r="P479" s="429"/>
      <c r="Q479" s="429"/>
      <c r="S479" s="519"/>
      <c r="T479" s="429"/>
      <c r="U479" s="429"/>
      <c r="V479" s="606"/>
      <c r="W479" s="429"/>
      <c r="X479" s="429"/>
      <c r="Y479" s="429"/>
      <c r="Z479" s="429"/>
      <c r="AA479" s="429"/>
      <c r="AB479" s="429"/>
      <c r="AC479" s="429"/>
      <c r="AD479" s="429"/>
    </row>
    <row r="480" spans="1:30" s="395" customFormat="1" x14ac:dyDescent="0.2">
      <c r="A480" s="505"/>
      <c r="B480" s="495"/>
      <c r="C480" s="495"/>
      <c r="D480" s="423"/>
      <c r="E480" s="423"/>
      <c r="F480" s="520"/>
      <c r="G480" s="468"/>
      <c r="H480" s="468"/>
      <c r="I480" s="607"/>
      <c r="J480" s="468"/>
      <c r="K480" s="468"/>
      <c r="L480" s="468"/>
      <c r="M480" s="468"/>
      <c r="N480" s="468"/>
      <c r="O480" s="468"/>
      <c r="P480" s="468"/>
      <c r="Q480" s="468"/>
      <c r="S480" s="520"/>
      <c r="T480" s="468"/>
      <c r="U480" s="468"/>
      <c r="V480" s="607"/>
      <c r="W480" s="468"/>
      <c r="X480" s="468"/>
      <c r="Y480" s="468"/>
      <c r="Z480" s="468"/>
      <c r="AA480" s="468"/>
      <c r="AB480" s="468"/>
      <c r="AC480" s="468"/>
      <c r="AD480" s="468"/>
    </row>
    <row r="481" spans="1:30" s="395" customFormat="1" x14ac:dyDescent="0.2">
      <c r="A481" s="584" t="s">
        <v>629</v>
      </c>
      <c r="B481" s="572" t="s">
        <v>630</v>
      </c>
      <c r="C481" s="572"/>
      <c r="D481" s="586"/>
      <c r="E481" s="586"/>
      <c r="F481" s="600" t="s">
        <v>616</v>
      </c>
      <c r="G481" s="600" t="s">
        <v>488</v>
      </c>
      <c r="H481" s="600" t="s">
        <v>489</v>
      </c>
      <c r="I481" s="604" t="s">
        <v>490</v>
      </c>
      <c r="J481" s="600" t="s">
        <v>491</v>
      </c>
      <c r="K481" s="600" t="s">
        <v>492</v>
      </c>
      <c r="L481" s="600" t="s">
        <v>493</v>
      </c>
      <c r="M481" s="600" t="s">
        <v>494</v>
      </c>
      <c r="N481" s="600" t="s">
        <v>495</v>
      </c>
      <c r="O481" s="600" t="s">
        <v>496</v>
      </c>
      <c r="P481" s="600" t="s">
        <v>497</v>
      </c>
      <c r="Q481" s="600" t="s">
        <v>498</v>
      </c>
      <c r="S481" s="570" t="s">
        <v>487</v>
      </c>
      <c r="T481" s="570" t="s">
        <v>488</v>
      </c>
      <c r="U481" s="570" t="s">
        <v>489</v>
      </c>
      <c r="V481" s="604" t="s">
        <v>490</v>
      </c>
      <c r="W481" s="570" t="s">
        <v>491</v>
      </c>
      <c r="X481" s="570" t="s">
        <v>492</v>
      </c>
      <c r="Y481" s="570" t="s">
        <v>493</v>
      </c>
      <c r="Z481" s="570" t="s">
        <v>494</v>
      </c>
      <c r="AA481" s="570" t="s">
        <v>495</v>
      </c>
      <c r="AB481" s="570" t="s">
        <v>496</v>
      </c>
      <c r="AC481" s="570" t="s">
        <v>497</v>
      </c>
      <c r="AD481" s="570" t="s">
        <v>498</v>
      </c>
    </row>
    <row r="482" spans="1:30" s="395" customFormat="1" x14ac:dyDescent="0.2">
      <c r="A482" s="651"/>
      <c r="B482" s="588" t="s">
        <v>588</v>
      </c>
      <c r="C482" s="588"/>
      <c r="D482" s="588" t="s">
        <v>631</v>
      </c>
      <c r="E482" s="588"/>
      <c r="F482" s="581"/>
      <c r="G482" s="588"/>
      <c r="H482" s="588"/>
      <c r="I482" s="609"/>
      <c r="J482" s="588"/>
      <c r="K482" s="588"/>
      <c r="L482" s="588"/>
      <c r="M482" s="588"/>
      <c r="N482" s="588"/>
      <c r="O482" s="588"/>
      <c r="P482" s="588"/>
      <c r="Q482" s="588"/>
      <c r="S482" s="581"/>
      <c r="T482" s="588"/>
      <c r="U482" s="588"/>
      <c r="V482" s="609" t="s">
        <v>358</v>
      </c>
      <c r="W482" s="588"/>
      <c r="X482" s="588"/>
      <c r="Y482" s="588"/>
      <c r="Z482" s="588"/>
      <c r="AA482" s="588"/>
      <c r="AB482" s="588"/>
      <c r="AC482" s="588"/>
      <c r="AD482" s="588"/>
    </row>
    <row r="483" spans="1:30" s="395" customFormat="1" x14ac:dyDescent="0.2">
      <c r="A483" s="505"/>
      <c r="B483" s="454"/>
      <c r="C483" s="454"/>
      <c r="D483" s="423"/>
      <c r="E483" s="423"/>
      <c r="F483" s="427"/>
      <c r="G483" s="423"/>
      <c r="H483" s="423"/>
      <c r="I483" s="607"/>
      <c r="J483" s="423"/>
      <c r="K483" s="423"/>
      <c r="L483" s="423"/>
      <c r="M483" s="423"/>
      <c r="N483" s="423"/>
      <c r="O483" s="423"/>
      <c r="P483" s="423"/>
      <c r="Q483" s="423"/>
      <c r="S483" s="427"/>
      <c r="T483" s="423"/>
      <c r="U483" s="423"/>
      <c r="V483" s="607" t="s">
        <v>358</v>
      </c>
      <c r="W483" s="423"/>
      <c r="X483" s="423"/>
      <c r="Y483" s="423"/>
      <c r="Z483" s="423"/>
      <c r="AA483" s="423"/>
      <c r="AB483" s="423"/>
      <c r="AC483" s="423"/>
      <c r="AD483" s="423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C212-59AC-4833-93BA-694E0F5291E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F33AB55D4C32428B0185C3015CD415" ma:contentTypeVersion="3" ma:contentTypeDescription="Create a new document." ma:contentTypeScope="" ma:versionID="ecd092494d94b9c5afa01149f09c00bb">
  <xsd:schema xmlns:xsd="http://www.w3.org/2001/XMLSchema" xmlns:xs="http://www.w3.org/2001/XMLSchema" xmlns:p="http://schemas.microsoft.com/office/2006/metadata/properties" xmlns:ns2="543c1bda-7ab4-496b-90de-e61f6375a792" targetNamespace="http://schemas.microsoft.com/office/2006/metadata/properties" ma:root="true" ma:fieldsID="c3289f7d8f8ce0911a9bc9aa4db0a163" ns2:_="">
    <xsd:import namespace="543c1bda-7ab4-496b-90de-e61f6375a7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c1bda-7ab4-496b-90de-e61f6375a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8B3231-A731-4B24-8515-F36278AFC8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173092-C1B2-44A0-858F-453AEB28DF3A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543c1bda-7ab4-496b-90de-e61f6375a792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19B2649-C69E-47C8-BD6D-7B2820F008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c1bda-7ab4-496b-90de-e61f6375a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Thong tin</vt:lpstr>
      <vt:lpstr>BIA</vt:lpstr>
      <vt:lpstr>Index</vt:lpstr>
      <vt:lpstr>THTC in</vt:lpstr>
      <vt:lpstr>KQKD in</vt:lpstr>
      <vt:lpstr>LCTT_GT in</vt:lpstr>
      <vt:lpstr>Tinh hinh tai chinh</vt:lpstr>
      <vt:lpstr>Ket qua kinh doanh</vt:lpstr>
      <vt:lpstr>Luu chuyen tien te</vt:lpstr>
      <vt:lpstr>KQKD theo yeu to</vt:lpstr>
      <vt:lpstr>No vay</vt:lpstr>
      <vt:lpstr>Giao dich voi BLQ</vt:lpstr>
      <vt:lpstr>Phu luc SX</vt:lpstr>
      <vt:lpstr>'LCTT_GT in'!Print_Titles</vt:lpstr>
      <vt:lpstr>'THTC in'!Print_Titles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Thọ, Trần Hữu</dc:creator>
  <cp:keywords/>
  <dc:description/>
  <cp:lastModifiedBy>Hằng, Nguyễn Thị Cẩm</cp:lastModifiedBy>
  <cp:revision/>
  <dcterms:created xsi:type="dcterms:W3CDTF">2025-10-30T03:08:42Z</dcterms:created>
  <dcterms:modified xsi:type="dcterms:W3CDTF">2026-07-13T03:32:07Z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0x01010095F33AB55D4C32428B0185C3015CD415</vt:lpwstr>
  </property>
</Properties>
</file>