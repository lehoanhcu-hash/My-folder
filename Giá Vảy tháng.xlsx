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tg-my.sharepoint.com/personal/culh_duytanrecycling_com/Documents/Desktop/"/>
    </mc:Choice>
  </mc:AlternateContent>
  <xr:revisionPtr revIDLastSave="0" documentId="8_{A14E35EA-93D0-43D0-A001-B2713E54DB20}" xr6:coauthVersionLast="47" xr6:coauthVersionMax="47" xr10:uidLastSave="{00000000-0000-0000-0000-000000000000}"/>
  <bookViews>
    <workbookView xWindow="-110" yWindow="-110" windowWidth="19420" windowHeight="10300" xr2:uid="{EED22F0D-65C4-4C77-B524-AAB412F14938}"/>
  </bookViews>
  <sheets>
    <sheet name="Vảy PET- Thán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\T" localSheetId="0">#REF!</definedName>
    <definedName name="\T">#REF!</definedName>
    <definedName name="__dao1">'[3]CT Thang Mo'!$B$189:$H$189</definedName>
    <definedName name="__dao2">'[3]CT Thang Mo'!$B$161:$H$161</definedName>
    <definedName name="__dap2">'[3]CT Thang Mo'!$B$162:$H$162</definedName>
    <definedName name="__day1">'[4]Chiet tinh dz22'!#REF!</definedName>
    <definedName name="__day2">'[5]Chiet tinh dz35'!$H$3</definedName>
    <definedName name="__dbu1">'[3]CT Thang Mo'!#REF!</definedName>
    <definedName name="__dbu2">'[3]CT Thang Mo'!$B$93:$F$93</definedName>
    <definedName name="__doi3">'[6]truc tiep'!#REF!</definedName>
    <definedName name="__E99999">#REF!</definedName>
    <definedName name="__Jan02">'[7]FG waste'!#REF!</definedName>
    <definedName name="__lap1">#REF!</definedName>
    <definedName name="__lap2">#REF!</definedName>
    <definedName name="__vc1">'[3]CT Thang Mo'!$B$34:$H$34</definedName>
    <definedName name="__vc2">'[3]CT Thang Mo'!$B$35:$H$35</definedName>
    <definedName name="__vc3">'[3]CT Thang Mo'!$B$36:$H$36</definedName>
    <definedName name="_01_01_99">#REF!</definedName>
    <definedName name="_01_02_99">#REF!</definedName>
    <definedName name="_01_03_99">#REF!</definedName>
    <definedName name="_01_04_99">#REF!</definedName>
    <definedName name="_01_05_99">#REF!</definedName>
    <definedName name="_01_06_99">#REF!</definedName>
    <definedName name="_01_07_99">#REF!</definedName>
    <definedName name="_01_08_1999">#REF!</definedName>
    <definedName name="_1CAP002">[8]MTP!#REF!</definedName>
    <definedName name="_2STREO7">[9]MTP!#REF!</definedName>
    <definedName name="_4GOIC01">[10]MTP!#REF!</definedName>
    <definedName name="_4OSLCTT">[10]MTP!#REF!</definedName>
    <definedName name="_6BNTTTH">[9]MTP1!#REF!</definedName>
    <definedName name="_6DCTTBO">[9]MTP1!#REF!</definedName>
    <definedName name="_6DD24TT">[9]MTP1!#REF!</definedName>
    <definedName name="_6FCOTBU">[9]MTP1!#REF!</definedName>
    <definedName name="_6LATUBU">[9]MTP1!#REF!</definedName>
    <definedName name="_6SDTT24">[9]MTP1!#REF!</definedName>
    <definedName name="_6TBUDTT">[9]MTP1!#REF!</definedName>
    <definedName name="_6TDDDTT">[9]MTP1!#REF!</definedName>
    <definedName name="_6TLTTTH">[9]MTP1!#REF!</definedName>
    <definedName name="_6TUBUTT">[9]MTP1!#REF!</definedName>
    <definedName name="_6UCLVIS">[9]MTP1!#REF!</definedName>
    <definedName name="_7DNCABC">[9]MTP1!#REF!</definedName>
    <definedName name="_7HDCTBU">[9]MTP1!#REF!</definedName>
    <definedName name="_7PKTUBU">[9]MTP1!#REF!</definedName>
    <definedName name="_7TBHT20">[9]MTP1!#REF!</definedName>
    <definedName name="_7TBHT30">[9]MTP1!#REF!</definedName>
    <definedName name="_7TDCABC">[9]MTP1!#REF!</definedName>
    <definedName name="_dao1">'[3]CT Thang Mo'!$B$189:$H$189</definedName>
    <definedName name="_dao2">'[3]CT Thang Mo'!$B$161:$H$161</definedName>
    <definedName name="_dap2">'[3]CT Thang Mo'!$B$162:$H$162</definedName>
    <definedName name="_day1">'[4]Chiet tinh dz22'!#REF!</definedName>
    <definedName name="_day2">'[5]Chiet tinh dz35'!$H$3</definedName>
    <definedName name="_dbu1">'[3]CT Thang Mo'!#REF!</definedName>
    <definedName name="_dbu2">'[3]CT Thang Mo'!$B$93:$F$93</definedName>
    <definedName name="_doi3">'[6]truc tiep'!#REF!</definedName>
    <definedName name="_E99999">#REF!</definedName>
    <definedName name="_Fill" hidden="1">#REF!</definedName>
    <definedName name="_Jan02">'[7]FG waste'!#REF!</definedName>
    <definedName name="_lap1">#REF!</definedName>
    <definedName name="_lap2">#REF!</definedName>
    <definedName name="_Order1" hidden="1">255</definedName>
    <definedName name="_Order2" hidden="1">255</definedName>
    <definedName name="_Sort" hidden="1">[11]Sheet1!#REF!</definedName>
    <definedName name="_tram" hidden="1">[11]Sheet1!#REF!</definedName>
    <definedName name="_vc1">'[3]CT Thang Mo'!$B$34:$H$34</definedName>
    <definedName name="_vc2">'[3]CT Thang Mo'!$B$35:$H$35</definedName>
    <definedName name="_vc3">'[3]CT Thang Mo'!$B$36:$H$36</definedName>
    <definedName name="A">#REF!</definedName>
    <definedName name="AAA">'[12]MTL$-INTER'!#REF!</definedName>
    <definedName name="Account">[13]Ref!$B$3:$B$36</definedName>
    <definedName name="All_list">#REF!</definedName>
    <definedName name="anscount" hidden="1">2</definedName>
    <definedName name="AOP">[14]Capex!$H$45:$Y$72</definedName>
    <definedName name="AOPP">[14]Capex!$H$45:$Y$72</definedName>
    <definedName name="Apr">#REF!</definedName>
    <definedName name="Asset">[14]Capex!$G$6:$I$13</definedName>
    <definedName name="aù0">'[15]bang tien luong'!#REF!</definedName>
    <definedName name="Aug">#REF!</definedName>
    <definedName name="B">#REF!</definedName>
    <definedName name="BarData">#REF!</definedName>
    <definedName name="BLOCK1">#REF!</definedName>
    <definedName name="BLOCK2">#REF!</definedName>
    <definedName name="BLOCK3">#REF!</definedName>
    <definedName name="BOY">[14]Capex!$B$17:$Y$41</definedName>
    <definedName name="Brand_Label">[16]FLT!#REF!</definedName>
    <definedName name="BREAKDOWN">#REF!</definedName>
    <definedName name="C_">#REF!</definedName>
    <definedName name="cap">#REF!</definedName>
    <definedName name="cap0.7">#REF!</definedName>
    <definedName name="CCNK">[17]QMCT!#REF!</definedName>
    <definedName name="ChemicalReagent" localSheetId="0">#REF!</definedName>
    <definedName name="ChemicalReagent">#REF!</definedName>
    <definedName name="CL" localSheetId="0">#REF!</definedName>
    <definedName name="CL">#REF!</definedName>
    <definedName name="CLTMP" localSheetId="0">[17]QMCT!#REF!</definedName>
    <definedName name="CLTMP">[17]QMCT!#REF!</definedName>
    <definedName name="CLVC">[18]CHITIET!$D$3</definedName>
    <definedName name="cong_bq" localSheetId="0">'[6]truc tiep'!#REF!</definedName>
    <definedName name="cong_bq">'[6]truc tiep'!#REF!</definedName>
    <definedName name="cong_bv" localSheetId="0">'[6]truc tiep'!#REF!</definedName>
    <definedName name="cong_bv">'[6]truc tiep'!#REF!</definedName>
    <definedName name="cong_ck" localSheetId="0">'[6]truc tiep'!#REF!</definedName>
    <definedName name="cong_ck">'[6]truc tiep'!#REF!</definedName>
    <definedName name="cong_d1" localSheetId="0">'[6]truc tiep'!#REF!</definedName>
    <definedName name="cong_d1">'[6]truc tiep'!#REF!</definedName>
    <definedName name="cong_d2">'[6]truc tiep'!#REF!</definedName>
    <definedName name="cong_d3">'[6]truc tiep'!#REF!</definedName>
    <definedName name="cong_dl">'[6]truc tiep'!#REF!</definedName>
    <definedName name="cong_kcs">'[6]truc tiep'!#REF!</definedName>
    <definedName name="cong_nb">'[6]truc tiep'!#REF!</definedName>
    <definedName name="cong_ngio">'[6]truc tiep'!#REF!</definedName>
    <definedName name="cong_nv">'[6]truc tiep'!#REF!</definedName>
    <definedName name="cong_t3">'[6]truc tiep'!#REF!</definedName>
    <definedName name="cong_t4">'[6]truc tiep'!#REF!</definedName>
    <definedName name="cong_t5">'[6]truc tiep'!#REF!</definedName>
    <definedName name="cong_t6">'[6]truc tiep'!#REF!</definedName>
    <definedName name="cong_tc">'[6]truc tiep'!#REF!</definedName>
    <definedName name="cong_tm">'[6]truc tiep'!#REF!</definedName>
    <definedName name="cong_vs">'[6]truc tiep'!#REF!</definedName>
    <definedName name="cong_xh">'[6]truc tiep'!#REF!</definedName>
    <definedName name="Contingency">[19]Summary!$AR$1</definedName>
    <definedName name="COPY" localSheetId="0">#REF!</definedName>
    <definedName name="COPY">#REF!</definedName>
    <definedName name="COST" localSheetId="0">#REF!</definedName>
    <definedName name="COST">#REF!</definedName>
    <definedName name="Cost_Allocation_wage" localSheetId="0">#REF!</definedName>
    <definedName name="Cost_Allocation_wage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dn9697">#REF!</definedName>
    <definedName name="D">#REF!</definedName>
    <definedName name="Dandoc">#REF!</definedName>
    <definedName name="daotd">'[3]CT Thang Mo'!$B$323:$H$323</definedName>
    <definedName name="dap">'[3]CT Thang Mo'!$B$39:$H$39</definedName>
    <definedName name="daptd">'[3]CT Thang Mo'!$B$324:$H$324</definedName>
    <definedName name="Data">#REF!</definedName>
    <definedName name="DATA_DATA2_List">#REF!</definedName>
    <definedName name="Data11">#REF!</definedName>
    <definedName name="Data41">#REF!</definedName>
    <definedName name="_xlnm.Database">#REF!</definedName>
    <definedName name="DDAY">#REF!</definedName>
    <definedName name="ddtt1pnc">[18]CHITIET!$G$530</definedName>
    <definedName name="ddtt1pvl">[18]CHITIET!$G$526</definedName>
    <definedName name="ddtt3pnc">[18]CHITIET!$G$522</definedName>
    <definedName name="ddtt3pvl">[18]CHITIET!$G$518</definedName>
    <definedName name="Dec">#REF!</definedName>
    <definedName name="DL50SEC">#REF!</definedName>
    <definedName name="DLSCM15">#REF!</definedName>
    <definedName name="DLSCM30">#REF!</definedName>
    <definedName name="DLSCM40">#REF!</definedName>
    <definedName name="DLUHT">#REF!</definedName>
    <definedName name="DM">#REF!</definedName>
    <definedName name="dobt">#REF!</definedName>
    <definedName name="Document_array" localSheetId="0">{"Book1"}</definedName>
    <definedName name="Document_array">{"Book1"}</definedName>
    <definedName name="DocumentYear">[20]P3!#REF!</definedName>
    <definedName name="domestic">#REF!</definedName>
    <definedName name="domesticcost">[21]Domestic!#REF!</definedName>
    <definedName name="domesticcostt">[22]Domestic!#REF!</definedName>
    <definedName name="domesticostts">[22]Domestic!#REF!</definedName>
    <definedName name="domestics">[22]Domestic!#REF!</definedName>
    <definedName name="DONVI">OFFSET([23]DONVIBAN!$A$1,1,0,COUNTA([23]DONVIBAN!$A:$A)-1,5)</definedName>
    <definedName name="DONVIDG">OFFSET([23]NGUON!$D:$D,COUNTIF([23]NGUON!$D:$D,"&lt;&gt;0")-1,0,1)</definedName>
    <definedName name="E">#REF!</definedName>
    <definedName name="Equipmentsupplies">#REF!</definedName>
    <definedName name="Eur">13240</definedName>
    <definedName name="F">#REF!</definedName>
    <definedName name="feb">#REF!</definedName>
    <definedName name="forex">17054</definedName>
    <definedName name="Full">[17]QMCT!#REF!</definedName>
    <definedName name="G">#REF!</definedName>
    <definedName name="G23_">#REF!</definedName>
    <definedName name="Gas">#REF!</definedName>
    <definedName name="giaca">'[24]dg-VTu'!$C$6:$F$55</definedName>
    <definedName name="gica_bq">'[6]truc tiep'!#REF!</definedName>
    <definedName name="gica_bv">'[6]truc tiep'!#REF!</definedName>
    <definedName name="gica_ck">'[6]truc tiep'!#REF!</definedName>
    <definedName name="gica_d1">'[6]truc tiep'!#REF!</definedName>
    <definedName name="gica_d2">'[6]truc tiep'!#REF!</definedName>
    <definedName name="gica_d3">'[6]truc tiep'!#REF!</definedName>
    <definedName name="gica_dl">'[6]truc tiep'!#REF!</definedName>
    <definedName name="gica_kcs">'[6]truc tiep'!#REF!</definedName>
    <definedName name="gica_nb">'[6]truc tiep'!#REF!</definedName>
    <definedName name="gica_ngio">'[6]truc tiep'!#REF!</definedName>
    <definedName name="gica_nv">'[6]truc tiep'!#REF!</definedName>
    <definedName name="gica_t3">'[6]truc tiep'!#REF!</definedName>
    <definedName name="gica_t4">'[6]truc tiep'!#REF!</definedName>
    <definedName name="gica_t5">'[6]truc tiep'!#REF!</definedName>
    <definedName name="gica_t6">'[6]truc tiep'!#REF!</definedName>
    <definedName name="gica_tc">'[6]truc tiep'!#REF!</definedName>
    <definedName name="gica_tm">'[6]truc tiep'!#REF!</definedName>
    <definedName name="gica_vs">'[6]truc tiep'!#REF!</definedName>
    <definedName name="gica_xh">'[6]truc tiep'!#REF!</definedName>
    <definedName name="gio_bq">'[6]truc tiep'!#REF!</definedName>
    <definedName name="gio_d1">'[6]truc tiep'!#REF!</definedName>
    <definedName name="gio_d2">'[6]truc tiep'!#REF!</definedName>
    <definedName name="gio_d3">'[6]truc tiep'!#REF!</definedName>
    <definedName name="gio_dl">'[6]truc tiep'!#REF!</definedName>
    <definedName name="gio_kcs">'[6]truc tiep'!#REF!</definedName>
    <definedName name="gio_ngio">'[6]truc tiep'!#REF!</definedName>
    <definedName name="gio_t3">'[6]truc tiep'!#REF!</definedName>
    <definedName name="gio_t4">'[6]truc tiep'!#REF!</definedName>
    <definedName name="gio_t5">'[6]truc tiep'!#REF!</definedName>
    <definedName name="gio_t6">'[6]truc tiep'!#REF!</definedName>
    <definedName name="gio_vs">'[6]truc tiep'!#REF!</definedName>
    <definedName name="gio_xh">'[6]truc tiep'!#REF!</definedName>
    <definedName name="Graph_Contract">OFFSET([13]ByAcct!$A$4,[13]ByMth!$R$2,COLUMN([13]ByAcct!$AR$1)-COLUMN([13]ByAcct!$A$1),1,2)</definedName>
    <definedName name="Graph_DA">OFFSET([13]ByAcct!$A$4,[13]ByMth!$R$2,COLUMN([13]ByAcct!$AV$1)-COLUMN([13]ByAcct!$A$1),1,2)</definedName>
    <definedName name="Graph_Discret">OFFSET([13]ByAcct!$A$4,[13]ByMth!$R$2,COLUMN([13]ByAcct!$AT$1)-COLUMN([13]ByAcct!$A$1),1,2)</definedName>
    <definedName name="Graph_growth">OFFSET([13]ByAcct!$A$4,[13]ByAcct!$AN$85,COLUMN([13]ByAcct!$E$1)-COLUMN([13]ByAcct!$A$1),1,2)</definedName>
    <definedName name="Graph_growth2">OFFSET([13]ByAcct!$A$4,[13]ByMth!$R$2,COLUMN([13]ByAcct!$E$1)-COLUMN([13]ByAcct!$A$1),1,2)</definedName>
    <definedName name="Graph_NDisc">OFFSET([13]ByAcct!$A$4,[13]ByMth!$R$2,COLUMN([13]ByAcct!$AN$1)-COLUMN([13]ByAcct!$A$1),1,2)</definedName>
    <definedName name="Graph_Stale">OFFSET([13]ByAcct!$A$4,[13]ByMth!$R$2,COLUMN([13]ByAcct!$AP$1)-COLUMN([13]ByAcct!$A$1),1,2)</definedName>
    <definedName name="Graph_volume">OFFSET([13]ByAcct!$A$4,[13]ByAcct!$AN$85,COLUMN([13]ByAcct!$C$1)-COLUMN([13]ByAcct!$A$1),1,2)</definedName>
    <definedName name="Graph_volume2">OFFSET([13]ByAcct!$A$4,[13]ByMth!$R$2,COLUMN([13]ByAcct!$C$1)-COLUMN([13]ByAcct!$A$1),1,2)</definedName>
    <definedName name="HDCCT" localSheetId="0">[17]QMCT!#REF!</definedName>
    <definedName name="HDCCT">[17]QMCT!#REF!</definedName>
    <definedName name="HDCD" localSheetId="0">[17]QMCT!#REF!</definedName>
    <definedName name="HDCD">[17]QMCT!#REF!</definedName>
    <definedName name="HM" localSheetId="0">#REF!</definedName>
    <definedName name="HM">#REF!</definedName>
    <definedName name="HSKK">[18]CHITIET!$D$4</definedName>
    <definedName name="Index">100%</definedName>
    <definedName name="Inflation_WC">'[25]SCO&amp;IWC'!$E$21:$I$28</definedName>
    <definedName name="jan">#REF!</definedName>
    <definedName name="Jul">#REF!</definedName>
    <definedName name="Jun">#REF!</definedName>
    <definedName name="Justification">[14]Capex!$B$6:$C$9</definedName>
    <definedName name="K">#REF!</definedName>
    <definedName name="K_1" localSheetId="0">[26]!K_1</definedName>
    <definedName name="K_1">[26]!K_1</definedName>
    <definedName name="K_2" localSheetId="0">[26]!K_2</definedName>
    <definedName name="K_2">[26]!K_2</definedName>
    <definedName name="KCSCM">#REF!</definedName>
    <definedName name="KVC">#REF!</definedName>
    <definedName name="L">#REF!</definedName>
    <definedName name="Lab_supplies_lists">'[27]List(Add only)'!#REF!</definedName>
    <definedName name="Labsupplieslist">#REF!</definedName>
    <definedName name="lanh_bq">'[6]truc tiep'!#REF!</definedName>
    <definedName name="lanh_bv">'[6]truc tiep'!#REF!</definedName>
    <definedName name="lanh_ck">'[6]truc tiep'!#REF!</definedName>
    <definedName name="lanh_d1">'[6]truc tiep'!#REF!</definedName>
    <definedName name="lanh_d2">'[6]truc tiep'!#REF!</definedName>
    <definedName name="lanh_d3">'[6]truc tiep'!#REF!</definedName>
    <definedName name="lanh_dl">'[6]truc tiep'!#REF!</definedName>
    <definedName name="lanh_kcs">'[6]truc tiep'!#REF!</definedName>
    <definedName name="lanh_nb">'[6]truc tiep'!#REF!</definedName>
    <definedName name="lanh_ngio">'[6]truc tiep'!#REF!</definedName>
    <definedName name="lanh_nv">'[6]truc tiep'!#REF!</definedName>
    <definedName name="lanh_t3">'[6]truc tiep'!#REF!</definedName>
    <definedName name="lanh_t4">'[6]truc tiep'!#REF!</definedName>
    <definedName name="lanh_t5">'[6]truc tiep'!#REF!</definedName>
    <definedName name="lanh_t6">'[6]truc tiep'!#REF!</definedName>
    <definedName name="lanh_tc">'[6]truc tiep'!#REF!</definedName>
    <definedName name="lanh_tm">'[6]truc tiep'!#REF!</definedName>
    <definedName name="lanh_vs">'[6]truc tiep'!#REF!</definedName>
    <definedName name="lanh_xh">'[6]truc tiep'!#REF!</definedName>
    <definedName name="lapa">'[3]CT Thang Mo'!$B$350:$H$350</definedName>
    <definedName name="lapb">'[3]CT Thang Mo'!$B$370:$H$370</definedName>
    <definedName name="lapc">'[3]CT Thang Mo'!$B$390:$H$390</definedName>
    <definedName name="lcb_bq">'[6]truc tiep'!#REF!</definedName>
    <definedName name="lcb_bv">'[6]truc tiep'!#REF!</definedName>
    <definedName name="lcb_ck">'[6]truc tiep'!#REF!</definedName>
    <definedName name="lcb_d1">'[6]truc tiep'!#REF!</definedName>
    <definedName name="lcb_d2">'[6]truc tiep'!#REF!</definedName>
    <definedName name="lcb_d3">'[6]truc tiep'!#REF!</definedName>
    <definedName name="lcb_dl">'[6]truc tiep'!#REF!</definedName>
    <definedName name="lcb_kcs">'[6]truc tiep'!#REF!</definedName>
    <definedName name="lcb_nb">'[6]truc tiep'!#REF!</definedName>
    <definedName name="lcb_ngio">'[6]truc tiep'!#REF!</definedName>
    <definedName name="lcb_nv">'[6]truc tiep'!#REF!</definedName>
    <definedName name="lcb_t3">'[6]truc tiep'!#REF!</definedName>
    <definedName name="lcb_t4">'[6]truc tiep'!#REF!</definedName>
    <definedName name="lcb_t5">'[6]truc tiep'!#REF!</definedName>
    <definedName name="lcb_t6">'[6]truc tiep'!#REF!</definedName>
    <definedName name="lcb_tc">'[6]truc tiep'!#REF!</definedName>
    <definedName name="lcb_tm">'[6]truc tiep'!#REF!</definedName>
    <definedName name="lcb_vs">'[6]truc tiep'!#REF!</definedName>
    <definedName name="lcb_xh">'[6]truc tiep'!#REF!</definedName>
    <definedName name="le_bq">'[6]truc tiep'!#REF!</definedName>
    <definedName name="le_bv">'[6]truc tiep'!#REF!</definedName>
    <definedName name="le_ck">'[6]truc tiep'!#REF!</definedName>
    <definedName name="le_d1">'[6]truc tiep'!#REF!</definedName>
    <definedName name="le_d2">'[6]truc tiep'!#REF!</definedName>
    <definedName name="le_d3">'[6]truc tiep'!#REF!</definedName>
    <definedName name="le_dl">'[6]truc tiep'!#REF!</definedName>
    <definedName name="le_kcs">'[6]truc tiep'!#REF!</definedName>
    <definedName name="le_nb">'[6]truc tiep'!#REF!</definedName>
    <definedName name="le_ngio">'[6]truc tiep'!#REF!</definedName>
    <definedName name="le_nv">'[6]truc tiep'!#REF!</definedName>
    <definedName name="le_t3">'[6]truc tiep'!#REF!</definedName>
    <definedName name="le_t4">'[6]truc tiep'!#REF!</definedName>
    <definedName name="le_t5">'[6]truc tiep'!#REF!</definedName>
    <definedName name="le_t6">'[6]truc tiep'!#REF!</definedName>
    <definedName name="le_tc">'[6]truc tiep'!#REF!</definedName>
    <definedName name="le_tm">'[6]truc tiep'!#REF!</definedName>
    <definedName name="le_vs">'[6]truc tiep'!#REF!</definedName>
    <definedName name="le_xh">'[6]truc tiep'!#REF!</definedName>
    <definedName name="limcount" hidden="1">1</definedName>
    <definedName name="list">#REF!</definedName>
    <definedName name="Location">#REF!</definedName>
    <definedName name="lVC">#REF!</definedName>
    <definedName name="MADONVI">OFFSET([23]NGUON!$C:$C,COUNTA([23]NGUON!$C:$C)-1,0,1)</definedName>
    <definedName name="MajorHeader">[20]P3!#REF!</definedName>
    <definedName name="mar">#REF!</definedName>
    <definedName name="mat">[28]Tke!$AD$10:$AR$96</definedName>
    <definedName name="may">#REF!</definedName>
    <definedName name="MPETABLE">#REF!</definedName>
    <definedName name="NCcap0.7">#REF!</definedName>
    <definedName name="NCcap1">#REF!</definedName>
    <definedName name="NGANHANG">OFFSET([23]NGUON!$F:$F,COUNTIF([23]NGUON!$F:$F,"&lt;&gt;0")-1,0,1)</definedName>
    <definedName name="NGAØY">#REF!</definedName>
    <definedName name="NGAY">OFFSET([23]NGUON!$B:$B,COUNTA([23]NGUON!$B:$B)-1,0,1)</definedName>
    <definedName name="nghi_bq">'[6]truc tiep'!#REF!</definedName>
    <definedName name="nghi_bv">'[6]truc tiep'!#REF!</definedName>
    <definedName name="nghi_ck">'[6]truc tiep'!#REF!</definedName>
    <definedName name="nghi_d1">'[6]truc tiep'!#REF!</definedName>
    <definedName name="nghi_d2">'[6]truc tiep'!#REF!</definedName>
    <definedName name="nghi_d3">'[6]truc tiep'!#REF!</definedName>
    <definedName name="nghi_dl">'[6]truc tiep'!#REF!</definedName>
    <definedName name="nghi_kcs">'[6]truc tiep'!#REF!</definedName>
    <definedName name="nghi_nb">'[6]truc tiep'!#REF!</definedName>
    <definedName name="nghi_ngio">'[6]truc tiep'!#REF!</definedName>
    <definedName name="nghi_nv">'[6]truc tiep'!#REF!</definedName>
    <definedName name="nghi_t3">'[6]truc tiep'!#REF!</definedName>
    <definedName name="nghi_t4">'[6]truc tiep'!#REF!</definedName>
    <definedName name="nghi_t5">'[6]truc tiep'!#REF!</definedName>
    <definedName name="nghi_t6">'[6]truc tiep'!#REF!</definedName>
    <definedName name="nghi_tc">'[6]truc tiep'!#REF!</definedName>
    <definedName name="nghi_tm">'[6]truc tiep'!#REF!</definedName>
    <definedName name="nghi_vs">'[6]truc tiep'!#REF!</definedName>
    <definedName name="nghi_xh">'[6]truc tiep'!#REF!</definedName>
    <definedName name="nhap">#REF!</definedName>
    <definedName name="NHAP1">#REF!</definedName>
    <definedName name="NHAP2">#REF!</definedName>
    <definedName name="NOIDUNG">OFFSET([23]NGUON!$H:$H,COUNTA([23]NGUON!$H:$H)-1,0,1)</definedName>
    <definedName name="Nov">#REF!</definedName>
    <definedName name="NToS" localSheetId="0">[29]!NToS</definedName>
    <definedName name="NToS">[29]!NToS</definedName>
    <definedName name="Oct" localSheetId="0">#REF!</definedName>
    <definedName name="Oct">#REF!</definedName>
    <definedName name="OneTwoThree" localSheetId="0">#REF!</definedName>
    <definedName name="OneTwoThree">#REF!</definedName>
    <definedName name="oo">[30]Overseas!$B$20:$L$29</definedName>
    <definedName name="ooo">[31]Overseas!$B$20:$L$29</definedName>
    <definedName name="Other_Lab_Supplies">#REF!</definedName>
    <definedName name="oversea">#REF!</definedName>
    <definedName name="PackMat">[32]PM!$A$2:$F$101</definedName>
    <definedName name="PC_LB">[32]PC_LB!$A$2:$E$12</definedName>
    <definedName name="PG_LB">[32]PG_LB!$A$1:$E$43</definedName>
    <definedName name="PHUONG" localSheetId="0" hidden="1">[11]Sheet1!#REF!</definedName>
    <definedName name="PHUONG" hidden="1">[11]Sheet1!#REF!</definedName>
    <definedName name="_xlnm.Print_Area" localSheetId="0">'Vảy PET- Tháng'!$A$1:$AH$38</definedName>
    <definedName name="Print_Area_MI">[33]ESTI.!$A$1:$U$52</definedName>
    <definedName name="_xlnm.Print_Titles">#N/A</definedName>
    <definedName name="QUYLUONG" localSheetId="0">'[6]truc tiep'!#REF!</definedName>
    <definedName name="QUYLUONG">'[6]truc tiep'!#REF!</definedName>
    <definedName name="RawMat">[32]RM!$A$2:$D$65</definedName>
    <definedName name="re" localSheetId="0">#REF!</definedName>
    <definedName name="re">#REF!</definedName>
    <definedName name="ree" localSheetId="0">#REF!</definedName>
    <definedName name="ree">#REF!</definedName>
    <definedName name="rr">[34]Capex!$B$17:$Y$41</definedName>
    <definedName name="SALES" localSheetId="0">#REF!</definedName>
    <definedName name="SALES">#REF!</definedName>
    <definedName name="sau">'[5]Chiet tinh dz35'!$H$4</definedName>
    <definedName name="sdafds">[35]Capex!$B$6:$C$9</definedName>
    <definedName name="SDDL">[17]QMCT!#REF!</definedName>
    <definedName name="sdgt" hidden="1">#REF!</definedName>
    <definedName name="sencount" hidden="1">1</definedName>
    <definedName name="Sep">#REF!</definedName>
    <definedName name="Sheet1">#REF!</definedName>
    <definedName name="shii">[36]Overseas!$B$20:$L$29</definedName>
    <definedName name="SKU">[32]SKU!$A$4:$S$76</definedName>
    <definedName name="SO">OFFSET([23]NGUON!$A:$A,COUNTA([23]NGUON!$A:$A)-1,0,1)</definedName>
    <definedName name="Sort" hidden="1">[11]Sheet1!#REF!</definedName>
    <definedName name="SORT_AREA">'[33]DI-ESTI'!$A$8:$R$489</definedName>
    <definedName name="SOTIEN">OFFSET([23]NGUON!$I:$I,COUNTA([23]NGUON!$I:$I)-1,0,1)</definedName>
    <definedName name="sp_bq">'[6]truc tiep'!#REF!</definedName>
    <definedName name="sp_bv">'[6]truc tiep'!#REF!</definedName>
    <definedName name="sp_ck">'[6]truc tiep'!#REF!</definedName>
    <definedName name="sp_d1">'[6]truc tiep'!#REF!</definedName>
    <definedName name="sp_d2">'[6]truc tiep'!#REF!</definedName>
    <definedName name="sp_d3">'[6]truc tiep'!#REF!</definedName>
    <definedName name="sp_dl">'[6]truc tiep'!#REF!</definedName>
    <definedName name="sp_kcs">'[6]truc tiep'!#REF!</definedName>
    <definedName name="sp_nb">'[6]truc tiep'!#REF!</definedName>
    <definedName name="sp_ngio">'[6]truc tiep'!#REF!</definedName>
    <definedName name="sp_nv">'[6]truc tiep'!#REF!</definedName>
    <definedName name="sp_t3">'[6]truc tiep'!#REF!</definedName>
    <definedName name="sp_t4">'[6]truc tiep'!#REF!</definedName>
    <definedName name="sp_t5">'[6]truc tiep'!#REF!</definedName>
    <definedName name="sp_t6">'[6]truc tiep'!#REF!</definedName>
    <definedName name="sp_tc">'[6]truc tiep'!#REF!</definedName>
    <definedName name="sp_tm">'[6]truc tiep'!#REF!</definedName>
    <definedName name="sp_vs">'[6]truc tiep'!#REF!</definedName>
    <definedName name="sp_xh">'[6]truc tiep'!#REF!</definedName>
    <definedName name="sss">[14]Capex!$G$6:$I$13</definedName>
    <definedName name="TAIKHOAN">OFFSET([23]NGUON!$E:$E,COUNTIF([23]NGUON!$E:$E,"&lt;&gt;0")-1,0,1)</definedName>
    <definedName name="TAMTINH">#REF!</definedName>
    <definedName name="tdtrnc">[18]CHITIET!$G$513</definedName>
    <definedName name="tdtrvl">[18]CHITIET!$G$507</definedName>
    <definedName name="TG">#REF!</definedName>
    <definedName name="TGxayduong">#REF!</definedName>
    <definedName name="thgian_bq" localSheetId="0">'[6]truc tiep'!#REF!</definedName>
    <definedName name="thgian_bq">'[6]truc tiep'!#REF!</definedName>
    <definedName name="thgian_bv" localSheetId="0">'[6]truc tiep'!#REF!</definedName>
    <definedName name="thgian_bv">'[6]truc tiep'!#REF!</definedName>
    <definedName name="thgian_ck" localSheetId="0">'[6]truc tiep'!#REF!</definedName>
    <definedName name="thgian_ck">'[6]truc tiep'!#REF!</definedName>
    <definedName name="thgian_d1" localSheetId="0">'[6]truc tiep'!#REF!</definedName>
    <definedName name="thgian_d1">'[6]truc tiep'!#REF!</definedName>
    <definedName name="thgian_d2">'[6]truc tiep'!#REF!</definedName>
    <definedName name="thgian_d3">'[6]truc tiep'!#REF!</definedName>
    <definedName name="thgian_dl">'[6]truc tiep'!#REF!</definedName>
    <definedName name="thgian_kcs">'[6]truc tiep'!#REF!</definedName>
    <definedName name="thgian_nb">'[6]truc tiep'!#REF!</definedName>
    <definedName name="thgian_ngio">'[6]truc tiep'!#REF!</definedName>
    <definedName name="thgian_nv">'[6]truc tiep'!#REF!</definedName>
    <definedName name="thgian_t3">'[6]truc tiep'!#REF!</definedName>
    <definedName name="thgian_t4">'[6]truc tiep'!#REF!</definedName>
    <definedName name="thgian_t5">'[6]truc tiep'!#REF!</definedName>
    <definedName name="thgian_t6">'[6]truc tiep'!#REF!</definedName>
    <definedName name="thgian_tc">'[6]truc tiep'!#REF!</definedName>
    <definedName name="thgian_tm">'[6]truc tiep'!#REF!</definedName>
    <definedName name="thgian_vs">'[6]truc tiep'!#REF!</definedName>
    <definedName name="thgian_xh">'[6]truc tiep'!#REF!</definedName>
    <definedName name="thgio_bq">'[6]truc tiep'!#REF!</definedName>
    <definedName name="thgio_bv">'[6]truc tiep'!#REF!</definedName>
    <definedName name="thgio_ck">'[6]truc tiep'!#REF!</definedName>
    <definedName name="thgio_d1">'[6]truc tiep'!#REF!</definedName>
    <definedName name="thgio_d2">'[6]truc tiep'!#REF!</definedName>
    <definedName name="thgio_d3">'[6]truc tiep'!#REF!</definedName>
    <definedName name="thgio_dl">'[6]truc tiep'!#REF!</definedName>
    <definedName name="thgio_kcs">'[6]truc tiep'!#REF!</definedName>
    <definedName name="thgio_nb">'[6]truc tiep'!#REF!</definedName>
    <definedName name="thgio_ngio">'[6]truc tiep'!#REF!</definedName>
    <definedName name="thgio_nv">'[6]truc tiep'!#REF!</definedName>
    <definedName name="thgio_t3">'[6]truc tiep'!#REF!</definedName>
    <definedName name="thgio_t4">'[6]truc tiep'!#REF!</definedName>
    <definedName name="thgio_t5">'[6]truc tiep'!#REF!</definedName>
    <definedName name="thgio_t6">'[6]truc tiep'!#REF!</definedName>
    <definedName name="thgio_tc">'[6]truc tiep'!#REF!</definedName>
    <definedName name="thgio_tm">'[6]truc tiep'!#REF!</definedName>
    <definedName name="thgio_vs">'[6]truc tiep'!#REF!</definedName>
    <definedName name="thgio_xh">'[6]truc tiep'!#REF!</definedName>
    <definedName name="TINHTP">OFFSET([23]NGUON!$G:$G,COUNTIF([23]NGUON!$G:$G,"&lt;&gt;0")-1,0,1)</definedName>
    <definedName name="tluong">#REF!</definedName>
    <definedName name="tnh_bq">'[6]truc tiep'!#REF!</definedName>
    <definedName name="tnh_bv">'[6]truc tiep'!#REF!</definedName>
    <definedName name="tnh_ck">'[6]truc tiep'!#REF!</definedName>
    <definedName name="tnh_d1">'[6]truc tiep'!#REF!</definedName>
    <definedName name="tnh_d2">'[6]truc tiep'!#REF!</definedName>
    <definedName name="tnh_d3">'[6]truc tiep'!#REF!</definedName>
    <definedName name="tnh_dl">'[6]truc tiep'!#REF!</definedName>
    <definedName name="tnh_kcs">'[6]truc tiep'!#REF!</definedName>
    <definedName name="tnh_nb">'[6]truc tiep'!#REF!</definedName>
    <definedName name="tnh_ngio">'[6]truc tiep'!#REF!</definedName>
    <definedName name="tnh_nv">'[6]truc tiep'!#REF!</definedName>
    <definedName name="tnh_t3">'[6]truc tiep'!#REF!</definedName>
    <definedName name="tnh_t4">'[6]truc tiep'!#REF!</definedName>
    <definedName name="tnh_t5">'[6]truc tiep'!#REF!</definedName>
    <definedName name="tnh_t6">'[6]truc tiep'!#REF!</definedName>
    <definedName name="tnh_tc">'[6]truc tiep'!#REF!</definedName>
    <definedName name="tnh_tm">'[6]truc tiep'!#REF!</definedName>
    <definedName name="tnh_vs">'[6]truc tiep'!#REF!</definedName>
    <definedName name="tnh_xh">'[6]truc tiep'!#REF!</definedName>
    <definedName name="TON">#REF!</definedName>
    <definedName name="TOP">#REF!</definedName>
    <definedName name="tram" localSheetId="0" hidden="1">[11]Sheet1!#REF!</definedName>
    <definedName name="tram" hidden="1">[11]Sheet1!#REF!</definedName>
    <definedName name="TSSCM" localSheetId="0">#REF!</definedName>
    <definedName name="TSSCM">#REF!</definedName>
    <definedName name="TSSlist" localSheetId="0">#REF!</definedName>
    <definedName name="TSSlist">#REF!</definedName>
    <definedName name="ttbt" localSheetId="0">#REF!</definedName>
    <definedName name="ttbt">#REF!</definedName>
    <definedName name="ttt">'[3]CT Thang Mo'!$B$309:$M$309</definedName>
    <definedName name="tttb">'[3]CT Thang Mo'!$B$431:$I$431</definedName>
    <definedName name="vc3.">'[3]CT  PL'!$B$125:$H$125</definedName>
    <definedName name="vca">'[3]CT  PL'!$B$25:$H$25</definedName>
    <definedName name="vccot" localSheetId="0">#REF!</definedName>
    <definedName name="vccot">#REF!</definedName>
    <definedName name="vccot.">'[3]CT  PL'!$B$8:$H$8</definedName>
    <definedName name="vcdbt">'[3]CT Thang Mo'!$B$220:$I$220</definedName>
    <definedName name="vcdc.">'[37]Chi tiet'!#REF!</definedName>
    <definedName name="vcdd">'[3]CT Thang Mo'!$B$182:$H$182</definedName>
    <definedName name="vcdt">'[3]CT Thang Mo'!$B$406:$I$406</definedName>
    <definedName name="vcdtb">'[3]CT Thang Mo'!$B$432:$I$432</definedName>
    <definedName name="vctb">#REF!</definedName>
    <definedName name="vctt">'[3]CT  PL'!$B$288:$H$288</definedName>
    <definedName name="VDCLY">[17]QMCT!#REF!</definedName>
    <definedName name="Vlcap0.7">#REF!</definedName>
    <definedName name="VLcap1">#REF!</definedName>
    <definedName name="WeekNumbers">[20]P3!#REF!</definedName>
    <definedName name="xfconc">[18]CHITIET!$G$173</definedName>
    <definedName name="xfcovl">[18]CHITIET!$G$169</definedName>
    <definedName name="xh_bq">'[6]truc tiep'!#REF!</definedName>
    <definedName name="xh_bv">'[6]truc tiep'!#REF!</definedName>
    <definedName name="xh_ck">'[6]truc tiep'!#REF!</definedName>
    <definedName name="xh_d1">'[6]truc tiep'!#REF!</definedName>
    <definedName name="xh_d2">'[6]truc tiep'!#REF!</definedName>
    <definedName name="xh_d3">'[6]truc tiep'!#REF!</definedName>
    <definedName name="xh_dl">'[6]truc tiep'!#REF!</definedName>
    <definedName name="xh_kcs">'[6]truc tiep'!#REF!</definedName>
    <definedName name="xh_nb">'[6]truc tiep'!#REF!</definedName>
    <definedName name="xh_ngio">'[6]truc tiep'!#REF!</definedName>
    <definedName name="xh_nv">'[6]truc tiep'!#REF!</definedName>
    <definedName name="xh_t3">'[6]truc tiep'!#REF!</definedName>
    <definedName name="xh_t4">'[6]truc tiep'!#REF!</definedName>
    <definedName name="xh_t5">'[6]truc tiep'!#REF!</definedName>
    <definedName name="xh_t6">'[6]truc tiep'!#REF!</definedName>
    <definedName name="xh_tc">'[6]truc tiep'!#REF!</definedName>
    <definedName name="xh_tm">'[6]truc tiep'!#REF!</definedName>
    <definedName name="xh_vs">'[6]truc tiep'!#REF!</definedName>
    <definedName name="xh_xh">'[6]truc tiep'!#REF!</definedName>
    <definedName name="Yomost">#REF!</definedName>
    <definedName name="yt_bq">'[6]truc tiep'!#REF!</definedName>
    <definedName name="yt_bv">'[6]truc tiep'!#REF!</definedName>
    <definedName name="yt_ck">'[6]truc tiep'!#REF!</definedName>
    <definedName name="yt_d1">'[6]truc tiep'!#REF!</definedName>
    <definedName name="yt_d2">'[6]truc tiep'!#REF!</definedName>
    <definedName name="yt_d3">'[6]truc tiep'!#REF!</definedName>
    <definedName name="yt_dl">'[6]truc tiep'!#REF!</definedName>
    <definedName name="yt_kcs">'[6]truc tiep'!#REF!</definedName>
    <definedName name="yt_nb">'[6]truc tiep'!#REF!</definedName>
    <definedName name="yt_ngio">'[6]truc tiep'!#REF!</definedName>
    <definedName name="yt_nv">'[6]truc tiep'!#REF!</definedName>
    <definedName name="yt_t3">'[6]truc tiep'!#REF!</definedName>
    <definedName name="yt_t4">'[6]truc tiep'!#REF!</definedName>
    <definedName name="yt_t5">'[6]truc tiep'!#REF!</definedName>
    <definedName name="yt_t6">'[6]truc tiep'!#REF!</definedName>
    <definedName name="yt_tc">'[6]truc tiep'!#REF!</definedName>
    <definedName name="yt_tm">'[6]truc tiep'!#REF!</definedName>
    <definedName name="yt_vs">'[6]truc tiep'!#REF!</definedName>
    <definedName name="yt_xh">'[6]truc tiep'!#REF!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40" i="1" l="1"/>
  <c r="AM40" i="1"/>
  <c r="AL40" i="1"/>
  <c r="AK40" i="1"/>
  <c r="AJ40" i="1"/>
  <c r="AI40" i="1"/>
  <c r="AN39" i="1"/>
  <c r="AM39" i="1"/>
  <c r="BH14" i="1"/>
  <c r="BG14" i="1"/>
  <c r="BF14" i="1"/>
  <c r="BE14" i="1"/>
  <c r="BD14" i="1"/>
  <c r="BC14" i="1"/>
  <c r="BC7" i="1" s="1"/>
  <c r="BB14" i="1"/>
  <c r="BB7" i="1" s="1"/>
  <c r="BA14" i="1"/>
  <c r="BA7" i="1" s="1"/>
  <c r="AZ14" i="1"/>
  <c r="AY14" i="1"/>
  <c r="AX14" i="1"/>
  <c r="CB13" i="1"/>
  <c r="CA13" i="1"/>
  <c r="BZ13" i="1"/>
  <c r="BX13" i="1"/>
  <c r="BW13" i="1"/>
  <c r="BV13" i="1"/>
  <c r="BU13" i="1"/>
  <c r="BT13" i="1"/>
  <c r="BL13" i="1"/>
  <c r="BK13" i="1"/>
  <c r="BJ13" i="1"/>
  <c r="BI13" i="1"/>
  <c r="BH13" i="1"/>
  <c r="BG13" i="1"/>
  <c r="BF13" i="1"/>
  <c r="AZ13" i="1"/>
  <c r="AY13" i="1"/>
  <c r="AX13" i="1"/>
  <c r="AW13" i="1"/>
  <c r="AV13" i="1"/>
  <c r="AU13" i="1"/>
  <c r="AT13" i="1"/>
  <c r="AS13" i="1"/>
  <c r="CB11" i="1"/>
  <c r="CA11" i="1"/>
  <c r="BZ11" i="1"/>
  <c r="BV11" i="1"/>
  <c r="BU11" i="1"/>
  <c r="BT11" i="1"/>
  <c r="BS11" i="1"/>
  <c r="BR11" i="1"/>
  <c r="BL11" i="1"/>
  <c r="BK11" i="1"/>
  <c r="BJ11" i="1"/>
  <c r="BI11" i="1"/>
  <c r="BH11" i="1"/>
  <c r="BE11" i="1"/>
  <c r="BD11" i="1"/>
  <c r="AZ11" i="1"/>
  <c r="AY11" i="1"/>
  <c r="AX11" i="1"/>
  <c r="AW11" i="1"/>
  <c r="AV11" i="1"/>
  <c r="AU11" i="1"/>
  <c r="AT11" i="1"/>
  <c r="AS11" i="1"/>
  <c r="CB10" i="1"/>
  <c r="CA10" i="1"/>
  <c r="BZ10" i="1"/>
  <c r="BL10" i="1"/>
  <c r="AZ10" i="1"/>
  <c r="AY10" i="1"/>
  <c r="AX10" i="1"/>
  <c r="CD8" i="1"/>
  <c r="CC8" i="1"/>
  <c r="CB8" i="1"/>
  <c r="CA8" i="1"/>
  <c r="BZ8" i="1"/>
  <c r="BW8" i="1"/>
  <c r="BV8" i="1"/>
  <c r="BL8" i="1"/>
  <c r="BK8" i="1"/>
  <c r="BJ8" i="1"/>
  <c r="BI8" i="1"/>
  <c r="BH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BX7" i="1"/>
  <c r="BW7" i="1"/>
  <c r="BV7" i="1"/>
  <c r="BU7" i="1"/>
  <c r="BT7" i="1"/>
  <c r="BS7" i="1"/>
  <c r="BR7" i="1"/>
  <c r="BL7" i="1"/>
  <c r="BK7" i="1"/>
  <c r="BJ7" i="1"/>
  <c r="BI7" i="1"/>
  <c r="BH7" i="1"/>
  <c r="BG7" i="1"/>
  <c r="BF7" i="1"/>
  <c r="BE7" i="1"/>
  <c r="BD7" i="1"/>
  <c r="AZ7" i="1"/>
  <c r="AY7" i="1"/>
  <c r="AX7" i="1"/>
  <c r="AW7" i="1"/>
  <c r="AV7" i="1"/>
  <c r="AU7" i="1"/>
  <c r="AT7" i="1"/>
  <c r="AS7" i="1"/>
  <c r="BY6" i="1"/>
  <c r="BY8" i="1" s="1"/>
  <c r="BX6" i="1"/>
  <c r="BW6" i="1"/>
  <c r="BW11" i="1" s="1"/>
  <c r="BV6" i="1"/>
  <c r="BU6" i="1"/>
  <c r="BU8" i="1" s="1"/>
  <c r="BT6" i="1"/>
  <c r="BT8" i="1" s="1"/>
  <c r="BS6" i="1"/>
  <c r="BS8" i="1" s="1"/>
  <c r="BR6" i="1"/>
  <c r="BR8" i="1" s="1"/>
  <c r="BQ6" i="1"/>
  <c r="BQ8" i="1" s="1"/>
  <c r="BP6" i="1"/>
  <c r="BP8" i="1" s="1"/>
  <c r="BO6" i="1"/>
  <c r="BO8" i="1" s="1"/>
  <c r="BN6" i="1"/>
  <c r="BN8" i="1" s="1"/>
  <c r="BM6" i="1"/>
  <c r="BM8" i="1" s="1"/>
  <c r="BG6" i="1"/>
  <c r="BG8" i="1" s="1"/>
  <c r="BF6" i="1"/>
  <c r="CD5" i="1"/>
  <c r="CC5" i="1"/>
  <c r="CB5" i="1"/>
  <c r="CA5" i="1"/>
  <c r="BZ5" i="1"/>
  <c r="BX5" i="1"/>
  <c r="BW5" i="1"/>
  <c r="BV5" i="1"/>
  <c r="BV10" i="1" s="1"/>
  <c r="BU5" i="1"/>
  <c r="BU10" i="1" s="1"/>
  <c r="BT5" i="1"/>
  <c r="BT10" i="1" s="1"/>
  <c r="BS5" i="1"/>
  <c r="BS13" i="1" s="1"/>
  <c r="BR5" i="1"/>
  <c r="BR13" i="1" s="1"/>
  <c r="BQ5" i="1"/>
  <c r="BP5" i="1"/>
  <c r="BO5" i="1"/>
  <c r="BL5" i="1"/>
  <c r="BK5" i="1"/>
  <c r="BK10" i="1" s="1"/>
  <c r="BJ5" i="1"/>
  <c r="BJ10" i="1" s="1"/>
  <c r="BI5" i="1"/>
  <c r="BI10" i="1" s="1"/>
  <c r="BH5" i="1"/>
  <c r="BH10" i="1" s="1"/>
  <c r="BG5" i="1"/>
  <c r="BG10" i="1" s="1"/>
  <c r="BF5" i="1"/>
  <c r="BE5" i="1"/>
  <c r="BE13" i="1" s="1"/>
  <c r="BD5" i="1"/>
  <c r="BD13" i="1" s="1"/>
  <c r="BC5" i="1"/>
  <c r="BB5" i="1"/>
  <c r="BA5" i="1"/>
  <c r="AZ5" i="1"/>
  <c r="AY5" i="1"/>
  <c r="AX5" i="1"/>
  <c r="AW5" i="1"/>
  <c r="AW10" i="1" s="1"/>
  <c r="AV5" i="1"/>
  <c r="AV10" i="1" s="1"/>
  <c r="AU5" i="1"/>
  <c r="AU10" i="1" s="1"/>
  <c r="AT5" i="1"/>
  <c r="AT10" i="1" s="1"/>
  <c r="AS5" i="1"/>
  <c r="AS10" i="1" s="1"/>
  <c r="CD4" i="1"/>
  <c r="CD7" i="1" s="1"/>
  <c r="CC4" i="1"/>
  <c r="CC7" i="1" s="1"/>
  <c r="CB4" i="1"/>
  <c r="CB7" i="1" s="1"/>
  <c r="CA4" i="1"/>
  <c r="CA7" i="1" s="1"/>
  <c r="BZ4" i="1"/>
  <c r="BZ7" i="1" s="1"/>
  <c r="BY4" i="1"/>
  <c r="BX4" i="1"/>
  <c r="BW4" i="1"/>
  <c r="BV4" i="1"/>
  <c r="BU4" i="1"/>
  <c r="BT4" i="1"/>
  <c r="BS4" i="1"/>
  <c r="BR4" i="1"/>
  <c r="BQ4" i="1"/>
  <c r="BQ7" i="1" s="1"/>
  <c r="BP4" i="1"/>
  <c r="BP7" i="1" s="1"/>
  <c r="BO4" i="1"/>
  <c r="BO7" i="1" s="1"/>
  <c r="BN4" i="1"/>
  <c r="BN5" i="1" s="1"/>
  <c r="BM4" i="1"/>
  <c r="BO11" i="1" l="1"/>
  <c r="BO13" i="1"/>
  <c r="BO10" i="1"/>
  <c r="CD13" i="1"/>
  <c r="CD10" i="1"/>
  <c r="BX11" i="1"/>
  <c r="BX8" i="1"/>
  <c r="BP13" i="1"/>
  <c r="BP10" i="1"/>
  <c r="BF8" i="1"/>
  <c r="BF11" i="1"/>
  <c r="BY5" i="1"/>
  <c r="BY7" i="1"/>
  <c r="BA11" i="1"/>
  <c r="BA13" i="1"/>
  <c r="BA10" i="1"/>
  <c r="BQ11" i="1"/>
  <c r="BQ13" i="1"/>
  <c r="BQ10" i="1"/>
  <c r="BB13" i="1"/>
  <c r="BB10" i="1"/>
  <c r="BM5" i="1"/>
  <c r="BM7" i="1"/>
  <c r="BC11" i="1"/>
  <c r="BC13" i="1"/>
  <c r="BC10" i="1"/>
  <c r="BP11" i="1"/>
  <c r="BN11" i="1"/>
  <c r="BN13" i="1"/>
  <c r="BN10" i="1"/>
  <c r="BF10" i="1"/>
  <c r="BW10" i="1"/>
  <c r="BX10" i="1"/>
  <c r="BB11" i="1"/>
  <c r="CC11" i="1"/>
  <c r="CC13" i="1"/>
  <c r="CC10" i="1"/>
  <c r="CD11" i="1"/>
  <c r="BG11" i="1"/>
  <c r="BD10" i="1"/>
  <c r="BR10" i="1"/>
  <c r="BE10" i="1"/>
  <c r="BS10" i="1"/>
  <c r="BN7" i="1"/>
  <c r="BY10" i="1" l="1"/>
  <c r="BY11" i="1"/>
  <c r="BY13" i="1"/>
  <c r="BM10" i="1"/>
  <c r="BM11" i="1"/>
  <c r="BM13" i="1"/>
</calcChain>
</file>

<file path=xl/sharedStrings.xml><?xml version="1.0" encoding="utf-8"?>
<sst xmlns="http://schemas.openxmlformats.org/spreadsheetml/2006/main" count="22" uniqueCount="20">
  <si>
    <t>Data</t>
  </si>
  <si>
    <t>1.23</t>
  </si>
  <si>
    <t>1.24</t>
  </si>
  <si>
    <t>1.25</t>
  </si>
  <si>
    <t>Tỷ giá USD</t>
  </si>
  <si>
    <t>Giá keo chính phẩm</t>
  </si>
  <si>
    <t>Giá duyệt mua vảy PET</t>
  </si>
  <si>
    <t>Giá vảy ĐNA</t>
  </si>
  <si>
    <t>Giá vảy thể hiện</t>
  </si>
  <si>
    <t>Giá vảy PET B1 thực tế mua trung bình</t>
  </si>
  <si>
    <t>% Keo chính phẩm so với vảy PET</t>
  </si>
  <si>
    <t>Chênh lệch</t>
  </si>
  <si>
    <t>Giá bán rPET</t>
  </si>
  <si>
    <t>Giá chính phẩm dự báo</t>
  </si>
  <si>
    <t>Giá vảy ĐNA (usd)</t>
  </si>
  <si>
    <t>1165,1272.5,1346,1297.5,1316.66666666665,1390,1220,1270,1190,1130,1040,1040</t>
  </si>
  <si>
    <t xml:space="preserve">tỉ lệ </t>
  </si>
  <si>
    <t>Tháng</t>
  </si>
  <si>
    <t>01/23</t>
  </si>
  <si>
    <t>Giá Resin (USD/ Tấn)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</si>
</sst>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Times New Roman"/>
      <family val="1"/>
    </font>
    <font>
      <sz val="14"/>
      <color rgb="FFFF0000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sz val="14"/>
      <color rgb="FF0000FF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name val="Times New Roman"/>
      <family val="1"/>
    </font>
    <font>
      <sz val="14"/>
      <name val="Times New Roman"/>
      <family val="1"/>
    </font>
    <font>
      <sz val="12"/>
      <color theme="0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0" fontId="5" fillId="0" borderId="0" xfId="0" applyFont="1"/>
    <xf numFmtId="17" fontId="5" fillId="0" borderId="0" xfId="0" quotePrefix="1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1" applyNumberFormat="1" applyFont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1" quotePrefix="1" applyNumberFormat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5" fillId="2" borderId="0" xfId="1" applyNumberFormat="1" applyFont="1" applyFill="1"/>
    <xf numFmtId="164" fontId="5" fillId="0" borderId="0" xfId="1" applyNumberFormat="1" applyFont="1"/>
    <xf numFmtId="164" fontId="0" fillId="0" borderId="0" xfId="1" applyNumberFormat="1" applyFont="1"/>
    <xf numFmtId="164" fontId="3" fillId="0" borderId="0" xfId="1" applyNumberFormat="1" applyFont="1"/>
    <xf numFmtId="164" fontId="5" fillId="0" borderId="0" xfId="0" applyNumberFormat="1" applyFont="1"/>
    <xf numFmtId="0" fontId="2" fillId="0" borderId="0" xfId="0" applyFont="1"/>
    <xf numFmtId="164" fontId="2" fillId="0" borderId="0" xfId="1" applyNumberFormat="1" applyFont="1"/>
    <xf numFmtId="164" fontId="2" fillId="0" borderId="0" xfId="1" applyNumberFormat="1" applyFont="1" applyFill="1"/>
    <xf numFmtId="164" fontId="2" fillId="3" borderId="0" xfId="1" applyNumberFormat="1" applyFont="1" applyFill="1"/>
    <xf numFmtId="164" fontId="6" fillId="0" borderId="0" xfId="1" applyNumberFormat="1" applyFont="1"/>
    <xf numFmtId="9" fontId="5" fillId="0" borderId="0" xfId="2" applyFont="1"/>
    <xf numFmtId="164" fontId="7" fillId="4" borderId="1" xfId="1" applyNumberFormat="1" applyFont="1" applyFill="1" applyBorder="1" applyAlignment="1">
      <alignment horizontal="center" vertical="center"/>
    </xf>
    <xf numFmtId="0" fontId="5" fillId="5" borderId="0" xfId="0" applyFont="1" applyFill="1"/>
    <xf numFmtId="164" fontId="7" fillId="5" borderId="0" xfId="1" applyNumberFormat="1" applyFont="1" applyFill="1"/>
    <xf numFmtId="164" fontId="5" fillId="0" borderId="2" xfId="1" applyNumberFormat="1" applyFont="1" applyBorder="1"/>
    <xf numFmtId="1" fontId="5" fillId="0" borderId="0" xfId="0" applyNumberFormat="1" applyFont="1"/>
    <xf numFmtId="0" fontId="3" fillId="0" borderId="0" xfId="0" applyFont="1"/>
    <xf numFmtId="0" fontId="4" fillId="0" borderId="0" xfId="0" applyFont="1"/>
    <xf numFmtId="0" fontId="8" fillId="0" borderId="0" xfId="0" applyFont="1" applyAlignment="1">
      <alignment horizontal="left" wrapText="1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64" fontId="10" fillId="0" borderId="0" xfId="1" applyNumberFormat="1" applyFont="1" applyAlignment="1">
      <alignment horizontal="center"/>
    </xf>
    <xf numFmtId="164" fontId="11" fillId="0" borderId="0" xfId="1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9" fontId="12" fillId="0" borderId="0" xfId="2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64" fontId="14" fillId="0" borderId="0" xfId="1" applyNumberFormat="1" applyFont="1" applyAlignment="1">
      <alignment horizontal="center"/>
    </xf>
    <xf numFmtId="164" fontId="13" fillId="0" borderId="0" xfId="1" applyNumberFormat="1" applyFont="1" applyAlignment="1">
      <alignment horizontal="center"/>
    </xf>
    <xf numFmtId="0" fontId="15" fillId="0" borderId="2" xfId="0" applyFont="1" applyBorder="1" applyAlignment="1">
      <alignment horizontal="left"/>
    </xf>
    <xf numFmtId="0" fontId="16" fillId="0" borderId="2" xfId="0" quotePrefix="1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7" fillId="0" borderId="0" xfId="0" applyFont="1"/>
    <xf numFmtId="0" fontId="15" fillId="0" borderId="0" xfId="0" applyFont="1"/>
    <xf numFmtId="164" fontId="15" fillId="0" borderId="0" xfId="1" applyNumberFormat="1" applyFont="1"/>
    <xf numFmtId="0" fontId="16" fillId="0" borderId="0" xfId="0" applyFont="1"/>
    <xf numFmtId="164" fontId="16" fillId="0" borderId="0" xfId="1" applyNumberFormat="1" applyFont="1"/>
    <xf numFmtId="0" fontId="18" fillId="0" borderId="2" xfId="0" applyFont="1" applyBorder="1" applyAlignment="1">
      <alignment horizontal="left" vertical="center" wrapText="1"/>
    </xf>
    <xf numFmtId="164" fontId="18" fillId="0" borderId="2" xfId="1" applyNumberFormat="1" applyFont="1" applyBorder="1" applyAlignment="1">
      <alignment vertical="center"/>
    </xf>
    <xf numFmtId="164" fontId="19" fillId="0" borderId="2" xfId="1" applyNumberFormat="1" applyFont="1" applyBorder="1" applyAlignment="1">
      <alignment vertical="center"/>
    </xf>
    <xf numFmtId="0" fontId="20" fillId="0" borderId="0" xfId="0" applyFont="1"/>
    <xf numFmtId="0" fontId="18" fillId="0" borderId="0" xfId="0" applyFont="1"/>
    <xf numFmtId="164" fontId="18" fillId="0" borderId="0" xfId="1" applyNumberFormat="1" applyFont="1"/>
    <xf numFmtId="0" fontId="21" fillId="0" borderId="0" xfId="0" applyFont="1"/>
    <xf numFmtId="164" fontId="21" fillId="0" borderId="0" xfId="1" applyNumberFormat="1" applyFont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calcChain" Target="calcChain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GIÁ MUA </a:t>
            </a:r>
            <a:r>
              <a:rPr lang="en-US" sz="2400" b="1" i="0" u="none" strike="noStrike" kern="1200" spc="0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VẢY PET VÀ</a:t>
            </a:r>
            <a:r>
              <a:rPr lang="en-US" sz="2400" b="1" i="0" u="none" strike="noStrike" kern="1200" spc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sz="2400" b="1" i="0" u="none" strike="noStrike" baseline="0">
                <a:solidFill>
                  <a:srgbClr val="FF0000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KEO CHÍNH PHẨM </a:t>
            </a:r>
            <a:r>
              <a:rPr lang="en-US" sz="2400" b="1" i="0" baseline="0">
                <a:solidFill>
                  <a:schemeClr val="accent5"/>
                </a:solidFill>
                <a:effectLst/>
                <a:latin typeface="Times New Roman" panose="02020603050405020304" pitchFamily="18" charset="0"/>
                <a:cs typeface="Times New Roman" panose="02020603050405020304" pitchFamily="18" charset="0"/>
              </a:rPr>
              <a:t>NĂM 2024 - 2026 (VND/Kg)</a:t>
            </a:r>
            <a:endParaRPr lang="en-US" sz="2400">
              <a:solidFill>
                <a:schemeClr val="accent5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4996126835496912E-2"/>
          <c:y val="0.11830284133957779"/>
          <c:w val="0.83556031496062977"/>
          <c:h val="0.77669604615612642"/>
        </c:manualLayout>
      </c:layout>
      <c:areaChart>
        <c:grouping val="stacked"/>
        <c:varyColors val="0"/>
        <c:ser>
          <c:idx val="3"/>
          <c:order val="4"/>
          <c:tx>
            <c:strRef>
              <c:f>'Vảy PET- Tháng'!$AR$8</c:f>
              <c:strCache>
                <c:ptCount val="1"/>
                <c:pt idx="0">
                  <c:v>Giá vảy thể hiện</c:v>
                </c:pt>
              </c:strCache>
            </c:strRef>
          </c:tx>
          <c:spPr>
            <a:noFill/>
            <a:ln w="25400">
              <a:noFill/>
            </a:ln>
            <a:effectLst/>
          </c:spPr>
          <c:cat>
            <c:strLit>
              <c:ptCount val="26"/>
              <c:pt idx="0">
                <c:v>1.24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 6 </c:v>
              </c:pt>
              <c:pt idx="6">
                <c:v> 7 </c:v>
              </c:pt>
              <c:pt idx="7">
                <c:v> 8 </c:v>
              </c:pt>
              <c:pt idx="8">
                <c:v> 9 </c:v>
              </c:pt>
              <c:pt idx="9">
                <c:v> 10 </c:v>
              </c:pt>
              <c:pt idx="10">
                <c:v> 11 </c:v>
              </c:pt>
              <c:pt idx="11">
                <c:v> 12 </c:v>
              </c:pt>
              <c:pt idx="12">
                <c:v> 1.25 </c:v>
              </c:pt>
              <c:pt idx="13">
                <c:v> 2 </c:v>
              </c:pt>
              <c:pt idx="14">
                <c:v> 3 </c:v>
              </c:pt>
              <c:pt idx="15">
                <c:v> 4 </c:v>
              </c:pt>
              <c:pt idx="16">
                <c:v> 5 </c:v>
              </c:pt>
              <c:pt idx="17">
                <c:v> 6 </c:v>
              </c:pt>
              <c:pt idx="18">
                <c:v> 7 </c:v>
              </c:pt>
              <c:pt idx="19">
                <c:v> 8 </c:v>
              </c:pt>
              <c:pt idx="20">
                <c:v> 9 </c:v>
              </c:pt>
              <c:pt idx="21">
                <c:v> 10 </c:v>
              </c:pt>
              <c:pt idx="22">
                <c:v> 11 </c:v>
              </c:pt>
              <c:pt idx="23">
                <c:v> 12 </c:v>
              </c:pt>
              <c:pt idx="24">
                <c:v>1.26</c:v>
              </c:pt>
              <c:pt idx="25">
                <c:v> 2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'Vảy PET- Tháng'!$AS$8:$CN$8</c15:sqref>
                  </c15:fullRef>
                </c:ext>
              </c:extLst>
              <c:f>'Vảy PET- Tháng'!$BE$8:$CD$8</c:f>
              <c:numCache>
                <c:formatCode>_(* #,##0_);_(* \(#,##0\);_(* "-"??_);_(@_)</c:formatCode>
                <c:ptCount val="26"/>
                <c:pt idx="0">
                  <c:v>18100</c:v>
                </c:pt>
                <c:pt idx="1">
                  <c:v>18600</c:v>
                </c:pt>
                <c:pt idx="2">
                  <c:v>18900</c:v>
                </c:pt>
                <c:pt idx="3">
                  <c:v>19300</c:v>
                </c:pt>
                <c:pt idx="4">
                  <c:v>19800</c:v>
                </c:pt>
                <c:pt idx="5">
                  <c:v>19800</c:v>
                </c:pt>
                <c:pt idx="6">
                  <c:v>18300</c:v>
                </c:pt>
                <c:pt idx="7">
                  <c:v>18300</c:v>
                </c:pt>
                <c:pt idx="8">
                  <c:v>18650</c:v>
                </c:pt>
                <c:pt idx="9">
                  <c:v>18350</c:v>
                </c:pt>
                <c:pt idx="10">
                  <c:v>18550</c:v>
                </c:pt>
                <c:pt idx="11">
                  <c:v>18550</c:v>
                </c:pt>
                <c:pt idx="12">
                  <c:v>18550</c:v>
                </c:pt>
                <c:pt idx="13">
                  <c:v>18850</c:v>
                </c:pt>
                <c:pt idx="14">
                  <c:v>19550</c:v>
                </c:pt>
                <c:pt idx="15">
                  <c:v>20050</c:v>
                </c:pt>
                <c:pt idx="16">
                  <c:v>19350</c:v>
                </c:pt>
                <c:pt idx="17">
                  <c:v>19850</c:v>
                </c:pt>
                <c:pt idx="18">
                  <c:v>19850</c:v>
                </c:pt>
                <c:pt idx="19">
                  <c:v>18850</c:v>
                </c:pt>
                <c:pt idx="20">
                  <c:v>16666.666666666668</c:v>
                </c:pt>
                <c:pt idx="21">
                  <c:v>16500</c:v>
                </c:pt>
                <c:pt idx="22">
                  <c:v>16000</c:v>
                </c:pt>
                <c:pt idx="23">
                  <c:v>16000</c:v>
                </c:pt>
                <c:pt idx="24">
                  <c:v>16300</c:v>
                </c:pt>
                <c:pt idx="25">
                  <c:v>16300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C4-464E-B64A-D398E2F9C7A9}"/>
            </c:ext>
          </c:extLst>
        </c:ser>
        <c:ser>
          <c:idx val="7"/>
          <c:order val="5"/>
          <c:tx>
            <c:strRef>
              <c:f>'Vảy PET- Tháng'!$AR$11</c:f>
              <c:strCache>
                <c:ptCount val="1"/>
                <c:pt idx="0">
                  <c:v>Chênh lệch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 w="38100">
              <a:solidFill>
                <a:schemeClr val="bg1">
                  <a:lumMod val="95000"/>
                </a:schemeClr>
              </a:solidFill>
            </a:ln>
            <a:effectLst>
              <a:glow rad="88900">
                <a:schemeClr val="bg1"/>
              </a:glow>
              <a:outerShdw blurRad="50800" dist="50800" dir="5400000" algn="ctr" rotWithShape="0">
                <a:schemeClr val="bg1"/>
              </a:outerShdw>
            </a:effectLst>
          </c:spPr>
          <c:dLbls>
            <c:dLbl>
              <c:idx val="0"/>
              <c:tx>
                <c:rich>
                  <a:bodyPr/>
                  <a:lstStyle/>
                  <a:p>
                    <a:fld id="{4C03C48A-02F0-49BA-BD32-6BE4AA8E20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4C4-464E-B64A-D398E2F9C7A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A88B88E-C84B-4463-9FFC-2F1B7A201F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4C4-464E-B64A-D398E2F9C7A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EC90107-9938-4EC3-8C90-B9F8F5CB4B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4C4-464E-B64A-D398E2F9C7A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F3EC7C8-7850-4831-839D-F5E6FECDB4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4C4-464E-B64A-D398E2F9C7A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89510C3-E54E-41FB-81A5-E482FCFA60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4C4-464E-B64A-D398E2F9C7A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1387858-A7B7-4DC9-9C9F-8511897F8D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4C4-464E-B64A-D398E2F9C7A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34A8E47-2D74-4282-A061-A63001F1B1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4C4-464E-B64A-D398E2F9C7A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2C7AAD1-EFD0-4CDE-ADF0-392FF638D2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4C4-464E-B64A-D398E2F9C7A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4C1CD11-72F8-4267-98EC-CECAD90589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4C4-464E-B64A-D398E2F9C7A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9F93041-45BA-4B46-8C76-817A65916F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4C4-464E-B64A-D398E2F9C7A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BEA20EC-A98A-4292-BFF4-3C31628D83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4C4-464E-B64A-D398E2F9C7A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BF7F6A4-D72A-47A7-B18E-C815AE116B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4C4-464E-B64A-D398E2F9C7A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EBC99C5-8C06-415A-8E06-6456F5096D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4C4-464E-B64A-D398E2F9C7A9}"/>
                </c:ext>
              </c:extLst>
            </c:dLbl>
            <c:dLbl>
              <c:idx val="13"/>
              <c:layout>
                <c:manualLayout>
                  <c:x val="-3.9287911248917845E-3"/>
                  <c:y val="-1.3739518208107265E-2"/>
                </c:manualLayout>
              </c:layout>
              <c:tx>
                <c:rich>
                  <a:bodyPr/>
                  <a:lstStyle/>
                  <a:p>
                    <a:fld id="{F5F49014-F0DF-4D00-847F-E0D69B1619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F4C4-464E-B64A-D398E2F9C7A9}"/>
                </c:ext>
              </c:extLst>
            </c:dLbl>
            <c:dLbl>
              <c:idx val="14"/>
              <c:layout>
                <c:manualLayout>
                  <c:x val="-1.9804782543097819E-3"/>
                  <c:y val="-3.2049704802030066E-2"/>
                </c:manualLayout>
              </c:layout>
              <c:tx>
                <c:rich>
                  <a:bodyPr/>
                  <a:lstStyle/>
                  <a:p>
                    <a:fld id="{1BCE79A3-9228-4A06-A828-F561F4E5AF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F4C4-464E-B64A-D398E2F9C7A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F4C4-464E-B64A-D398E2F9C7A9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F4C4-464E-B64A-D398E2F9C7A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4C4-464E-B64A-D398E2F9C7A9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4C4-464E-B64A-D398E2F9C7A9}"/>
                </c:ext>
              </c:extLst>
            </c:dLbl>
            <c:dLbl>
              <c:idx val="19"/>
              <c:layout>
                <c:manualLayout>
                  <c:x val="5.9414347629293453E-3"/>
                  <c:y val="0"/>
                </c:manualLayout>
              </c:layout>
              <c:tx>
                <c:rich>
                  <a:bodyPr/>
                  <a:lstStyle/>
                  <a:p>
                    <a:fld id="{13748706-DC92-4565-8CB4-561D097CF0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F4C4-464E-B64A-D398E2F9C7A9}"/>
                </c:ext>
              </c:extLst>
            </c:dLbl>
            <c:dLbl>
              <c:idx val="20"/>
              <c:layout>
                <c:manualLayout>
                  <c:x val="9.9023912715474568E-4"/>
                  <c:y val="1.1446323143582137E-2"/>
                </c:manualLayout>
              </c:layout>
              <c:tx>
                <c:rich>
                  <a:bodyPr/>
                  <a:lstStyle/>
                  <a:p>
                    <a:fld id="{45EFC542-9A13-47B0-9257-876531DD3D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F4C4-464E-B64A-D398E2F9C7A9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B01B833B-2CB9-41B3-979A-6214E7B43E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4C4-464E-B64A-D398E2F9C7A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2B7CDF7F-342C-404C-9C64-85EFB971BE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4C4-464E-B64A-D398E2F9C7A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6500BF36-5925-41EA-9C0C-D930631481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4C4-464E-B64A-D398E2F9C7A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1D9E3975-91F2-4660-8BAB-47866EAB34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4C4-464E-B64A-D398E2F9C7A9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2BE7EA34-35A6-4B3A-B226-334F28E52F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4C4-464E-B64A-D398E2F9C7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6"/>
              <c:pt idx="0">
                <c:v>1.24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 6 </c:v>
              </c:pt>
              <c:pt idx="6">
                <c:v> 7 </c:v>
              </c:pt>
              <c:pt idx="7">
                <c:v> 8 </c:v>
              </c:pt>
              <c:pt idx="8">
                <c:v> 9 </c:v>
              </c:pt>
              <c:pt idx="9">
                <c:v> 10 </c:v>
              </c:pt>
              <c:pt idx="10">
                <c:v> 11 </c:v>
              </c:pt>
              <c:pt idx="11">
                <c:v> 12 </c:v>
              </c:pt>
              <c:pt idx="12">
                <c:v> 1.25 </c:v>
              </c:pt>
              <c:pt idx="13">
                <c:v> 2 </c:v>
              </c:pt>
              <c:pt idx="14">
                <c:v> 3 </c:v>
              </c:pt>
              <c:pt idx="15">
                <c:v> 4 </c:v>
              </c:pt>
              <c:pt idx="16">
                <c:v> 5 </c:v>
              </c:pt>
              <c:pt idx="17">
                <c:v> 6 </c:v>
              </c:pt>
              <c:pt idx="18">
                <c:v> 7 </c:v>
              </c:pt>
              <c:pt idx="19">
                <c:v> 8 </c:v>
              </c:pt>
              <c:pt idx="20">
                <c:v> 9 </c:v>
              </c:pt>
              <c:pt idx="21">
                <c:v> 10 </c:v>
              </c:pt>
              <c:pt idx="22">
                <c:v> 11 </c:v>
              </c:pt>
              <c:pt idx="23">
                <c:v> 12 </c:v>
              </c:pt>
              <c:pt idx="24">
                <c:v>1.26</c:v>
              </c:pt>
              <c:pt idx="25">
                <c:v> 2 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'Vảy PET- Tháng'!$AS$11:$CN$11</c15:sqref>
                  </c15:fullRef>
                </c:ext>
              </c:extLst>
              <c:f>'Vảy PET- Tháng'!$BE$11:$CD$11</c:f>
              <c:numCache>
                <c:formatCode>_(* #,##0_);_(* \(#,##0\);_(* "-"??_);_(@_)</c:formatCode>
                <c:ptCount val="26"/>
                <c:pt idx="0">
                  <c:v>4415.2999999999993</c:v>
                </c:pt>
                <c:pt idx="1">
                  <c:v>4267.75</c:v>
                </c:pt>
                <c:pt idx="2">
                  <c:v>4120.5999999999985</c:v>
                </c:pt>
                <c:pt idx="3">
                  <c:v>3908.5999999999985</c:v>
                </c:pt>
                <c:pt idx="4">
                  <c:v>4197.4500000000007</c:v>
                </c:pt>
                <c:pt idx="5">
                  <c:v>4187.5</c:v>
                </c:pt>
                <c:pt idx="6">
                  <c:v>5655.9599999999991</c:v>
                </c:pt>
                <c:pt idx="7">
                  <c:v>5070.9000000000015</c:v>
                </c:pt>
                <c:pt idx="8">
                  <c:v>2980.4000000000015</c:v>
                </c:pt>
                <c:pt idx="9">
                  <c:v>2703.625</c:v>
                </c:pt>
                <c:pt idx="10">
                  <c:v>2852.2400000000016</c:v>
                </c:pt>
                <c:pt idx="11">
                  <c:v>2316.2000000000007</c:v>
                </c:pt>
                <c:pt idx="12">
                  <c:v>2390.119999999999</c:v>
                </c:pt>
                <c:pt idx="13">
                  <c:v>2192</c:v>
                </c:pt>
                <c:pt idx="14">
                  <c:v>1354.2000000000007</c:v>
                </c:pt>
                <c:pt idx="15">
                  <c:v>-573.09999999999854</c:v>
                </c:pt>
                <c:pt idx="16">
                  <c:v>849.06000000000131</c:v>
                </c:pt>
                <c:pt idx="17">
                  <c:v>1048.0999999999985</c:v>
                </c:pt>
                <c:pt idx="18">
                  <c:v>937.84000000000015</c:v>
                </c:pt>
                <c:pt idx="19">
                  <c:v>1843.8499999999985</c:v>
                </c:pt>
                <c:pt idx="20">
                  <c:v>3832.2733333333308</c:v>
                </c:pt>
                <c:pt idx="21">
                  <c:v>3713.2760000000017</c:v>
                </c:pt>
                <c:pt idx="22">
                  <c:v>4102.3899999999994</c:v>
                </c:pt>
                <c:pt idx="23">
                  <c:v>4237.9130000000005</c:v>
                </c:pt>
                <c:pt idx="24">
                  <c:v>4432.0099999999984</c:v>
                </c:pt>
                <c:pt idx="25">
                  <c:v>4434.3950000000004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'Vảy PET- Tháng'!$AS$10:$CN$10</c15:f>
                <c15:dlblRangeCache>
                  <c:ptCount val="48"/>
                  <c:pt idx="0">
                    <c:v>33%</c:v>
                  </c:pt>
                  <c:pt idx="1">
                    <c:v>41%</c:v>
                  </c:pt>
                  <c:pt idx="2">
                    <c:v>28%</c:v>
                  </c:pt>
                  <c:pt idx="3">
                    <c:v>33%</c:v>
                  </c:pt>
                  <c:pt idx="4">
                    <c:v>23%</c:v>
                  </c:pt>
                  <c:pt idx="5">
                    <c:v>19%</c:v>
                  </c:pt>
                  <c:pt idx="6">
                    <c:v>32%</c:v>
                  </c:pt>
                  <c:pt idx="7">
                    <c:v>37%</c:v>
                  </c:pt>
                  <c:pt idx="8">
                    <c:v>35%</c:v>
                  </c:pt>
                  <c:pt idx="9">
                    <c:v>28%</c:v>
                  </c:pt>
                  <c:pt idx="10">
                    <c:v>23%</c:v>
                  </c:pt>
                  <c:pt idx="11">
                    <c:v>24%</c:v>
                  </c:pt>
                  <c:pt idx="12">
                    <c:v>24%</c:v>
                  </c:pt>
                  <c:pt idx="13">
                    <c:v>23%</c:v>
                  </c:pt>
                  <c:pt idx="14">
                    <c:v>22%</c:v>
                  </c:pt>
                  <c:pt idx="15">
                    <c:v>20%</c:v>
                  </c:pt>
                  <c:pt idx="16">
                    <c:v>21%</c:v>
                  </c:pt>
                  <c:pt idx="17">
                    <c:v>21%</c:v>
                  </c:pt>
                  <c:pt idx="18">
                    <c:v>31%</c:v>
                  </c:pt>
                  <c:pt idx="19">
                    <c:v>28%</c:v>
                  </c:pt>
                  <c:pt idx="20">
                    <c:v>16%</c:v>
                  </c:pt>
                  <c:pt idx="21">
                    <c:v>15%</c:v>
                  </c:pt>
                  <c:pt idx="22">
                    <c:v>15%</c:v>
                  </c:pt>
                  <c:pt idx="23">
                    <c:v>12%</c:v>
                  </c:pt>
                  <c:pt idx="24">
                    <c:v>13%</c:v>
                  </c:pt>
                  <c:pt idx="25">
                    <c:v>12%</c:v>
                  </c:pt>
                  <c:pt idx="26">
                    <c:v>7%</c:v>
                  </c:pt>
                  <c:pt idx="27">
                    <c:v>-3%</c:v>
                  </c:pt>
                  <c:pt idx="28">
                    <c:v>4%</c:v>
                  </c:pt>
                  <c:pt idx="29">
                    <c:v>5%</c:v>
                  </c:pt>
                  <c:pt idx="30">
                    <c:v>5%</c:v>
                  </c:pt>
                  <c:pt idx="31">
                    <c:v>10%</c:v>
                  </c:pt>
                  <c:pt idx="32">
                    <c:v>23%</c:v>
                  </c:pt>
                  <c:pt idx="33">
                    <c:v>23%</c:v>
                  </c:pt>
                  <c:pt idx="34">
                    <c:v>26%</c:v>
                  </c:pt>
                  <c:pt idx="35">
                    <c:v>26%</c:v>
                  </c:pt>
                  <c:pt idx="36">
                    <c:v>27%</c:v>
                  </c:pt>
                  <c:pt idx="37">
                    <c:v>27%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B-F4C4-464E-B64A-D398E2F9C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dropLines>
        <c:axId val="1126016031"/>
        <c:axId val="1125990239"/>
      </c:areaChart>
      <c:lineChart>
        <c:grouping val="standard"/>
        <c:varyColors val="0"/>
        <c:ser>
          <c:idx val="0"/>
          <c:order val="0"/>
          <c:tx>
            <c:strRef>
              <c:f>'Vảy PET- Tháng'!$AR$5</c:f>
              <c:strCache>
                <c:ptCount val="1"/>
                <c:pt idx="0">
                  <c:v>Giá keo chính phẩm</c:v>
                </c:pt>
              </c:strCache>
            </c:strRef>
          </c:tx>
          <c:spPr>
            <a:ln w="57150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F4C4-464E-B64A-D398E2F9C7A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F4C4-464E-B64A-D398E2F9C7A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F4C4-464E-B64A-D398E2F9C7A9}"/>
                </c:ext>
              </c:extLst>
            </c:dLbl>
            <c:dLbl>
              <c:idx val="8"/>
              <c:layout>
                <c:manualLayout>
                  <c:x val="-1.0043008101169182E-2"/>
                  <c:y val="-4.7960286260127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F4C4-464E-B64A-D398E2F9C7A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F4C4-464E-B64A-D398E2F9C7A9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F4C4-464E-B64A-D398E2F9C7A9}"/>
                </c:ext>
              </c:extLst>
            </c:dLbl>
            <c:dLbl>
              <c:idx val="15"/>
              <c:layout>
                <c:manualLayout>
                  <c:x val="-2.4864864864864864E-2"/>
                  <c:y val="1.82048616257420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F4C4-464E-B64A-D398E2F9C7A9}"/>
                </c:ext>
              </c:extLst>
            </c:dLbl>
            <c:dLbl>
              <c:idx val="16"/>
              <c:layout>
                <c:manualLayout>
                  <c:x val="-2.5260659714832944E-2"/>
                  <c:y val="-4.36117911751903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F4C4-464E-B64A-D398E2F9C7A9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F4C4-464E-B64A-D398E2F9C7A9}"/>
                </c:ext>
              </c:extLst>
            </c:dLbl>
            <c:dLbl>
              <c:idx val="19"/>
              <c:layout>
                <c:manualLayout>
                  <c:x val="-4.8233954252475564E-2"/>
                  <c:y val="-3.44533745302509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F4C4-464E-B64A-D398E2F9C7A9}"/>
                </c:ext>
              </c:extLst>
            </c:dLbl>
            <c:dLbl>
              <c:idx val="22"/>
              <c:layout>
                <c:manualLayout>
                  <c:x val="-2.2344999522822023E-2"/>
                  <c:y val="-2.30136929985795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F4C4-464E-B64A-D398E2F9C7A9}"/>
                </c:ext>
              </c:extLst>
            </c:dLbl>
            <c:dLbl>
              <c:idx val="23"/>
              <c:layout>
                <c:manualLayout>
                  <c:x val="-2.3550610768248565E-2"/>
                  <c:y val="-4.59128900120914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F4C4-464E-B64A-D398E2F9C7A9}"/>
                </c:ext>
              </c:extLst>
            </c:dLbl>
            <c:dLbl>
              <c:idx val="25"/>
              <c:layout>
                <c:manualLayout>
                  <c:x val="-1.4486486486486613E-2"/>
                  <c:y val="-2.07237732972283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F4C4-464E-B64A-D398E2F9C7A9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3399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'Vảy PET- Tháng'!$AS$3:$CN$3</c15:sqref>
                  </c15:fullRef>
                </c:ext>
              </c:extLst>
              <c:f>'Vảy PET- Tháng'!$BE$3:$CD$3</c:f>
              <c:strCache>
                <c:ptCount val="2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1.26</c:v>
                </c:pt>
                <c:pt idx="25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'Vảy PET- Tháng'!$AS$5:$CN$5</c15:sqref>
                  </c15:fullRef>
                </c:ext>
              </c:extLst>
              <c:f>'Vảy PET- Tháng'!$BE$5:$CD$5</c:f>
              <c:numCache>
                <c:formatCode>_(* #,##0_);_(* \(#,##0\);_(* "-"??_);_(@_)</c:formatCode>
                <c:ptCount val="26"/>
                <c:pt idx="0">
                  <c:v>22515.3</c:v>
                </c:pt>
                <c:pt idx="1">
                  <c:v>22867.75</c:v>
                </c:pt>
                <c:pt idx="2">
                  <c:v>23020.6</c:v>
                </c:pt>
                <c:pt idx="3">
                  <c:v>23208.6</c:v>
                </c:pt>
                <c:pt idx="4">
                  <c:v>23997.45</c:v>
                </c:pt>
                <c:pt idx="5">
                  <c:v>23987.5</c:v>
                </c:pt>
                <c:pt idx="6">
                  <c:v>23955.96</c:v>
                </c:pt>
                <c:pt idx="7">
                  <c:v>23370.9</c:v>
                </c:pt>
                <c:pt idx="8">
                  <c:v>21630.400000000001</c:v>
                </c:pt>
                <c:pt idx="9">
                  <c:v>21053.625</c:v>
                </c:pt>
                <c:pt idx="10">
                  <c:v>21402.240000000002</c:v>
                </c:pt>
                <c:pt idx="11">
                  <c:v>20866.2</c:v>
                </c:pt>
                <c:pt idx="12">
                  <c:v>20940.12</c:v>
                </c:pt>
                <c:pt idx="13">
                  <c:v>21042</c:v>
                </c:pt>
                <c:pt idx="14">
                  <c:v>20904.2</c:v>
                </c:pt>
                <c:pt idx="15">
                  <c:v>19476.900000000001</c:v>
                </c:pt>
                <c:pt idx="16">
                  <c:v>20199.060000000001</c:v>
                </c:pt>
                <c:pt idx="17">
                  <c:v>20898.099999999999</c:v>
                </c:pt>
                <c:pt idx="18">
                  <c:v>20787.84</c:v>
                </c:pt>
                <c:pt idx="19">
                  <c:v>20693.849999999999</c:v>
                </c:pt>
                <c:pt idx="20">
                  <c:v>20498.939999999999</c:v>
                </c:pt>
                <c:pt idx="21">
                  <c:v>20213.276000000002</c:v>
                </c:pt>
                <c:pt idx="22">
                  <c:v>20102.39</c:v>
                </c:pt>
                <c:pt idx="23">
                  <c:v>20237.913</c:v>
                </c:pt>
                <c:pt idx="24">
                  <c:v>20732.009999999998</c:v>
                </c:pt>
                <c:pt idx="25">
                  <c:v>20734.395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F4C4-464E-B64A-D398E2F9C7A9}"/>
            </c:ext>
          </c:extLst>
        </c:ser>
        <c:ser>
          <c:idx val="1"/>
          <c:order val="2"/>
          <c:tx>
            <c:strRef>
              <c:f>'Vảy PET- Tháng'!$AR$6</c:f>
              <c:strCache>
                <c:ptCount val="1"/>
                <c:pt idx="0">
                  <c:v>Giá duyệt mua vảy PET</c:v>
                </c:pt>
              </c:strCache>
            </c:strRef>
          </c:tx>
          <c:spPr>
            <a:ln w="571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F4C4-464E-B64A-D398E2F9C7A9}"/>
                </c:ext>
              </c:extLst>
            </c:dLbl>
            <c:dLbl>
              <c:idx val="1"/>
              <c:layout>
                <c:manualLayout>
                  <c:x val="-1.2786977696995232E-2"/>
                  <c:y val="2.08615290965851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F4C4-464E-B64A-D398E2F9C7A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F4C4-464E-B64A-D398E2F9C7A9}"/>
                </c:ext>
              </c:extLst>
            </c:dLbl>
            <c:dLbl>
              <c:idx val="4"/>
              <c:layout>
                <c:manualLayout>
                  <c:x val="-1.2607180382318761E-2"/>
                  <c:y val="3.42898958771932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F4C4-464E-B64A-D398E2F9C7A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F4C4-464E-B64A-D398E2F9C7A9}"/>
                </c:ext>
              </c:extLst>
            </c:dLbl>
            <c:dLbl>
              <c:idx val="6"/>
              <c:layout>
                <c:manualLayout>
                  <c:x val="-1.0515316639683333E-2"/>
                  <c:y val="-2.49484046832645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F-F4C4-464E-B64A-D398E2F9C7A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F4C4-464E-B64A-D398E2F9C7A9}"/>
                </c:ext>
              </c:extLst>
            </c:dLbl>
            <c:dLbl>
              <c:idx val="8"/>
              <c:layout>
                <c:manualLayout>
                  <c:x val="-2.6465029626111716E-2"/>
                  <c:y val="-2.9760440173313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1-F4C4-464E-B64A-D398E2F9C7A9}"/>
                </c:ext>
              </c:extLst>
            </c:dLbl>
            <c:dLbl>
              <c:idx val="9"/>
              <c:layout>
                <c:manualLayout>
                  <c:x val="-2.1129338169234353E-2"/>
                  <c:y val="-3.19352415705941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2-F4C4-464E-B64A-D398E2F9C7A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3-F4C4-464E-B64A-D398E2F9C7A9}"/>
                </c:ext>
              </c:extLst>
            </c:dLbl>
            <c:dLbl>
              <c:idx val="11"/>
              <c:layout>
                <c:manualLayout>
                  <c:x val="-3.091891891891892E-2"/>
                  <c:y val="3.21733718039843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4-F4C4-464E-B64A-D398E2F9C7A9}"/>
                </c:ext>
              </c:extLst>
            </c:dLbl>
            <c:dLbl>
              <c:idx val="12"/>
              <c:layout>
                <c:manualLayout>
                  <c:x val="-2.4E-2"/>
                  <c:y val="4.36229703107402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F4C4-464E-B64A-D398E2F9C7A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6-F4C4-464E-B64A-D398E2F9C7A9}"/>
                </c:ext>
              </c:extLst>
            </c:dLbl>
            <c:dLbl>
              <c:idx val="16"/>
              <c:layout>
                <c:manualLayout>
                  <c:x val="-2.227027027027027E-2"/>
                  <c:y val="5.736248851884748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7-F4C4-464E-B64A-D398E2F9C7A9}"/>
                </c:ext>
              </c:extLst>
            </c:dLbl>
            <c:dLbl>
              <c:idx val="17"/>
              <c:layout>
                <c:manualLayout>
                  <c:x val="-2.1405405405405406E-2"/>
                  <c:y val="3.44632915053354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8-F4C4-464E-B64A-D398E2F9C7A9}"/>
                </c:ext>
              </c:extLst>
            </c:dLbl>
            <c:dLbl>
              <c:idx val="18"/>
              <c:layout>
                <c:manualLayout>
                  <c:x val="-2.0540540540540539E-2"/>
                  <c:y val="6.19423279215498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F4C4-464E-B64A-D398E2F9C7A9}"/>
                </c:ext>
              </c:extLst>
            </c:dLbl>
            <c:dLbl>
              <c:idx val="19"/>
              <c:layout>
                <c:manualLayout>
                  <c:x val="-3.5243243243243245E-2"/>
                  <c:y val="4.13330506093891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F4C4-464E-B64A-D398E2F9C7A9}"/>
                </c:ext>
              </c:extLst>
            </c:dLbl>
            <c:dLbl>
              <c:idx val="20"/>
              <c:layout>
                <c:manualLayout>
                  <c:x val="-6.7027027027027029E-3"/>
                  <c:y val="-2.50746207297955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F4C4-464E-B64A-D398E2F9C7A9}"/>
                </c:ext>
              </c:extLst>
            </c:dLbl>
            <c:dLbl>
              <c:idx val="21"/>
              <c:layout>
                <c:manualLayout>
                  <c:x val="-3.2432432432432431E-3"/>
                  <c:y val="-2.27847010284444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F4C4-464E-B64A-D398E2F9C7A9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F4C4-464E-B64A-D398E2F9C7A9}"/>
                </c:ext>
              </c:extLst>
            </c:dLbl>
            <c:dLbl>
              <c:idx val="23"/>
              <c:layout>
                <c:manualLayout>
                  <c:x val="-2.9409763779527687E-2"/>
                  <c:y val="-4.33939783406051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F4C4-464E-B64A-D398E2F9C7A9}"/>
                </c:ext>
              </c:extLst>
            </c:dLbl>
            <c:dLbl>
              <c:idx val="24"/>
              <c:layout>
                <c:manualLayout>
                  <c:x val="-2.659459459459472E-2"/>
                  <c:y val="-3.42342995352003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F4C4-464E-B64A-D398E2F9C7A9}"/>
                </c:ext>
              </c:extLst>
            </c:dLbl>
            <c:dLbl>
              <c:idx val="25"/>
              <c:layout>
                <c:manualLayout>
                  <c:x val="-1.8810810810810812E-2"/>
                  <c:y val="-2.96544601324979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F4C4-464E-B64A-D398E2F9C7A9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rgbClr val="FF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'Vảy PET- Tháng'!$AS$3:$CN$3</c15:sqref>
                  </c15:fullRef>
                </c:ext>
              </c:extLst>
              <c:f>'Vảy PET- Tháng'!$BE$3:$CD$3</c:f>
              <c:strCache>
                <c:ptCount val="2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1.26</c:v>
                </c:pt>
                <c:pt idx="25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'Vảy PET- Tháng'!$AS$6:$CN$6</c15:sqref>
                  </c15:fullRef>
                </c:ext>
              </c:extLst>
              <c:f>'Vảy PET- Tháng'!$BE$6:$CD$6</c:f>
              <c:numCache>
                <c:formatCode>_(* #,##0_);_(* \(#,##0\);_(* "-"??_);_(@_)</c:formatCode>
                <c:ptCount val="26"/>
                <c:pt idx="0">
                  <c:v>18100</c:v>
                </c:pt>
                <c:pt idx="1">
                  <c:v>18600</c:v>
                </c:pt>
                <c:pt idx="2">
                  <c:v>18900</c:v>
                </c:pt>
                <c:pt idx="3">
                  <c:v>19300</c:v>
                </c:pt>
                <c:pt idx="4">
                  <c:v>19800</c:v>
                </c:pt>
                <c:pt idx="5">
                  <c:v>19800</c:v>
                </c:pt>
                <c:pt idx="6">
                  <c:v>18300</c:v>
                </c:pt>
                <c:pt idx="7">
                  <c:v>18300</c:v>
                </c:pt>
                <c:pt idx="8">
                  <c:v>18650</c:v>
                </c:pt>
                <c:pt idx="9">
                  <c:v>18350</c:v>
                </c:pt>
                <c:pt idx="10">
                  <c:v>18550</c:v>
                </c:pt>
                <c:pt idx="11">
                  <c:v>18550</c:v>
                </c:pt>
                <c:pt idx="12">
                  <c:v>18550</c:v>
                </c:pt>
                <c:pt idx="13">
                  <c:v>18850</c:v>
                </c:pt>
                <c:pt idx="14">
                  <c:v>19550</c:v>
                </c:pt>
                <c:pt idx="15">
                  <c:v>20050</c:v>
                </c:pt>
                <c:pt idx="16">
                  <c:v>19350</c:v>
                </c:pt>
                <c:pt idx="17">
                  <c:v>19850</c:v>
                </c:pt>
                <c:pt idx="18">
                  <c:v>19850</c:v>
                </c:pt>
                <c:pt idx="19">
                  <c:v>18850</c:v>
                </c:pt>
                <c:pt idx="20">
                  <c:v>16666.666666666668</c:v>
                </c:pt>
                <c:pt idx="21">
                  <c:v>16500</c:v>
                </c:pt>
                <c:pt idx="22">
                  <c:v>16000</c:v>
                </c:pt>
                <c:pt idx="23">
                  <c:v>16000</c:v>
                </c:pt>
                <c:pt idx="24">
                  <c:v>16300</c:v>
                </c:pt>
                <c:pt idx="25">
                  <c:v>16300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F4C4-464E-B64A-D398E2F9C7A9}"/>
            </c:ext>
          </c:extLst>
        </c:ser>
        <c:ser>
          <c:idx val="8"/>
          <c:order val="3"/>
          <c:tx>
            <c:strRef>
              <c:f>'Vảy PET- Tháng'!$AR$9</c:f>
              <c:strCache>
                <c:ptCount val="1"/>
                <c:pt idx="0">
                  <c:v>Giá vảy PET B1 thực tế mua trung bình</c:v>
                </c:pt>
              </c:strCache>
            </c:strRef>
          </c:tx>
          <c:spPr>
            <a:ln w="508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3.0121685797868645E-2"/>
                  <c:y val="-3.66630568877358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F4C4-464E-B64A-D398E2F9C7A9}"/>
                </c:ext>
              </c:extLst>
            </c:dLbl>
            <c:dLbl>
              <c:idx val="2"/>
              <c:layout>
                <c:manualLayout>
                  <c:x val="-2.9229355246707202E-2"/>
                  <c:y val="-2.494840468326443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F4C4-464E-B64A-D398E2F9C7A9}"/>
                </c:ext>
              </c:extLst>
            </c:dLbl>
            <c:dLbl>
              <c:idx val="3"/>
              <c:layout>
                <c:manualLayout>
                  <c:x val="-2.7992214069216356E-2"/>
                  <c:y val="-2.72268559614731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F4C4-464E-B64A-D398E2F9C7A9}"/>
                </c:ext>
              </c:extLst>
            </c:dLbl>
            <c:dLbl>
              <c:idx val="4"/>
              <c:layout>
                <c:manualLayout>
                  <c:x val="-1.9444973132050968E-2"/>
                  <c:y val="-2.49484579730653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5-F4C4-464E-B64A-D398E2F9C7A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6-F4C4-464E-B64A-D398E2F9C7A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7-F4C4-464E-B64A-D398E2F9C7A9}"/>
                </c:ext>
              </c:extLst>
            </c:dLbl>
            <c:dLbl>
              <c:idx val="8"/>
              <c:layout>
                <c:manualLayout>
                  <c:x val="-2.0280467470431867E-2"/>
                  <c:y val="3.45397757926668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8-F4C4-464E-B64A-D398E2F9C7A9}"/>
                </c:ext>
              </c:extLst>
            </c:dLbl>
            <c:dLbl>
              <c:idx val="9"/>
              <c:layout>
                <c:manualLayout>
                  <c:x val="-1.8567937384694446E-2"/>
                  <c:y val="2.29847576434850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9-F4C4-464E-B64A-D398E2F9C7A9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A-F4C4-464E-B64A-D398E2F9C7A9}"/>
                </c:ext>
              </c:extLst>
            </c:dLbl>
            <c:dLbl>
              <c:idx val="11"/>
              <c:layout>
                <c:manualLayout>
                  <c:x val="-1.7780287447980408E-2"/>
                  <c:y val="-3.20497048020299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B-F4C4-464E-B64A-D398E2F9C7A9}"/>
                </c:ext>
              </c:extLst>
            </c:dLbl>
            <c:dLbl>
              <c:idx val="12"/>
              <c:layout>
                <c:manualLayout>
                  <c:x val="-2.3596646094913874E-2"/>
                  <c:y val="5.27741746101636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C-F4C4-464E-B64A-D398E2F9C7A9}"/>
                </c:ext>
              </c:extLst>
            </c:dLbl>
            <c:dLbl>
              <c:idx val="13"/>
              <c:layout>
                <c:manualLayout>
                  <c:x val="-3.6108108108108168E-2"/>
                  <c:y val="-1.36250222230397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D-F4C4-464E-B64A-D398E2F9C7A9}"/>
                </c:ext>
              </c:extLst>
            </c:dLbl>
            <c:dLbl>
              <c:idx val="15"/>
              <c:layout>
                <c:manualLayout>
                  <c:x val="-2.5729729729729731E-2"/>
                  <c:y val="-2.50746207297956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E-F4C4-464E-B64A-D398E2F9C7A9}"/>
                </c:ext>
              </c:extLst>
            </c:dLbl>
            <c:dLbl>
              <c:idx val="16"/>
              <c:layout>
                <c:manualLayout>
                  <c:x val="-2.227027027027027E-2"/>
                  <c:y val="3.21733718039843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F-F4C4-464E-B64A-D398E2F9C7A9}"/>
                </c:ext>
              </c:extLst>
            </c:dLbl>
            <c:dLbl>
              <c:idx val="17"/>
              <c:layout>
                <c:manualLayout>
                  <c:x val="-1.8810810810810812E-2"/>
                  <c:y val="-1.59149419243908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0-F4C4-464E-B64A-D398E2F9C7A9}"/>
                </c:ext>
              </c:extLst>
            </c:dLbl>
            <c:dLbl>
              <c:idx val="18"/>
              <c:layout>
                <c:manualLayout>
                  <c:x val="-1.7329184725210591E-3"/>
                  <c:y val="-6.753330654713544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1-F4C4-464E-B64A-D398E2F9C7A9}"/>
                </c:ext>
              </c:extLst>
            </c:dLbl>
            <c:dLbl>
              <c:idx val="19"/>
              <c:layout>
                <c:manualLayout>
                  <c:x val="-3.2432432432432431E-3"/>
                  <c:y val="2.4044156864187569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2-F4C4-464E-B64A-D398E2F9C7A9}"/>
                </c:ext>
              </c:extLst>
            </c:dLbl>
            <c:dLbl>
              <c:idx val="20"/>
              <c:layout>
                <c:manualLayout>
                  <c:x val="-4.2162162162162162E-2"/>
                  <c:y val="6.9842550891211505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3-F4C4-464E-B64A-D398E2F9C7A9}"/>
                </c:ext>
              </c:extLst>
            </c:dLbl>
            <c:dLbl>
              <c:idx val="21"/>
              <c:layout>
                <c:manualLayout>
                  <c:x val="-3.2648648648648651E-2"/>
                  <c:y val="2.75935324012817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4-F4C4-464E-B64A-D398E2F9C7A9}"/>
                </c:ext>
              </c:extLst>
            </c:dLbl>
            <c:dLbl>
              <c:idx val="22"/>
              <c:layout>
                <c:manualLayout>
                  <c:x val="-2.4864864864864864E-2"/>
                  <c:y val="3.21733718039843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5-F4C4-464E-B64A-D398E2F9C7A9}"/>
                </c:ext>
              </c:extLst>
            </c:dLbl>
            <c:dLbl>
              <c:idx val="24"/>
              <c:layout>
                <c:manualLayout>
                  <c:x val="-1.9675675675675804E-2"/>
                  <c:y val="2.530361269993055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6-F4C4-464E-B64A-D398E2F9C7A9}"/>
                </c:ext>
              </c:extLst>
            </c:dLbl>
            <c:dLbl>
              <c:idx val="25"/>
              <c:layout>
                <c:manualLayout>
                  <c:x val="-5.8378378378378375E-3"/>
                  <c:y val="1.38540141931747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7-F4C4-464E-B64A-D398E2F9C7A9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6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'Vảy PET- Tháng'!$AS$3:$CN$3</c15:sqref>
                  </c15:fullRef>
                </c:ext>
              </c:extLst>
              <c:f>'Vảy PET- Tháng'!$BE$3:$CD$3</c:f>
              <c:strCache>
                <c:ptCount val="2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1.26</c:v>
                </c:pt>
                <c:pt idx="25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'Vảy PET- Tháng'!$AS$9:$CN$9</c15:sqref>
                  </c15:fullRef>
                </c:ext>
              </c:extLst>
              <c:f>'Vảy PET- Tháng'!$BE$9:$CD$9</c:f>
              <c:numCache>
                <c:formatCode>_(* #,##0_);_(* \(#,##0\);_(* "-"??_);_(@_)</c:formatCode>
                <c:ptCount val="26"/>
                <c:pt idx="0">
                  <c:v>17983.907005412482</c:v>
                </c:pt>
                <c:pt idx="1">
                  <c:v>18622.996075226682</c:v>
                </c:pt>
                <c:pt idx="2">
                  <c:v>19295.576893227546</c:v>
                </c:pt>
                <c:pt idx="3">
                  <c:v>19576.984003622449</c:v>
                </c:pt>
                <c:pt idx="4">
                  <c:v>19725.621079005861</c:v>
                </c:pt>
                <c:pt idx="5">
                  <c:v>19648.514806053445</c:v>
                </c:pt>
                <c:pt idx="6">
                  <c:v>17863.337349886751</c:v>
                </c:pt>
                <c:pt idx="7">
                  <c:v>17899.536281190693</c:v>
                </c:pt>
                <c:pt idx="8">
                  <c:v>18513.416247829598</c:v>
                </c:pt>
                <c:pt idx="9">
                  <c:v>18204.855045759934</c:v>
                </c:pt>
                <c:pt idx="10">
                  <c:v>18460.148776302332</c:v>
                </c:pt>
                <c:pt idx="11">
                  <c:v>18530.381106406789</c:v>
                </c:pt>
                <c:pt idx="12">
                  <c:v>18233.789680269274</c:v>
                </c:pt>
                <c:pt idx="13">
                  <c:v>18955.246160112143</c:v>
                </c:pt>
                <c:pt idx="14">
                  <c:v>19549.832796426479</c:v>
                </c:pt>
                <c:pt idx="15">
                  <c:v>20207.22025888781</c:v>
                </c:pt>
                <c:pt idx="16">
                  <c:v>19559.257953862314</c:v>
                </c:pt>
                <c:pt idx="17">
                  <c:v>20221.371253092591</c:v>
                </c:pt>
                <c:pt idx="18">
                  <c:v>20096.025084974961</c:v>
                </c:pt>
                <c:pt idx="19">
                  <c:v>19291.318294214616</c:v>
                </c:pt>
                <c:pt idx="20">
                  <c:v>16751.835736942743</c:v>
                </c:pt>
                <c:pt idx="21">
                  <c:v>16016.425464118958</c:v>
                </c:pt>
                <c:pt idx="22">
                  <c:v>15747.968968705656</c:v>
                </c:pt>
                <c:pt idx="23">
                  <c:v>15969.32506354553</c:v>
                </c:pt>
                <c:pt idx="24">
                  <c:v>15943.94812297203</c:v>
                </c:pt>
                <c:pt idx="25">
                  <c:v>15943.94812297203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58-F4C4-464E-B64A-D398E2F9C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6016031"/>
        <c:axId val="1125990239"/>
        <c:extLst>
          <c:ext xmlns:c15="http://schemas.microsoft.com/office/drawing/2012/chart" uri="{02D57815-91ED-43cb-92C2-25804820EDAC}">
            <c15:filteredLine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'Vảy PET- Tháng'!$AR$7</c15:sqref>
                        </c15:formulaRef>
                      </c:ext>
                    </c:extLst>
                    <c:strCache>
                      <c:ptCount val="1"/>
                      <c:pt idx="0">
                        <c:v>Giá vảy ĐNA</c:v>
                      </c:pt>
                    </c:strCache>
                  </c:strRef>
                </c:tx>
                <c:spPr>
                  <a:ln w="539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5.1984926827202084E-3"/>
                        <c:y val="2.897327524869213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A-F4C4-464E-B64A-D398E2F9C7A9}"/>
                      </c:ext>
                    </c:extLst>
                  </c:dLbl>
                  <c:dLbl>
                    <c:idx val="1"/>
                    <c:delete val="1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B-F4C4-464E-B64A-D398E2F9C7A9}"/>
                      </c:ext>
                    </c:extLst>
                  </c:dLbl>
                  <c:dLbl>
                    <c:idx val="2"/>
                    <c:layout>
                      <c:manualLayout>
                        <c:x val="-2.5750911595578449E-2"/>
                        <c:y val="-2.4099024216270061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C-F4C4-464E-B64A-D398E2F9C7A9}"/>
                      </c:ext>
                    </c:extLst>
                  </c:dLbl>
                  <c:dLbl>
                    <c:idx val="3"/>
                    <c:layout>
                      <c:manualLayout>
                        <c:x val="-1.9280398298337692E-2"/>
                        <c:y val="-1.6904358543455445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5D-F4C4-464E-B64A-D398E2F9C7A9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rgbClr val="0070C0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'Vảy PET- Tháng'!$AS$3:$CN$3</c15:sqref>
                        </c15:fullRef>
                        <c15:formulaRef>
                          <c15:sqref>'Vảy PET- Tháng'!$BE$3:$CD$3</c15:sqref>
                        </c15:formulaRef>
                      </c:ext>
                    </c:extLst>
                    <c:strCache>
                      <c:ptCount val="26"/>
                      <c:pt idx="0">
                        <c:v>1.24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 6 </c:v>
                      </c:pt>
                      <c:pt idx="6">
                        <c:v> 7 </c:v>
                      </c:pt>
                      <c:pt idx="7">
                        <c:v> 8 </c:v>
                      </c:pt>
                      <c:pt idx="8">
                        <c:v> 9 </c:v>
                      </c:pt>
                      <c:pt idx="9">
                        <c:v> 10 </c:v>
                      </c:pt>
                      <c:pt idx="10">
                        <c:v> 11 </c:v>
                      </c:pt>
                      <c:pt idx="11">
                        <c:v> 12 </c:v>
                      </c:pt>
                      <c:pt idx="12">
                        <c:v> 1.25 </c:v>
                      </c:pt>
                      <c:pt idx="13">
                        <c:v> 2 </c:v>
                      </c:pt>
                      <c:pt idx="14">
                        <c:v> 3 </c:v>
                      </c:pt>
                      <c:pt idx="15">
                        <c:v> 4 </c:v>
                      </c:pt>
                      <c:pt idx="16">
                        <c:v> 5 </c:v>
                      </c:pt>
                      <c:pt idx="17">
                        <c:v> 6 </c:v>
                      </c:pt>
                      <c:pt idx="18">
                        <c:v> 7 </c:v>
                      </c:pt>
                      <c:pt idx="19">
                        <c:v> 8 </c:v>
                      </c:pt>
                      <c:pt idx="20">
                        <c:v> 9 </c:v>
                      </c:pt>
                      <c:pt idx="21">
                        <c:v> 10 </c:v>
                      </c:pt>
                      <c:pt idx="22">
                        <c:v> 11 </c:v>
                      </c:pt>
                      <c:pt idx="23">
                        <c:v> 12 </c:v>
                      </c:pt>
                      <c:pt idx="24">
                        <c:v>1.26</c:v>
                      </c:pt>
                      <c:pt idx="25">
                        <c:v> 2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'Vảy PET- Tháng'!$AS$7:$CN$7</c15:sqref>
                        </c15:fullRef>
                        <c15:formulaRef>
                          <c15:sqref>'Vảy PET- Tháng'!$BE$7:$CD$7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6"/>
                      <c:pt idx="0">
                        <c:v>21728.474999999999</c:v>
                      </c:pt>
                      <c:pt idx="1">
                        <c:v>21764.375</c:v>
                      </c:pt>
                      <c:pt idx="2">
                        <c:v>21979.775000000001</c:v>
                      </c:pt>
                      <c:pt idx="3">
                        <c:v>22406.174999999999</c:v>
                      </c:pt>
                      <c:pt idx="4">
                        <c:v>24328.625</c:v>
                      </c:pt>
                      <c:pt idx="5">
                        <c:v>25628.75</c:v>
                      </c:pt>
                      <c:pt idx="6">
                        <c:v>25143.65</c:v>
                      </c:pt>
                      <c:pt idx="7">
                        <c:v>25004.35</c:v>
                      </c:pt>
                      <c:pt idx="8">
                        <c:v>25071.599999999999</c:v>
                      </c:pt>
                      <c:pt idx="9">
                        <c:v>24898.2</c:v>
                      </c:pt>
                      <c:pt idx="10">
                        <c:v>25622.400000000001</c:v>
                      </c:pt>
                      <c:pt idx="11">
                        <c:v>25768.5</c:v>
                      </c:pt>
                      <c:pt idx="12">
                        <c:v>25922.25</c:v>
                      </c:pt>
                      <c:pt idx="13">
                        <c:v>25300.5</c:v>
                      </c:pt>
                      <c:pt idx="14">
                        <c:v>25717.5</c:v>
                      </c:pt>
                      <c:pt idx="15">
                        <c:v>25841.9</c:v>
                      </c:pt>
                      <c:pt idx="16">
                        <c:v>26256.195</c:v>
                      </c:pt>
                      <c:pt idx="17">
                        <c:v>27096.36</c:v>
                      </c:pt>
                      <c:pt idx="18">
                        <c:v>24932.448</c:v>
                      </c:pt>
                      <c:pt idx="19">
                        <c:v>23793.046875</c:v>
                      </c:pt>
                      <c:pt idx="20">
                        <c:v>21700.601999999999</c:v>
                      </c:pt>
                      <c:pt idx="21">
                        <c:v>21213.4666</c:v>
                      </c:pt>
                      <c:pt idx="22">
                        <c:v>20462.666599999997</c:v>
                      </c:pt>
                      <c:pt idx="23">
                        <c:v>19963.012500000001</c:v>
                      </c:pt>
                      <c:pt idx="24">
                        <c:v>19318.582399999999</c:v>
                      </c:pt>
                      <c:pt idx="25">
                        <c:v>19320.804799999998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5E-F4C4-464E-B64A-D398E2F9C7A9}"/>
                  </c:ext>
                </c:extLst>
              </c15:ser>
            </c15:filteredLineSeries>
            <c15:filteredLineSeries>
              <c15:ser>
                <c:idx val="9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'Vảy PET- Tháng'!$AR$13</c15:sqref>
                        </c15:formulaRef>
                      </c:ext>
                    </c:extLst>
                    <c:strCache>
                      <c:ptCount val="1"/>
                      <c:pt idx="0">
                        <c:v>Giá chính phẩm dự báo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'Vảy PET- Tháng'!$AS$3:$CN$3</c15:sqref>
                        </c15:fullRef>
                        <c15:formulaRef>
                          <c15:sqref>'Vảy PET- Tháng'!$BE$3:$CD$3</c15:sqref>
                        </c15:formulaRef>
                      </c:ext>
                    </c:extLst>
                    <c:strCache>
                      <c:ptCount val="26"/>
                      <c:pt idx="0">
                        <c:v>7</c:v>
                      </c:pt>
                      <c:pt idx="1">
                        <c:v>8</c:v>
                      </c:pt>
                      <c:pt idx="2">
                        <c:v> 9 </c:v>
                      </c:pt>
                      <c:pt idx="3">
                        <c:v> 10 </c:v>
                      </c:pt>
                      <c:pt idx="4">
                        <c:v>11</c:v>
                      </c:pt>
                      <c:pt idx="5">
                        <c:v>12</c:v>
                      </c:pt>
                      <c:pt idx="6">
                        <c:v>1.24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4</c:v>
                      </c:pt>
                      <c:pt idx="10">
                        <c:v>5</c:v>
                      </c:pt>
                      <c:pt idx="11">
                        <c:v> 6 </c:v>
                      </c:pt>
                      <c:pt idx="12">
                        <c:v> 7 </c:v>
                      </c:pt>
                      <c:pt idx="13">
                        <c:v> 8 </c:v>
                      </c:pt>
                      <c:pt idx="14">
                        <c:v> 9 </c:v>
                      </c:pt>
                      <c:pt idx="15">
                        <c:v> 10 </c:v>
                      </c:pt>
                      <c:pt idx="16">
                        <c:v> 11 </c:v>
                      </c:pt>
                      <c:pt idx="17">
                        <c:v> 12 </c:v>
                      </c:pt>
                      <c:pt idx="18">
                        <c:v> 1.25 </c:v>
                      </c:pt>
                      <c:pt idx="19">
                        <c:v> 2 </c:v>
                      </c:pt>
                      <c:pt idx="20">
                        <c:v> 3 </c:v>
                      </c:pt>
                      <c:pt idx="21">
                        <c:v> 4 </c:v>
                      </c:pt>
                      <c:pt idx="22">
                        <c:v> 5 </c:v>
                      </c:pt>
                      <c:pt idx="23">
                        <c:v> 6 </c:v>
                      </c:pt>
                      <c:pt idx="24">
                        <c:v> 7 </c:v>
                      </c:pt>
                      <c:pt idx="25">
                        <c:v> 8 </c:v>
                      </c:pt>
                      <c:pt idx="26">
                        <c:v> 9 </c:v>
                      </c:pt>
                      <c:pt idx="27">
                        <c:v> 10 </c:v>
                      </c:pt>
                      <c:pt idx="28">
                        <c:v> 11 </c:v>
                      </c:pt>
                      <c:pt idx="29">
                        <c:v> 12 </c:v>
                      </c:pt>
                      <c:pt idx="30">
                        <c:v>1.26</c:v>
                      </c:pt>
                      <c:pt idx="31">
                        <c:v> 2 </c:v>
                      </c:pt>
                      <c:pt idx="32">
                        <c:v> 3 </c:v>
                      </c:pt>
                      <c:pt idx="33">
                        <c:v> 4 </c:v>
                      </c:pt>
                      <c:pt idx="34">
                        <c:v> 5 </c:v>
                      </c:pt>
                      <c:pt idx="35">
                        <c:v> 6 </c:v>
                      </c:pt>
                      <c:pt idx="36">
                        <c:v> 7 </c:v>
                      </c:pt>
                      <c:pt idx="37">
                        <c:v> 8 </c:v>
                      </c:pt>
                      <c:pt idx="38">
                        <c:v> 9 </c:v>
                      </c:pt>
                      <c:pt idx="39">
                        <c:v> 10 </c:v>
                      </c:pt>
                      <c:pt idx="40">
                        <c:v> 11 </c:v>
                      </c:pt>
                      <c:pt idx="41">
                        <c:v> 12 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'Vảy PET- Tháng'!$AS$13:$AX$13</c15:sqref>
                        </c15:fullRef>
                        <c15:formulaRef>
                          <c15:sqref/>
                        </c15:formulaRef>
                      </c:ext>
                    </c:extLst>
                    <c:numCache>
                      <c:formatCode>_(* #,##0_);_(* \(#,##0\);_(* "-"??_);_(@_)</c:formatCode>
                      <c:ptCount val="0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5F-F4C4-464E-B64A-D398E2F9C7A9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6"/>
          <c:order val="6"/>
          <c:tx>
            <c:strRef>
              <c:f>'Vảy PET- Tháng'!$AR$10</c:f>
              <c:strCache>
                <c:ptCount val="1"/>
                <c:pt idx="0">
                  <c:v>% Keo chính phẩm so với vảy PET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'Vảy PET- Tháng'!$AS$3:$CN$3</c15:sqref>
                  </c15:fullRef>
                </c:ext>
              </c:extLst>
              <c:f>'Vảy PET- Tháng'!$BE$3:$CD$3</c:f>
              <c:strCache>
                <c:ptCount val="26"/>
                <c:pt idx="0">
                  <c:v>1.24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 6 </c:v>
                </c:pt>
                <c:pt idx="6">
                  <c:v> 7 </c:v>
                </c:pt>
                <c:pt idx="7">
                  <c:v> 8 </c:v>
                </c:pt>
                <c:pt idx="8">
                  <c:v> 9 </c:v>
                </c:pt>
                <c:pt idx="9">
                  <c:v> 10 </c:v>
                </c:pt>
                <c:pt idx="10">
                  <c:v> 11 </c:v>
                </c:pt>
                <c:pt idx="11">
                  <c:v> 12 </c:v>
                </c:pt>
                <c:pt idx="12">
                  <c:v> 1.25 </c:v>
                </c:pt>
                <c:pt idx="13">
                  <c:v> 2 </c:v>
                </c:pt>
                <c:pt idx="14">
                  <c:v> 3 </c:v>
                </c:pt>
                <c:pt idx="15">
                  <c:v> 4 </c:v>
                </c:pt>
                <c:pt idx="16">
                  <c:v> 5 </c:v>
                </c:pt>
                <c:pt idx="17">
                  <c:v> 6 </c:v>
                </c:pt>
                <c:pt idx="18">
                  <c:v> 7 </c:v>
                </c:pt>
                <c:pt idx="19">
                  <c:v> 8 </c:v>
                </c:pt>
                <c:pt idx="20">
                  <c:v> 9 </c:v>
                </c:pt>
                <c:pt idx="21">
                  <c:v> 10 </c:v>
                </c:pt>
                <c:pt idx="22">
                  <c:v> 11 </c:v>
                </c:pt>
                <c:pt idx="23">
                  <c:v> 12 </c:v>
                </c:pt>
                <c:pt idx="24">
                  <c:v>1.26</c:v>
                </c:pt>
                <c:pt idx="25">
                  <c:v> 2 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'Vảy PET- Tháng'!$AS$10:$CN$10</c15:sqref>
                  </c15:fullRef>
                </c:ext>
              </c:extLst>
              <c:f>'Vảy PET- Tháng'!$BE$10:$CD$10</c:f>
              <c:numCache>
                <c:formatCode>0%</c:formatCode>
                <c:ptCount val="26"/>
                <c:pt idx="0">
                  <c:v>0.24393922651933697</c:v>
                </c:pt>
                <c:pt idx="1">
                  <c:v>0.22944892473118284</c:v>
                </c:pt>
                <c:pt idx="2">
                  <c:v>0.218021164021164</c:v>
                </c:pt>
                <c:pt idx="3">
                  <c:v>0.20251813471502578</c:v>
                </c:pt>
                <c:pt idx="4">
                  <c:v>0.21199242424242426</c:v>
                </c:pt>
                <c:pt idx="5">
                  <c:v>0.21148989898989901</c:v>
                </c:pt>
                <c:pt idx="6">
                  <c:v>0.30906885245901639</c:v>
                </c:pt>
                <c:pt idx="7">
                  <c:v>0.27709836065573779</c:v>
                </c:pt>
                <c:pt idx="8">
                  <c:v>0.15980697050938342</c:v>
                </c:pt>
                <c:pt idx="9">
                  <c:v>0.1473365122615804</c:v>
                </c:pt>
                <c:pt idx="10">
                  <c:v>0.15375956873315366</c:v>
                </c:pt>
                <c:pt idx="11">
                  <c:v>0.12486253369272249</c:v>
                </c:pt>
                <c:pt idx="12">
                  <c:v>0.12884743935309961</c:v>
                </c:pt>
                <c:pt idx="13">
                  <c:v>0.11628647214854104</c:v>
                </c:pt>
                <c:pt idx="14">
                  <c:v>6.9268542199488525E-2</c:v>
                </c:pt>
                <c:pt idx="15">
                  <c:v>-2.858354114713213E-2</c:v>
                </c:pt>
                <c:pt idx="16">
                  <c:v>4.3879069767441825E-2</c:v>
                </c:pt>
                <c:pt idx="17">
                  <c:v>5.2801007556674939E-2</c:v>
                </c:pt>
                <c:pt idx="18">
                  <c:v>4.7246347607052819E-2</c:v>
                </c:pt>
                <c:pt idx="19">
                  <c:v>9.7816976127320876E-2</c:v>
                </c:pt>
                <c:pt idx="20">
                  <c:v>0.22993639999999993</c:v>
                </c:pt>
                <c:pt idx="21">
                  <c:v>0.2250470303030303</c:v>
                </c:pt>
                <c:pt idx="22">
                  <c:v>0.25639937499999998</c:v>
                </c:pt>
                <c:pt idx="23">
                  <c:v>0.26486956249999993</c:v>
                </c:pt>
                <c:pt idx="24">
                  <c:v>0.27190245398772994</c:v>
                </c:pt>
                <c:pt idx="25">
                  <c:v>0.27204877300613495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F4C4-464E-B64A-D398E2F9C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dropLines>
        <c:marker val="1"/>
        <c:smooth val="0"/>
        <c:axId val="1125146495"/>
        <c:axId val="1125145247"/>
        <c:extLst>
          <c:ext xmlns:c15="http://schemas.microsoft.com/office/drawing/2012/chart" uri="{02D57815-91ED-43cb-92C2-25804820EDAC}">
            <c15:filteredLineSeries>
              <c15:ser>
                <c:idx val="2"/>
                <c:order val="8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'Vảy PET- Tháng'!$AS$3:$CN$3</c15:sqref>
                        </c15:fullRef>
                        <c15:formulaRef>
                          <c15:sqref>'Vảy PET- Tháng'!$BE$3:$CD$3</c15:sqref>
                        </c15:formulaRef>
                      </c:ext>
                    </c:extLst>
                    <c:strCache>
                      <c:ptCount val="26"/>
                      <c:pt idx="0">
                        <c:v>2</c:v>
                      </c:pt>
                      <c:pt idx="1">
                        <c:v>3</c:v>
                      </c:pt>
                      <c:pt idx="2">
                        <c:v>4</c:v>
                      </c:pt>
                      <c:pt idx="3">
                        <c:v>5</c:v>
                      </c:pt>
                      <c:pt idx="4">
                        <c:v>6</c:v>
                      </c:pt>
                      <c:pt idx="5">
                        <c:v>7</c:v>
                      </c:pt>
                      <c:pt idx="6">
                        <c:v>8</c:v>
                      </c:pt>
                      <c:pt idx="7">
                        <c:v> 9 </c:v>
                      </c:pt>
                      <c:pt idx="8">
                        <c:v> 10 </c:v>
                      </c:pt>
                      <c:pt idx="9">
                        <c:v>11</c:v>
                      </c:pt>
                      <c:pt idx="10">
                        <c:v>12</c:v>
                      </c:pt>
                      <c:pt idx="11">
                        <c:v>1.24</c:v>
                      </c:pt>
                      <c:pt idx="12">
                        <c:v>2</c:v>
                      </c:pt>
                      <c:pt idx="13">
                        <c:v>3</c:v>
                      </c:pt>
                      <c:pt idx="14">
                        <c:v>4</c:v>
                      </c:pt>
                      <c:pt idx="15">
                        <c:v>5</c:v>
                      </c:pt>
                      <c:pt idx="16">
                        <c:v> 6 </c:v>
                      </c:pt>
                      <c:pt idx="17">
                        <c:v> 7 </c:v>
                      </c:pt>
                      <c:pt idx="18">
                        <c:v> 8 </c:v>
                      </c:pt>
                      <c:pt idx="19">
                        <c:v> 9 </c:v>
                      </c:pt>
                      <c:pt idx="20">
                        <c:v> 10 </c:v>
                      </c:pt>
                      <c:pt idx="21">
                        <c:v> 11 </c:v>
                      </c:pt>
                      <c:pt idx="22">
                        <c:v> 12 </c:v>
                      </c:pt>
                      <c:pt idx="23">
                        <c:v> 1.25 </c:v>
                      </c:pt>
                      <c:pt idx="24">
                        <c:v> 2 </c:v>
                      </c:pt>
                      <c:pt idx="25">
                        <c:v> 3 </c:v>
                      </c:pt>
                      <c:pt idx="26">
                        <c:v> 4 </c:v>
                      </c:pt>
                      <c:pt idx="27">
                        <c:v> 5 </c:v>
                      </c:pt>
                      <c:pt idx="28">
                        <c:v> 6 </c:v>
                      </c:pt>
                      <c:pt idx="29">
                        <c:v> 7 </c:v>
                      </c:pt>
                      <c:pt idx="30">
                        <c:v> 8 </c:v>
                      </c:pt>
                      <c:pt idx="31">
                        <c:v> 9 </c:v>
                      </c:pt>
                      <c:pt idx="32">
                        <c:v> 10 </c:v>
                      </c:pt>
                      <c:pt idx="33">
                        <c:v> 11 </c:v>
                      </c:pt>
                      <c:pt idx="34">
                        <c:v> 12 </c:v>
                      </c:pt>
                      <c:pt idx="35">
                        <c:v>1.26</c:v>
                      </c:pt>
                      <c:pt idx="36">
                        <c:v> 2 </c:v>
                      </c:pt>
                      <c:pt idx="37">
                        <c:v> 3 </c:v>
                      </c:pt>
                      <c:pt idx="38">
                        <c:v> 4 </c:v>
                      </c:pt>
                      <c:pt idx="39">
                        <c:v> 5 </c:v>
                      </c:pt>
                      <c:pt idx="40">
                        <c:v> 6 </c:v>
                      </c:pt>
                      <c:pt idx="41">
                        <c:v> 7 </c:v>
                      </c:pt>
                      <c:pt idx="42">
                        <c:v> 8 </c:v>
                      </c:pt>
                      <c:pt idx="43">
                        <c:v> 9 </c:v>
                      </c:pt>
                      <c:pt idx="44">
                        <c:v> 10 </c:v>
                      </c:pt>
                      <c:pt idx="45">
                        <c:v> 11 </c:v>
                      </c:pt>
                      <c:pt idx="46">
                        <c:v> 12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[2]Vảy!$J$20</c15:sqref>
                        </c15:fullRef>
                        <c15:formulaRef>
                          <c15:sqref/>
                        </c15:formulaRef>
                      </c:ext>
                    </c:extLst>
                    <c:numCache>
                      <c:formatCode>General</c:formatCode>
                      <c:ptCount val="0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60-F4C4-464E-B64A-D398E2F9C7A9}"/>
                  </c:ext>
                </c:extLst>
              </c15:ser>
            </c15:filteredLineSeries>
          </c:ext>
        </c:extLst>
      </c:lineChart>
      <c:catAx>
        <c:axId val="112601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5990239"/>
        <c:crosses val="autoZero"/>
        <c:auto val="1"/>
        <c:lblAlgn val="ctr"/>
        <c:lblOffset val="100"/>
        <c:noMultiLvlLbl val="0"/>
      </c:catAx>
      <c:valAx>
        <c:axId val="1125990239"/>
        <c:scaling>
          <c:orientation val="minMax"/>
          <c:max val="25000"/>
          <c:min val="1500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26016031"/>
        <c:crosses val="autoZero"/>
        <c:crossBetween val="between"/>
        <c:majorUnit val="5000"/>
      </c:valAx>
      <c:valAx>
        <c:axId val="1125145247"/>
        <c:scaling>
          <c:orientation val="minMax"/>
          <c:max val="1"/>
          <c:min val="0"/>
        </c:scaling>
        <c:delete val="1"/>
        <c:axPos val="r"/>
        <c:numFmt formatCode="0%" sourceLinked="0"/>
        <c:majorTickMark val="none"/>
        <c:minorTickMark val="none"/>
        <c:tickLblPos val="nextTo"/>
        <c:crossAx val="1125146495"/>
        <c:crosses val="max"/>
        <c:crossBetween val="between"/>
      </c:valAx>
      <c:catAx>
        <c:axId val="11251464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2514524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3399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88793673547563312"/>
          <c:y val="0.26194697988440774"/>
          <c:w val="0.11206326452436689"/>
          <c:h val="0.513128993160172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</xdr:colOff>
      <xdr:row>42</xdr:row>
      <xdr:rowOff>41955</xdr:rowOff>
    </xdr:from>
    <xdr:to>
      <xdr:col>36</xdr:col>
      <xdr:colOff>166687</xdr:colOff>
      <xdr:row>72</xdr:row>
      <xdr:rowOff>95251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7B53DFE5-079D-455A-B410-4F20B44E5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36</xdr:col>
      <xdr:colOff>173105</xdr:colOff>
      <xdr:row>35</xdr:row>
      <xdr:rowOff>92937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707DD2-9F1A-4845-BF31-25B4BC12E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300" y="0"/>
          <a:ext cx="14644755" cy="5585687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0.00295</cdr:x>
      <cdr:y>0.9313</cdr:y>
    </cdr:from>
    <cdr:to>
      <cdr:x>0.05189</cdr:x>
      <cdr:y>0.97424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255B169B-6325-451E-1803-EEC43162907A}"/>
            </a:ext>
          </a:extLst>
        </cdr:cNvPr>
        <cdr:cNvSpPr txBox="1"/>
      </cdr:nvSpPr>
      <cdr:spPr>
        <a:xfrm xmlns:a="http://schemas.openxmlformats.org/drawingml/2006/main">
          <a:off x="43320" y="5165045"/>
          <a:ext cx="718682" cy="23813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300" b="1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Tháng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BI\Di&#7877;m%20BI\DTR-giamua.xlsx" TargetMode="External"/><Relationship Id="rId1" Type="http://schemas.openxmlformats.org/officeDocument/2006/relationships/externalLinkPath" Target="file:///C:\Data\BI\Di&#7877;m%20BI\DTR-giamua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nguyenthithanhdiem_duytanrecycling_com/Documents/DI&#7876;M/B&#193;O%20C&#193;O%202024/T&#205;NH%20GI&#193;%20MUA%20NL%202024/T&#237;nh%20gi&#225;%20mua%20NL%20T5.24.xlsx" TargetMode="External"/><Relationship Id="rId2" Type="http://schemas.openxmlformats.org/officeDocument/2006/relationships/externalLinkPath" Target="https://dtg-my.sharepoint.com/personal/nguyenthithanhdiem_duytanrecycling_com/Documents/DI&#7876;M/B&#193;O%20C&#193;O%202024/T&#205;NH%20GI&#193;%20MUA%20NL%202024/T&#237;nh%20gi&#225;%20mua%20NL%20T5.24.xlsx" TargetMode="External"/><Relationship Id="rId1" Type="http://schemas.openxmlformats.org/officeDocument/2006/relationships/externalLinkPath" Target="/personal/nguyenthithanhdiem_duytanrecycling_com/Documents/DI&#7876;M/B&#193;O%20C&#193;O%202024/T&#205;NH%20GI&#193;%20MUA%20NL%202024/T&#237;nh%20gi&#225;%20mua%20NL%20T5.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Phong%20Kinh%20Te\LUC\EXCEL\Th&#199;u\Du%20thau%20Y&#170;n%20Minh%20-%20H&#181;%20Gian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LVTD\MSOffice\EXCEL\LUC\DT%20DZ%2022+TBA%2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LVTD\MSOffice\EXCEL\LUC\HY3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My%20Documents\BANG%20LUONG2%20-%20THANH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KARUNA\SCORE200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Gia%20dinh\DUTOA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TOANWB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DUTOAN1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Ln-01/Tc-01/6-01.xls" TargetMode="External"/><Relationship Id="rId1" Type="http://schemas.openxmlformats.org/officeDocument/2006/relationships/externalLinkPath" Target="/Ln-01/Tc-01/6-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\DAUTHAU\Dungquat\GOI3\DUNGQUAT-6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ompote\G\00_AOP%202005_Sales\AOP%202005_Sales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Planning/AOP2005/CCR/CCR%20Templates/CCRexec_05.xls" TargetMode="External"/><Relationship Id="rId1" Type="http://schemas.openxmlformats.org/officeDocument/2006/relationships/externalLinkPath" Target="/Planning/AOP2005/CCR/CCR%20Templates/CCRexec_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KT%20NOI%20BO\MSOFFICE\EXCEL\DT107TD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Manufacturing/MOH2005-Center/R3-Sep20-04/CCRptprd_05.xls" TargetMode="External"/><Relationship Id="rId1" Type="http://schemas.openxmlformats.org/officeDocument/2006/relationships/externalLinkPath" Target="/Manufacturing/MOH2005-Center/R3-Sep20-04/CCRptprd_0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TVT\PTHO\Duye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THAU\LONGAN\THUY\THAU\CTRINH\G-PB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ng_acct\Database\LTP%2005-revised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PhaseForms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ornlada_Data\O%20pornlada\Budget\Tech%20AOP%20Presentation%202005\TSS%20Proj%20Fact%20Sht%202004%2015-08-07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Pornlada_Data/O%20pornlada/Budget/Tech%20AOP%20Presentation%202005/TSS%20Proj%20Fact%20Sht%202004%2015-08-07.xls" TargetMode="External"/><Relationship Id="rId1" Type="http://schemas.openxmlformats.org/officeDocument/2006/relationships/externalLinkPath" Target="/Pornlada_Data/O%20pornlada/Budget/Tech%20AOP%20Presentation%202005/TSS%20Proj%20Fact%20Sht%202004%2015-08-07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HOAITHUONG\BAO%20CAO%20XNT%20CK%2010\LE_HUONG\UNC_GIAY%20NHAN%20NO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DT-DLUC\TAN-PHU\K-99HDuc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ng_acct\Transit\_Laundry\Fab%20Cons\Thu%20Huong\CF%20dilute%20reformulatio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SD\P3(Qg-Bao)\Kiemtra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Pornlada_Data/O%20pornlada/Budget/Actual%202007/Tracking%20Link/AOP%202007/Lab%20budget%202007%20BKK-link.xls" TargetMode="External"/><Relationship Id="rId1" Type="http://schemas.openxmlformats.org/officeDocument/2006/relationships/externalLinkPath" Target="/Pornlada_Data/O%20pornlada/Budget/Actual%202007/Tracking%20Link/AOP%202007/Lab%20budget%202007%20BKK-link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T-DLUC\TAN-PHU\TAN-BINH\KL-TBINW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ng\daitu\KHANH\KYTHUAT\NAM99\OLTC\CANHAN\MUNG\THOP95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MOH2004-Center\MOH04-R1-Sep09'03\CCRptpp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MOH2004-Center/MOH04-R1-Sep09'03/CCRptpp.xls" TargetMode="External"/><Relationship Id="rId1" Type="http://schemas.openxmlformats.org/officeDocument/2006/relationships/externalLinkPath" Target="/MOH2004-Center/MOH04-R1-Sep09'03/CCRptpp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pdt$\PLANNING\2003\Cost\Cost_stru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S3408\Standard\RPT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Planning/AOP2005/CCR/CCR%20Templates/SD/CCRsatm_05.xls" TargetMode="External"/><Relationship Id="rId1" Type="http://schemas.openxmlformats.org/officeDocument/2006/relationships/externalLinkPath" Target="/Planning/AOP2005/CCR/CCR%20Templates/SD/CCRsatm_05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lanning\AOP2005\CCR\CCR%20Templates\CCRexec_05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tlpnnt01\manufacturing$\PLANNING\AOP2003\iop2003\CCR\CCRptprd-Kanish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~1\VTDKHO~1.VIN\LOCALS~1\Temp\Rar$DI00.375\THANHTHAO\Thang%20KT%202001\Ho%20so%20thau\Du%20thau%20Huu%20Lung%20-%20Lang%20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guyên tắc trình bày"/>
      <sheetName val="Vảy PET- Tháng (2)"/>
      <sheetName val="Chai B1- Tháng"/>
      <sheetName val="Chart B1_Tuần"/>
      <sheetName val="Chai B1- Tháng - Danh"/>
      <sheetName val="Vảy PET- Tháng"/>
      <sheetName val="Vảy PET- Tháng  - Danh"/>
      <sheetName val="HDPE- Tháng"/>
      <sheetName val="Chart Vảy PET_Tuần"/>
      <sheetName val="Chart HDPE_Tuần"/>
      <sheetName val="PP- Tháng"/>
      <sheetName val="Chart PP- Tuần"/>
      <sheetName val="Giá mua thực tế PET"/>
      <sheetName val="Giá duyệt PET"/>
      <sheetName val="Giá duyệt HDPE"/>
      <sheetName val="Giá mua_T6"/>
      <sheetName val="Giá mua-ngày"/>
      <sheetName val="Giá mua_Tuần"/>
      <sheetName val="Table_ngày"/>
      <sheetName val="Table tháng-PET"/>
      <sheetName val="Table tháng- HDPE"/>
      <sheetName val="Table tháng- PP"/>
      <sheetName val="Giá nguyên liệu 2021"/>
    </sheetNames>
    <sheetDataSet>
      <sheetData sheetId="0"/>
      <sheetData sheetId="1">
        <row r="3">
          <cell r="AS3" t="str">
            <v>1.23</v>
          </cell>
          <cell r="AT3">
            <v>2</v>
          </cell>
          <cell r="AU3">
            <v>3</v>
          </cell>
          <cell r="AV3">
            <v>4</v>
          </cell>
          <cell r="AW3">
            <v>5</v>
          </cell>
          <cell r="AX3">
            <v>6</v>
          </cell>
          <cell r="AY3">
            <v>7</v>
          </cell>
          <cell r="AZ3">
            <v>8</v>
          </cell>
          <cell r="BA3">
            <v>9</v>
          </cell>
          <cell r="BB3">
            <v>10</v>
          </cell>
          <cell r="BC3">
            <v>11</v>
          </cell>
          <cell r="BD3">
            <v>12</v>
          </cell>
          <cell r="BE3" t="str">
            <v>1.24</v>
          </cell>
          <cell r="BF3">
            <v>2</v>
          </cell>
          <cell r="BG3">
            <v>3</v>
          </cell>
          <cell r="BH3">
            <v>4</v>
          </cell>
          <cell r="BI3">
            <v>5</v>
          </cell>
          <cell r="BJ3">
            <v>6</v>
          </cell>
          <cell r="BK3">
            <v>7</v>
          </cell>
          <cell r="BL3">
            <v>8</v>
          </cell>
          <cell r="BM3">
            <v>9</v>
          </cell>
          <cell r="BN3">
            <v>10</v>
          </cell>
          <cell r="BO3">
            <v>11</v>
          </cell>
          <cell r="BP3">
            <v>12</v>
          </cell>
          <cell r="BQ3" t="str">
            <v>1.25</v>
          </cell>
          <cell r="BR3">
            <v>2</v>
          </cell>
          <cell r="BS3">
            <v>3</v>
          </cell>
          <cell r="BT3">
            <v>4</v>
          </cell>
          <cell r="BU3">
            <v>5</v>
          </cell>
          <cell r="BV3">
            <v>6</v>
          </cell>
          <cell r="BW3">
            <v>7</v>
          </cell>
          <cell r="BX3">
            <v>8</v>
          </cell>
          <cell r="BY3">
            <v>9</v>
          </cell>
          <cell r="BZ3">
            <v>10</v>
          </cell>
          <cell r="CA3">
            <v>11</v>
          </cell>
          <cell r="CB3">
            <v>12</v>
          </cell>
          <cell r="CC3">
            <v>1.26</v>
          </cell>
          <cell r="CD3">
            <v>2</v>
          </cell>
          <cell r="CE3">
            <v>3</v>
          </cell>
          <cell r="CF3">
            <v>4</v>
          </cell>
          <cell r="CG3">
            <v>5</v>
          </cell>
          <cell r="CH3">
            <v>6</v>
          </cell>
          <cell r="CI3">
            <v>7</v>
          </cell>
          <cell r="CJ3">
            <v>8</v>
          </cell>
          <cell r="CK3">
            <v>9</v>
          </cell>
          <cell r="CL3">
            <v>10</v>
          </cell>
          <cell r="CM3">
            <v>11</v>
          </cell>
          <cell r="CN3">
            <v>12</v>
          </cell>
        </row>
        <row r="5">
          <cell r="AR5" t="str">
            <v>Giá keo chính phẩm</v>
          </cell>
          <cell r="AS5">
            <v>23250</v>
          </cell>
          <cell r="AT5">
            <v>24630.65</v>
          </cell>
          <cell r="AU5">
            <v>23725.200000000001</v>
          </cell>
          <cell r="AV5">
            <v>24539.3</v>
          </cell>
          <cell r="AW5">
            <v>22689.33</v>
          </cell>
          <cell r="AX5">
            <v>20880.349999999999</v>
          </cell>
          <cell r="AY5">
            <v>21112.14</v>
          </cell>
          <cell r="AZ5">
            <v>21885.119999999999</v>
          </cell>
          <cell r="BA5">
            <v>22282.799999999999</v>
          </cell>
          <cell r="BB5">
            <v>22398.3</v>
          </cell>
          <cell r="BC5">
            <v>22257</v>
          </cell>
          <cell r="BD5">
            <v>22437</v>
          </cell>
          <cell r="BE5">
            <v>22515.3</v>
          </cell>
          <cell r="BF5">
            <v>22867.75</v>
          </cell>
          <cell r="BG5">
            <v>23020.6</v>
          </cell>
          <cell r="BH5">
            <v>23208.6</v>
          </cell>
          <cell r="BI5">
            <v>23997.45</v>
          </cell>
          <cell r="BJ5">
            <v>23987.5</v>
          </cell>
          <cell r="BK5">
            <v>23955.96</v>
          </cell>
          <cell r="BL5">
            <v>23370.9</v>
          </cell>
          <cell r="BM5">
            <v>21630.400000000001</v>
          </cell>
          <cell r="BN5">
            <v>21053.625</v>
          </cell>
          <cell r="BO5">
            <v>21402.240000000002</v>
          </cell>
          <cell r="BP5">
            <v>20866.2</v>
          </cell>
          <cell r="BQ5">
            <v>20940.12</v>
          </cell>
          <cell r="BR5">
            <v>21042</v>
          </cell>
          <cell r="BS5">
            <v>20904.2</v>
          </cell>
          <cell r="BT5">
            <v>19476.900000000001</v>
          </cell>
          <cell r="BU5">
            <v>20199.060000000001</v>
          </cell>
          <cell r="BV5">
            <v>20898.099999999999</v>
          </cell>
          <cell r="BW5">
            <v>20787.84</v>
          </cell>
          <cell r="BX5">
            <v>20693.849999999999</v>
          </cell>
          <cell r="BY5">
            <v>20498.939999999999</v>
          </cell>
          <cell r="BZ5">
            <v>20213.276000000002</v>
          </cell>
          <cell r="CA5">
            <v>20102.39</v>
          </cell>
          <cell r="CB5">
            <v>20237.913</v>
          </cell>
          <cell r="CC5">
            <v>20732.009999999998</v>
          </cell>
          <cell r="CD5">
            <v>20734.395</v>
          </cell>
        </row>
        <row r="6">
          <cell r="AR6" t="str">
            <v>Giá duyệt mua vảy PET</v>
          </cell>
          <cell r="AS6">
            <v>17500</v>
          </cell>
          <cell r="AT6">
            <v>17500</v>
          </cell>
          <cell r="AU6">
            <v>18500</v>
          </cell>
          <cell r="AV6">
            <v>18500</v>
          </cell>
          <cell r="AW6">
            <v>18500</v>
          </cell>
          <cell r="AX6">
            <v>17500</v>
          </cell>
          <cell r="AY6">
            <v>16000</v>
          </cell>
          <cell r="AZ6">
            <v>16000</v>
          </cell>
          <cell r="BA6">
            <v>16500</v>
          </cell>
          <cell r="BB6">
            <v>17500</v>
          </cell>
          <cell r="BC6">
            <v>18100</v>
          </cell>
          <cell r="BD6">
            <v>18100</v>
          </cell>
          <cell r="BE6">
            <v>18100</v>
          </cell>
          <cell r="BF6">
            <v>18600</v>
          </cell>
          <cell r="BG6">
            <v>18900</v>
          </cell>
          <cell r="BH6">
            <v>19300</v>
          </cell>
          <cell r="BI6">
            <v>19800</v>
          </cell>
          <cell r="BJ6">
            <v>19800</v>
          </cell>
          <cell r="BK6">
            <v>18300</v>
          </cell>
          <cell r="BL6">
            <v>18300</v>
          </cell>
          <cell r="BM6">
            <v>18650</v>
          </cell>
          <cell r="BN6">
            <v>18350</v>
          </cell>
          <cell r="BO6">
            <v>18550</v>
          </cell>
          <cell r="BP6">
            <v>18550</v>
          </cell>
          <cell r="BQ6">
            <v>18550</v>
          </cell>
          <cell r="BR6">
            <v>18850</v>
          </cell>
          <cell r="BS6">
            <v>19550</v>
          </cell>
          <cell r="BT6">
            <v>20050</v>
          </cell>
          <cell r="BU6">
            <v>19350</v>
          </cell>
          <cell r="BV6">
            <v>19850</v>
          </cell>
          <cell r="BW6">
            <v>19850</v>
          </cell>
          <cell r="BX6">
            <v>18850</v>
          </cell>
          <cell r="BY6">
            <v>16666.666666666668</v>
          </cell>
          <cell r="BZ6">
            <v>16500</v>
          </cell>
          <cell r="CA6">
            <v>16000</v>
          </cell>
          <cell r="CB6">
            <v>16000</v>
          </cell>
          <cell r="CC6">
            <v>16300</v>
          </cell>
          <cell r="CD6">
            <v>16300</v>
          </cell>
        </row>
        <row r="7">
          <cell r="AR7" t="str">
            <v>Giá vảy ĐNA</v>
          </cell>
          <cell r="AS7">
            <v>22227</v>
          </cell>
          <cell r="AT7">
            <v>22462.21</v>
          </cell>
          <cell r="AU7">
            <v>21980.7</v>
          </cell>
          <cell r="AV7">
            <v>21282.9</v>
          </cell>
          <cell r="AW7">
            <v>20336.535</v>
          </cell>
          <cell r="AX7">
            <v>19958.814999999999</v>
          </cell>
          <cell r="AY7">
            <v>20001.59</v>
          </cell>
          <cell r="AZ7">
            <v>21587.119999999999</v>
          </cell>
          <cell r="BA7">
            <v>21156.68</v>
          </cell>
          <cell r="BB7">
            <v>21269.279999999999</v>
          </cell>
          <cell r="BC7">
            <v>22071.525000000001</v>
          </cell>
          <cell r="BD7">
            <v>22250.025000000001</v>
          </cell>
          <cell r="BE7">
            <v>21728.474999999999</v>
          </cell>
          <cell r="BF7">
            <v>21764.375</v>
          </cell>
          <cell r="BG7">
            <v>21979.775000000001</v>
          </cell>
          <cell r="BH7">
            <v>22406.174999999999</v>
          </cell>
          <cell r="BI7">
            <v>24328.625</v>
          </cell>
          <cell r="BJ7">
            <v>25628.75</v>
          </cell>
          <cell r="BK7">
            <v>25143.65</v>
          </cell>
          <cell r="BL7">
            <v>25004.35</v>
          </cell>
          <cell r="BM7">
            <v>25071.599999999999</v>
          </cell>
          <cell r="BN7">
            <v>24898.2</v>
          </cell>
          <cell r="BO7">
            <v>25622.400000000001</v>
          </cell>
          <cell r="BP7">
            <v>25768.5</v>
          </cell>
          <cell r="BQ7">
            <v>25922.25</v>
          </cell>
          <cell r="BR7">
            <v>25300.5</v>
          </cell>
          <cell r="BS7">
            <v>25717.5</v>
          </cell>
          <cell r="BT7">
            <v>25841.9</v>
          </cell>
          <cell r="BU7">
            <v>26256.195</v>
          </cell>
          <cell r="BV7">
            <v>27096.36</v>
          </cell>
          <cell r="BW7">
            <v>24932.448</v>
          </cell>
          <cell r="BX7">
            <v>23793.046875</v>
          </cell>
          <cell r="BY7">
            <v>21700.601999999999</v>
          </cell>
          <cell r="BZ7">
            <v>21213.4666</v>
          </cell>
          <cell r="CA7">
            <v>20462.666599999997</v>
          </cell>
          <cell r="CB7">
            <v>19963.012500000001</v>
          </cell>
          <cell r="CC7">
            <v>19318.582399999999</v>
          </cell>
          <cell r="CD7">
            <v>19320.804799999998</v>
          </cell>
        </row>
        <row r="8">
          <cell r="AR8" t="str">
            <v>Giá vảy thể hiện</v>
          </cell>
          <cell r="AS8">
            <v>17500</v>
          </cell>
          <cell r="AT8">
            <v>17500</v>
          </cell>
          <cell r="AU8">
            <v>18500</v>
          </cell>
          <cell r="AV8">
            <v>18500</v>
          </cell>
          <cell r="AW8">
            <v>18500</v>
          </cell>
          <cell r="AX8">
            <v>17500</v>
          </cell>
          <cell r="AY8">
            <v>16000</v>
          </cell>
          <cell r="AZ8">
            <v>16000</v>
          </cell>
          <cell r="BA8">
            <v>16500</v>
          </cell>
          <cell r="BB8">
            <v>17500</v>
          </cell>
          <cell r="BC8">
            <v>18100</v>
          </cell>
          <cell r="BD8">
            <v>18100</v>
          </cell>
          <cell r="BE8">
            <v>18100</v>
          </cell>
          <cell r="BF8">
            <v>18600</v>
          </cell>
          <cell r="BG8">
            <v>18900</v>
          </cell>
          <cell r="BH8">
            <v>19300</v>
          </cell>
          <cell r="BI8">
            <v>19800</v>
          </cell>
          <cell r="BJ8">
            <v>19800</v>
          </cell>
          <cell r="BK8">
            <v>18300</v>
          </cell>
          <cell r="BL8">
            <v>18300</v>
          </cell>
          <cell r="BM8">
            <v>18650</v>
          </cell>
          <cell r="BN8">
            <v>18350</v>
          </cell>
          <cell r="BO8">
            <v>18550</v>
          </cell>
          <cell r="BP8">
            <v>18550</v>
          </cell>
          <cell r="BQ8">
            <v>18550</v>
          </cell>
          <cell r="BR8">
            <v>18850</v>
          </cell>
          <cell r="BS8">
            <v>19550</v>
          </cell>
          <cell r="BT8">
            <v>20050</v>
          </cell>
          <cell r="BU8">
            <v>19350</v>
          </cell>
          <cell r="BV8">
            <v>19850</v>
          </cell>
          <cell r="BW8">
            <v>19850</v>
          </cell>
          <cell r="BX8">
            <v>18850</v>
          </cell>
          <cell r="BY8">
            <v>16666.666666666668</v>
          </cell>
          <cell r="BZ8">
            <v>16500</v>
          </cell>
          <cell r="CA8">
            <v>16000</v>
          </cell>
          <cell r="CB8">
            <v>16000</v>
          </cell>
          <cell r="CC8">
            <v>16300</v>
          </cell>
          <cell r="CD8">
            <v>16300</v>
          </cell>
        </row>
        <row r="9">
          <cell r="AR9" t="str">
            <v>Giá vảy PET B1 thực tế mua trung bình</v>
          </cell>
          <cell r="AS9">
            <v>17112</v>
          </cell>
          <cell r="AT9">
            <v>17235</v>
          </cell>
          <cell r="AU9">
            <v>17583</v>
          </cell>
          <cell r="AV9">
            <v>17672</v>
          </cell>
          <cell r="AW9">
            <v>17728</v>
          </cell>
          <cell r="AX9">
            <v>16972.599999999999</v>
          </cell>
          <cell r="AY9">
            <v>15973.53940270698</v>
          </cell>
          <cell r="AZ9">
            <v>15985.320314636492</v>
          </cell>
          <cell r="BA9">
            <v>16507.339197056153</v>
          </cell>
          <cell r="BB9">
            <v>16955.713321902564</v>
          </cell>
          <cell r="BC9">
            <v>18100</v>
          </cell>
          <cell r="BD9">
            <v>18100</v>
          </cell>
          <cell r="BE9">
            <v>17983.907005412482</v>
          </cell>
          <cell r="BF9">
            <v>18622.996075226682</v>
          </cell>
          <cell r="BG9">
            <v>19295.576893227546</v>
          </cell>
          <cell r="BH9">
            <v>19576.984003622449</v>
          </cell>
          <cell r="BI9">
            <v>19725.621079005861</v>
          </cell>
          <cell r="BJ9">
            <v>19648.514806053445</v>
          </cell>
          <cell r="BK9">
            <v>17863.337349886751</v>
          </cell>
          <cell r="BL9">
            <v>17899.536281190693</v>
          </cell>
          <cell r="BM9">
            <v>18513.416247829598</v>
          </cell>
          <cell r="BN9">
            <v>18204.855045759934</v>
          </cell>
          <cell r="BO9">
            <v>18460.148776302332</v>
          </cell>
          <cell r="BP9">
            <v>18530.381106406789</v>
          </cell>
          <cell r="BQ9">
            <v>18233.789680269274</v>
          </cell>
          <cell r="BR9">
            <v>18955.246160112143</v>
          </cell>
          <cell r="BS9">
            <v>19549.832796426479</v>
          </cell>
          <cell r="BT9">
            <v>20207.22025888781</v>
          </cell>
          <cell r="BU9">
            <v>19559.257953862314</v>
          </cell>
          <cell r="BV9">
            <v>20221.371253092591</v>
          </cell>
          <cell r="BW9">
            <v>20096.025084974961</v>
          </cell>
          <cell r="BX9">
            <v>19291.318294214616</v>
          </cell>
          <cell r="BY9">
            <v>16751.835736942743</v>
          </cell>
          <cell r="BZ9">
            <v>16016.425464118958</v>
          </cell>
          <cell r="CA9">
            <v>15747.968968705656</v>
          </cell>
          <cell r="CB9">
            <v>15969.32506354553</v>
          </cell>
          <cell r="CC9">
            <v>15943.94812297203</v>
          </cell>
          <cell r="CD9">
            <v>15943.94812297203</v>
          </cell>
        </row>
        <row r="10">
          <cell r="AR10" t="str">
            <v>% Keo chính phẩm so với vảy PET</v>
          </cell>
          <cell r="AS10">
            <v>0.32857142857142851</v>
          </cell>
          <cell r="AT10">
            <v>0.40746571428571432</v>
          </cell>
          <cell r="AU10">
            <v>0.28244324324324332</v>
          </cell>
          <cell r="AV10">
            <v>0.32644864864864864</v>
          </cell>
          <cell r="AW10">
            <v>0.22645027027027043</v>
          </cell>
          <cell r="AX10">
            <v>0.19316285714285697</v>
          </cell>
          <cell r="AY10">
            <v>0.31950875000000001</v>
          </cell>
          <cell r="AZ10">
            <v>0.36782000000000004</v>
          </cell>
          <cell r="BA10">
            <v>0.35047272727272727</v>
          </cell>
          <cell r="BB10">
            <v>0.27990285714285701</v>
          </cell>
          <cell r="BC10">
            <v>0.22966850828729291</v>
          </cell>
          <cell r="BD10">
            <v>0.23961325966850833</v>
          </cell>
          <cell r="BE10">
            <v>0.24393922651933697</v>
          </cell>
          <cell r="BF10">
            <v>0.22944892473118284</v>
          </cell>
          <cell r="BG10">
            <v>0.218021164021164</v>
          </cell>
          <cell r="BH10">
            <v>0.20251813471502578</v>
          </cell>
          <cell r="BI10">
            <v>0.21199242424242426</v>
          </cell>
          <cell r="BJ10">
            <v>0.21148989898989901</v>
          </cell>
          <cell r="BK10">
            <v>0.30906885245901639</v>
          </cell>
          <cell r="BL10">
            <v>0.27709836065573779</v>
          </cell>
          <cell r="BM10">
            <v>0.15980697050938342</v>
          </cell>
          <cell r="BN10">
            <v>0.1473365122615804</v>
          </cell>
          <cell r="BO10">
            <v>0.15375956873315366</v>
          </cell>
          <cell r="BP10">
            <v>0.12486253369272249</v>
          </cell>
          <cell r="BQ10">
            <v>0.12884743935309961</v>
          </cell>
          <cell r="BR10">
            <v>0.11628647214854104</v>
          </cell>
          <cell r="BS10">
            <v>6.9268542199488525E-2</v>
          </cell>
          <cell r="BT10">
            <v>-2.858354114713213E-2</v>
          </cell>
          <cell r="BU10">
            <v>4.3879069767441825E-2</v>
          </cell>
          <cell r="BV10">
            <v>5.2801007556674939E-2</v>
          </cell>
          <cell r="BW10">
            <v>4.7246347607052819E-2</v>
          </cell>
          <cell r="BX10">
            <v>9.7816976127320876E-2</v>
          </cell>
          <cell r="BY10">
            <v>0.22993639999999993</v>
          </cell>
          <cell r="BZ10">
            <v>0.2250470303030303</v>
          </cell>
          <cell r="CA10">
            <v>0.25639937499999998</v>
          </cell>
          <cell r="CB10">
            <v>0.26486956249999993</v>
          </cell>
          <cell r="CC10">
            <v>0.27190245398772994</v>
          </cell>
          <cell r="CD10">
            <v>0.27204877300613495</v>
          </cell>
        </row>
        <row r="11">
          <cell r="AR11" t="str">
            <v>Chênh lệch</v>
          </cell>
          <cell r="AS11">
            <v>5750</v>
          </cell>
          <cell r="AT11">
            <v>7130.6500000000015</v>
          </cell>
          <cell r="AU11">
            <v>5225.2000000000007</v>
          </cell>
          <cell r="AV11">
            <v>6039.2999999999993</v>
          </cell>
          <cell r="AW11">
            <v>4189.3300000000017</v>
          </cell>
          <cell r="AX11">
            <v>3380.3499999999985</v>
          </cell>
          <cell r="AY11">
            <v>5112.1399999999994</v>
          </cell>
          <cell r="AZ11">
            <v>5885.119999999999</v>
          </cell>
          <cell r="BA11">
            <v>5782.7999999999993</v>
          </cell>
          <cell r="BB11">
            <v>4898.2999999999993</v>
          </cell>
          <cell r="BC11">
            <v>4157</v>
          </cell>
          <cell r="BD11">
            <v>4337</v>
          </cell>
          <cell r="BE11">
            <v>4415.2999999999993</v>
          </cell>
          <cell r="BF11">
            <v>4267.75</v>
          </cell>
          <cell r="BG11">
            <v>4120.5999999999985</v>
          </cell>
          <cell r="BH11">
            <v>3908.5999999999985</v>
          </cell>
          <cell r="BI11">
            <v>4197.4500000000007</v>
          </cell>
          <cell r="BJ11">
            <v>4187.5</v>
          </cell>
          <cell r="BK11">
            <v>5655.9599999999991</v>
          </cell>
          <cell r="BL11">
            <v>5070.9000000000015</v>
          </cell>
          <cell r="BM11">
            <v>2980.4000000000015</v>
          </cell>
          <cell r="BN11">
            <v>2703.625</v>
          </cell>
          <cell r="BO11">
            <v>2852.2400000000016</v>
          </cell>
          <cell r="BP11">
            <v>2316.2000000000007</v>
          </cell>
          <cell r="BQ11">
            <v>2390.119999999999</v>
          </cell>
          <cell r="BR11">
            <v>2192</v>
          </cell>
          <cell r="BS11">
            <v>1354.2000000000007</v>
          </cell>
          <cell r="BT11">
            <v>-573.09999999999854</v>
          </cell>
          <cell r="BU11">
            <v>849.06000000000131</v>
          </cell>
          <cell r="BV11">
            <v>1048.0999999999985</v>
          </cell>
          <cell r="BW11">
            <v>937.84000000000015</v>
          </cell>
          <cell r="BX11">
            <v>1843.8499999999985</v>
          </cell>
          <cell r="BY11">
            <v>3832.2733333333308</v>
          </cell>
          <cell r="BZ11">
            <v>3713.2760000000017</v>
          </cell>
          <cell r="CA11">
            <v>4102.3899999999994</v>
          </cell>
          <cell r="CB11">
            <v>4237.9130000000005</v>
          </cell>
          <cell r="CC11">
            <v>4432.0099999999984</v>
          </cell>
          <cell r="CD11">
            <v>4434.3950000000004</v>
          </cell>
        </row>
        <row r="13">
          <cell r="AR13" t="str">
            <v>Giá chính phẩm dự báo</v>
          </cell>
          <cell r="AS13">
            <v>23250</v>
          </cell>
          <cell r="AT13">
            <v>24630.65</v>
          </cell>
          <cell r="AU13">
            <v>23725.200000000001</v>
          </cell>
          <cell r="AV13">
            <v>24539.3</v>
          </cell>
          <cell r="AW13">
            <v>22689.33</v>
          </cell>
          <cell r="AX13">
            <v>20880.349999999999</v>
          </cell>
        </row>
      </sheetData>
      <sheetData sheetId="2">
        <row r="4">
          <cell r="CQ4">
            <v>24580</v>
          </cell>
          <cell r="CR4">
            <v>24410</v>
          </cell>
          <cell r="CS4">
            <v>25120</v>
          </cell>
          <cell r="CT4">
            <v>25140</v>
          </cell>
          <cell r="CU4">
            <v>25290</v>
          </cell>
          <cell r="CV4">
            <v>25050</v>
          </cell>
          <cell r="CW4">
            <v>25400</v>
          </cell>
          <cell r="CX4">
            <v>25460</v>
          </cell>
          <cell r="CY4">
            <v>25830</v>
          </cell>
          <cell r="CZ4">
            <v>25880</v>
          </cell>
          <cell r="DA4">
            <v>25920</v>
          </cell>
          <cell r="DB4">
            <v>26030</v>
          </cell>
          <cell r="DC4">
            <v>26180</v>
          </cell>
          <cell r="DD4">
            <v>26183</v>
          </cell>
          <cell r="DE4">
            <v>26107</v>
          </cell>
          <cell r="DF4">
            <v>26181</v>
          </cell>
          <cell r="DG4">
            <v>26078</v>
          </cell>
          <cell r="DH4">
            <v>26081</v>
          </cell>
        </row>
        <row r="5">
          <cell r="DD5">
            <v>20213.276000000002</v>
          </cell>
          <cell r="DE5">
            <v>20102.39</v>
          </cell>
          <cell r="DF5">
            <v>20237.913</v>
          </cell>
          <cell r="DG5">
            <v>20732.009999999998</v>
          </cell>
          <cell r="DH5">
            <v>20734.395</v>
          </cell>
        </row>
        <row r="35">
          <cell r="AS35" t="str">
            <v>T1.26</v>
          </cell>
          <cell r="AT35">
            <v>2</v>
          </cell>
        </row>
        <row r="36">
          <cell r="AO36">
            <v>783</v>
          </cell>
          <cell r="AP36">
            <v>772</v>
          </cell>
          <cell r="AQ36">
            <v>770</v>
          </cell>
          <cell r="AR36">
            <v>773</v>
          </cell>
          <cell r="AS36">
            <v>795</v>
          </cell>
          <cell r="AT36">
            <v>795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Vảy"/>
      <sheetName val="Chai "/>
      <sheetName val="thưởng sản lượng"/>
      <sheetName val="data "/>
    </sheetNames>
    <sheetDataSet>
      <sheetData sheetId="0">
        <row r="20">
          <cell r="J20">
            <v>19772.97384437314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</sheetNames>
    <sheetDataSet>
      <sheetData sheetId="0" refreshError="1"/>
      <sheetData sheetId="1" refreshError="1"/>
      <sheetData sheetId="2" refreshError="1">
        <row r="34">
          <cell r="B34" t="str">
            <v>CT</v>
          </cell>
          <cell r="C34" t="str">
            <v>VËn chuyÓn  bª t«ng M50</v>
          </cell>
          <cell r="D34" t="str">
            <v>m3</v>
          </cell>
          <cell r="E34">
            <v>0.216</v>
          </cell>
          <cell r="H34">
            <v>92717.262667499992</v>
          </cell>
        </row>
        <row r="35">
          <cell r="B35" t="str">
            <v>CT</v>
          </cell>
          <cell r="C35" t="str">
            <v>VËn chuyÓn  bª t«ng M150</v>
          </cell>
          <cell r="D35" t="str">
            <v>m3</v>
          </cell>
          <cell r="E35">
            <v>1.1000000000000001</v>
          </cell>
          <cell r="H35">
            <v>89605.428454999987</v>
          </cell>
        </row>
        <row r="36">
          <cell r="B36" t="str">
            <v>CT</v>
          </cell>
          <cell r="C36" t="str">
            <v>VËn chuyÓn  bª t«ng M200</v>
          </cell>
          <cell r="D36" t="str">
            <v>m3</v>
          </cell>
          <cell r="E36">
            <v>0.08</v>
          </cell>
          <cell r="H36">
            <v>67242.986511249997</v>
          </cell>
        </row>
        <row r="39">
          <cell r="B39" t="str">
            <v>03.2203</v>
          </cell>
          <cell r="C39" t="str">
            <v>LÊp + ®¾p ®Êt mãng</v>
          </cell>
          <cell r="D39" t="str">
            <v>m3</v>
          </cell>
          <cell r="E39">
            <v>6.6133333333333351</v>
          </cell>
          <cell r="H39">
            <v>10890</v>
          </cell>
        </row>
        <row r="93">
          <cell r="B93" t="str">
            <v>TT</v>
          </cell>
          <cell r="C93" t="str">
            <v>§Òn bï ®Êt m­în thi c«ng</v>
          </cell>
          <cell r="D93" t="str">
            <v>m2</v>
          </cell>
          <cell r="E93">
            <v>3.84</v>
          </cell>
          <cell r="F93">
            <v>1100</v>
          </cell>
        </row>
        <row r="161">
          <cell r="B161" t="str">
            <v>03.3103</v>
          </cell>
          <cell r="C161" t="str">
            <v>§µo ®Êt cÊp 3 r·nh tiÕp ®Þa</v>
          </cell>
          <cell r="D161" t="str">
            <v>m3</v>
          </cell>
          <cell r="E161">
            <v>4</v>
          </cell>
          <cell r="H161">
            <v>21926</v>
          </cell>
        </row>
        <row r="162">
          <cell r="B162" t="str">
            <v>03.3203</v>
          </cell>
          <cell r="C162" t="str">
            <v>LÊp ®Êt r·nh tiÕp ®Þa</v>
          </cell>
          <cell r="D162" t="str">
            <v>m3</v>
          </cell>
          <cell r="E162">
            <v>4</v>
          </cell>
          <cell r="H162">
            <v>10007</v>
          </cell>
        </row>
        <row r="182">
          <cell r="B182" t="str">
            <v>02.1443</v>
          </cell>
          <cell r="C182" t="str">
            <v>VËn chuyÓn d©y dÉn</v>
          </cell>
          <cell r="D182" t="str">
            <v>TÊn</v>
          </cell>
          <cell r="E182">
            <v>0.34369919999999998</v>
          </cell>
          <cell r="H182">
            <v>48749.399999999994</v>
          </cell>
        </row>
        <row r="189">
          <cell r="B189" t="str">
            <v>03.1113</v>
          </cell>
          <cell r="C189" t="str">
            <v>§µo ®Êt cÊp 3 ®é s©u &gt;1m; S &lt; 5m2</v>
          </cell>
          <cell r="D189" t="str">
            <v>m3</v>
          </cell>
          <cell r="E189">
            <v>3.3599999999999994</v>
          </cell>
          <cell r="H189">
            <v>24428</v>
          </cell>
        </row>
        <row r="220">
          <cell r="B220" t="str">
            <v>§g VC 36</v>
          </cell>
          <cell r="C220" t="str">
            <v>V/c Cét BT tõ NM BT chÌm lªn Ctr×nh</v>
          </cell>
          <cell r="D220" t="str">
            <v>TÊn</v>
          </cell>
          <cell r="E220">
            <v>0.22500000000000001</v>
          </cell>
          <cell r="H220">
            <v>7358</v>
          </cell>
          <cell r="I220">
            <v>239962.80000000002</v>
          </cell>
        </row>
        <row r="309">
          <cell r="B309" t="str">
            <v>02.2401</v>
          </cell>
          <cell r="C309" t="str">
            <v>Trung chuyÓn d©y, thÐp, PK...: 700 m</v>
          </cell>
          <cell r="D309" t="str">
            <v>TÊn</v>
          </cell>
          <cell r="E309">
            <v>3.2467334399999999</v>
          </cell>
          <cell r="H309">
            <v>15289.96</v>
          </cell>
          <cell r="I309">
            <v>84338.099999999991</v>
          </cell>
          <cell r="J309">
            <v>0</v>
          </cell>
          <cell r="K309">
            <v>0</v>
          </cell>
          <cell r="L309">
            <v>49642.424428262399</v>
          </cell>
          <cell r="M309">
            <v>273823.32953606395</v>
          </cell>
        </row>
        <row r="323">
          <cell r="B323" t="str">
            <v>03.3103</v>
          </cell>
          <cell r="C323" t="str">
            <v>§µo ®Êt cÊp 3 r·nh tiÕp ®Þa</v>
          </cell>
          <cell r="D323" t="str">
            <v>m3</v>
          </cell>
          <cell r="E323">
            <v>1.2000000000000002</v>
          </cell>
          <cell r="H323">
            <v>21296</v>
          </cell>
        </row>
        <row r="324">
          <cell r="B324" t="str">
            <v>03.3203</v>
          </cell>
          <cell r="C324" t="str">
            <v>LÊp ®Êt r·nh tiÕp ®Þa</v>
          </cell>
          <cell r="D324" t="str">
            <v>m3</v>
          </cell>
          <cell r="E324">
            <v>1.2000000000000002</v>
          </cell>
          <cell r="H324">
            <v>10007</v>
          </cell>
        </row>
        <row r="350">
          <cell r="B350" t="str">
            <v>04.9102</v>
          </cell>
          <cell r="C350" t="str">
            <v>L¾p ®Æt xµ trªn cét BTLT</v>
          </cell>
          <cell r="D350" t="str">
            <v>Kg</v>
          </cell>
          <cell r="E350">
            <v>68.53</v>
          </cell>
          <cell r="F350">
            <v>8500</v>
          </cell>
          <cell r="H350">
            <v>181.47</v>
          </cell>
        </row>
        <row r="370">
          <cell r="B370" t="str">
            <v>04.8102</v>
          </cell>
          <cell r="C370" t="str">
            <v>L¾p ®Æt gi¸ trªn cét BTLT</v>
          </cell>
          <cell r="D370" t="str">
            <v>Kg</v>
          </cell>
          <cell r="E370">
            <v>11.68</v>
          </cell>
          <cell r="F370">
            <v>8500</v>
          </cell>
          <cell r="H370">
            <v>155.58600000000001</v>
          </cell>
        </row>
        <row r="390">
          <cell r="B390" t="str">
            <v>04.8101</v>
          </cell>
          <cell r="C390" t="str">
            <v>L¾p ®Æt thang trªn cét BTLT</v>
          </cell>
          <cell r="D390" t="str">
            <v>Kg</v>
          </cell>
          <cell r="E390">
            <v>59.59</v>
          </cell>
          <cell r="F390">
            <v>8500</v>
          </cell>
          <cell r="H390">
            <v>171.14500000000001</v>
          </cell>
        </row>
        <row r="406">
          <cell r="B406" t="str">
            <v>§g VC 36</v>
          </cell>
          <cell r="C406" t="str">
            <v>V/c vËt t­ B mua tõ HN lªn Hµ Giang</v>
          </cell>
          <cell r="D406" t="str">
            <v>TÊn</v>
          </cell>
          <cell r="E406">
            <v>0.15108000000000002</v>
          </cell>
          <cell r="H406">
            <v>6033</v>
          </cell>
          <cell r="I406">
            <v>239962.80000000002</v>
          </cell>
        </row>
        <row r="431">
          <cell r="B431" t="str">
            <v>02.2601</v>
          </cell>
          <cell r="C431" t="str">
            <v>Trung chuyÓn ThiÕt bÞ: 1,5 Km</v>
          </cell>
          <cell r="D431" t="str">
            <v>TÊn</v>
          </cell>
          <cell r="E431">
            <v>4.0000000000000001E-3</v>
          </cell>
          <cell r="H431">
            <v>12546.659999999998</v>
          </cell>
          <cell r="I431">
            <v>84338.099999999991</v>
          </cell>
        </row>
        <row r="432">
          <cell r="B432" t="str">
            <v>§g VC 36</v>
          </cell>
          <cell r="C432" t="str">
            <v>VËn chuyÓn tõ kho ®Õn CTr×nh</v>
          </cell>
          <cell r="D432" t="str">
            <v>TÊn</v>
          </cell>
          <cell r="E432">
            <v>4.0000000000000001E-3</v>
          </cell>
          <cell r="H432">
            <v>11037</v>
          </cell>
          <cell r="I432">
            <v>40268.799999999996</v>
          </cell>
        </row>
      </sheetData>
      <sheetData sheetId="3" refreshError="1"/>
      <sheetData sheetId="4" refreshError="1">
        <row r="8">
          <cell r="B8" t="str">
            <v>02.1464</v>
          </cell>
          <cell r="C8" t="str">
            <v>V/c cét bª t«ng li t©m 12b</v>
          </cell>
          <cell r="D8" t="str">
            <v>TÊn</v>
          </cell>
          <cell r="E8">
            <v>1</v>
          </cell>
          <cell r="H8">
            <v>90972.200000000012</v>
          </cell>
        </row>
        <row r="25">
          <cell r="B25" t="str">
            <v>CT</v>
          </cell>
          <cell r="C25" t="str">
            <v>VËn chuyÓn  bª t«ng M50</v>
          </cell>
          <cell r="D25" t="str">
            <v>m3</v>
          </cell>
          <cell r="E25">
            <v>0.216</v>
          </cell>
          <cell r="H25">
            <v>92717.262667499992</v>
          </cell>
        </row>
        <row r="125">
          <cell r="B125" t="str">
            <v>CT</v>
          </cell>
          <cell r="C125" t="str">
            <v>VËn chuyÓn Bª t«ng M 100</v>
          </cell>
          <cell r="D125" t="str">
            <v>m3</v>
          </cell>
          <cell r="E125">
            <v>0.48</v>
          </cell>
          <cell r="H125">
            <v>92817.147648749989</v>
          </cell>
        </row>
        <row r="288">
          <cell r="B288" t="str">
            <v>02.1353</v>
          </cell>
          <cell r="C288" t="str">
            <v>VËn chuyÓn thÐp rêi 350 m; HS: 1,5</v>
          </cell>
          <cell r="D288" t="str">
            <v>TÊn</v>
          </cell>
          <cell r="E288">
            <v>6.8530000000000008E-2</v>
          </cell>
          <cell r="H288">
            <v>54311.774999999994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</sheetNames>
    <sheetDataSet>
      <sheetData sheetId="0"/>
      <sheetData sheetId="1"/>
      <sheetData sheetId="2" refreshError="1">
        <row r="3">
          <cell r="H3">
            <v>17.099999999999998</v>
          </cell>
        </row>
        <row r="4">
          <cell r="H4">
            <v>2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ng hop"/>
      <sheetName val="truc tiep"/>
      <sheetName val="phu tro"/>
      <sheetName val="THANH PHAM"/>
      <sheetName val="gian tiep"/>
      <sheetName val="CHI TIET"/>
      <sheetName val="XL4Poppy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Sheet1"/>
      <sheetName val="Domestic"/>
      <sheetName val="Overseas"/>
      <sheetName val="Vech_Runing"/>
      <sheetName val="Vech_Rent"/>
      <sheetName val="Communication"/>
      <sheetName val="Insurance"/>
      <sheetName val="Third party SPC"/>
      <sheetName val="Domestic."/>
      <sheetName val="Business meeting"/>
      <sheetName val="Postage"/>
      <sheetName val="Office suply "/>
      <sheetName val="Stationary"/>
      <sheetName val="Audit fee"/>
      <sheetName val="Account service"/>
      <sheetName val="Bank charge"/>
      <sheetName val="Due Membership"/>
      <sheetName val="Film "/>
      <sheetName val="Rental"/>
      <sheetName val="Legal"/>
      <sheetName val="Member"/>
      <sheetName val="Instruc."/>
      <sheetName val="Capex"/>
      <sheetName val="Depre"/>
      <sheetName val="Waste-remove"/>
      <sheetName val="Bill Collection"/>
      <sheetName val="Other Service"/>
      <sheetName val="Domestic1"/>
      <sheetName val="Oversea1"/>
      <sheetName val="Veh-running"/>
      <sheetName val="Vehicle-running"/>
      <sheetName val="Vehicle-Rental"/>
      <sheetName val="Entertain"/>
      <sheetName val="Bus Meeting"/>
      <sheetName val="Tel-Fax"/>
      <sheetName val="Sliceblade"/>
      <sheetName val="Backup-sliceblade"/>
      <sheetName val="Supplies-Cleaning"/>
      <sheetName val="Backup-cleaning"/>
      <sheetName val="Supplies-Safety"/>
      <sheetName val="Backing-Safety"/>
      <sheetName val="Supplies-Office"/>
      <sheetName val="Rental-MC."/>
      <sheetName val="Stationery"/>
      <sheetName val="Prining Form"/>
      <sheetName val="Backup-printing"/>
      <sheetName val="Sample"/>
      <sheetName val="Variable"/>
      <sheetName val="Elec-Var-72"/>
      <sheetName val="Elec-Fixed-54"/>
      <sheetName val="LPG"/>
      <sheetName val="Water"/>
      <sheetName val="Fuel&amp;Diesel(1)"/>
      <sheetName val="Fuel&amp;Diesel(2)"/>
      <sheetName val="N2-kg"/>
      <sheetName val="N2-Bag"/>
      <sheetName val="FG Bag"/>
      <sheetName val="Backup-foil"/>
      <sheetName val="R&amp;M EQ"/>
      <sheetName val="Forklift-D5"/>
      <sheetName val="EQ-Tool-Instrument"/>
      <sheetName val="R&amp;M Land"/>
      <sheetName val="Land &amp; Bldg"/>
      <sheetName val="R&amp;M computer"/>
      <sheetName val="R&amp;M Plant mc"/>
      <sheetName val="DATA"/>
      <sheetName val="FORMULATION"/>
      <sheetName val="RESULT"/>
      <sheetName val="film"/>
      <sheetName val="performance (2)"/>
      <sheetName val="FG waste"/>
      <sheetName val="pelletyie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P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VT"/>
      <sheetName val="1NC"/>
      <sheetName val="Sheet1"/>
      <sheetName val="NHOMVTU"/>
      <sheetName val="MTP"/>
      <sheetName val="MTP_OLD"/>
      <sheetName val="MTP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"/>
      <sheetName val="NC"/>
      <sheetName val="MTP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usd"/>
      <sheetName val="Sheet4"/>
      <sheetName val="XL4Poppy"/>
      <sheetName val="page 1 - Cấu trúc giá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f"/>
      <sheetName val="ByAcct"/>
      <sheetName val="ByMth"/>
      <sheetName val="FLT"/>
      <sheetName val="Start"/>
      <sheetName val="OT"/>
      <sheetName val="TT"/>
      <sheetName val="End"/>
      <sheetName val="Start_TT"/>
      <sheetName val="WS"/>
      <sheetName val="Makro"/>
      <sheetName val="AS&amp;D"/>
      <sheetName val="End_TT"/>
      <sheetName val="Start_OT"/>
      <sheetName val="Hyper"/>
      <sheetName val="CVS"/>
      <sheetName val="SPM"/>
      <sheetName val="GAS"/>
      <sheetName val="ENT"/>
      <sheetName val="End_OT"/>
      <sheetName val="Start_Hyper"/>
      <sheetName val="Lotus"/>
      <sheetName val="BigC"/>
      <sheetName val="C4"/>
      <sheetName val="End_Hyper"/>
      <sheetName val="Start_CVS"/>
      <sheetName val="7-11"/>
      <sheetName val="SFM"/>
      <sheetName val="OtherCVS"/>
      <sheetName val="End_CVS"/>
      <sheetName val="Start_SPM"/>
      <sheetName val="Tops"/>
      <sheetName val="SmallSPM"/>
      <sheetName val="LCOT"/>
      <sheetName val="End_SPM"/>
      <sheetName val="Start_Gas"/>
      <sheetName val="Jiffy"/>
      <sheetName val="Esso"/>
      <sheetName val="Caltex"/>
      <sheetName val="OtherGas"/>
      <sheetName val="End_Gas"/>
      <sheetName val="Start_Ent"/>
      <sheetName val="Major"/>
      <sheetName val="SF"/>
      <sheetName val="End_Ent"/>
      <sheetName val="Start_ASD"/>
      <sheetName val="DTS"/>
      <sheetName val="ASD"/>
      <sheetName val="OtherASD"/>
      <sheetName val="End_ASD"/>
      <sheetName val="Start_WS"/>
      <sheetName val="Alpha"/>
      <sheetName val="Beta"/>
      <sheetName val="GmA"/>
      <sheetName val="WS-Others"/>
      <sheetName val="End_WS"/>
    </sheetNames>
    <sheetDataSet>
      <sheetData sheetId="0" refreshError="1">
        <row r="3">
          <cell r="B3" t="str">
            <v>Lotus</v>
          </cell>
        </row>
        <row r="4">
          <cell r="B4" t="str">
            <v>BigC</v>
          </cell>
        </row>
        <row r="5">
          <cell r="B5" t="str">
            <v>C4</v>
          </cell>
        </row>
        <row r="6">
          <cell r="B6" t="str">
            <v>Hypermarket</v>
          </cell>
        </row>
        <row r="7">
          <cell r="B7" t="str">
            <v>7-11</v>
          </cell>
        </row>
        <row r="8">
          <cell r="B8" t="str">
            <v>SFM</v>
          </cell>
        </row>
        <row r="9">
          <cell r="B9" t="str">
            <v>OtherCVS</v>
          </cell>
        </row>
        <row r="10">
          <cell r="B10" t="str">
            <v>CVS</v>
          </cell>
        </row>
        <row r="11">
          <cell r="B11" t="str">
            <v>Jiffy</v>
          </cell>
        </row>
        <row r="12">
          <cell r="B12" t="str">
            <v>Esso</v>
          </cell>
        </row>
        <row r="13">
          <cell r="B13" t="str">
            <v>Caltex</v>
          </cell>
        </row>
        <row r="14">
          <cell r="B14" t="str">
            <v>OtherGas</v>
          </cell>
        </row>
        <row r="15">
          <cell r="B15" t="str">
            <v>Gas Station</v>
          </cell>
        </row>
        <row r="16">
          <cell r="B16" t="str">
            <v>Tops</v>
          </cell>
        </row>
        <row r="17">
          <cell r="B17" t="str">
            <v>SmallSPM</v>
          </cell>
        </row>
        <row r="18">
          <cell r="B18" t="str">
            <v>LCOT</v>
          </cell>
        </row>
        <row r="19">
          <cell r="B19" t="str">
            <v>SPM</v>
          </cell>
        </row>
        <row r="20">
          <cell r="B20" t="str">
            <v>Major</v>
          </cell>
        </row>
        <row r="21">
          <cell r="B21" t="str">
            <v>SF</v>
          </cell>
        </row>
        <row r="22">
          <cell r="B22" t="str">
            <v>Entertainment</v>
          </cell>
        </row>
        <row r="23">
          <cell r="B23" t="str">
            <v>Organized Trade</v>
          </cell>
        </row>
        <row r="24">
          <cell r="B24" t="str">
            <v>Alpha</v>
          </cell>
        </row>
        <row r="25">
          <cell r="B25" t="str">
            <v>Beta</v>
          </cell>
        </row>
        <row r="26">
          <cell r="B26" t="str">
            <v>Gma</v>
          </cell>
        </row>
        <row r="27">
          <cell r="B27" t="str">
            <v>WS-Others</v>
          </cell>
        </row>
        <row r="28">
          <cell r="B28" t="str">
            <v>Wholesaler</v>
          </cell>
        </row>
        <row r="29">
          <cell r="B29" t="str">
            <v>Makro</v>
          </cell>
        </row>
        <row r="30">
          <cell r="B30" t="str">
            <v>Cash + Carry</v>
          </cell>
        </row>
        <row r="31">
          <cell r="B31" t="str">
            <v>DTS</v>
          </cell>
        </row>
        <row r="32">
          <cell r="B32" t="str">
            <v>ASD</v>
          </cell>
        </row>
        <row r="33">
          <cell r="B33" t="str">
            <v>OtherASD</v>
          </cell>
        </row>
        <row r="34">
          <cell r="B34" t="str">
            <v>AS&amp;D</v>
          </cell>
        </row>
        <row r="35">
          <cell r="B35" t="str">
            <v>Traditional Trade</v>
          </cell>
        </row>
        <row r="36">
          <cell r="B36" t="str">
            <v>FLT</v>
          </cell>
        </row>
      </sheetData>
      <sheetData sheetId="1" refreshError="1">
        <row r="1">
          <cell r="A1" t="str">
            <v>Row</v>
          </cell>
          <cell r="C1">
            <v>117</v>
          </cell>
        </row>
      </sheetData>
      <sheetData sheetId="2" refreshError="1">
        <row r="2">
          <cell r="R2">
            <v>4</v>
          </cell>
        </row>
      </sheetData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CH"/>
      <sheetName val="Menu"/>
      <sheetName val="COCH_C"/>
      <sheetName val="CostCenter"/>
      <sheetName val="PI Integ. Cost"/>
      <sheetName val="Domestic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6">
          <cell r="B6" t="str">
            <v>A</v>
          </cell>
          <cell r="C6" t="str">
            <v>Expansion/Growth</v>
          </cell>
          <cell r="G6">
            <v>1</v>
          </cell>
          <cell r="H6" t="str">
            <v>Leasehold Improvement</v>
          </cell>
          <cell r="I6" t="str">
            <v>Remained Leasehold</v>
          </cell>
        </row>
        <row r="7">
          <cell r="B7" t="str">
            <v>B</v>
          </cell>
          <cell r="C7" t="str">
            <v>Productivity</v>
          </cell>
          <cell r="G7">
            <v>2</v>
          </cell>
          <cell r="H7" t="str">
            <v xml:space="preserve">Machinery </v>
          </cell>
          <cell r="I7">
            <v>0.1</v>
          </cell>
        </row>
        <row r="8">
          <cell r="B8" t="str">
            <v>C</v>
          </cell>
          <cell r="C8" t="str">
            <v>Quality</v>
          </cell>
          <cell r="G8">
            <v>3</v>
          </cell>
          <cell r="H8" t="str">
            <v>Building</v>
          </cell>
          <cell r="I8">
            <v>2.5000000000000001E-2</v>
          </cell>
        </row>
        <row r="9">
          <cell r="B9" t="str">
            <v>D</v>
          </cell>
          <cell r="C9" t="str">
            <v>Operating Necessity</v>
          </cell>
          <cell r="G9">
            <v>4</v>
          </cell>
          <cell r="H9" t="str">
            <v>Furniture</v>
          </cell>
          <cell r="I9">
            <v>0.1</v>
          </cell>
        </row>
        <row r="10">
          <cell r="G10">
            <v>5</v>
          </cell>
          <cell r="H10" t="str">
            <v>Office Equipment</v>
          </cell>
          <cell r="I10">
            <v>0.2</v>
          </cell>
        </row>
        <row r="11">
          <cell r="G11">
            <v>6</v>
          </cell>
          <cell r="H11" t="str">
            <v>Computer &amp; Telephone Equip.</v>
          </cell>
          <cell r="I11">
            <v>0.33333333333333331</v>
          </cell>
        </row>
        <row r="12">
          <cell r="G12">
            <v>7</v>
          </cell>
          <cell r="H12" t="str">
            <v>Automobile - Passenger</v>
          </cell>
          <cell r="I12">
            <v>0.25</v>
          </cell>
        </row>
        <row r="13">
          <cell r="G13">
            <v>8</v>
          </cell>
          <cell r="H13" t="str">
            <v>Automobile - Non Passenger</v>
          </cell>
          <cell r="I13">
            <v>0.2</v>
          </cell>
        </row>
        <row r="17">
          <cell r="B17" t="str">
            <v>Code</v>
          </cell>
          <cell r="C17" t="str">
            <v>Description</v>
          </cell>
          <cell r="G17" t="str">
            <v>Type</v>
          </cell>
          <cell r="H17" t="str">
            <v>Assets</v>
          </cell>
          <cell r="K17" t="str">
            <v>(Total)</v>
          </cell>
          <cell r="M17" t="str">
            <v>Jan</v>
          </cell>
          <cell r="N17" t="str">
            <v>Feb</v>
          </cell>
          <cell r="O17" t="str">
            <v>Mar</v>
          </cell>
          <cell r="P17" t="str">
            <v>Apr</v>
          </cell>
          <cell r="Q17" t="str">
            <v>May</v>
          </cell>
          <cell r="R17" t="str">
            <v>Jun</v>
          </cell>
          <cell r="S17" t="str">
            <v>Jul</v>
          </cell>
          <cell r="T17" t="str">
            <v>Aug</v>
          </cell>
          <cell r="U17" t="str">
            <v>Sep</v>
          </cell>
          <cell r="V17" t="str">
            <v>Oct</v>
          </cell>
          <cell r="W17" t="str">
            <v>Nov</v>
          </cell>
          <cell r="X17" t="str">
            <v>Dec</v>
          </cell>
          <cell r="Y17" t="str">
            <v>Total</v>
          </cell>
        </row>
        <row r="18">
          <cell r="C18" t="str">
            <v/>
          </cell>
          <cell r="H18" t="str">
            <v/>
          </cell>
          <cell r="I18">
            <v>2</v>
          </cell>
          <cell r="J18">
            <v>4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C19" t="str">
            <v/>
          </cell>
          <cell r="H19" t="str">
            <v/>
          </cell>
          <cell r="I19">
            <v>5</v>
          </cell>
          <cell r="J19">
            <v>31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</row>
        <row r="20">
          <cell r="C20" t="str">
            <v/>
          </cell>
          <cell r="H20" t="str">
            <v/>
          </cell>
          <cell r="I20">
            <v>4</v>
          </cell>
          <cell r="J20">
            <v>31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</row>
        <row r="21">
          <cell r="C21" t="str">
            <v/>
          </cell>
          <cell r="H21" t="str">
            <v/>
          </cell>
          <cell r="I21">
            <v>3</v>
          </cell>
          <cell r="J21">
            <v>31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</row>
        <row r="22">
          <cell r="C22" t="str">
            <v/>
          </cell>
          <cell r="H22" t="str">
            <v/>
          </cell>
          <cell r="I22">
            <v>31</v>
          </cell>
          <cell r="J22">
            <v>31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/>
          </cell>
          <cell r="H23" t="str">
            <v/>
          </cell>
          <cell r="I23">
            <v>30</v>
          </cell>
          <cell r="J23">
            <v>32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/>
          </cell>
          <cell r="H24" t="str">
            <v/>
          </cell>
          <cell r="I24">
            <v>4</v>
          </cell>
          <cell r="J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C25" t="str">
            <v/>
          </cell>
          <cell r="H25" t="str">
            <v/>
          </cell>
          <cell r="I25">
            <v>5</v>
          </cell>
          <cell r="J25">
            <v>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 t="str">
            <v/>
          </cell>
          <cell r="H26" t="str">
            <v/>
          </cell>
          <cell r="I26">
            <v>32</v>
          </cell>
          <cell r="J26">
            <v>32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 t="str">
            <v/>
          </cell>
          <cell r="H27" t="str">
            <v/>
          </cell>
          <cell r="I27">
            <v>32</v>
          </cell>
          <cell r="J27">
            <v>32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 t="str">
            <v/>
          </cell>
          <cell r="H28" t="str">
            <v/>
          </cell>
          <cell r="I28">
            <v>32</v>
          </cell>
          <cell r="J28">
            <v>32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C29" t="str">
            <v/>
          </cell>
          <cell r="H29" t="str">
            <v/>
          </cell>
          <cell r="I29">
            <v>32</v>
          </cell>
          <cell r="J29">
            <v>32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/>
          </cell>
          <cell r="H30" t="str">
            <v/>
          </cell>
          <cell r="I30">
            <v>32</v>
          </cell>
          <cell r="J30">
            <v>32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/>
          </cell>
          <cell r="H31" t="str">
            <v/>
          </cell>
          <cell r="I31">
            <v>32</v>
          </cell>
          <cell r="J31">
            <v>32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/>
          </cell>
          <cell r="H32" t="str">
            <v/>
          </cell>
          <cell r="I32">
            <v>32</v>
          </cell>
          <cell r="J32">
            <v>32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/>
          </cell>
          <cell r="H33" t="str">
            <v/>
          </cell>
          <cell r="I33">
            <v>32</v>
          </cell>
          <cell r="J33">
            <v>32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C34" t="str">
            <v/>
          </cell>
          <cell r="H34" t="str">
            <v/>
          </cell>
          <cell r="I34">
            <v>32</v>
          </cell>
          <cell r="J34">
            <v>32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C35" t="str">
            <v/>
          </cell>
          <cell r="H35" t="str">
            <v/>
          </cell>
          <cell r="I35">
            <v>32</v>
          </cell>
          <cell r="J35">
            <v>32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C36" t="str">
            <v/>
          </cell>
          <cell r="H36" t="str">
            <v/>
          </cell>
          <cell r="I36">
            <v>32</v>
          </cell>
          <cell r="J36">
            <v>32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C37" t="str">
            <v/>
          </cell>
          <cell r="H37" t="str">
            <v/>
          </cell>
          <cell r="I37">
            <v>32</v>
          </cell>
          <cell r="J37">
            <v>32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/>
          </cell>
          <cell r="H38" t="str">
            <v/>
          </cell>
          <cell r="I38">
            <v>32</v>
          </cell>
          <cell r="J38">
            <v>32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/>
          </cell>
          <cell r="H39" t="str">
            <v/>
          </cell>
          <cell r="I39">
            <v>32</v>
          </cell>
          <cell r="J39">
            <v>32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C40" t="str">
            <v/>
          </cell>
          <cell r="H40" t="str">
            <v/>
          </cell>
          <cell r="I40">
            <v>32</v>
          </cell>
          <cell r="J40">
            <v>32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J41" t="str">
            <v>Total BOY 2004</v>
          </cell>
          <cell r="K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</row>
        <row r="45">
          <cell r="H45" t="str">
            <v>Assets</v>
          </cell>
          <cell r="M45" t="str">
            <v>Jan</v>
          </cell>
          <cell r="N45" t="str">
            <v>Feb</v>
          </cell>
          <cell r="O45" t="str">
            <v>Mar</v>
          </cell>
          <cell r="P45" t="str">
            <v>Apr</v>
          </cell>
          <cell r="Q45" t="str">
            <v>May</v>
          </cell>
          <cell r="R45" t="str">
            <v>Jun</v>
          </cell>
          <cell r="S45" t="str">
            <v>Jul</v>
          </cell>
          <cell r="T45" t="str">
            <v>Aug</v>
          </cell>
          <cell r="U45" t="str">
            <v>Sep</v>
          </cell>
          <cell r="V45" t="str">
            <v>Oct</v>
          </cell>
          <cell r="W45" t="str">
            <v>Nov</v>
          </cell>
          <cell r="X45" t="str">
            <v>Dec</v>
          </cell>
          <cell r="Y45" t="str">
            <v>Total</v>
          </cell>
        </row>
        <row r="46">
          <cell r="H46" t="str">
            <v/>
          </cell>
          <cell r="I46">
            <v>3</v>
          </cell>
          <cell r="J46">
            <v>13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</row>
        <row r="47">
          <cell r="H47" t="str">
            <v/>
          </cell>
          <cell r="J47">
            <v>13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H48" t="str">
            <v/>
          </cell>
          <cell r="I48">
            <v>3</v>
          </cell>
          <cell r="J48">
            <v>13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</row>
        <row r="49">
          <cell r="H49" t="str">
            <v/>
          </cell>
          <cell r="J49">
            <v>13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</row>
        <row r="50">
          <cell r="H50" t="str">
            <v/>
          </cell>
          <cell r="J50">
            <v>13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</row>
        <row r="51">
          <cell r="H51" t="str">
            <v/>
          </cell>
          <cell r="J51">
            <v>14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</row>
        <row r="52">
          <cell r="H52" t="str">
            <v/>
          </cell>
          <cell r="J52">
            <v>13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</row>
        <row r="53">
          <cell r="H53" t="str">
            <v/>
          </cell>
          <cell r="J53">
            <v>13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</row>
        <row r="54">
          <cell r="H54" t="str">
            <v/>
          </cell>
          <cell r="J54">
            <v>13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</row>
        <row r="55">
          <cell r="H55" t="str">
            <v/>
          </cell>
          <cell r="J55">
            <v>13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H56" t="str">
            <v/>
          </cell>
          <cell r="J56">
            <v>13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H57" t="str">
            <v/>
          </cell>
          <cell r="J57">
            <v>13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</row>
        <row r="58">
          <cell r="H58" t="str">
            <v/>
          </cell>
          <cell r="J58">
            <v>14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</row>
        <row r="59">
          <cell r="H59" t="str">
            <v/>
          </cell>
          <cell r="J59">
            <v>13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</row>
        <row r="60">
          <cell r="H60" t="str">
            <v/>
          </cell>
          <cell r="J60">
            <v>14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H61" t="str">
            <v/>
          </cell>
          <cell r="J61">
            <v>13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</row>
        <row r="62">
          <cell r="H62" t="str">
            <v/>
          </cell>
          <cell r="J62">
            <v>14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</row>
        <row r="63">
          <cell r="H63" t="str">
            <v/>
          </cell>
          <cell r="J63">
            <v>14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</row>
        <row r="64">
          <cell r="H64" t="str">
            <v/>
          </cell>
          <cell r="J64">
            <v>13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</row>
        <row r="65">
          <cell r="H65" t="str">
            <v/>
          </cell>
          <cell r="J65">
            <v>13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</row>
        <row r="66">
          <cell r="H66" t="str">
            <v/>
          </cell>
          <cell r="J66">
            <v>13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</row>
        <row r="67">
          <cell r="H67" t="str">
            <v/>
          </cell>
          <cell r="J67">
            <v>13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</row>
        <row r="68">
          <cell r="H68" t="str">
            <v/>
          </cell>
          <cell r="J68">
            <v>13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</row>
        <row r="69">
          <cell r="H69" t="str">
            <v/>
          </cell>
          <cell r="J69">
            <v>13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</row>
        <row r="70">
          <cell r="H70" t="str">
            <v/>
          </cell>
          <cell r="J70">
            <v>13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</row>
        <row r="71">
          <cell r="H71" t="str">
            <v/>
          </cell>
          <cell r="J71">
            <v>14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</row>
        <row r="72">
          <cell r="J72" t="str">
            <v>Total AOP 2005</v>
          </cell>
          <cell r="K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</row>
      </sheetData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en luong"/>
      <sheetName val="PHAN TICH VAT TU BIET THU H7"/>
      <sheetName val="bang tien luong (2)"/>
      <sheetName val="BTHDT"/>
    </sheetNames>
    <sheetDataSet>
      <sheetData sheetId="0"/>
      <sheetData sheetId="1"/>
      <sheetData sheetId="2"/>
      <sheetData sheetId="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CH"/>
      <sheetName val="Template"/>
      <sheetName val="Menu"/>
      <sheetName val="COCH_C"/>
      <sheetName val="Overview"/>
      <sheetName val="CostCenter"/>
      <sheetName val="Waste Removal"/>
      <sheetName val="Other Service"/>
      <sheetName val="Domestic"/>
      <sheetName val="PI Integ. Cost"/>
      <sheetName val="Overseas"/>
      <sheetName val="Ve. Runing"/>
      <sheetName val="Vech_Runing"/>
      <sheetName val="Vech_Rent"/>
      <sheetName val="Entertainment"/>
      <sheetName val="Bussiness M."/>
      <sheetName val="Business Meeting"/>
      <sheetName val="Tel&amp;Fax"/>
      <sheetName val="Communication"/>
      <sheetName val="Postage"/>
      <sheetName val="R&amp;M computer"/>
      <sheetName val="Op. Supply-Slice Blade"/>
      <sheetName val="Op Supply-Cleaning "/>
      <sheetName val="Op Supply -Safety"/>
      <sheetName val="Op Supply -Other"/>
      <sheetName val="Insurance"/>
      <sheetName val="Stationeries"/>
      <sheetName val="Printing Form"/>
      <sheetName val="Rental"/>
      <sheetName val="Legal"/>
      <sheetName val="Member"/>
      <sheetName val="Instruc."/>
      <sheetName val="Capex"/>
      <sheetName val="Depre"/>
      <sheetName val="FG output"/>
      <sheetName val="F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MCT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ITIET"/>
      <sheetName val="mau-04"/>
      <sheetName val="mau-05"/>
      <sheetName val="Sheet2"/>
      <sheetName val="Sheet3"/>
      <sheetName val="Sheet4"/>
      <sheetName val="XL4Poppy"/>
      <sheetName val="#REF"/>
      <sheetName val="Chi tiet"/>
      <sheetName val="DAMNEN KHONG HC"/>
      <sheetName val="dochat"/>
      <sheetName val="DAM NEN HC"/>
      <sheetName val="NHAP"/>
      <sheetName val="Chiet tinh dz35"/>
      <sheetName val="IBASE"/>
    </sheetNames>
    <sheetDataSet>
      <sheetData sheetId="0" refreshError="1">
        <row r="3">
          <cell r="D3">
            <v>0.05</v>
          </cell>
        </row>
        <row r="4">
          <cell r="D4">
            <v>2</v>
          </cell>
        </row>
        <row r="169">
          <cell r="G169">
            <v>178399.5</v>
          </cell>
        </row>
        <row r="173">
          <cell r="G173">
            <v>16615.444</v>
          </cell>
        </row>
        <row r="507">
          <cell r="G507">
            <v>205600</v>
          </cell>
        </row>
        <row r="513">
          <cell r="G513">
            <v>18672.367999999999</v>
          </cell>
        </row>
        <row r="518">
          <cell r="G518">
            <v>630387</v>
          </cell>
        </row>
        <row r="522">
          <cell r="G522">
            <v>18087</v>
          </cell>
        </row>
        <row r="526">
          <cell r="G526">
            <v>204100</v>
          </cell>
        </row>
        <row r="530">
          <cell r="G530">
            <v>6029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ric Cleaning"/>
      <sheetName val="Fabric Con"/>
      <sheetName val="HHC"/>
      <sheetName val="Oral"/>
      <sheetName val="Hair"/>
      <sheetName val="Skin"/>
      <sheetName val="PW"/>
      <sheetName val="DEO"/>
      <sheetName val="Summary"/>
      <sheetName val="Cover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1">
          <cell r="AR1">
            <v>-0.74</v>
          </cell>
        </row>
      </sheetData>
      <sheetData sheetId="9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1"/>
      <sheetName val="P2"/>
      <sheetName val="P3"/>
      <sheetName val="P3 to P4 New"/>
      <sheetName val="P4"/>
      <sheetName val="P3 template for Automation"/>
      <sheetName val="cumSep"/>
      <sheetName val="IWC"/>
      <sheetName val="MDC_I"/>
      <sheetName val="Sep"/>
      <sheetName val="Off-Sys_TPR"/>
      <sheetName val="OH"/>
      <sheetName val="PPRADJ"/>
      <sheetName val="SALADJ"/>
      <sheetName val="SCC_I"/>
      <sheetName val="TAXPEN_I"/>
      <sheetName val="TTS_I"/>
      <sheetName val="crossbrand"/>
      <sheetName val="Total"/>
      <sheetName val="Drop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TS"/>
      <sheetName val="FLC"/>
      <sheetName val="Gold Std."/>
      <sheetName val="PQE"/>
      <sheetName val="Dif Panel"/>
      <sheetName val="Supplier Youden"/>
      <sheetName val="Gen lab service"/>
      <sheetName val="OMT in-house"/>
      <sheetName val="Over sea 2004"/>
      <sheetName val="Domestic"/>
      <sheetName val="Fact Shee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 TS"/>
      <sheetName val="FLC"/>
      <sheetName val="Gold Std."/>
      <sheetName val="PQE"/>
      <sheetName val="Dif Panel"/>
      <sheetName val="Supplier Youden"/>
      <sheetName val="Gen lab service"/>
      <sheetName val="OMT in-house"/>
      <sheetName val="Over sea 2004"/>
      <sheetName val="Domestic"/>
      <sheetName val="Fact Shee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VIBAN"/>
      <sheetName val="NGUON"/>
      <sheetName val="UNC_CONGTHUONG"/>
      <sheetName val="UNC2"/>
      <sheetName val="UNC_DAUTU"/>
      <sheetName val="GIAYNHANNO"/>
      <sheetName val="HOPDONGTD"/>
      <sheetName val="XL4Poppy"/>
    </sheetNames>
    <sheetDataSet>
      <sheetData sheetId="0" refreshError="1">
        <row r="1">
          <cell r="A1" t="str">
            <v>MADONVI</v>
          </cell>
        </row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  <row r="6">
          <cell r="A6">
            <v>5</v>
          </cell>
        </row>
        <row r="7">
          <cell r="A7">
            <v>6</v>
          </cell>
        </row>
        <row r="8">
          <cell r="A8">
            <v>7</v>
          </cell>
        </row>
        <row r="9">
          <cell r="A9">
            <v>8</v>
          </cell>
        </row>
        <row r="10">
          <cell r="A10">
            <v>9</v>
          </cell>
        </row>
        <row r="11">
          <cell r="A11">
            <v>10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37</v>
          </cell>
        </row>
        <row r="39">
          <cell r="A39">
            <v>38</v>
          </cell>
        </row>
        <row r="40">
          <cell r="A40">
            <v>39</v>
          </cell>
        </row>
        <row r="41">
          <cell r="A41">
            <v>40</v>
          </cell>
        </row>
        <row r="42">
          <cell r="A42">
            <v>41</v>
          </cell>
        </row>
        <row r="43">
          <cell r="A43">
            <v>42</v>
          </cell>
        </row>
        <row r="44">
          <cell r="A44">
            <v>43</v>
          </cell>
        </row>
        <row r="45">
          <cell r="A45">
            <v>44</v>
          </cell>
        </row>
        <row r="46">
          <cell r="A46">
            <v>45</v>
          </cell>
        </row>
        <row r="47">
          <cell r="A47">
            <v>46</v>
          </cell>
        </row>
        <row r="48">
          <cell r="A48">
            <v>47</v>
          </cell>
        </row>
        <row r="49">
          <cell r="A49">
            <v>48</v>
          </cell>
        </row>
        <row r="50">
          <cell r="A50">
            <v>49</v>
          </cell>
        </row>
        <row r="51">
          <cell r="A51">
            <v>50</v>
          </cell>
        </row>
        <row r="52">
          <cell r="A52">
            <v>51</v>
          </cell>
        </row>
        <row r="53">
          <cell r="A53">
            <v>52</v>
          </cell>
        </row>
        <row r="54">
          <cell r="A54">
            <v>53</v>
          </cell>
        </row>
        <row r="55">
          <cell r="A55">
            <v>54</v>
          </cell>
        </row>
        <row r="56">
          <cell r="A56">
            <v>55</v>
          </cell>
        </row>
        <row r="57">
          <cell r="A57">
            <v>56</v>
          </cell>
        </row>
        <row r="58">
          <cell r="A58">
            <v>57</v>
          </cell>
        </row>
        <row r="59">
          <cell r="A59">
            <v>58</v>
          </cell>
        </row>
        <row r="60">
          <cell r="A60">
            <v>59</v>
          </cell>
        </row>
        <row r="61">
          <cell r="A61">
            <v>60</v>
          </cell>
        </row>
        <row r="62">
          <cell r="A62">
            <v>61</v>
          </cell>
        </row>
        <row r="63">
          <cell r="A63">
            <v>62</v>
          </cell>
        </row>
        <row r="64">
          <cell r="A64">
            <v>63</v>
          </cell>
        </row>
        <row r="65">
          <cell r="A65">
            <v>64</v>
          </cell>
        </row>
        <row r="66">
          <cell r="A66">
            <v>65</v>
          </cell>
        </row>
        <row r="67">
          <cell r="A67">
            <v>66</v>
          </cell>
        </row>
        <row r="68">
          <cell r="A68">
            <v>67</v>
          </cell>
        </row>
        <row r="69">
          <cell r="A69">
            <v>68</v>
          </cell>
        </row>
        <row r="70">
          <cell r="A70">
            <v>69</v>
          </cell>
        </row>
        <row r="71">
          <cell r="A71">
            <v>70</v>
          </cell>
        </row>
        <row r="72">
          <cell r="A72">
            <v>71</v>
          </cell>
        </row>
        <row r="73">
          <cell r="A73">
            <v>72</v>
          </cell>
        </row>
        <row r="74">
          <cell r="A74">
            <v>73</v>
          </cell>
        </row>
        <row r="75">
          <cell r="A75">
            <v>74</v>
          </cell>
        </row>
        <row r="76">
          <cell r="A76">
            <v>75</v>
          </cell>
        </row>
        <row r="77">
          <cell r="A77">
            <v>76</v>
          </cell>
        </row>
        <row r="78">
          <cell r="A78">
            <v>77</v>
          </cell>
        </row>
        <row r="79">
          <cell r="A79">
            <v>78</v>
          </cell>
        </row>
        <row r="80">
          <cell r="A80">
            <v>79</v>
          </cell>
        </row>
        <row r="81">
          <cell r="A81">
            <v>80</v>
          </cell>
        </row>
        <row r="82">
          <cell r="A82">
            <v>81</v>
          </cell>
        </row>
        <row r="83">
          <cell r="A83">
            <v>82</v>
          </cell>
        </row>
        <row r="84">
          <cell r="A84">
            <v>83</v>
          </cell>
        </row>
        <row r="85">
          <cell r="A85">
            <v>84</v>
          </cell>
        </row>
        <row r="86">
          <cell r="A86">
            <v>85</v>
          </cell>
        </row>
        <row r="87">
          <cell r="A87">
            <v>86</v>
          </cell>
        </row>
        <row r="88">
          <cell r="A88">
            <v>87</v>
          </cell>
        </row>
        <row r="89">
          <cell r="A89">
            <v>88</v>
          </cell>
        </row>
        <row r="90">
          <cell r="A90">
            <v>89</v>
          </cell>
        </row>
        <row r="91">
          <cell r="A91">
            <v>90</v>
          </cell>
        </row>
        <row r="92">
          <cell r="A92">
            <v>91</v>
          </cell>
        </row>
        <row r="93">
          <cell r="A93">
            <v>92</v>
          </cell>
        </row>
        <row r="94">
          <cell r="A94">
            <v>93</v>
          </cell>
        </row>
        <row r="95">
          <cell r="A95">
            <v>94</v>
          </cell>
        </row>
        <row r="96">
          <cell r="A96">
            <v>95</v>
          </cell>
        </row>
        <row r="97">
          <cell r="A97">
            <v>96</v>
          </cell>
        </row>
        <row r="98">
          <cell r="A98">
            <v>97</v>
          </cell>
        </row>
        <row r="99">
          <cell r="A99">
            <v>98</v>
          </cell>
        </row>
        <row r="100">
          <cell r="A100">
            <v>99</v>
          </cell>
        </row>
        <row r="101">
          <cell r="A101">
            <v>100</v>
          </cell>
        </row>
        <row r="102">
          <cell r="A102">
            <v>101</v>
          </cell>
        </row>
        <row r="103">
          <cell r="A103">
            <v>102</v>
          </cell>
        </row>
        <row r="104">
          <cell r="A104">
            <v>103</v>
          </cell>
        </row>
        <row r="105">
          <cell r="A105">
            <v>104</v>
          </cell>
        </row>
        <row r="106">
          <cell r="A106">
            <v>105</v>
          </cell>
        </row>
        <row r="107">
          <cell r="A107">
            <v>106</v>
          </cell>
        </row>
      </sheetData>
      <sheetData sheetId="1" refreshError="1">
        <row r="1">
          <cell r="A1" t="str">
            <v>SOÁ</v>
          </cell>
          <cell r="B1" t="str">
            <v>NGAØY</v>
          </cell>
          <cell r="C1" t="str">
            <v>MADONVI</v>
          </cell>
          <cell r="D1" t="str">
            <v>ÑONVÒ</v>
          </cell>
          <cell r="E1" t="str">
            <v>TAØI KHOAÛN</v>
          </cell>
          <cell r="F1" t="str">
            <v>NGAÂNHAØNG</v>
          </cell>
          <cell r="G1" t="str">
            <v>TÆNH,TP</v>
          </cell>
          <cell r="H1" t="str">
            <v>NOÄIDUNG</v>
          </cell>
          <cell r="I1" t="str">
            <v>SOÁTIEÀN</v>
          </cell>
        </row>
        <row r="2">
          <cell r="A2">
            <v>50</v>
          </cell>
          <cell r="B2">
            <v>37744</v>
          </cell>
          <cell r="C2">
            <v>3</v>
          </cell>
          <cell r="D2" t="str">
            <v>Cty Coå Phaàn Boät Giaët Lix</v>
          </cell>
          <cell r="E2" t="str">
            <v>710A.01440</v>
          </cell>
          <cell r="F2" t="str">
            <v>Coâng Thöông CN 14</v>
          </cell>
          <cell r="G2" t="str">
            <v>Hoà Chí Minh</v>
          </cell>
          <cell r="H2" t="str">
            <v>Traû tieàn mua boät giaët</v>
          </cell>
          <cell r="I2">
            <v>250000000</v>
          </cell>
        </row>
        <row r="3">
          <cell r="A3">
            <v>51</v>
          </cell>
          <cell r="B3">
            <v>37744</v>
          </cell>
          <cell r="C3">
            <v>41</v>
          </cell>
          <cell r="D3" t="str">
            <v>Cty Xi Maêng Nghi Sôn</v>
          </cell>
          <cell r="E3" t="str">
            <v>710A.02772</v>
          </cell>
          <cell r="F3" t="str">
            <v>Coâng Thöông CN 9</v>
          </cell>
          <cell r="G3" t="str">
            <v>Hoà Chí Minh</v>
          </cell>
          <cell r="H3" t="str">
            <v>Traû tieàn mua ximaêng</v>
          </cell>
          <cell r="I3">
            <v>246000000</v>
          </cell>
        </row>
        <row r="4">
          <cell r="A4">
            <v>3</v>
          </cell>
          <cell r="B4">
            <v>37746</v>
          </cell>
          <cell r="C4">
            <v>8</v>
          </cell>
          <cell r="D4" t="str">
            <v>Cty Xi Maêng Haø Tieân II</v>
          </cell>
          <cell r="E4" t="str">
            <v>710A.00091</v>
          </cell>
          <cell r="F4" t="str">
            <v>Coâng Thöông</v>
          </cell>
          <cell r="G4" t="str">
            <v>Kieân Giang</v>
          </cell>
          <cell r="H4" t="str">
            <v>Traû tieàn mua xi maêng 200taán</v>
          </cell>
          <cell r="I4">
            <v>160160000</v>
          </cell>
        </row>
        <row r="5">
          <cell r="A5">
            <v>4</v>
          </cell>
          <cell r="B5">
            <v>37746</v>
          </cell>
          <cell r="C5">
            <v>5</v>
          </cell>
          <cell r="D5" t="str">
            <v>Cty TNHH TMaïi Thaønh Long</v>
          </cell>
          <cell r="E5" t="str">
            <v>710A.00817</v>
          </cell>
          <cell r="F5" t="str">
            <v>Coâng Thöong CN6</v>
          </cell>
          <cell r="G5" t="str">
            <v>Hoà Chí Minh</v>
          </cell>
          <cell r="H5" t="str">
            <v>Traû tieàn mua boät ngoït</v>
          </cell>
          <cell r="I5">
            <v>250630399</v>
          </cell>
        </row>
        <row r="6">
          <cell r="A6">
            <v>1</v>
          </cell>
          <cell r="B6">
            <v>37746</v>
          </cell>
          <cell r="C6">
            <v>19</v>
          </cell>
          <cell r="D6" t="str">
            <v>Cty LD Khí Ñoát Saøi Goøn (Elf)</v>
          </cell>
          <cell r="E6" t="str">
            <v>100014851025745</v>
          </cell>
          <cell r="F6" t="str">
            <v>Eximbank</v>
          </cell>
          <cell r="G6" t="str">
            <v>Hoà Chí Minh</v>
          </cell>
          <cell r="H6" t="str">
            <v>Traû tieàn mua gaz</v>
          </cell>
          <cell r="I6">
            <v>23820360</v>
          </cell>
        </row>
        <row r="7">
          <cell r="A7">
            <v>5</v>
          </cell>
          <cell r="B7">
            <v>37746</v>
          </cell>
          <cell r="C7">
            <v>1</v>
          </cell>
          <cell r="D7" t="str">
            <v>Nhaø Maùy Thuoác Laù Saøi Goøn</v>
          </cell>
          <cell r="E7" t="str">
            <v>710A.00105</v>
          </cell>
          <cell r="F7" t="str">
            <v>Sôû Giao Dòch II CTVN</v>
          </cell>
          <cell r="G7" t="str">
            <v>Hoà Chí Minh</v>
          </cell>
          <cell r="H7" t="str">
            <v>Traû tieàn mua thuoác laù</v>
          </cell>
          <cell r="I7">
            <v>136300000</v>
          </cell>
        </row>
        <row r="8">
          <cell r="A8">
            <v>6</v>
          </cell>
          <cell r="B8">
            <v>37746</v>
          </cell>
          <cell r="C8">
            <v>10</v>
          </cell>
          <cell r="D8" t="str">
            <v>Cty TNHH Daàu Nhôùt vaø Hoùa Chaát VN</v>
          </cell>
          <cell r="E8" t="str">
            <v>001.004837.041</v>
          </cell>
          <cell r="F8" t="str">
            <v>Hoàng Kong&amp; Thöôïng Haûi</v>
          </cell>
          <cell r="G8" t="str">
            <v>Hoà Chí Minh</v>
          </cell>
          <cell r="H8" t="str">
            <v>Traû tieàn mua nhôùt</v>
          </cell>
          <cell r="I8">
            <v>307000000</v>
          </cell>
        </row>
        <row r="9">
          <cell r="A9">
            <v>2</v>
          </cell>
          <cell r="B9">
            <v>37746</v>
          </cell>
          <cell r="C9">
            <v>83</v>
          </cell>
          <cell r="D9" t="str">
            <v>CTy TNHH TM TH Thuaän Taân</v>
          </cell>
          <cell r="E9" t="str">
            <v>007.100.110.1337</v>
          </cell>
          <cell r="F9" t="str">
            <v>Ngoaïi Thöông</v>
          </cell>
          <cell r="G9" t="str">
            <v>Hoà Chí Minh</v>
          </cell>
          <cell r="H9" t="str">
            <v>Traû tieàn mua tivi</v>
          </cell>
          <cell r="I9">
            <v>43649600</v>
          </cell>
        </row>
        <row r="10">
          <cell r="A10">
            <v>3</v>
          </cell>
          <cell r="B10">
            <v>37746</v>
          </cell>
          <cell r="C10">
            <v>31</v>
          </cell>
          <cell r="D10" t="str">
            <v>Cty Daàu Aên Golden Hope - Nhaø Beø</v>
          </cell>
          <cell r="E10" t="str">
            <v>710A.06902</v>
          </cell>
          <cell r="F10" t="str">
            <v>Sôû Giao Dòch II CTVN</v>
          </cell>
          <cell r="G10" t="str">
            <v>Hoà Chí Minh</v>
          </cell>
          <cell r="H10" t="str">
            <v>Traû tieàn daàu aên( TT.TN.BL)</v>
          </cell>
          <cell r="I10">
            <v>75965070</v>
          </cell>
        </row>
        <row r="11">
          <cell r="A11">
            <v>4</v>
          </cell>
          <cell r="B11">
            <v>37747</v>
          </cell>
          <cell r="C11">
            <v>25</v>
          </cell>
          <cell r="D11" t="str">
            <v xml:space="preserve"> Thu Baûo Hieåm Xaõ Hoäi Tænh Baïc Lieâu</v>
          </cell>
          <cell r="E11" t="str">
            <v>421401.12</v>
          </cell>
          <cell r="F11" t="str">
            <v>NN &amp; P/T N/Thoân</v>
          </cell>
          <cell r="G11" t="str">
            <v>Baïc Lieâu</v>
          </cell>
          <cell r="H11" t="str">
            <v>Noäp BHXH,BHYT thaùng 4/2003</v>
          </cell>
          <cell r="I11">
            <v>25053850</v>
          </cell>
        </row>
        <row r="12">
          <cell r="A12">
            <v>7</v>
          </cell>
          <cell r="B12">
            <v>37748</v>
          </cell>
          <cell r="C12">
            <v>41</v>
          </cell>
          <cell r="D12" t="str">
            <v>Cty Xi Maêng Nghi Sôn</v>
          </cell>
          <cell r="E12" t="str">
            <v>710A.02772</v>
          </cell>
          <cell r="F12" t="str">
            <v>Coâng Thöông CN 9</v>
          </cell>
          <cell r="G12" t="str">
            <v>Hoà Chí Minh</v>
          </cell>
          <cell r="H12" t="str">
            <v>Traû tieàn mua xi maêng 300taán</v>
          </cell>
          <cell r="I12">
            <v>246000000</v>
          </cell>
        </row>
        <row r="13">
          <cell r="A13">
            <v>5</v>
          </cell>
          <cell r="B13">
            <v>37749</v>
          </cell>
          <cell r="C13">
            <v>31</v>
          </cell>
          <cell r="D13" t="str">
            <v>Cty Daàu Aên Golden Hope - Nhaø Beø</v>
          </cell>
          <cell r="E13" t="str">
            <v>710A.06902</v>
          </cell>
          <cell r="F13" t="str">
            <v>Sôû Giao Dòch II CTVN</v>
          </cell>
          <cell r="G13" t="str">
            <v>Hoà Chí Minh</v>
          </cell>
          <cell r="H13" t="str">
            <v>Traû tieàn daàu aên( TT.BL: 5.427.400Ñ ;TT.CM : 84888128ñ)</v>
          </cell>
          <cell r="I13">
            <v>90315528</v>
          </cell>
        </row>
        <row r="14">
          <cell r="A14">
            <v>6</v>
          </cell>
          <cell r="B14">
            <v>37750</v>
          </cell>
          <cell r="C14">
            <v>27</v>
          </cell>
          <cell r="D14" t="str">
            <v>Cty TNHH Quoác Teá Nagarjuna</v>
          </cell>
          <cell r="E14" t="str">
            <v>3586.1</v>
          </cell>
          <cell r="F14" t="str">
            <v>INDOVINA</v>
          </cell>
          <cell r="G14" t="str">
            <v>Hoà Chí Minh</v>
          </cell>
          <cell r="H14" t="str">
            <v>Traø tieàn mua ñöôøng</v>
          </cell>
          <cell r="I14">
            <v>27300000</v>
          </cell>
        </row>
        <row r="15">
          <cell r="A15">
            <v>7</v>
          </cell>
          <cell r="B15">
            <v>37750</v>
          </cell>
          <cell r="C15">
            <v>83</v>
          </cell>
          <cell r="D15" t="str">
            <v>CTy TNHH TM TH Thuaän Taân</v>
          </cell>
          <cell r="E15" t="str">
            <v>007.100.110.1337</v>
          </cell>
          <cell r="F15" t="str">
            <v>Ngoaïi Thöông</v>
          </cell>
          <cell r="G15" t="str">
            <v>Hoà Chí Minh</v>
          </cell>
          <cell r="H15" t="str">
            <v>Traøtieàn mua Tivi</v>
          </cell>
          <cell r="I15">
            <v>15880260</v>
          </cell>
        </row>
        <row r="16">
          <cell r="A16">
            <v>8</v>
          </cell>
          <cell r="B16">
            <v>37750</v>
          </cell>
          <cell r="C16">
            <v>14</v>
          </cell>
          <cell r="D16" t="str">
            <v>Coâng Ty Theùp Mieàn Nam</v>
          </cell>
          <cell r="E16" t="str">
            <v>710A.01611</v>
          </cell>
          <cell r="F16" t="str">
            <v>Coâng Thöông CN I</v>
          </cell>
          <cell r="G16" t="str">
            <v>Hoà Chí Minh</v>
          </cell>
          <cell r="H16" t="str">
            <v>Traû tieàn mua haøng cho CN Theùp Mieàn Nam taïi Caàn Thô</v>
          </cell>
          <cell r="I16">
            <v>449567255</v>
          </cell>
        </row>
        <row r="17">
          <cell r="A17">
            <v>9</v>
          </cell>
          <cell r="B17">
            <v>37750</v>
          </cell>
          <cell r="C17">
            <v>5</v>
          </cell>
          <cell r="D17" t="str">
            <v>Cty TNHH TMaïi Thaønh Long</v>
          </cell>
          <cell r="E17" t="str">
            <v>710A.00817</v>
          </cell>
          <cell r="F17" t="str">
            <v>Coâng Thöong CN6</v>
          </cell>
          <cell r="G17" t="str">
            <v>Hoà Chí Minh</v>
          </cell>
          <cell r="H17" t="str">
            <v>Traû tieàn mua boät ngoït</v>
          </cell>
          <cell r="I17">
            <v>257555067</v>
          </cell>
        </row>
        <row r="18">
          <cell r="A18">
            <v>8</v>
          </cell>
          <cell r="B18">
            <v>37750</v>
          </cell>
          <cell r="C18">
            <v>94</v>
          </cell>
          <cell r="D18" t="str">
            <v>CTy TNHH SX Taân AÙ Chaâu</v>
          </cell>
          <cell r="E18" t="str">
            <v>710A.01969</v>
          </cell>
          <cell r="F18" t="str">
            <v>Coâng Thöông CN 9</v>
          </cell>
          <cell r="G18" t="str">
            <v>Hoà Chí Minh</v>
          </cell>
          <cell r="H18" t="str">
            <v>Traû tieàn mua chaùo Bình Tieân</v>
          </cell>
          <cell r="I18">
            <v>5963000</v>
          </cell>
        </row>
        <row r="19">
          <cell r="A19">
            <v>9</v>
          </cell>
          <cell r="B19">
            <v>37750</v>
          </cell>
          <cell r="C19">
            <v>44</v>
          </cell>
          <cell r="D19" t="str">
            <v>CTy Ñieän Baùo Ñieän Thoaïi Baïc Lieâu</v>
          </cell>
          <cell r="E19" t="str">
            <v>710A.00074</v>
          </cell>
          <cell r="F19" t="str">
            <v xml:space="preserve">Coâng Thöông </v>
          </cell>
          <cell r="G19" t="str">
            <v>Baïc Lieâu</v>
          </cell>
          <cell r="H19" t="str">
            <v>Tieàn ñieän thoaïi thaùng 4/2003</v>
          </cell>
          <cell r="I19">
            <v>10122657</v>
          </cell>
        </row>
        <row r="20">
          <cell r="A20">
            <v>10</v>
          </cell>
          <cell r="B20">
            <v>37753</v>
          </cell>
          <cell r="C20">
            <v>28</v>
          </cell>
          <cell r="D20" t="str">
            <v>Chi Nhaùnh Cty CP Söõa VN Taïi Caàn Thô</v>
          </cell>
          <cell r="E20" t="str">
            <v>7301.0479K</v>
          </cell>
          <cell r="F20" t="str">
            <v>Ñaàu Tö &amp; Phaùt Trieån</v>
          </cell>
          <cell r="G20" t="str">
            <v>Caàn Thô</v>
          </cell>
          <cell r="H20" t="str">
            <v>Traû tieàn mua söõa caùc loaïi</v>
          </cell>
          <cell r="I20">
            <v>374144218</v>
          </cell>
        </row>
        <row r="21">
          <cell r="A21">
            <v>11</v>
          </cell>
          <cell r="B21">
            <v>37753</v>
          </cell>
          <cell r="C21">
            <v>73</v>
          </cell>
          <cell r="D21" t="str">
            <v>Cty. TNHH SX.TM.HMP Myõ Haûo</v>
          </cell>
          <cell r="E21" t="str">
            <v>007.100.002.4148</v>
          </cell>
          <cell r="F21" t="str">
            <v>Ngoaïi Thöông</v>
          </cell>
          <cell r="G21" t="str">
            <v>Hoà Chí Minh</v>
          </cell>
          <cell r="H21" t="str">
            <v>Traû tieàn mua nöôùc röûa cheùn(TT.CM: 45.050.322ñ ; TT.BL: 32.637.627ñ)</v>
          </cell>
          <cell r="I21">
            <v>77687949</v>
          </cell>
        </row>
        <row r="22">
          <cell r="A22">
            <v>10</v>
          </cell>
          <cell r="B22">
            <v>37753</v>
          </cell>
          <cell r="C22">
            <v>8</v>
          </cell>
          <cell r="D22" t="str">
            <v>Cty Xi Maêng Haø Tieân II</v>
          </cell>
          <cell r="E22" t="str">
            <v>710A.00091</v>
          </cell>
          <cell r="F22" t="str">
            <v>Coâng Thöông</v>
          </cell>
          <cell r="G22" t="str">
            <v>Kieân Giang</v>
          </cell>
          <cell r="H22" t="str">
            <v>Traû tieàn mua xi maêng 250taán</v>
          </cell>
          <cell r="I22">
            <v>200200000</v>
          </cell>
        </row>
        <row r="23">
          <cell r="A23">
            <v>12</v>
          </cell>
          <cell r="B23">
            <v>37754</v>
          </cell>
          <cell r="C23">
            <v>90</v>
          </cell>
          <cell r="D23" t="str">
            <v>CN CTy. CP Ñöôøng Bieân Hoøa taïi Caàn Thô</v>
          </cell>
          <cell r="E23" t="str">
            <v>710A.80253</v>
          </cell>
          <cell r="F23" t="str">
            <v>Coâng Thöông</v>
          </cell>
          <cell r="G23" t="str">
            <v>Caàn Thô</v>
          </cell>
          <cell r="H23" t="str">
            <v>Traû tieàn mua ñöôøng</v>
          </cell>
          <cell r="I23">
            <v>10220000</v>
          </cell>
        </row>
        <row r="24">
          <cell r="A24">
            <v>13</v>
          </cell>
          <cell r="B24">
            <v>37755</v>
          </cell>
          <cell r="C24">
            <v>66</v>
          </cell>
          <cell r="D24" t="str">
            <v>Cty UNI PRESIDENT</v>
          </cell>
          <cell r="E24" t="str">
            <v>30 98 208</v>
          </cell>
          <cell r="F24" t="str">
            <v>ANZ</v>
          </cell>
          <cell r="G24" t="str">
            <v>Hoà Chí Minh</v>
          </cell>
          <cell r="H24" t="str">
            <v>Traû tieàn mua mì</v>
          </cell>
          <cell r="I24">
            <v>56918400</v>
          </cell>
        </row>
        <row r="25">
          <cell r="A25">
            <v>11</v>
          </cell>
          <cell r="B25">
            <v>37755</v>
          </cell>
          <cell r="C25">
            <v>16</v>
          </cell>
          <cell r="D25" t="str">
            <v>Cty Daàu Khí Petechim</v>
          </cell>
          <cell r="E25" t="str">
            <v>007.1.00.000583.2</v>
          </cell>
          <cell r="F25" t="str">
            <v>Ngoaïi Thöông</v>
          </cell>
          <cell r="G25" t="str">
            <v>Hoà Chí Minh</v>
          </cell>
          <cell r="H25" t="str">
            <v>Traû tieàn mua xaêng daàu</v>
          </cell>
          <cell r="I25">
            <v>3930000000</v>
          </cell>
        </row>
        <row r="26">
          <cell r="A26">
            <v>12</v>
          </cell>
          <cell r="B26">
            <v>37755</v>
          </cell>
          <cell r="C26">
            <v>5</v>
          </cell>
          <cell r="D26" t="str">
            <v>Cty TNHH TMaïi Thaønh Long</v>
          </cell>
          <cell r="E26" t="str">
            <v>710A.00817</v>
          </cell>
          <cell r="F26" t="str">
            <v>Coâng Thöong CN6</v>
          </cell>
          <cell r="G26" t="str">
            <v>Hoà Chí Minh</v>
          </cell>
          <cell r="H26" t="str">
            <v>Traû tieàn mua boät ngoït</v>
          </cell>
          <cell r="I26">
            <v>280171260</v>
          </cell>
        </row>
        <row r="27">
          <cell r="A27">
            <v>13</v>
          </cell>
          <cell r="B27">
            <v>37755</v>
          </cell>
          <cell r="C27">
            <v>8</v>
          </cell>
          <cell r="D27" t="str">
            <v>Cty Xi Maêng Haø Tieân II</v>
          </cell>
          <cell r="E27" t="str">
            <v>710A.00091</v>
          </cell>
          <cell r="F27" t="str">
            <v>Coâng Thöông</v>
          </cell>
          <cell r="G27" t="str">
            <v>Kieân Giang</v>
          </cell>
          <cell r="H27" t="str">
            <v>Traû tieàn mua xi maêng 250taán</v>
          </cell>
          <cell r="I27">
            <v>200200000</v>
          </cell>
        </row>
        <row r="28">
          <cell r="A28">
            <v>14</v>
          </cell>
          <cell r="B28">
            <v>37755</v>
          </cell>
          <cell r="C28">
            <v>1</v>
          </cell>
          <cell r="D28" t="str">
            <v>Nhaø Maùy Thuoác Laù Saøi Goøn</v>
          </cell>
          <cell r="E28" t="str">
            <v>710A.00105</v>
          </cell>
          <cell r="F28" t="str">
            <v>Sôû Giao Dòch II CTVN</v>
          </cell>
          <cell r="G28" t="str">
            <v>Hoà Chí Minh</v>
          </cell>
          <cell r="H28" t="str">
            <v>Traû tieàn mua thuoác laù</v>
          </cell>
          <cell r="I28">
            <v>187500000</v>
          </cell>
        </row>
        <row r="29">
          <cell r="A29">
            <v>15</v>
          </cell>
          <cell r="B29">
            <v>37755</v>
          </cell>
          <cell r="C29">
            <v>3</v>
          </cell>
          <cell r="D29" t="str">
            <v>Cty Coå Phaàn Boät Giaët Lix</v>
          </cell>
          <cell r="E29" t="str">
            <v>710A.01440</v>
          </cell>
          <cell r="F29" t="str">
            <v>Coâng Thöông CN 14</v>
          </cell>
          <cell r="G29" t="str">
            <v>Hoà Chí Minh</v>
          </cell>
          <cell r="H29" t="str">
            <v>Traû tieàn mua boät giaët</v>
          </cell>
          <cell r="I29">
            <v>300000000</v>
          </cell>
        </row>
        <row r="30">
          <cell r="A30">
            <v>14</v>
          </cell>
          <cell r="B30">
            <v>37756</v>
          </cell>
          <cell r="C30">
            <v>27</v>
          </cell>
          <cell r="D30" t="str">
            <v>Cty TNHH Quoác Teá Nagarjuna</v>
          </cell>
          <cell r="E30" t="str">
            <v>3586.1</v>
          </cell>
          <cell r="F30" t="str">
            <v>INDOVINA</v>
          </cell>
          <cell r="G30" t="str">
            <v>Hoà Chí Minh</v>
          </cell>
          <cell r="H30" t="str">
            <v>Traû tieàn mua ñöôøng</v>
          </cell>
          <cell r="I30">
            <v>27650000</v>
          </cell>
        </row>
        <row r="31">
          <cell r="A31">
            <v>15</v>
          </cell>
          <cell r="B31">
            <v>37756</v>
          </cell>
          <cell r="C31">
            <v>9</v>
          </cell>
          <cell r="D31" t="str">
            <v>Castrol Vieät Nam Ltd</v>
          </cell>
          <cell r="E31" t="str">
            <v>007.1.00.002804.1</v>
          </cell>
          <cell r="F31" t="str">
            <v>Ngoaïi Thöông</v>
          </cell>
          <cell r="G31" t="str">
            <v>Hoà Chí Minh</v>
          </cell>
          <cell r="H31" t="str">
            <v>Traû tieàn mua nhôùt</v>
          </cell>
          <cell r="I31">
            <v>158147302</v>
          </cell>
        </row>
        <row r="32">
          <cell r="A32">
            <v>16</v>
          </cell>
          <cell r="B32">
            <v>37756</v>
          </cell>
          <cell r="C32">
            <v>95</v>
          </cell>
          <cell r="D32" t="str">
            <v>Cty Deät May Thaønh Coâng - CN MieànTaây</v>
          </cell>
          <cell r="E32" t="str">
            <v>73012209E</v>
          </cell>
          <cell r="F32" t="str">
            <v>Ñaàu Tö &amp; Phaùt Trieån</v>
          </cell>
          <cell r="G32" t="str">
            <v>Caàn Thô</v>
          </cell>
          <cell r="H32" t="str">
            <v>Traû tieàn mua haøng may maëc+ vaûi</v>
          </cell>
          <cell r="I32">
            <v>2667640</v>
          </cell>
        </row>
        <row r="33">
          <cell r="A33">
            <v>17</v>
          </cell>
          <cell r="B33">
            <v>37757</v>
          </cell>
          <cell r="C33">
            <v>21</v>
          </cell>
          <cell r="D33" t="str">
            <v>Cty Coå Phaàn Vaät Tö  Haäu Giang</v>
          </cell>
          <cell r="E33" t="str">
            <v>710A.00040</v>
          </cell>
          <cell r="F33" t="str">
            <v>Coâng Thöông</v>
          </cell>
          <cell r="G33" t="str">
            <v>Caàn Thô</v>
          </cell>
          <cell r="H33" t="str">
            <v>Traû tieàn mua gaz</v>
          </cell>
          <cell r="I33">
            <v>50000000</v>
          </cell>
        </row>
        <row r="34">
          <cell r="A34">
            <v>18</v>
          </cell>
          <cell r="B34">
            <v>37760</v>
          </cell>
          <cell r="C34">
            <v>28</v>
          </cell>
          <cell r="D34" t="str">
            <v>Chi Nhaùnh Cty CP Söõa VN Taïi Caàn Thô</v>
          </cell>
          <cell r="E34" t="str">
            <v>7301.0479K</v>
          </cell>
          <cell r="F34" t="str">
            <v>Ñaàu Tö &amp; Phaùt Trieån</v>
          </cell>
          <cell r="G34" t="str">
            <v>Caàn Thô</v>
          </cell>
          <cell r="H34" t="str">
            <v>Traû tieàn mua söõa caùc loaïi</v>
          </cell>
          <cell r="I34">
            <v>444196009</v>
          </cell>
        </row>
        <row r="35">
          <cell r="A35">
            <v>19</v>
          </cell>
          <cell r="B35">
            <v>37760</v>
          </cell>
          <cell r="C35">
            <v>31</v>
          </cell>
          <cell r="D35" t="str">
            <v>Cty Daàu Aên Golden Hope - Nhaø Beø</v>
          </cell>
          <cell r="E35" t="str">
            <v>710A.06902</v>
          </cell>
          <cell r="F35" t="str">
            <v>Sôû Giao Dòch II CTVN</v>
          </cell>
          <cell r="G35" t="str">
            <v>Hoà Chí Minh</v>
          </cell>
          <cell r="H35" t="str">
            <v>Traû tieàn daàu aên( TT.BL: 77.570.548ñ ;TT.CM : 82.727.876ñ)</v>
          </cell>
          <cell r="I35">
            <v>160298424</v>
          </cell>
        </row>
        <row r="36">
          <cell r="A36">
            <v>16</v>
          </cell>
          <cell r="B36">
            <v>37760</v>
          </cell>
          <cell r="C36">
            <v>8</v>
          </cell>
          <cell r="D36" t="str">
            <v>Cty Xi Maêng Haø Tieân II</v>
          </cell>
          <cell r="E36" t="str">
            <v>710A.00091</v>
          </cell>
          <cell r="F36" t="str">
            <v>Coâng Thöông</v>
          </cell>
          <cell r="G36" t="str">
            <v>Kieân Giang</v>
          </cell>
          <cell r="H36" t="str">
            <v>Traû tieàn mua xi maêng 200taán</v>
          </cell>
          <cell r="I36">
            <v>160160000</v>
          </cell>
        </row>
        <row r="37">
          <cell r="A37">
            <v>20</v>
          </cell>
          <cell r="B37">
            <v>37760</v>
          </cell>
          <cell r="C37">
            <v>27</v>
          </cell>
          <cell r="D37" t="str">
            <v>Cty TNHH Quoác Teá Nagarjuna</v>
          </cell>
          <cell r="E37" t="str">
            <v>3586.1</v>
          </cell>
          <cell r="F37" t="str">
            <v>INDOVINA</v>
          </cell>
          <cell r="G37" t="str">
            <v>Hoà Chí Minh</v>
          </cell>
          <cell r="H37" t="str">
            <v>Traû tieàn mua ñöôøng</v>
          </cell>
          <cell r="I37">
            <v>27650000</v>
          </cell>
        </row>
        <row r="38">
          <cell r="A38">
            <v>21</v>
          </cell>
          <cell r="B38">
            <v>37760</v>
          </cell>
          <cell r="C38">
            <v>73</v>
          </cell>
          <cell r="D38" t="str">
            <v>Cty. TNHH SX.TM.HMP Myõ Haûo</v>
          </cell>
          <cell r="E38" t="str">
            <v>007.100.002.4148</v>
          </cell>
          <cell r="F38" t="str">
            <v>Ngoaïi Thöông</v>
          </cell>
          <cell r="G38" t="str">
            <v>Hoà Chí Minh</v>
          </cell>
          <cell r="H38" t="str">
            <v>Traû tieàn mua nöôùc röûa cheùn(TT.CM: 59.742.382ñ ; TT.BL: 37.733.597ñ)</v>
          </cell>
          <cell r="I38">
            <v>97475979</v>
          </cell>
        </row>
        <row r="39">
          <cell r="A39">
            <v>17</v>
          </cell>
          <cell r="B39">
            <v>37761</v>
          </cell>
          <cell r="C39">
            <v>4</v>
          </cell>
          <cell r="D39" t="str">
            <v>Cty TMKT &amp; Ñaàu Tö PETEC</v>
          </cell>
          <cell r="E39" t="str">
            <v>710A.09566</v>
          </cell>
          <cell r="F39" t="str">
            <v>Sôû Giao Dòch II  CTVN</v>
          </cell>
          <cell r="G39" t="str">
            <v>Hoà Chí Minh</v>
          </cell>
          <cell r="H39" t="str">
            <v>Traû tieàn mua xaêng daàu</v>
          </cell>
          <cell r="I39">
            <v>1000000000</v>
          </cell>
        </row>
        <row r="40">
          <cell r="A40">
            <v>18</v>
          </cell>
          <cell r="B40">
            <v>37761</v>
          </cell>
          <cell r="C40">
            <v>14</v>
          </cell>
          <cell r="D40" t="str">
            <v>Coâng Ty Theùp Mieàn Nam</v>
          </cell>
          <cell r="E40" t="str">
            <v>710A.01611</v>
          </cell>
          <cell r="F40" t="str">
            <v>Coâng Thöông CN I</v>
          </cell>
          <cell r="G40" t="str">
            <v>Hoà Chí Minh</v>
          </cell>
          <cell r="H40" t="str">
            <v>Traû tieàn mua haøng cho CN Theùp Mieàn Nam taïi Caàn Thô</v>
          </cell>
          <cell r="I40">
            <v>250000000</v>
          </cell>
        </row>
        <row r="41">
          <cell r="A41">
            <v>22</v>
          </cell>
          <cell r="B41">
            <v>37761</v>
          </cell>
          <cell r="C41">
            <v>19</v>
          </cell>
          <cell r="D41" t="str">
            <v>Cty LD Khí Ñoát Saøi Goøn (Elf)</v>
          </cell>
          <cell r="E41" t="str">
            <v>100014851025745</v>
          </cell>
          <cell r="F41" t="str">
            <v>Eximbank</v>
          </cell>
          <cell r="G41" t="str">
            <v>Hoà Chí Minh</v>
          </cell>
          <cell r="H41" t="str">
            <v>Traû tieàn mua gaz</v>
          </cell>
          <cell r="I41">
            <v>23922360</v>
          </cell>
        </row>
        <row r="42">
          <cell r="A42">
            <v>19</v>
          </cell>
          <cell r="B42">
            <v>37762</v>
          </cell>
          <cell r="C42">
            <v>8</v>
          </cell>
          <cell r="D42" t="str">
            <v>Cty Xi Maêng Haø Tieân II</v>
          </cell>
          <cell r="E42" t="str">
            <v>710A.00091</v>
          </cell>
          <cell r="F42" t="str">
            <v>Coâng Thöông</v>
          </cell>
          <cell r="G42" t="str">
            <v>Kieân Giang</v>
          </cell>
          <cell r="H42" t="str">
            <v>Traû tieàn mua xi maêng 200taán</v>
          </cell>
          <cell r="I42">
            <v>157190000</v>
          </cell>
        </row>
        <row r="43">
          <cell r="A43">
            <v>20</v>
          </cell>
          <cell r="B43">
            <v>37762</v>
          </cell>
          <cell r="C43">
            <v>1</v>
          </cell>
          <cell r="D43" t="str">
            <v>Nhaø Maùy Thuoác Laù Saøi Goøn</v>
          </cell>
          <cell r="E43" t="str">
            <v>710A.00105</v>
          </cell>
          <cell r="F43" t="str">
            <v>Sôû Giao Dòch II CTVN</v>
          </cell>
          <cell r="G43" t="str">
            <v>Hoà Chí Minh</v>
          </cell>
          <cell r="H43" t="str">
            <v>Traû tieàn mua thuoác laù</v>
          </cell>
          <cell r="I43">
            <v>300000000</v>
          </cell>
        </row>
        <row r="44">
          <cell r="A44">
            <v>23</v>
          </cell>
          <cell r="B44">
            <v>37762</v>
          </cell>
          <cell r="C44">
            <v>31</v>
          </cell>
          <cell r="D44" t="str">
            <v>Cty Daàu Aên Golden Hope - Nhaø Beø</v>
          </cell>
          <cell r="E44" t="str">
            <v>710A.06902</v>
          </cell>
          <cell r="F44" t="str">
            <v>Sôû Giao Dòch II CTVN</v>
          </cell>
          <cell r="G44" t="str">
            <v>Hoà Chí Minh</v>
          </cell>
          <cell r="H44" t="str">
            <v>Traû tieàn daàu aên( TT.TN.BL)</v>
          </cell>
          <cell r="I44">
            <v>76436404</v>
          </cell>
        </row>
        <row r="45">
          <cell r="A45">
            <v>24</v>
          </cell>
          <cell r="B45">
            <v>37763</v>
          </cell>
          <cell r="C45">
            <v>28</v>
          </cell>
          <cell r="D45" t="str">
            <v>Chi Nhaùnh Cty CP Söõa VN Taïi Caàn Thô</v>
          </cell>
          <cell r="E45" t="str">
            <v>7301.0479K</v>
          </cell>
          <cell r="F45" t="str">
            <v>Ñaàu Tö &amp; Phaùt Trieån</v>
          </cell>
          <cell r="G45" t="str">
            <v>Caàn Thô</v>
          </cell>
          <cell r="H45" t="str">
            <v>Traû tieàn mua söõa caùc loaïi</v>
          </cell>
          <cell r="I45">
            <v>213758688</v>
          </cell>
        </row>
        <row r="46">
          <cell r="A46">
            <v>25</v>
          </cell>
          <cell r="B46">
            <v>37764</v>
          </cell>
          <cell r="C46">
            <v>31</v>
          </cell>
          <cell r="D46" t="str">
            <v>Cty Daàu Aên Golden Hope - Nhaø Beø</v>
          </cell>
          <cell r="E46" t="str">
            <v>710A.06902</v>
          </cell>
          <cell r="F46" t="str">
            <v>Sôû Giao Dòch II CTVN</v>
          </cell>
          <cell r="G46" t="str">
            <v>Hoà Chí Minh</v>
          </cell>
          <cell r="H46" t="str">
            <v>Traû tieàn daàu aên( TT.TN.CM)</v>
          </cell>
          <cell r="I46">
            <v>80386240</v>
          </cell>
        </row>
        <row r="47">
          <cell r="A47">
            <v>26</v>
          </cell>
          <cell r="B47">
            <v>37764</v>
          </cell>
          <cell r="C47">
            <v>27</v>
          </cell>
          <cell r="D47" t="str">
            <v>Cty TNHH Quoác Teá Nagarjuna</v>
          </cell>
          <cell r="E47" t="str">
            <v>3586.1</v>
          </cell>
          <cell r="F47" t="str">
            <v>INDOVINA</v>
          </cell>
          <cell r="G47" t="str">
            <v>Hoà Chí Minh</v>
          </cell>
          <cell r="H47" t="str">
            <v>Traû tieàn mua ñöôøng</v>
          </cell>
          <cell r="I47">
            <v>27650000</v>
          </cell>
        </row>
        <row r="48">
          <cell r="A48">
            <v>21</v>
          </cell>
          <cell r="B48">
            <v>37764</v>
          </cell>
          <cell r="C48">
            <v>5</v>
          </cell>
          <cell r="D48" t="str">
            <v>Cty TNHH TMaïi Thaønh Long</v>
          </cell>
          <cell r="E48" t="str">
            <v>710A.00817</v>
          </cell>
          <cell r="F48" t="str">
            <v>Coâng Thöong CN6</v>
          </cell>
          <cell r="G48" t="str">
            <v>Hoà Chí Minh</v>
          </cell>
          <cell r="H48" t="str">
            <v>Traû tieàn mua boät ngoït</v>
          </cell>
          <cell r="I48">
            <v>178321565</v>
          </cell>
        </row>
        <row r="49">
          <cell r="A49">
            <v>22</v>
          </cell>
          <cell r="B49">
            <v>37764</v>
          </cell>
          <cell r="C49">
            <v>36</v>
          </cell>
          <cell r="D49" t="str">
            <v>XN Xaêng Daàu Daàu Khí Vuõng Taøu</v>
          </cell>
          <cell r="E49" t="str">
            <v>710D.00343</v>
          </cell>
          <cell r="F49" t="str">
            <v>Coâng Thöông</v>
          </cell>
          <cell r="G49" t="str">
            <v>Baø Ròa-Vuõng Taøu</v>
          </cell>
          <cell r="H49" t="str">
            <v>Traû tieàn mua xaêng daàu</v>
          </cell>
          <cell r="I49">
            <v>7700000000</v>
          </cell>
        </row>
        <row r="50">
          <cell r="A50">
            <v>27</v>
          </cell>
          <cell r="B50">
            <v>37764</v>
          </cell>
          <cell r="C50">
            <v>31</v>
          </cell>
          <cell r="D50" t="str">
            <v>Cty Daàu Aên Golden Hope - Nhaø Beø</v>
          </cell>
          <cell r="E50" t="str">
            <v>710A.06902</v>
          </cell>
          <cell r="F50" t="str">
            <v>Sôû Giao Dòch II CTVN</v>
          </cell>
          <cell r="G50" t="str">
            <v>Hoà Chí Minh</v>
          </cell>
          <cell r="H50" t="str">
            <v>Traû tieàn daàu aên( TT.TN.BL)</v>
          </cell>
          <cell r="I50">
            <v>75292290</v>
          </cell>
        </row>
        <row r="51">
          <cell r="A51">
            <v>28</v>
          </cell>
          <cell r="B51">
            <v>37764</v>
          </cell>
          <cell r="C51">
            <v>83</v>
          </cell>
          <cell r="D51" t="str">
            <v>CTy TNHH TM TH Thuaän Taân</v>
          </cell>
          <cell r="E51" t="str">
            <v>007.100.110.1337</v>
          </cell>
          <cell r="F51" t="str">
            <v>Ngoaïi Thöông</v>
          </cell>
          <cell r="G51" t="str">
            <v>Hoà Chí Minh</v>
          </cell>
          <cell r="H51" t="str">
            <v>Traû tieàn mua Tivi</v>
          </cell>
          <cell r="I51">
            <v>30206880</v>
          </cell>
        </row>
        <row r="52">
          <cell r="A52">
            <v>29</v>
          </cell>
          <cell r="B52">
            <v>37767</v>
          </cell>
          <cell r="C52">
            <v>28</v>
          </cell>
          <cell r="D52" t="str">
            <v>Chi Nhaùnh Cty CP Söõa VN Taïi Caàn Thô</v>
          </cell>
          <cell r="E52" t="str">
            <v>7301.0479K</v>
          </cell>
          <cell r="F52" t="str">
            <v>Ñaàu Tö &amp; Phaùt Trieån</v>
          </cell>
          <cell r="G52" t="str">
            <v>Caàn Thô</v>
          </cell>
          <cell r="H52" t="str">
            <v>Traû tieàn mua söõa caùc loaïi</v>
          </cell>
          <cell r="I52">
            <v>282740000</v>
          </cell>
        </row>
        <row r="53">
          <cell r="A53">
            <v>23</v>
          </cell>
          <cell r="B53">
            <v>37767</v>
          </cell>
          <cell r="C53">
            <v>8</v>
          </cell>
          <cell r="D53" t="str">
            <v>Cty Xi Maêng Haø Tieân II</v>
          </cell>
          <cell r="E53" t="str">
            <v>710A.00091</v>
          </cell>
          <cell r="F53" t="str">
            <v>Coâng Thöông</v>
          </cell>
          <cell r="G53" t="str">
            <v>Kieân Giang</v>
          </cell>
          <cell r="H53" t="str">
            <v>Traû tieàn mua xi maêng 250taán</v>
          </cell>
          <cell r="I53">
            <v>196487500</v>
          </cell>
        </row>
        <row r="54">
          <cell r="A54">
            <v>24</v>
          </cell>
          <cell r="B54">
            <v>37767</v>
          </cell>
          <cell r="C54">
            <v>73</v>
          </cell>
          <cell r="D54" t="str">
            <v>Cty. TNHH SX.TM.HMP Myõ Haûo</v>
          </cell>
          <cell r="E54" t="str">
            <v>007.100.002.4148</v>
          </cell>
          <cell r="F54" t="str">
            <v>Ngoaïi Thöông</v>
          </cell>
          <cell r="G54" t="str">
            <v>Hoà Chí Minh</v>
          </cell>
          <cell r="H54" t="str">
            <v>Traû tieàn mua nöôùc röûa cheùn(TT.CM: 33.298.230ñ ; TT.BL: 34.805.606ñ)</v>
          </cell>
          <cell r="I54">
            <v>68103836</v>
          </cell>
        </row>
        <row r="55">
          <cell r="A55">
            <v>25</v>
          </cell>
          <cell r="B55">
            <v>37768</v>
          </cell>
          <cell r="C55">
            <v>4</v>
          </cell>
          <cell r="D55" t="str">
            <v>Cty TMKT &amp; Ñaàu Tö PETEC</v>
          </cell>
          <cell r="E55" t="str">
            <v>710A.09566</v>
          </cell>
          <cell r="F55" t="str">
            <v>Sôû Giao Dòch II  CTVN</v>
          </cell>
          <cell r="G55" t="str">
            <v>Hoà Chí Minh</v>
          </cell>
          <cell r="H55" t="str">
            <v>Traû tieàn mua xaêng daàu</v>
          </cell>
          <cell r="I55">
            <v>4300000000</v>
          </cell>
        </row>
        <row r="56">
          <cell r="A56">
            <v>26</v>
          </cell>
          <cell r="B56">
            <v>37768</v>
          </cell>
          <cell r="C56">
            <v>4</v>
          </cell>
          <cell r="D56" t="str">
            <v>Cty TMKT &amp; Ñaàu Tö PETEC</v>
          </cell>
          <cell r="E56" t="str">
            <v>710A.09566</v>
          </cell>
          <cell r="F56" t="str">
            <v>Sôû Giao Dòch II  CTVN</v>
          </cell>
          <cell r="G56" t="str">
            <v>Hoà Chí Minh</v>
          </cell>
          <cell r="H56" t="str">
            <v>Traû tieàn mua xaêng daàu</v>
          </cell>
          <cell r="I56">
            <v>6640000000</v>
          </cell>
        </row>
        <row r="57">
          <cell r="A57">
            <v>27</v>
          </cell>
          <cell r="B57">
            <v>37769</v>
          </cell>
          <cell r="C57">
            <v>90</v>
          </cell>
          <cell r="D57" t="str">
            <v>CN CTy. CP Ñöôøng Bieân Hoøa taïi Caàn Thô</v>
          </cell>
          <cell r="E57" t="str">
            <v>710A.80253</v>
          </cell>
          <cell r="F57" t="str">
            <v>Coâng Thöông</v>
          </cell>
          <cell r="G57" t="str">
            <v>Caàn Thô</v>
          </cell>
          <cell r="H57" t="str">
            <v>Traû tieàn mì</v>
          </cell>
          <cell r="I57">
            <v>43943642</v>
          </cell>
        </row>
        <row r="58">
          <cell r="A58">
            <v>28</v>
          </cell>
          <cell r="B58">
            <v>37769</v>
          </cell>
          <cell r="C58">
            <v>10</v>
          </cell>
          <cell r="D58" t="str">
            <v>Cty TNHH Daàu Nhôùt vaø Hoùa Chaát VN</v>
          </cell>
          <cell r="E58" t="str">
            <v>001.004837.041</v>
          </cell>
          <cell r="F58" t="str">
            <v>Hoàng Kong&amp; Thöôïng Haûi</v>
          </cell>
          <cell r="G58" t="str">
            <v>Hoà Chí Minh</v>
          </cell>
          <cell r="H58" t="str">
            <v>Traû tieàn mua nhôùt</v>
          </cell>
          <cell r="I58">
            <v>414580000</v>
          </cell>
        </row>
        <row r="59">
          <cell r="A59">
            <v>29</v>
          </cell>
          <cell r="B59">
            <v>37770</v>
          </cell>
          <cell r="C59">
            <v>1</v>
          </cell>
          <cell r="D59" t="str">
            <v>Nhaø Maùy Thuoác Laù Saøi Goøn</v>
          </cell>
          <cell r="E59" t="str">
            <v>710A.00105</v>
          </cell>
          <cell r="F59" t="str">
            <v>Sôû Giao Dòch II CTVN</v>
          </cell>
          <cell r="G59" t="str">
            <v>Hoà Chí Minh</v>
          </cell>
          <cell r="H59" t="str">
            <v>Traû tieàn mua thuoác laù</v>
          </cell>
          <cell r="I59">
            <v>184825000</v>
          </cell>
        </row>
        <row r="60">
          <cell r="A60">
            <v>30</v>
          </cell>
          <cell r="B60">
            <v>37770</v>
          </cell>
          <cell r="C60">
            <v>12</v>
          </cell>
          <cell r="D60" t="str">
            <v>Cty Miwon Vieät Nam</v>
          </cell>
          <cell r="E60" t="str">
            <v>710A.00183</v>
          </cell>
          <cell r="F60" t="str">
            <v>Coâng Thöông</v>
          </cell>
          <cell r="G60" t="str">
            <v>Phuù Thoï</v>
          </cell>
          <cell r="H60" t="str">
            <v>Traû tieàn mua boät ngoït</v>
          </cell>
          <cell r="I60">
            <v>85317300</v>
          </cell>
        </row>
        <row r="61">
          <cell r="A61">
            <v>31</v>
          </cell>
          <cell r="B61">
            <v>37770</v>
          </cell>
          <cell r="C61">
            <v>41</v>
          </cell>
          <cell r="D61" t="str">
            <v>Cty Xi Maêng Nghi Sôn</v>
          </cell>
          <cell r="E61" t="str">
            <v>710A.02772</v>
          </cell>
          <cell r="F61" t="str">
            <v>Coâng Thöông CN 9</v>
          </cell>
          <cell r="G61" t="str">
            <v>Hoà Chí Minh</v>
          </cell>
          <cell r="H61" t="str">
            <v>Traû tieàn mua xi maêng</v>
          </cell>
          <cell r="I61">
            <v>246000000</v>
          </cell>
        </row>
        <row r="62">
          <cell r="A62">
            <v>30</v>
          </cell>
          <cell r="B62">
            <v>37771</v>
          </cell>
          <cell r="C62">
            <v>28</v>
          </cell>
          <cell r="D62" t="str">
            <v>Chi Nhaùnh Cty CP Söõa VN Taïi Caàn Thô</v>
          </cell>
          <cell r="E62" t="str">
            <v>7301.0479K</v>
          </cell>
          <cell r="F62" t="str">
            <v>Ñaàu Tö &amp; Phaùt Trieån</v>
          </cell>
          <cell r="G62" t="str">
            <v>Caàn Thô</v>
          </cell>
          <cell r="H62" t="str">
            <v>Traû tieàn mua söõa caùc loaïi</v>
          </cell>
          <cell r="I62">
            <v>387001969</v>
          </cell>
        </row>
        <row r="63">
          <cell r="A63">
            <v>31</v>
          </cell>
          <cell r="B63">
            <v>37771</v>
          </cell>
          <cell r="C63">
            <v>90</v>
          </cell>
          <cell r="D63" t="str">
            <v>CN CTy. CP Ñöôøng Bieân Hoøa taïi Caàn Thô</v>
          </cell>
          <cell r="E63" t="str">
            <v>710A.80253</v>
          </cell>
          <cell r="F63" t="str">
            <v>Coâng Thöông</v>
          </cell>
          <cell r="G63" t="str">
            <v>Caàn Thô</v>
          </cell>
          <cell r="H63" t="str">
            <v>Traû tieàn mua ñöôøng</v>
          </cell>
          <cell r="I63">
            <v>10243500</v>
          </cell>
        </row>
        <row r="64">
          <cell r="A64">
            <v>1</v>
          </cell>
          <cell r="B64">
            <v>37774</v>
          </cell>
          <cell r="C64">
            <v>28</v>
          </cell>
          <cell r="D64" t="str">
            <v>Chi Nhaùnh Cty CP Söõa VN Taïi Caàn Thô</v>
          </cell>
          <cell r="E64" t="str">
            <v>7301.0479K</v>
          </cell>
          <cell r="F64" t="str">
            <v>Ñaàu Tö &amp; Phaùt Trieån</v>
          </cell>
          <cell r="G64" t="str">
            <v>Caàn Thô</v>
          </cell>
          <cell r="H64" t="str">
            <v>Traû tieàn mua söõa caùc loaïi</v>
          </cell>
          <cell r="I64">
            <v>477437721</v>
          </cell>
        </row>
        <row r="65">
          <cell r="A65">
            <v>1</v>
          </cell>
          <cell r="B65">
            <v>37774</v>
          </cell>
          <cell r="C65">
            <v>8</v>
          </cell>
          <cell r="D65" t="str">
            <v>Cty Xi Maêng Haø Tieân II</v>
          </cell>
          <cell r="E65" t="str">
            <v>710A.00091</v>
          </cell>
          <cell r="F65" t="str">
            <v>Coâng Thöông</v>
          </cell>
          <cell r="G65" t="str">
            <v>Kieân Giang</v>
          </cell>
          <cell r="H65" t="str">
            <v>Traû tieàn mua xi maêng 200taán</v>
          </cell>
          <cell r="I65">
            <v>160160000</v>
          </cell>
        </row>
        <row r="66">
          <cell r="A66">
            <v>2</v>
          </cell>
          <cell r="B66">
            <v>37774</v>
          </cell>
          <cell r="C66">
            <v>73</v>
          </cell>
          <cell r="D66" t="str">
            <v>Cty. TNHH SX.TM.HMP Myõ Haûo</v>
          </cell>
          <cell r="E66" t="str">
            <v>007.100.002.4148</v>
          </cell>
          <cell r="F66" t="str">
            <v>Ngoaïi Thöông</v>
          </cell>
          <cell r="G66" t="str">
            <v>Hoà Chí Minh</v>
          </cell>
          <cell r="H66" t="str">
            <v>Traû tieàn mua nöôùc röûa cheùn(TT.TN.CM)</v>
          </cell>
          <cell r="I66">
            <v>27631646</v>
          </cell>
        </row>
        <row r="67">
          <cell r="A67">
            <v>3</v>
          </cell>
          <cell r="B67">
            <v>37774</v>
          </cell>
          <cell r="C67">
            <v>19</v>
          </cell>
          <cell r="D67" t="str">
            <v>Cty LD Khí Ñoát Saøi Goøn (Elf)</v>
          </cell>
          <cell r="E67" t="str">
            <v>100014851025745</v>
          </cell>
          <cell r="F67" t="str">
            <v>Eximbank</v>
          </cell>
          <cell r="G67" t="str">
            <v>Hoà Chí Minh</v>
          </cell>
          <cell r="H67" t="str">
            <v>Traû tieàn mua gaz</v>
          </cell>
          <cell r="I67">
            <v>23922360</v>
          </cell>
        </row>
        <row r="68">
          <cell r="A68">
            <v>4</v>
          </cell>
          <cell r="B68">
            <v>37774</v>
          </cell>
          <cell r="C68">
            <v>31</v>
          </cell>
          <cell r="D68" t="str">
            <v>Cty Daàu Aên Golden Hope - Nhaø Beø</v>
          </cell>
          <cell r="E68" t="str">
            <v>710A.06902</v>
          </cell>
          <cell r="F68" t="str">
            <v>Sôû Giao Dòch II CTVN</v>
          </cell>
          <cell r="G68" t="str">
            <v>Hoà Chí Minh</v>
          </cell>
          <cell r="H68" t="str">
            <v>Traû tieàn mua daàu aên (TT.CM : 76.365.168ñ ) daàu xaù traïm Caàn Thô : 26.999.500ñ</v>
          </cell>
          <cell r="I68">
            <v>103364668</v>
          </cell>
        </row>
        <row r="69">
          <cell r="A69">
            <v>2</v>
          </cell>
          <cell r="B69">
            <v>37775</v>
          </cell>
          <cell r="C69">
            <v>3</v>
          </cell>
          <cell r="D69" t="str">
            <v>Cty Coå Phaàn Boät Giaët Lix</v>
          </cell>
          <cell r="E69" t="str">
            <v>710A.01440</v>
          </cell>
          <cell r="F69" t="str">
            <v>Coâng Thöông CN 14</v>
          </cell>
          <cell r="G69" t="str">
            <v>Hoà Chí Minh</v>
          </cell>
          <cell r="H69" t="str">
            <v>Traû tieàn mua boät giaët</v>
          </cell>
          <cell r="I69">
            <v>320000000</v>
          </cell>
        </row>
        <row r="70">
          <cell r="A70">
            <v>3</v>
          </cell>
          <cell r="B70">
            <v>37775</v>
          </cell>
          <cell r="C70">
            <v>5</v>
          </cell>
          <cell r="D70" t="str">
            <v>Cty TNHH TMaïi Thaønh Long</v>
          </cell>
          <cell r="E70" t="str">
            <v>710A.00817</v>
          </cell>
          <cell r="F70" t="str">
            <v>Coâng Thöong CN6</v>
          </cell>
          <cell r="G70" t="str">
            <v>Hoà Chí Minh</v>
          </cell>
          <cell r="H70" t="str">
            <v>Traû tieàn mua boät ngoït</v>
          </cell>
          <cell r="I70">
            <v>253568855</v>
          </cell>
        </row>
        <row r="71">
          <cell r="A71">
            <v>4</v>
          </cell>
          <cell r="B71">
            <v>37775</v>
          </cell>
          <cell r="C71">
            <v>14</v>
          </cell>
          <cell r="D71" t="str">
            <v>Coâng Ty Theùp Mieàn Nam</v>
          </cell>
          <cell r="E71" t="str">
            <v>710A.01611</v>
          </cell>
          <cell r="F71" t="str">
            <v>Coâng Thöông CN I</v>
          </cell>
          <cell r="G71" t="str">
            <v>Hoà Chí Minh</v>
          </cell>
          <cell r="H71" t="str">
            <v>Traû tieàn mua haøng cho CN Theùp Mieàn Nam taïi Caàn Thô</v>
          </cell>
          <cell r="I71">
            <v>220921628</v>
          </cell>
        </row>
        <row r="72">
          <cell r="A72">
            <v>5</v>
          </cell>
          <cell r="B72">
            <v>37775</v>
          </cell>
          <cell r="C72">
            <v>25</v>
          </cell>
          <cell r="D72" t="str">
            <v xml:space="preserve"> Thu Baûo Hieåm Xaõ Hoäi Tænh Baïc Lieâu</v>
          </cell>
          <cell r="E72" t="str">
            <v>421401.12</v>
          </cell>
          <cell r="F72" t="str">
            <v>NN &amp; P/T N/Thoân</v>
          </cell>
          <cell r="G72" t="str">
            <v>Baïc Lieâu</v>
          </cell>
          <cell r="H72" t="str">
            <v>Noäp BHXH,BHYT thaùng 5/2003</v>
          </cell>
          <cell r="I72">
            <v>23806564</v>
          </cell>
        </row>
        <row r="73">
          <cell r="A73">
            <v>6</v>
          </cell>
          <cell r="B73">
            <v>37775</v>
          </cell>
          <cell r="C73">
            <v>79</v>
          </cell>
          <cell r="D73" t="str">
            <v>Doanh Nghiệp Tư Nhaân Minh Nghi</v>
          </cell>
          <cell r="E73" t="str">
            <v>540H.00075</v>
          </cell>
          <cell r="F73" t="str">
            <v>T.M.C.P SG Coâng Thöông CN Bình Chaùnh</v>
          </cell>
          <cell r="G73" t="str">
            <v>Hoà Chí Minh</v>
          </cell>
          <cell r="H73" t="str">
            <v>Traû tieàn mua nöôùc ngoït (TT.CM)</v>
          </cell>
          <cell r="I73">
            <v>12045000</v>
          </cell>
        </row>
        <row r="74">
          <cell r="A74">
            <v>7</v>
          </cell>
          <cell r="B74">
            <v>37775</v>
          </cell>
          <cell r="C74">
            <v>66</v>
          </cell>
          <cell r="D74" t="str">
            <v>Cty UNI PRESIDENT</v>
          </cell>
          <cell r="E74" t="str">
            <v>30 98 208</v>
          </cell>
          <cell r="F74" t="str">
            <v>ANZ</v>
          </cell>
          <cell r="G74" t="str">
            <v>Hoà Chí Minh</v>
          </cell>
          <cell r="H74" t="str">
            <v>Traû tieàn mua mì UNI</v>
          </cell>
          <cell r="I74">
            <v>45995586</v>
          </cell>
        </row>
        <row r="75">
          <cell r="A75">
            <v>8</v>
          </cell>
          <cell r="B75">
            <v>37775</v>
          </cell>
          <cell r="C75">
            <v>93</v>
          </cell>
          <cell r="D75" t="str">
            <v>Cty Coå Phaàn Giaáy Vieãn Ñoâng</v>
          </cell>
          <cell r="E75" t="str">
            <v>710A.04479</v>
          </cell>
          <cell r="F75" t="str">
            <v>Coâng Thöông CN 12</v>
          </cell>
          <cell r="G75" t="str">
            <v>Hoà Chí Minh</v>
          </cell>
          <cell r="H75" t="str">
            <v>Traû tieàn mua giaáy vieãn ñoâng</v>
          </cell>
          <cell r="I75">
            <v>20372022</v>
          </cell>
        </row>
        <row r="76">
          <cell r="A76">
            <v>9</v>
          </cell>
          <cell r="B76">
            <v>37776</v>
          </cell>
          <cell r="C76">
            <v>96</v>
          </cell>
          <cell r="D76" t="str">
            <v>CTy Xi Maêng Kieân Giang</v>
          </cell>
          <cell r="E76" t="str">
            <v>4311.01.01.0008</v>
          </cell>
          <cell r="F76" t="str">
            <v>Noâng Nghieäp Kieân Löông</v>
          </cell>
          <cell r="G76" t="str">
            <v>Kieân Giang</v>
          </cell>
          <cell r="H76" t="str">
            <v xml:space="preserve">Traû tieàn mua xi maêng </v>
          </cell>
          <cell r="I76">
            <v>34912500</v>
          </cell>
        </row>
        <row r="77">
          <cell r="A77">
            <v>10</v>
          </cell>
          <cell r="B77">
            <v>37776</v>
          </cell>
          <cell r="C77">
            <v>28</v>
          </cell>
          <cell r="D77" t="str">
            <v>Chi Nhaùnh Cty CP Söõa VN Taïi Caàn Thô</v>
          </cell>
          <cell r="E77" t="str">
            <v>7301.0479K</v>
          </cell>
          <cell r="F77" t="str">
            <v>Ñaàu Tö &amp; Phaùt Trieån</v>
          </cell>
          <cell r="G77" t="str">
            <v>Caàn Thô</v>
          </cell>
          <cell r="H77" t="str">
            <v>Traû tieàn mua söõa caùc loaïi</v>
          </cell>
          <cell r="I77">
            <v>412585425</v>
          </cell>
        </row>
        <row r="78">
          <cell r="A78">
            <v>11</v>
          </cell>
          <cell r="B78">
            <v>37776</v>
          </cell>
          <cell r="C78">
            <v>94</v>
          </cell>
          <cell r="D78" t="str">
            <v>CTy TNHH SX Taân AÙ Chaâu</v>
          </cell>
          <cell r="E78" t="str">
            <v>710A.01969</v>
          </cell>
          <cell r="F78" t="str">
            <v>Coâng Thöông CN 9</v>
          </cell>
          <cell r="G78" t="str">
            <v>Hoà Chí Minh</v>
          </cell>
          <cell r="H78" t="str">
            <v>Traû tieàn mua chaùo Bình Tieân</v>
          </cell>
          <cell r="I78">
            <v>5909000</v>
          </cell>
        </row>
        <row r="79">
          <cell r="A79">
            <v>12</v>
          </cell>
          <cell r="B79">
            <v>37777</v>
          </cell>
          <cell r="C79">
            <v>31</v>
          </cell>
          <cell r="D79" t="str">
            <v>Cty Daàu Aên Golden Hope - Nhaø Beø</v>
          </cell>
          <cell r="E79" t="str">
            <v>710A.06902</v>
          </cell>
          <cell r="F79" t="str">
            <v>Sôû Giao Dòch II CTVN</v>
          </cell>
          <cell r="G79" t="str">
            <v>Hoà Chí Minh</v>
          </cell>
          <cell r="H79" t="str">
            <v>Traû tieàn daàu aên( TT.TN.BL)</v>
          </cell>
          <cell r="I79">
            <v>76906808</v>
          </cell>
        </row>
        <row r="80">
          <cell r="A80">
            <v>13</v>
          </cell>
          <cell r="B80">
            <v>37777</v>
          </cell>
          <cell r="C80">
            <v>27</v>
          </cell>
          <cell r="D80" t="str">
            <v>Cty TNHH Quoác Teá Nagarjuna</v>
          </cell>
          <cell r="E80" t="str">
            <v>3586.1</v>
          </cell>
          <cell r="F80" t="str">
            <v>INDOVINA</v>
          </cell>
          <cell r="G80" t="str">
            <v>Hoà Chí Minh</v>
          </cell>
          <cell r="H80" t="str">
            <v>Traû tieàn mua ñöôøng</v>
          </cell>
          <cell r="I80">
            <v>55300000</v>
          </cell>
        </row>
        <row r="81">
          <cell r="A81">
            <v>5</v>
          </cell>
          <cell r="B81">
            <v>37778</v>
          </cell>
          <cell r="C81">
            <v>36</v>
          </cell>
          <cell r="D81" t="str">
            <v>XN Xaêng Daàu Daàu Khí Vuõng Taøu</v>
          </cell>
          <cell r="E81" t="str">
            <v>710D.00343</v>
          </cell>
          <cell r="F81" t="str">
            <v>Coâng Thöông</v>
          </cell>
          <cell r="G81" t="str">
            <v>Baø Ròa-Vuõng Taøu</v>
          </cell>
          <cell r="H81" t="str">
            <v>Traû tieàn mua xaêng daàu</v>
          </cell>
          <cell r="I81">
            <v>1710000000</v>
          </cell>
        </row>
        <row r="82">
          <cell r="A82">
            <v>6</v>
          </cell>
          <cell r="B82">
            <v>37778</v>
          </cell>
          <cell r="C82">
            <v>8</v>
          </cell>
          <cell r="D82" t="str">
            <v>Cty Xi Maêng Haø Tieân II</v>
          </cell>
          <cell r="E82" t="str">
            <v>710A.00091</v>
          </cell>
          <cell r="F82" t="str">
            <v>Coâng Thöông</v>
          </cell>
          <cell r="G82" t="str">
            <v>Kieân Giang</v>
          </cell>
          <cell r="H82" t="str">
            <v>Traû tieàn mua xi maêng 250taán</v>
          </cell>
          <cell r="I82">
            <v>200200000</v>
          </cell>
        </row>
        <row r="83">
          <cell r="A83">
            <v>14</v>
          </cell>
          <cell r="B83">
            <v>37781</v>
          </cell>
          <cell r="C83">
            <v>31</v>
          </cell>
          <cell r="D83" t="str">
            <v>Cty Daàu Aên Golden Hope - Nhaø Beø</v>
          </cell>
          <cell r="E83" t="str">
            <v>710A.06902</v>
          </cell>
          <cell r="F83" t="str">
            <v>Sôû Giao Dòch II CTVN</v>
          </cell>
          <cell r="G83" t="str">
            <v>Hoà Chí Minh</v>
          </cell>
          <cell r="H83" t="str">
            <v>Traû tieàn daàu aên( TT.TN.CM)</v>
          </cell>
          <cell r="I83">
            <v>118206000</v>
          </cell>
        </row>
        <row r="84">
          <cell r="A84">
            <v>15</v>
          </cell>
          <cell r="B84">
            <v>37782</v>
          </cell>
          <cell r="C84">
            <v>77</v>
          </cell>
          <cell r="D84" t="str">
            <v>Cty Ñieän &amp; Ñieän Töû SAMSUNG VINA</v>
          </cell>
          <cell r="E84" t="str">
            <v>710A.01109</v>
          </cell>
          <cell r="F84" t="str">
            <v>Coâng Thöông CN 4</v>
          </cell>
          <cell r="G84" t="str">
            <v>Hoà Chí Minh</v>
          </cell>
          <cell r="H84" t="str">
            <v>Traû tieàn mua Tivi</v>
          </cell>
          <cell r="I84">
            <v>34371189</v>
          </cell>
        </row>
        <row r="85">
          <cell r="A85">
            <v>16</v>
          </cell>
          <cell r="B85">
            <v>37782</v>
          </cell>
          <cell r="C85">
            <v>44</v>
          </cell>
          <cell r="D85" t="str">
            <v>CTy Ñieän Baùo Ñieän Thoaïi Baïc Lieâu</v>
          </cell>
          <cell r="E85" t="str">
            <v>710A.00074</v>
          </cell>
          <cell r="F85" t="str">
            <v xml:space="preserve">Coâng Thöông </v>
          </cell>
          <cell r="G85" t="str">
            <v>Baïc Lieâu</v>
          </cell>
          <cell r="H85" t="str">
            <v>Traû tieàn ñieän thoaïi thaùng 5/2003</v>
          </cell>
          <cell r="I85">
            <v>10124274</v>
          </cell>
        </row>
        <row r="86">
          <cell r="A86">
            <v>7</v>
          </cell>
          <cell r="B86">
            <v>37782</v>
          </cell>
          <cell r="C86">
            <v>5</v>
          </cell>
          <cell r="D86" t="str">
            <v>Cty TNHH TMaïi Thaønh Long</v>
          </cell>
          <cell r="E86" t="str">
            <v>710A.00817</v>
          </cell>
          <cell r="F86" t="str">
            <v>Coâng Thöong CN6</v>
          </cell>
          <cell r="G86" t="str">
            <v>Hoà Chí Minh</v>
          </cell>
          <cell r="H86" t="str">
            <v>Traû tieàn mua boät ngoït</v>
          </cell>
          <cell r="I86">
            <v>267589825</v>
          </cell>
        </row>
        <row r="87">
          <cell r="A87">
            <v>8</v>
          </cell>
          <cell r="B87">
            <v>37782</v>
          </cell>
          <cell r="C87">
            <v>1</v>
          </cell>
          <cell r="D87" t="str">
            <v>Nhaø Maùy Thuoác Laù Saøi Goøn</v>
          </cell>
          <cell r="E87" t="str">
            <v>710A.00105</v>
          </cell>
          <cell r="F87" t="str">
            <v>Sôû Giao Dòch II CTVN</v>
          </cell>
          <cell r="G87" t="str">
            <v>Hoà Chí Minh</v>
          </cell>
          <cell r="H87" t="str">
            <v>Traû tieàn mua thuoác laù</v>
          </cell>
          <cell r="I87">
            <v>185000000</v>
          </cell>
        </row>
        <row r="88">
          <cell r="A88">
            <v>9</v>
          </cell>
          <cell r="B88">
            <v>37782</v>
          </cell>
          <cell r="C88">
            <v>10</v>
          </cell>
          <cell r="D88" t="str">
            <v>Cty TNHH Daàu Nhôùt vaø Hoùa Chaát VN</v>
          </cell>
          <cell r="E88" t="str">
            <v>001.004837.041</v>
          </cell>
          <cell r="F88" t="str">
            <v>Hoàng Kong&amp; Thöôïng Haûi</v>
          </cell>
          <cell r="G88" t="str">
            <v>Hoà Chí Minh</v>
          </cell>
          <cell r="H88" t="str">
            <v>Traû tieàn mua nhôùt</v>
          </cell>
          <cell r="I88">
            <v>275280000</v>
          </cell>
        </row>
        <row r="89">
          <cell r="A89">
            <v>17</v>
          </cell>
          <cell r="B89">
            <v>37783</v>
          </cell>
          <cell r="C89">
            <v>28</v>
          </cell>
          <cell r="D89" t="str">
            <v>Chi Nhaùnh Cty CP Söõa VN Taïi Caàn Thô</v>
          </cell>
          <cell r="E89" t="str">
            <v>7301.0479K</v>
          </cell>
          <cell r="F89" t="str">
            <v>Ñaàu Tö &amp; Phaùt Trieån</v>
          </cell>
          <cell r="G89" t="str">
            <v>Caàn Thô</v>
          </cell>
          <cell r="H89" t="str">
            <v>Traû tieàn mua söõa caùc loaïi</v>
          </cell>
          <cell r="I89">
            <v>383158406</v>
          </cell>
        </row>
        <row r="90">
          <cell r="A90">
            <v>18</v>
          </cell>
          <cell r="B90">
            <v>37783</v>
          </cell>
          <cell r="C90">
            <v>62</v>
          </cell>
          <cell r="D90" t="str">
            <v>CTy Coå Phaàn Cô Khí Tænh Soùc Traêng</v>
          </cell>
          <cell r="E90" t="str">
            <v>7301.1336</v>
          </cell>
          <cell r="F90" t="str">
            <v>Ñaàu Tö vaø Phaùt Trieån</v>
          </cell>
          <cell r="G90" t="str">
            <v>Soùc Traêng</v>
          </cell>
          <cell r="H90" t="str">
            <v>Traû tieàn mua boàn nhieân lieäu</v>
          </cell>
          <cell r="I90">
            <v>40000000</v>
          </cell>
        </row>
        <row r="91">
          <cell r="A91">
            <v>10</v>
          </cell>
          <cell r="B91">
            <v>37784</v>
          </cell>
          <cell r="C91">
            <v>8</v>
          </cell>
          <cell r="D91" t="str">
            <v>Cty Xi Maêng Haø Tieân II</v>
          </cell>
          <cell r="E91" t="str">
            <v>710A.00091</v>
          </cell>
          <cell r="F91" t="str">
            <v>Coâng Thöông</v>
          </cell>
          <cell r="G91" t="str">
            <v>Kieân Giang</v>
          </cell>
          <cell r="H91" t="str">
            <v>Traû tieàn mua xi maêng 200taán</v>
          </cell>
          <cell r="I91">
            <v>160160000</v>
          </cell>
        </row>
        <row r="92">
          <cell r="A92">
            <v>19</v>
          </cell>
          <cell r="B92">
            <v>37784</v>
          </cell>
          <cell r="C92">
            <v>95</v>
          </cell>
          <cell r="D92" t="str">
            <v>Cty Deät May Thaønh Coâng - CN MieànTaây</v>
          </cell>
          <cell r="E92" t="str">
            <v>73012209E</v>
          </cell>
          <cell r="F92" t="str">
            <v>Ñaàu Tö &amp; Phaùt Trieån</v>
          </cell>
          <cell r="G92" t="str">
            <v>Caàn Thô</v>
          </cell>
          <cell r="H92" t="str">
            <v>Traû tieàn haøng may maëc</v>
          </cell>
          <cell r="I92">
            <v>1503393</v>
          </cell>
        </row>
        <row r="93">
          <cell r="A93">
            <v>20</v>
          </cell>
          <cell r="B93">
            <v>37784</v>
          </cell>
          <cell r="C93">
            <v>83</v>
          </cell>
          <cell r="D93" t="str">
            <v>CTy TNHH TM TH Thuaän Taân</v>
          </cell>
          <cell r="E93" t="str">
            <v>007.100.110.1337</v>
          </cell>
          <cell r="F93" t="str">
            <v>Ngoaïi Thöông</v>
          </cell>
          <cell r="G93" t="str">
            <v>Hoà Chí Minh</v>
          </cell>
          <cell r="H93" t="str">
            <v>Traû tieàn mua Tivi</v>
          </cell>
          <cell r="I93">
            <v>46154900</v>
          </cell>
        </row>
        <row r="94">
          <cell r="A94">
            <v>21</v>
          </cell>
          <cell r="B94">
            <v>37784</v>
          </cell>
          <cell r="C94">
            <v>76</v>
          </cell>
          <cell r="D94" t="str">
            <v>Cty Ñieän &amp; Ñieän Töû TCL Vieät Nam</v>
          </cell>
          <cell r="E94" t="str">
            <v>012.100.0020848</v>
          </cell>
          <cell r="F94" t="str">
            <v>Ngoaïi Thöông</v>
          </cell>
          <cell r="G94" t="str">
            <v>Ñoàng Nai</v>
          </cell>
          <cell r="H94" t="str">
            <v>Traû tieàn mua Tivi</v>
          </cell>
          <cell r="I94">
            <v>27994000</v>
          </cell>
        </row>
        <row r="95">
          <cell r="A95">
            <v>11</v>
          </cell>
          <cell r="B95">
            <v>37785</v>
          </cell>
          <cell r="C95">
            <v>56</v>
          </cell>
          <cell r="D95" t="str">
            <v>Coâng Ty Thöông Maïi Caàn Thô</v>
          </cell>
          <cell r="E95" t="str">
            <v>710A.00054</v>
          </cell>
          <cell r="F95" t="str">
            <v>Coâng Thöông</v>
          </cell>
          <cell r="G95" t="str">
            <v>Caàn Thô</v>
          </cell>
          <cell r="H95" t="str">
            <v>Traû tieàn mua xaêng daàu</v>
          </cell>
          <cell r="I95">
            <v>1793600000</v>
          </cell>
        </row>
        <row r="96">
          <cell r="A96">
            <v>22</v>
          </cell>
          <cell r="B96">
            <v>37785</v>
          </cell>
          <cell r="C96">
            <v>73</v>
          </cell>
          <cell r="D96" t="str">
            <v>Cty. TNHH SX.TM.HMP Myõ Haûo</v>
          </cell>
          <cell r="E96" t="str">
            <v>007.100.002.4148</v>
          </cell>
          <cell r="F96" t="str">
            <v>Ngoaïi Thöông</v>
          </cell>
          <cell r="G96" t="str">
            <v>Hoà Chí Minh</v>
          </cell>
          <cell r="H96" t="str">
            <v>Traû tieàn mua nöôùc röûa cheùn(TT.CM: 25.281.910ñ ; TT.BL: 76.233.426ñ)</v>
          </cell>
          <cell r="I96">
            <v>101515336</v>
          </cell>
        </row>
        <row r="97">
          <cell r="A97">
            <v>23</v>
          </cell>
          <cell r="B97">
            <v>37785</v>
          </cell>
          <cell r="C97">
            <v>27</v>
          </cell>
          <cell r="D97" t="str">
            <v>Cty TNHH Quoác Teá Nagarjuna</v>
          </cell>
          <cell r="E97" t="str">
            <v>3586.1</v>
          </cell>
          <cell r="F97" t="str">
            <v>INDOVINA</v>
          </cell>
          <cell r="G97" t="str">
            <v>Hoà Chí Minh</v>
          </cell>
          <cell r="H97" t="str">
            <v>Traû tieàn mua ñöôøng</v>
          </cell>
          <cell r="I97">
            <v>27650000</v>
          </cell>
        </row>
        <row r="98">
          <cell r="A98">
            <v>11</v>
          </cell>
          <cell r="B98">
            <v>37785</v>
          </cell>
          <cell r="C98">
            <v>56</v>
          </cell>
          <cell r="D98" t="str">
            <v>Coâng Ty Thöông Maïi Caàn Thô</v>
          </cell>
          <cell r="E98" t="str">
            <v>710A.00054</v>
          </cell>
          <cell r="F98" t="str">
            <v>Coâng Thöông</v>
          </cell>
          <cell r="G98" t="str">
            <v>Caàn Thô</v>
          </cell>
          <cell r="H98" t="str">
            <v>Traû tieàn mua xaêng daàu</v>
          </cell>
          <cell r="I98">
            <v>1793600000</v>
          </cell>
        </row>
        <row r="99">
          <cell r="A99">
            <v>24</v>
          </cell>
          <cell r="B99">
            <v>37785</v>
          </cell>
          <cell r="C99">
            <v>31</v>
          </cell>
          <cell r="D99" t="str">
            <v>Cty Daàu Aên Golden Hope - Nhaø Beø</v>
          </cell>
          <cell r="E99" t="str">
            <v>710A.06902</v>
          </cell>
          <cell r="F99" t="str">
            <v>Sôû Giao Dòch II CTVN</v>
          </cell>
          <cell r="G99" t="str">
            <v>Hoà Chí Minh</v>
          </cell>
          <cell r="H99" t="str">
            <v>Traû tieàn daàu aên( TT.TN.CM)</v>
          </cell>
          <cell r="I99">
            <v>74527992</v>
          </cell>
        </row>
        <row r="100">
          <cell r="A100">
            <v>12</v>
          </cell>
          <cell r="B100">
            <v>37785</v>
          </cell>
          <cell r="C100">
            <v>69</v>
          </cell>
          <cell r="D100" t="str">
            <v>Cty TNHH Vaän Taûi-TM-DV T.H.P</v>
          </cell>
          <cell r="E100" t="str">
            <v>710A.05139</v>
          </cell>
          <cell r="F100" t="str">
            <v>Coâng Thöông CN 5</v>
          </cell>
          <cell r="G100" t="str">
            <v>Hoà Chí Minh</v>
          </cell>
          <cell r="H100" t="str">
            <v>Traû tieàn mua daàu FO</v>
          </cell>
          <cell r="I100">
            <v>269280000</v>
          </cell>
        </row>
        <row r="101">
          <cell r="A101">
            <v>13</v>
          </cell>
          <cell r="B101">
            <v>37788</v>
          </cell>
          <cell r="C101">
            <v>8</v>
          </cell>
          <cell r="D101" t="str">
            <v>Cty Xi Maêng Haø Tieân II</v>
          </cell>
          <cell r="E101" t="str">
            <v>710A.00091</v>
          </cell>
          <cell r="F101" t="str">
            <v>Coâng Thöông</v>
          </cell>
          <cell r="G101" t="str">
            <v>Kieân Giang</v>
          </cell>
          <cell r="H101" t="str">
            <v>Traû tieàn mua xi maêng 200taán</v>
          </cell>
          <cell r="I101">
            <v>160160000</v>
          </cell>
        </row>
        <row r="102">
          <cell r="A102">
            <v>14</v>
          </cell>
          <cell r="B102">
            <v>37788</v>
          </cell>
          <cell r="C102">
            <v>5</v>
          </cell>
          <cell r="D102" t="str">
            <v>Cty TNHH TMaïi Thaønh Long</v>
          </cell>
          <cell r="E102" t="str">
            <v>710A.00817</v>
          </cell>
          <cell r="F102" t="str">
            <v>Coâng Thöong CN6</v>
          </cell>
          <cell r="G102" t="str">
            <v>Hoà Chí Minh</v>
          </cell>
          <cell r="H102" t="str">
            <v>Traû tieàn mua boät ngoït</v>
          </cell>
          <cell r="I102">
            <v>412067254</v>
          </cell>
        </row>
        <row r="103">
          <cell r="A103">
            <v>15</v>
          </cell>
          <cell r="B103">
            <v>37788</v>
          </cell>
          <cell r="C103">
            <v>41</v>
          </cell>
          <cell r="D103" t="str">
            <v>Cty Xi Maêng Nghi Sôn</v>
          </cell>
          <cell r="E103" t="str">
            <v>710A.02772</v>
          </cell>
          <cell r="F103" t="str">
            <v>Coâng Thöông CN 9</v>
          </cell>
          <cell r="G103" t="str">
            <v>Hoà Chí Minh</v>
          </cell>
          <cell r="H103" t="str">
            <v>Traû tieàn mua xi maêng 400 taán</v>
          </cell>
          <cell r="I103">
            <v>328000000</v>
          </cell>
        </row>
        <row r="104">
          <cell r="A104">
            <v>25</v>
          </cell>
          <cell r="B104">
            <v>37788</v>
          </cell>
          <cell r="C104">
            <v>31</v>
          </cell>
          <cell r="D104" t="str">
            <v>Cty Daàu Aên Golden Hope - Nhaø Beø</v>
          </cell>
          <cell r="E104" t="str">
            <v>710A.06902</v>
          </cell>
          <cell r="F104" t="str">
            <v>Sôû Giao Dòch II CTVN</v>
          </cell>
          <cell r="G104" t="str">
            <v>Hoà Chí Minh</v>
          </cell>
          <cell r="H104" t="str">
            <v>Traû tieàn daàu aên( TT.TN.BL)</v>
          </cell>
          <cell r="I104">
            <v>69654749</v>
          </cell>
        </row>
        <row r="105">
          <cell r="A105">
            <v>26</v>
          </cell>
          <cell r="B105">
            <v>37788</v>
          </cell>
          <cell r="C105">
            <v>73</v>
          </cell>
          <cell r="D105" t="str">
            <v>Cty. TNHH SX.TM.HMP Myõ Haûo</v>
          </cell>
          <cell r="E105" t="str">
            <v>007.100.002.4148</v>
          </cell>
          <cell r="F105" t="str">
            <v>Ngoaïi Thöông</v>
          </cell>
          <cell r="G105" t="str">
            <v>Hoà Chí Minh</v>
          </cell>
          <cell r="H105" t="str">
            <v>Traû tieàn mua nöôùc röûa cheùn(TT.TN.CM)</v>
          </cell>
          <cell r="I105">
            <v>27352179</v>
          </cell>
        </row>
        <row r="106">
          <cell r="A106">
            <v>27</v>
          </cell>
          <cell r="B106">
            <v>37788</v>
          </cell>
          <cell r="C106">
            <v>66</v>
          </cell>
          <cell r="D106" t="str">
            <v>Cty UNI PRESIDENT</v>
          </cell>
          <cell r="E106" t="str">
            <v>30 98 208</v>
          </cell>
          <cell r="F106" t="str">
            <v>ANZ</v>
          </cell>
          <cell r="G106" t="str">
            <v>Hoà Chí Minh</v>
          </cell>
          <cell r="H106" t="str">
            <v>Traû tieàn mua mì UNI</v>
          </cell>
          <cell r="I106">
            <v>53795484</v>
          </cell>
        </row>
        <row r="107">
          <cell r="A107">
            <v>28</v>
          </cell>
          <cell r="B107">
            <v>37789</v>
          </cell>
          <cell r="C107">
            <v>77</v>
          </cell>
          <cell r="D107" t="str">
            <v>Cty Ñieän &amp; Ñieän Töû SAMSUNG VINA</v>
          </cell>
          <cell r="E107" t="str">
            <v>710A.01109</v>
          </cell>
          <cell r="F107" t="str">
            <v>Coâng Thöông CN 4</v>
          </cell>
          <cell r="G107" t="str">
            <v>Hoà Chí Minh</v>
          </cell>
          <cell r="H107" t="str">
            <v>Traû tieàn mua haøng ñieän töû</v>
          </cell>
          <cell r="I107">
            <v>32797991</v>
          </cell>
        </row>
        <row r="108">
          <cell r="A108">
            <v>29</v>
          </cell>
          <cell r="B108">
            <v>37790</v>
          </cell>
          <cell r="C108">
            <v>73</v>
          </cell>
          <cell r="D108" t="str">
            <v>Cty. TNHH SX.TM.HMP Myõ Haûo</v>
          </cell>
          <cell r="E108" t="str">
            <v>007.100.002.4148</v>
          </cell>
          <cell r="F108" t="str">
            <v>Ngoaïi Thöông</v>
          </cell>
          <cell r="G108" t="str">
            <v>Hoà Chí Minh</v>
          </cell>
          <cell r="H108" t="str">
            <v>Traû tieàn mua nöôùc röûa cheùn(TT.TN.BL)</v>
          </cell>
          <cell r="I108">
            <v>54477574</v>
          </cell>
        </row>
        <row r="109">
          <cell r="A109">
            <v>30</v>
          </cell>
          <cell r="B109">
            <v>37790</v>
          </cell>
          <cell r="C109">
            <v>83</v>
          </cell>
          <cell r="D109" t="str">
            <v>CTy TNHH TM TH Thuaän Taân</v>
          </cell>
          <cell r="E109" t="str">
            <v>007.100.110.1337</v>
          </cell>
          <cell r="F109" t="str">
            <v>Ngoaïi Thöông</v>
          </cell>
          <cell r="G109" t="str">
            <v>Hoà Chí Minh</v>
          </cell>
          <cell r="H109" t="str">
            <v>Traû tieàn mua Tivi</v>
          </cell>
          <cell r="I109">
            <v>14927000</v>
          </cell>
        </row>
        <row r="110">
          <cell r="A110">
            <v>16</v>
          </cell>
          <cell r="B110">
            <v>37790</v>
          </cell>
          <cell r="C110">
            <v>8</v>
          </cell>
          <cell r="D110" t="str">
            <v>Cty Xi Maêng Haø Tieân II</v>
          </cell>
          <cell r="E110" t="str">
            <v>710A.00091</v>
          </cell>
          <cell r="F110" t="str">
            <v>Coâng Thöông</v>
          </cell>
          <cell r="G110" t="str">
            <v>Kieân Giang</v>
          </cell>
          <cell r="H110" t="str">
            <v>Traû tieàn mua xi maêng 100taán</v>
          </cell>
          <cell r="I110">
            <v>80080000</v>
          </cell>
        </row>
        <row r="111">
          <cell r="A111">
            <v>17</v>
          </cell>
          <cell r="B111">
            <v>37790</v>
          </cell>
          <cell r="C111">
            <v>36</v>
          </cell>
          <cell r="D111" t="str">
            <v>XN Xaêng Daàu Daàu Khí Vuõng Taøu</v>
          </cell>
          <cell r="E111" t="str">
            <v>710D.00343</v>
          </cell>
          <cell r="F111" t="str">
            <v>Coâng Thöông</v>
          </cell>
          <cell r="G111" t="str">
            <v>Baø Ròa-Vuõng Taøu</v>
          </cell>
          <cell r="H111" t="str">
            <v>Traû tieàn mua xaêng daàu</v>
          </cell>
          <cell r="I111">
            <v>170000000</v>
          </cell>
        </row>
        <row r="112">
          <cell r="A112">
            <v>18</v>
          </cell>
          <cell r="B112">
            <v>37790</v>
          </cell>
          <cell r="C112">
            <v>90</v>
          </cell>
          <cell r="D112" t="str">
            <v>CN CTy. CP Ñöôøng Bieân Hoøa taïi Caàn Thô</v>
          </cell>
          <cell r="E112" t="str">
            <v>710A.80253</v>
          </cell>
          <cell r="F112" t="str">
            <v>Coâng Thöông</v>
          </cell>
          <cell r="G112" t="str">
            <v>Caàn Thô</v>
          </cell>
          <cell r="H112" t="str">
            <v>Traû tieàn mua ñöôøng</v>
          </cell>
          <cell r="I112">
            <v>10216000</v>
          </cell>
        </row>
        <row r="113">
          <cell r="A113">
            <v>19</v>
          </cell>
          <cell r="B113">
            <v>37790</v>
          </cell>
          <cell r="C113">
            <v>36</v>
          </cell>
          <cell r="D113" t="str">
            <v>XN Xaêng Daàu Daàu Khí Vuõng Taøu</v>
          </cell>
          <cell r="E113" t="str">
            <v>710D.00343</v>
          </cell>
          <cell r="F113" t="str">
            <v>Coâng Thöông</v>
          </cell>
          <cell r="G113" t="str">
            <v>Baø Ròa-Vuõng Taøu</v>
          </cell>
          <cell r="H113" t="str">
            <v>Traû tieàn mua xaêng daàu</v>
          </cell>
          <cell r="I113">
            <v>1390000000</v>
          </cell>
        </row>
        <row r="114">
          <cell r="A114">
            <v>20</v>
          </cell>
          <cell r="B114">
            <v>37791</v>
          </cell>
          <cell r="C114">
            <v>3</v>
          </cell>
          <cell r="D114" t="str">
            <v>Cty Coå Phaàn Boät Giaët Lix</v>
          </cell>
          <cell r="E114" t="str">
            <v>710A.01440</v>
          </cell>
          <cell r="F114" t="str">
            <v>Coâng Thöông CN 14</v>
          </cell>
          <cell r="G114" t="str">
            <v>Hoà Chí Minh</v>
          </cell>
          <cell r="H114" t="str">
            <v>Traû tieàn mua boät giaët</v>
          </cell>
          <cell r="I114">
            <v>300000000</v>
          </cell>
        </row>
        <row r="115">
          <cell r="A115">
            <v>31</v>
          </cell>
          <cell r="B115">
            <v>37791</v>
          </cell>
          <cell r="C115">
            <v>28</v>
          </cell>
          <cell r="D115" t="str">
            <v>Chi Nhaùnh Cty CP Söõa VN Taïi Caàn Thô</v>
          </cell>
          <cell r="E115" t="str">
            <v>7301.0479K</v>
          </cell>
          <cell r="F115" t="str">
            <v>Ñaàu Tö &amp; Phaùt Trieån</v>
          </cell>
          <cell r="G115" t="str">
            <v>Caàn Thô</v>
          </cell>
          <cell r="H115" t="str">
            <v>Traû tieàn mua söõa caùc loaïi</v>
          </cell>
          <cell r="I115">
            <v>224711795</v>
          </cell>
        </row>
        <row r="116">
          <cell r="A116">
            <v>32</v>
          </cell>
          <cell r="B116">
            <v>37791</v>
          </cell>
          <cell r="C116">
            <v>4</v>
          </cell>
          <cell r="D116" t="str">
            <v>Cty TMKT &amp; Ñaàu Tö PETEC</v>
          </cell>
          <cell r="E116" t="str">
            <v>710A.09566</v>
          </cell>
          <cell r="F116" t="str">
            <v>Sôû Giao Dòch II  CTVN</v>
          </cell>
          <cell r="G116" t="str">
            <v>Hoà Chí Minh</v>
          </cell>
          <cell r="H116" t="str">
            <v>Traû tieàn mua truï bôm theo thoâng baùo ngaøy 18/6/2003</v>
          </cell>
          <cell r="I116">
            <v>50400000</v>
          </cell>
        </row>
        <row r="117">
          <cell r="A117">
            <v>33</v>
          </cell>
          <cell r="B117">
            <v>37791</v>
          </cell>
          <cell r="C117">
            <v>68</v>
          </cell>
          <cell r="D117" t="str">
            <v>Nhaø Maùy Daàu Töôøng An</v>
          </cell>
          <cell r="E117" t="str">
            <v>710A.00085</v>
          </cell>
          <cell r="F117" t="str">
            <v>Sôû Giao Dòch II CTVN</v>
          </cell>
          <cell r="G117" t="str">
            <v>Hoà Chí Minh</v>
          </cell>
          <cell r="H117" t="str">
            <v>Traû tieàn mua daàu aên Töôøng An</v>
          </cell>
          <cell r="I117">
            <v>22716430</v>
          </cell>
        </row>
        <row r="118">
          <cell r="A118">
            <v>34</v>
          </cell>
          <cell r="B118">
            <v>37792</v>
          </cell>
          <cell r="C118">
            <v>73</v>
          </cell>
          <cell r="D118" t="str">
            <v>Cty. TNHH SX.TM.HMP Myõ Haûo</v>
          </cell>
          <cell r="E118" t="str">
            <v>007.100.002.4148</v>
          </cell>
          <cell r="F118" t="str">
            <v>Ngoaïi Thöông</v>
          </cell>
          <cell r="G118" t="str">
            <v>Hoà Chí Minh</v>
          </cell>
          <cell r="H118" t="str">
            <v>Traû tieàn mua nöôùc röûa cheùn(TT.CM: 27.813.983ñ ; TT.BL: 32.331.479ñ)</v>
          </cell>
          <cell r="I118">
            <v>60145462</v>
          </cell>
        </row>
        <row r="119">
          <cell r="A119">
            <v>35</v>
          </cell>
          <cell r="B119">
            <v>37792</v>
          </cell>
          <cell r="C119">
            <v>31</v>
          </cell>
          <cell r="D119" t="str">
            <v>Cty Daàu Aên Golden Hope - Nhaø Beø</v>
          </cell>
          <cell r="E119" t="str">
            <v>710A.06902</v>
          </cell>
          <cell r="F119" t="str">
            <v>Sôû Giao Dòch II CTVN</v>
          </cell>
          <cell r="G119" t="str">
            <v>Hoà Chí Minh</v>
          </cell>
          <cell r="H119" t="str">
            <v>Traû tieàn daàu aên( TT.TN.BL)</v>
          </cell>
          <cell r="I119">
            <v>80666564</v>
          </cell>
        </row>
        <row r="120">
          <cell r="A120">
            <v>21</v>
          </cell>
          <cell r="B120">
            <v>37792</v>
          </cell>
          <cell r="C120">
            <v>8</v>
          </cell>
          <cell r="D120" t="str">
            <v>Cty Xi Maêng Haø Tieân II</v>
          </cell>
          <cell r="E120" t="str">
            <v>710A.00091</v>
          </cell>
          <cell r="F120" t="str">
            <v>Coâng Thöông</v>
          </cell>
          <cell r="G120" t="str">
            <v>Kieân Giang</v>
          </cell>
          <cell r="H120" t="str">
            <v>Traû tieàn mua xi maêng 200taán</v>
          </cell>
          <cell r="I120">
            <v>160160000</v>
          </cell>
        </row>
        <row r="121">
          <cell r="A121">
            <v>36</v>
          </cell>
          <cell r="B121">
            <v>37792</v>
          </cell>
          <cell r="C121">
            <v>25</v>
          </cell>
          <cell r="D121" t="str">
            <v xml:space="preserve"> Thu Baûo Hieåm Xaõ Hoäi Tænh Baïc Lieâu</v>
          </cell>
          <cell r="E121" t="str">
            <v>421401.12</v>
          </cell>
          <cell r="F121" t="str">
            <v>NN &amp; P/T N/Thoân</v>
          </cell>
          <cell r="G121" t="str">
            <v>Baïc Lieâu</v>
          </cell>
          <cell r="H121" t="str">
            <v>Noäp BHXH,BHYT thaùng 6/2003</v>
          </cell>
          <cell r="I121">
            <v>15074407</v>
          </cell>
        </row>
        <row r="122">
          <cell r="A122">
            <v>37</v>
          </cell>
          <cell r="B122">
            <v>37792</v>
          </cell>
          <cell r="C122">
            <v>83</v>
          </cell>
          <cell r="D122" t="str">
            <v>CTy TNHH TM TH Thuaän Taân</v>
          </cell>
          <cell r="E122" t="str">
            <v>007.100.110.1337</v>
          </cell>
          <cell r="F122" t="str">
            <v>Ngoaïi Thöông</v>
          </cell>
          <cell r="G122" t="str">
            <v>Hoà Chí Minh</v>
          </cell>
          <cell r="H122" t="str">
            <v>Traû tieàn mua Tivi</v>
          </cell>
          <cell r="I122">
            <v>12397000</v>
          </cell>
        </row>
        <row r="123">
          <cell r="A123">
            <v>38</v>
          </cell>
          <cell r="B123">
            <v>37792</v>
          </cell>
          <cell r="C123">
            <v>31</v>
          </cell>
          <cell r="D123" t="str">
            <v>Cty Daàu Aên Golden Hope - Nhaø Beø</v>
          </cell>
          <cell r="E123" t="str">
            <v>710A.06902</v>
          </cell>
          <cell r="F123" t="str">
            <v>Sôû Giao Dòch II CTVN</v>
          </cell>
          <cell r="G123" t="str">
            <v>Hoà Chí Minh</v>
          </cell>
          <cell r="H123" t="str">
            <v>Traû tieàn daàu aên( TT.TN.BL)</v>
          </cell>
          <cell r="I123">
            <v>76920615</v>
          </cell>
        </row>
        <row r="124">
          <cell r="A124">
            <v>22</v>
          </cell>
          <cell r="B124">
            <v>37795</v>
          </cell>
          <cell r="C124">
            <v>36</v>
          </cell>
          <cell r="D124" t="str">
            <v>XN Xaêng Daàu Daàu Khí Vuõng Taøu</v>
          </cell>
          <cell r="E124" t="str">
            <v>710D.00343</v>
          </cell>
          <cell r="F124" t="str">
            <v>Coâng Thöông</v>
          </cell>
          <cell r="G124" t="str">
            <v>Baø Ròa-Vuõng Taøu</v>
          </cell>
          <cell r="H124" t="str">
            <v>Traû tieàn mua xaêng daàu</v>
          </cell>
          <cell r="I124">
            <v>2300000000</v>
          </cell>
        </row>
        <row r="125">
          <cell r="A125">
            <v>23</v>
          </cell>
          <cell r="B125">
            <v>37795</v>
          </cell>
          <cell r="C125">
            <v>16</v>
          </cell>
          <cell r="D125" t="str">
            <v>Cty Daàu Khí Petechim</v>
          </cell>
          <cell r="E125" t="str">
            <v>007.1.00.000583.2</v>
          </cell>
          <cell r="F125" t="str">
            <v>Ngoaïi Thöông</v>
          </cell>
          <cell r="G125" t="str">
            <v>Hoà Chí Minh</v>
          </cell>
          <cell r="H125" t="str">
            <v>Traû tieàn mua xaêng daàu</v>
          </cell>
          <cell r="I125">
            <v>1500000000</v>
          </cell>
        </row>
        <row r="126">
          <cell r="A126">
            <v>40</v>
          </cell>
          <cell r="B126">
            <v>37795</v>
          </cell>
          <cell r="C126">
            <v>73</v>
          </cell>
          <cell r="D126" t="str">
            <v>Cty. TNHH SX.TM.HMP Myõ Haûo</v>
          </cell>
          <cell r="E126" t="str">
            <v>007.100.002.4148</v>
          </cell>
          <cell r="F126" t="str">
            <v>Ngoaïi Thöông</v>
          </cell>
          <cell r="G126" t="str">
            <v>Hoà Chí Minh</v>
          </cell>
          <cell r="H126" t="str">
            <v>Traû tieàn mua nöôùc röûa cheùn(TT.TN.BL)</v>
          </cell>
          <cell r="I126">
            <v>35430157</v>
          </cell>
        </row>
        <row r="127">
          <cell r="A127">
            <v>39</v>
          </cell>
          <cell r="B127">
            <v>37795</v>
          </cell>
          <cell r="C127">
            <v>19</v>
          </cell>
          <cell r="D127" t="str">
            <v>Cty LD Khí Ñoát Saøi Goøn (Elf)</v>
          </cell>
          <cell r="E127" t="str">
            <v>100014851025745</v>
          </cell>
          <cell r="F127" t="str">
            <v>Eximbank</v>
          </cell>
          <cell r="G127" t="str">
            <v>Hoà Chí Minh</v>
          </cell>
          <cell r="H127" t="str">
            <v>Traû tieàn mua gaz</v>
          </cell>
          <cell r="I127">
            <v>27703650</v>
          </cell>
        </row>
        <row r="128">
          <cell r="A128">
            <v>24</v>
          </cell>
          <cell r="B128">
            <v>37795</v>
          </cell>
          <cell r="C128">
            <v>90</v>
          </cell>
          <cell r="D128" t="str">
            <v>CN CTy. CP Ñöôøng Bieân Hoøa taïi Caàn Thô</v>
          </cell>
          <cell r="E128" t="str">
            <v>710A.80253</v>
          </cell>
          <cell r="F128" t="str">
            <v>Coâng Thöông</v>
          </cell>
          <cell r="G128" t="str">
            <v>Caàn Thô</v>
          </cell>
          <cell r="H128" t="str">
            <v>Traû tieàn mua ñöôøng</v>
          </cell>
          <cell r="I128">
            <v>10216000</v>
          </cell>
        </row>
        <row r="129">
          <cell r="A129">
            <v>25</v>
          </cell>
          <cell r="B129">
            <v>37795</v>
          </cell>
          <cell r="C129">
            <v>4</v>
          </cell>
          <cell r="D129" t="str">
            <v>Cty TMKT &amp; Ñaàu Tö PETEC</v>
          </cell>
          <cell r="E129" t="str">
            <v>710A.09566</v>
          </cell>
          <cell r="F129" t="str">
            <v>Sôû Giao Dòch II  CTVN</v>
          </cell>
          <cell r="G129" t="str">
            <v>Hoà Chí Minh</v>
          </cell>
          <cell r="H129" t="str">
            <v>Traû tieàn mua xaêng daàu</v>
          </cell>
          <cell r="I129">
            <v>2500000000</v>
          </cell>
        </row>
        <row r="130">
          <cell r="A130">
            <v>41</v>
          </cell>
          <cell r="B130">
            <v>37796</v>
          </cell>
          <cell r="C130">
            <v>73</v>
          </cell>
          <cell r="D130" t="str">
            <v>Cty. TNHH SX.TM.HMP Myõ Haûo</v>
          </cell>
          <cell r="E130" t="str">
            <v>007.100.002.4148</v>
          </cell>
          <cell r="F130" t="str">
            <v>Ngoaïi Thöông</v>
          </cell>
          <cell r="G130" t="str">
            <v>Hoà Chí Minh</v>
          </cell>
          <cell r="H130" t="str">
            <v>Traû tieàn mua nöôùc röûa cheùn(TT.Baïc Lieâu)</v>
          </cell>
          <cell r="I130">
            <v>67176554</v>
          </cell>
        </row>
        <row r="131">
          <cell r="A131">
            <v>42</v>
          </cell>
          <cell r="B131">
            <v>37796</v>
          </cell>
          <cell r="C131">
            <v>31</v>
          </cell>
          <cell r="D131" t="str">
            <v>Cty Daàu Aên Golden Hope - Nhaø Beø</v>
          </cell>
          <cell r="E131" t="str">
            <v>710A.06902</v>
          </cell>
          <cell r="F131" t="str">
            <v>Sôû Giao Dòch II CTVN</v>
          </cell>
          <cell r="G131" t="str">
            <v>Hoà Chí Minh</v>
          </cell>
          <cell r="H131" t="str">
            <v>Traû tieàn daàu aên( TT.TN.CM)</v>
          </cell>
          <cell r="I131">
            <v>78014376</v>
          </cell>
        </row>
        <row r="132">
          <cell r="A132">
            <v>43</v>
          </cell>
          <cell r="B132">
            <v>37796</v>
          </cell>
          <cell r="C132">
            <v>83</v>
          </cell>
          <cell r="D132" t="str">
            <v>CTy TNHH TM TH Thuaän Taân</v>
          </cell>
          <cell r="E132" t="str">
            <v>007.100.110.1337</v>
          </cell>
          <cell r="F132" t="str">
            <v>Ngoaïi Thöông</v>
          </cell>
          <cell r="G132" t="str">
            <v>Hoà Chí Minh</v>
          </cell>
          <cell r="H132" t="str">
            <v>Traû tieàn mua Tivi</v>
          </cell>
          <cell r="I132">
            <v>12997600</v>
          </cell>
        </row>
        <row r="133">
          <cell r="A133">
            <v>44</v>
          </cell>
          <cell r="B133">
            <v>37796</v>
          </cell>
          <cell r="C133">
            <v>76</v>
          </cell>
          <cell r="D133" t="str">
            <v>Cty Ñieän &amp; Ñieän Töû TCL Vieät Nam</v>
          </cell>
          <cell r="E133" t="str">
            <v>012.100.0020848</v>
          </cell>
          <cell r="F133" t="str">
            <v>Ngoaïi Thöông</v>
          </cell>
          <cell r="G133" t="str">
            <v>Ñoàng Nai</v>
          </cell>
          <cell r="H133" t="str">
            <v>Traû tieàn mua Tivi</v>
          </cell>
          <cell r="I133">
            <v>20750000</v>
          </cell>
        </row>
        <row r="134">
          <cell r="A134">
            <v>26</v>
          </cell>
          <cell r="B134">
            <v>37796</v>
          </cell>
          <cell r="C134">
            <v>1</v>
          </cell>
          <cell r="D134" t="str">
            <v>Nhaø Maùy Thuoác Laù Saøi Goøn</v>
          </cell>
          <cell r="E134" t="str">
            <v>710A.00105</v>
          </cell>
          <cell r="F134" t="str">
            <v>Sôû Giao Dòch II CTVN</v>
          </cell>
          <cell r="G134" t="str">
            <v>Hoà Chí Minh</v>
          </cell>
          <cell r="H134" t="str">
            <v>Traû tieàn mua thuoác laù</v>
          </cell>
          <cell r="I134">
            <v>219775000</v>
          </cell>
        </row>
        <row r="135">
          <cell r="A135">
            <v>27</v>
          </cell>
          <cell r="B135">
            <v>37796</v>
          </cell>
          <cell r="C135">
            <v>5</v>
          </cell>
          <cell r="D135" t="str">
            <v>Cty TNHH TMaïi Thaønh Long</v>
          </cell>
          <cell r="E135" t="str">
            <v>710A.00817</v>
          </cell>
          <cell r="F135" t="str">
            <v>Coâng Thöong CN6</v>
          </cell>
          <cell r="G135" t="str">
            <v>Hoà Chí Minh</v>
          </cell>
          <cell r="H135" t="str">
            <v>Traû tieàn mua boät ngoït</v>
          </cell>
          <cell r="I135">
            <v>275808757</v>
          </cell>
        </row>
        <row r="136">
          <cell r="A136">
            <v>28</v>
          </cell>
          <cell r="B136">
            <v>37797</v>
          </cell>
          <cell r="C136">
            <v>77</v>
          </cell>
          <cell r="D136" t="str">
            <v>Cty Ñieän &amp; Ñieän Töû SAMSUNG VINA</v>
          </cell>
          <cell r="E136" t="str">
            <v>710A.01109</v>
          </cell>
          <cell r="F136" t="str">
            <v>Coâng Thöông CN 4</v>
          </cell>
          <cell r="G136" t="str">
            <v>Hoà Chí Minh</v>
          </cell>
          <cell r="H136" t="str">
            <v>Traû tieàn mua haøng ñieän töû</v>
          </cell>
          <cell r="I136">
            <v>14497978</v>
          </cell>
        </row>
        <row r="137">
          <cell r="A137">
            <v>29</v>
          </cell>
          <cell r="B137">
            <v>37797</v>
          </cell>
          <cell r="C137">
            <v>27</v>
          </cell>
          <cell r="D137" t="str">
            <v>Cty TNHH Quoác Teá Nagarjuna</v>
          </cell>
          <cell r="E137" t="str">
            <v>3586.1</v>
          </cell>
          <cell r="F137" t="str">
            <v>INDOVINA</v>
          </cell>
          <cell r="G137" t="str">
            <v>Hoà Chí Minh</v>
          </cell>
          <cell r="H137" t="str">
            <v>Traû tieàn mua ñöôøng</v>
          </cell>
          <cell r="I137">
            <v>27650000</v>
          </cell>
        </row>
        <row r="138">
          <cell r="A138">
            <v>30</v>
          </cell>
          <cell r="B138">
            <v>37797</v>
          </cell>
          <cell r="C138">
            <v>4</v>
          </cell>
          <cell r="D138" t="str">
            <v>Cty TMKT &amp; Ñaàu Tö PETEC</v>
          </cell>
          <cell r="E138" t="str">
            <v>710A.09566</v>
          </cell>
          <cell r="F138" t="str">
            <v>Sôû Giao Dòch II  CTVN</v>
          </cell>
          <cell r="G138" t="str">
            <v>Hoà Chí Minh</v>
          </cell>
          <cell r="H138" t="str">
            <v>Traû tieàn mua xaêng daàu</v>
          </cell>
          <cell r="I138">
            <v>1600000000</v>
          </cell>
        </row>
        <row r="139">
          <cell r="A139">
            <v>47</v>
          </cell>
          <cell r="B139">
            <v>37798</v>
          </cell>
          <cell r="C139">
            <v>28</v>
          </cell>
          <cell r="D139" t="str">
            <v>Chi Nhaùnh Cty CP Söõa VN Taïi Caàn Thô</v>
          </cell>
          <cell r="E139" t="str">
            <v>7301.0479K</v>
          </cell>
          <cell r="F139" t="str">
            <v>Ñaàu Tö &amp; Phaùt Trieån</v>
          </cell>
          <cell r="G139" t="str">
            <v>Caàn Thô</v>
          </cell>
          <cell r="H139" t="str">
            <v>Traû tieàn mua söõa caùc loaïi</v>
          </cell>
          <cell r="I139">
            <v>344783551</v>
          </cell>
        </row>
        <row r="140">
          <cell r="A140">
            <v>31</v>
          </cell>
          <cell r="B140">
            <v>37798</v>
          </cell>
          <cell r="C140">
            <v>21</v>
          </cell>
          <cell r="D140" t="str">
            <v>Cty Coå Phaàn Vaät Tö  Haäu Giang</v>
          </cell>
          <cell r="E140" t="str">
            <v>710A.00040</v>
          </cell>
          <cell r="F140" t="str">
            <v>Coâng Thöông</v>
          </cell>
          <cell r="G140" t="str">
            <v>Caàn Thô</v>
          </cell>
          <cell r="H140" t="str">
            <v>Traû tieàn mua gas</v>
          </cell>
          <cell r="I140">
            <v>74115006</v>
          </cell>
        </row>
        <row r="141">
          <cell r="A141">
            <v>48</v>
          </cell>
          <cell r="B141">
            <v>37798</v>
          </cell>
          <cell r="C141">
            <v>80</v>
          </cell>
          <cell r="D141" t="str">
            <v>Chi Nhaùnh Cty TNHH AÉC-QUY GS VN</v>
          </cell>
          <cell r="E141" t="str">
            <v>007.100.075318.7</v>
          </cell>
          <cell r="F141" t="str">
            <v>Ngoaïi Thöông</v>
          </cell>
          <cell r="G141" t="str">
            <v>Hoà Chí Minh</v>
          </cell>
          <cell r="H141" t="str">
            <v>Traû tieàn mua bình aéc qui</v>
          </cell>
          <cell r="I141">
            <v>18090001</v>
          </cell>
        </row>
        <row r="142">
          <cell r="A142">
            <v>32</v>
          </cell>
          <cell r="B142">
            <v>37799</v>
          </cell>
          <cell r="C142">
            <v>4</v>
          </cell>
          <cell r="D142" t="str">
            <v>Cty TMKT &amp; Ñaàu Tö PETEC</v>
          </cell>
          <cell r="E142" t="str">
            <v>710A.09566</v>
          </cell>
          <cell r="F142" t="str">
            <v>Sôû Giao Dòch II  CTVN</v>
          </cell>
          <cell r="G142" t="str">
            <v>Hoà Chí Minh</v>
          </cell>
          <cell r="H142" t="str">
            <v>Traû tieàn mua xaêng daàu</v>
          </cell>
          <cell r="I142">
            <v>8700000000</v>
          </cell>
        </row>
        <row r="143">
          <cell r="A143">
            <v>33</v>
          </cell>
          <cell r="B143">
            <v>37799</v>
          </cell>
          <cell r="C143">
            <v>41</v>
          </cell>
          <cell r="D143" t="str">
            <v>Cty Xi Maêng Nghi Sôn</v>
          </cell>
          <cell r="E143" t="str">
            <v>710A.02772</v>
          </cell>
          <cell r="F143" t="str">
            <v>Coâng Thöông CN 9</v>
          </cell>
          <cell r="G143" t="str">
            <v>Hoà Chí Minh</v>
          </cell>
          <cell r="H143" t="str">
            <v>Traû tieàn mua xi maêng</v>
          </cell>
          <cell r="I143">
            <v>164000000</v>
          </cell>
        </row>
        <row r="144">
          <cell r="A144">
            <v>49</v>
          </cell>
          <cell r="B144">
            <v>37799</v>
          </cell>
          <cell r="C144">
            <v>31</v>
          </cell>
          <cell r="D144" t="str">
            <v>Cty Daàu Aên Golden Hope - Nhaø Beø</v>
          </cell>
          <cell r="E144" t="str">
            <v>710A.06902</v>
          </cell>
          <cell r="F144" t="str">
            <v>Sôû Giao Dòch II CTVN</v>
          </cell>
          <cell r="G144" t="str">
            <v>Hoà Chí Minh</v>
          </cell>
          <cell r="H144" t="str">
            <v>Traû tieàn daàu aên+ daàu xaù</v>
          </cell>
          <cell r="I144">
            <v>26460500</v>
          </cell>
        </row>
        <row r="145">
          <cell r="A145">
            <v>50</v>
          </cell>
          <cell r="B145">
            <v>37799</v>
          </cell>
          <cell r="C145">
            <v>73</v>
          </cell>
          <cell r="D145" t="str">
            <v>Cty. TNHH SX.TM.HMP Myõ Haûo</v>
          </cell>
          <cell r="E145" t="str">
            <v>007.100.002.4148</v>
          </cell>
          <cell r="F145" t="str">
            <v>Ngoaïi Thöông</v>
          </cell>
          <cell r="G145" t="str">
            <v>Hoà Chí Minh</v>
          </cell>
          <cell r="H145" t="str">
            <v>Traû tieàn mua nöôùc röûa cheùn(TT.Baïc Lieâu)</v>
          </cell>
          <cell r="I145">
            <v>40829637</v>
          </cell>
        </row>
        <row r="146">
          <cell r="A146">
            <v>51</v>
          </cell>
          <cell r="B146">
            <v>37802</v>
          </cell>
          <cell r="C146">
            <v>28</v>
          </cell>
          <cell r="D146" t="str">
            <v>Chi Nhaùnh Cty CP Söõa VN Taïi Caàn Thô</v>
          </cell>
          <cell r="E146" t="str">
            <v>7301.0479K</v>
          </cell>
          <cell r="F146" t="str">
            <v>Ñaàu Tö &amp; Phaùt Trieån</v>
          </cell>
          <cell r="G146" t="str">
            <v>Caàn Thô</v>
          </cell>
          <cell r="H146" t="str">
            <v>Traû tieàn mua söõa caùc loaïi</v>
          </cell>
          <cell r="I146">
            <v>232811975</v>
          </cell>
        </row>
        <row r="147">
          <cell r="A147">
            <v>52</v>
          </cell>
          <cell r="B147">
            <v>37802</v>
          </cell>
          <cell r="C147">
            <v>27</v>
          </cell>
          <cell r="D147" t="str">
            <v>Cty TNHH Quoác Teá Nagarjuna</v>
          </cell>
          <cell r="E147" t="str">
            <v>3586.1</v>
          </cell>
          <cell r="F147" t="str">
            <v>INDOVINA</v>
          </cell>
          <cell r="G147" t="str">
            <v>Hoà Chí Minh</v>
          </cell>
          <cell r="H147" t="str">
            <v>Traû tieàn mua ñöôøng</v>
          </cell>
          <cell r="I147">
            <v>55300000</v>
          </cell>
        </row>
        <row r="148">
          <cell r="A148">
            <v>34</v>
          </cell>
          <cell r="B148">
            <v>37802</v>
          </cell>
          <cell r="C148">
            <v>1</v>
          </cell>
          <cell r="D148" t="str">
            <v>Nhaø Maùy Thuoác Laù Saøi Goøn</v>
          </cell>
          <cell r="E148" t="str">
            <v>710A.00105</v>
          </cell>
          <cell r="F148" t="str">
            <v>Sôû Giao Dòch II CTVN</v>
          </cell>
          <cell r="G148" t="str">
            <v>Hoà Chí Minh</v>
          </cell>
          <cell r="H148" t="str">
            <v>Traû tieàn mua thuoác laù</v>
          </cell>
          <cell r="I148">
            <v>219775000</v>
          </cell>
        </row>
        <row r="149">
          <cell r="A149">
            <v>35</v>
          </cell>
          <cell r="B149">
            <v>37802</v>
          </cell>
          <cell r="C149">
            <v>8</v>
          </cell>
          <cell r="D149" t="str">
            <v>Cty Xi Maêng Haø Tieân II</v>
          </cell>
          <cell r="E149" t="str">
            <v>710A.00091</v>
          </cell>
          <cell r="F149" t="str">
            <v>Coâng Thöông</v>
          </cell>
          <cell r="G149" t="str">
            <v>Kieân Giang</v>
          </cell>
          <cell r="H149" t="str">
            <v>Traû tieàn mua xi maêng 110taán</v>
          </cell>
          <cell r="I149">
            <v>85880000</v>
          </cell>
        </row>
        <row r="150">
          <cell r="A150">
            <v>1</v>
          </cell>
          <cell r="B150">
            <v>37803</v>
          </cell>
          <cell r="C150">
            <v>36</v>
          </cell>
          <cell r="D150" t="str">
            <v>XN Xaêng Daàu Daàu Khí Vuõng Taøu</v>
          </cell>
          <cell r="E150" t="str">
            <v>710D.00343</v>
          </cell>
          <cell r="F150" t="str">
            <v>Coâng Thöông</v>
          </cell>
          <cell r="G150" t="str">
            <v>Baø Ròa-Vuõng Taøu</v>
          </cell>
          <cell r="H150" t="str">
            <v>Traû tieàn mua xaêng daàu</v>
          </cell>
          <cell r="I150">
            <v>1400000000</v>
          </cell>
        </row>
        <row r="151">
          <cell r="A151">
            <v>2</v>
          </cell>
          <cell r="B151">
            <v>37804</v>
          </cell>
          <cell r="C151">
            <v>3</v>
          </cell>
          <cell r="D151" t="str">
            <v>Cty Coå Phaàn Boät Giaët Lix</v>
          </cell>
          <cell r="E151" t="str">
            <v>710A.01440</v>
          </cell>
          <cell r="F151" t="str">
            <v>Coâng Thöông CN 14</v>
          </cell>
          <cell r="G151" t="str">
            <v>Hoà Chí Minh</v>
          </cell>
          <cell r="H151" t="str">
            <v>Traû tieàn mua boät giaët</v>
          </cell>
          <cell r="I151">
            <v>300000000</v>
          </cell>
        </row>
        <row r="152">
          <cell r="A152">
            <v>1</v>
          </cell>
          <cell r="B152">
            <v>37804</v>
          </cell>
          <cell r="C152">
            <v>31</v>
          </cell>
          <cell r="D152" t="str">
            <v>Cty Daàu Aên Golden Hope - Nhaø Beø</v>
          </cell>
          <cell r="E152" t="str">
            <v>710A.06902</v>
          </cell>
          <cell r="F152" t="str">
            <v>Sôû Giao Dòch II CTVN</v>
          </cell>
          <cell r="G152" t="str">
            <v>Hoà Chí Minh</v>
          </cell>
          <cell r="H152" t="str">
            <v xml:space="preserve">Traû tieàn daàu aên  </v>
          </cell>
          <cell r="I152">
            <v>193236006</v>
          </cell>
        </row>
        <row r="153">
          <cell r="A153">
            <v>3</v>
          </cell>
          <cell r="B153">
            <v>37804</v>
          </cell>
          <cell r="C153">
            <v>36</v>
          </cell>
          <cell r="D153" t="str">
            <v>XN Xaêng Daàu Daàu Khí Vuõng Taøu</v>
          </cell>
          <cell r="E153" t="str">
            <v>710D.00343</v>
          </cell>
          <cell r="F153" t="str">
            <v>Coâng Thöông</v>
          </cell>
          <cell r="G153" t="str">
            <v>Baø Ròa-Vuõng Taøu</v>
          </cell>
          <cell r="H153" t="str">
            <v>Traû tieàn mua xaêng daàu</v>
          </cell>
          <cell r="I153">
            <v>553000000</v>
          </cell>
        </row>
        <row r="154">
          <cell r="A154">
            <v>2</v>
          </cell>
          <cell r="B154">
            <v>37804</v>
          </cell>
          <cell r="C154">
            <v>66</v>
          </cell>
          <cell r="D154" t="str">
            <v>Cty UNI PRESIDENT</v>
          </cell>
          <cell r="E154" t="str">
            <v>30 98 208</v>
          </cell>
          <cell r="F154" t="str">
            <v>ANZ</v>
          </cell>
          <cell r="G154" t="str">
            <v>Hoà Chí Minh</v>
          </cell>
          <cell r="H154" t="str">
            <v>Traû tieàn mua mì UNIF</v>
          </cell>
          <cell r="I154">
            <v>75368958</v>
          </cell>
        </row>
        <row r="155">
          <cell r="A155">
            <v>4</v>
          </cell>
          <cell r="B155">
            <v>37805</v>
          </cell>
          <cell r="C155">
            <v>36</v>
          </cell>
          <cell r="D155" t="str">
            <v>XN Xaêng Daàu Daàu Khí Vuõng Taøu</v>
          </cell>
          <cell r="E155" t="str">
            <v>710D.00343</v>
          </cell>
          <cell r="F155" t="str">
            <v>Coâng Thöông</v>
          </cell>
          <cell r="G155" t="str">
            <v>Baø Ròa-Vuõng Taøu</v>
          </cell>
          <cell r="H155" t="str">
            <v>Traû tieàn mua xaêng daàu</v>
          </cell>
          <cell r="I155">
            <v>1750000000</v>
          </cell>
        </row>
        <row r="156">
          <cell r="A156">
            <v>5</v>
          </cell>
          <cell r="B156">
            <v>37805</v>
          </cell>
          <cell r="C156">
            <v>8</v>
          </cell>
          <cell r="D156" t="str">
            <v>Cty Xi Maêng Haø Tieân II</v>
          </cell>
          <cell r="E156" t="str">
            <v>710A.00091</v>
          </cell>
          <cell r="F156" t="str">
            <v>Coâng Thöông</v>
          </cell>
          <cell r="G156" t="str">
            <v>Kieân Giang</v>
          </cell>
          <cell r="H156" t="str">
            <v>Traû tieàn mua xi maêng 200taán</v>
          </cell>
          <cell r="I156">
            <v>160160000</v>
          </cell>
        </row>
        <row r="157">
          <cell r="A157">
            <v>9</v>
          </cell>
          <cell r="B157">
            <v>37806</v>
          </cell>
          <cell r="C157">
            <v>85</v>
          </cell>
          <cell r="D157" t="str">
            <v>CTy TNHH TM Minh Tuøng</v>
          </cell>
          <cell r="E157" t="str">
            <v>710A.04024</v>
          </cell>
          <cell r="F157" t="str">
            <v>Sôû Giao Dòch II CTVN</v>
          </cell>
          <cell r="G157" t="str">
            <v>Hoà Chí Minh</v>
          </cell>
          <cell r="H157" t="str">
            <v>Traû tieàn haøng ñieän maùy</v>
          </cell>
          <cell r="I157">
            <v>53491000</v>
          </cell>
        </row>
        <row r="158">
          <cell r="A158">
            <v>6</v>
          </cell>
          <cell r="B158">
            <v>37806</v>
          </cell>
          <cell r="C158">
            <v>14</v>
          </cell>
          <cell r="D158" t="str">
            <v>Coâng Ty Theùp Mieàn Nam</v>
          </cell>
          <cell r="E158" t="str">
            <v>710A.01611</v>
          </cell>
          <cell r="F158" t="str">
            <v>Coâng Thöông CN I</v>
          </cell>
          <cell r="G158" t="str">
            <v>Hoà Chí Minh</v>
          </cell>
          <cell r="H158" t="str">
            <v>Traû tieàn mua haøng cho CN Theùp Mieàn Nam taïi Caàn Thô</v>
          </cell>
          <cell r="I158">
            <v>421457505</v>
          </cell>
        </row>
        <row r="159">
          <cell r="A159">
            <v>7</v>
          </cell>
          <cell r="B159">
            <v>37806</v>
          </cell>
          <cell r="C159">
            <v>4</v>
          </cell>
          <cell r="D159" t="str">
            <v>Cty TMKT &amp; Ñaàu Tö PETEC</v>
          </cell>
          <cell r="E159" t="str">
            <v>710A.09566</v>
          </cell>
          <cell r="F159" t="str">
            <v>Sôû Giao Dòch II  CTVN</v>
          </cell>
          <cell r="G159" t="str">
            <v>Hoà Chí Minh</v>
          </cell>
          <cell r="H159" t="str">
            <v>Traû tieàn mua xaêng daàu</v>
          </cell>
          <cell r="I159">
            <v>590000000</v>
          </cell>
        </row>
        <row r="160">
          <cell r="A160">
            <v>8</v>
          </cell>
          <cell r="B160">
            <v>37806</v>
          </cell>
          <cell r="C160">
            <v>73</v>
          </cell>
          <cell r="D160" t="str">
            <v>Cty. TNHH SX.TM.HMP Myõ Haûo</v>
          </cell>
          <cell r="E160" t="str">
            <v>007.100.002.4148</v>
          </cell>
          <cell r="F160" t="str">
            <v>Ngoaïi Thöông</v>
          </cell>
          <cell r="G160" t="str">
            <v>Hoà Chí Minh</v>
          </cell>
          <cell r="H160" t="str">
            <v>Traû tieàn mua nöôùc röûa cheùn(TT.Baïc Lieâu)</v>
          </cell>
          <cell r="I160">
            <v>31384500</v>
          </cell>
        </row>
        <row r="161">
          <cell r="A161">
            <v>9</v>
          </cell>
          <cell r="B161">
            <v>37806</v>
          </cell>
          <cell r="C161">
            <v>85</v>
          </cell>
          <cell r="D161" t="str">
            <v>CTy TNHH TM Minh Tuøng</v>
          </cell>
          <cell r="E161" t="str">
            <v>710A.04024</v>
          </cell>
          <cell r="F161" t="str">
            <v>Sôû Giao Dòch II CTVN</v>
          </cell>
          <cell r="G161" t="str">
            <v>Hoà Chí Minh</v>
          </cell>
          <cell r="H161" t="str">
            <v>Traû tieàn haøng ñieän maùy</v>
          </cell>
          <cell r="I161">
            <v>53491000</v>
          </cell>
        </row>
        <row r="162">
          <cell r="A162">
            <v>3</v>
          </cell>
          <cell r="B162">
            <v>37809</v>
          </cell>
          <cell r="C162">
            <v>73</v>
          </cell>
          <cell r="D162" t="str">
            <v>Cty. TNHH SX.TM.HMP Myõ Haûo</v>
          </cell>
          <cell r="E162" t="str">
            <v>007.100.002.4148</v>
          </cell>
          <cell r="F162" t="str">
            <v>Ngoaïi Thöông</v>
          </cell>
          <cell r="G162" t="str">
            <v>Hoà Chí Minh</v>
          </cell>
          <cell r="H162" t="str">
            <v>Traû tieàn mua nöôùc röûa cheùn(TT.Baïc Lieâu)</v>
          </cell>
          <cell r="I162">
            <v>66415736</v>
          </cell>
        </row>
        <row r="163">
          <cell r="A163">
            <v>4</v>
          </cell>
          <cell r="B163">
            <v>37810</v>
          </cell>
          <cell r="C163">
            <v>25</v>
          </cell>
          <cell r="D163" t="str">
            <v xml:space="preserve"> Thu Baûo Hieåm Xaõ Hoäi Tænh Baïc Lieâu</v>
          </cell>
          <cell r="E163" t="str">
            <v>421401.12</v>
          </cell>
          <cell r="F163" t="str">
            <v>NN &amp; P/T N/Thoân</v>
          </cell>
          <cell r="G163" t="str">
            <v>Baïc Lieâu</v>
          </cell>
          <cell r="H163" t="str">
            <v>Chuyeån tröôùc tieàn BHXH caáp theû BHYT</v>
          </cell>
          <cell r="I163">
            <v>9000000</v>
          </cell>
        </row>
        <row r="164">
          <cell r="A164">
            <v>5</v>
          </cell>
          <cell r="B164">
            <v>37810</v>
          </cell>
          <cell r="C164">
            <v>93</v>
          </cell>
          <cell r="D164" t="str">
            <v>Cty Coå Phaàn Giaáy Vieãn Ñoâng</v>
          </cell>
          <cell r="E164" t="str">
            <v>710A.04479</v>
          </cell>
          <cell r="F164" t="str">
            <v>Coâng Thöông CN 12</v>
          </cell>
          <cell r="G164" t="str">
            <v>Hoà Chí Minh</v>
          </cell>
          <cell r="H164" t="str">
            <v>Traû tieàn mua giaáy vieãn ñoâng</v>
          </cell>
          <cell r="I164">
            <v>10232046</v>
          </cell>
        </row>
        <row r="165">
          <cell r="A165">
            <v>6</v>
          </cell>
          <cell r="B165">
            <v>37810</v>
          </cell>
          <cell r="C165">
            <v>31</v>
          </cell>
          <cell r="D165" t="str">
            <v>Cty Daàu Aên Golden Hope - Nhaø Beø</v>
          </cell>
          <cell r="E165" t="str">
            <v>710A.06902</v>
          </cell>
          <cell r="F165" t="str">
            <v>Sôû Giao Dòch II CTVN</v>
          </cell>
          <cell r="G165" t="str">
            <v>Hoà Chí Minh</v>
          </cell>
          <cell r="H165" t="str">
            <v>Traû tieàn daàu aên  (TT.TN.BL)</v>
          </cell>
          <cell r="I165">
            <v>170796560</v>
          </cell>
        </row>
        <row r="166">
          <cell r="A166">
            <v>10</v>
          </cell>
          <cell r="B166">
            <v>37810</v>
          </cell>
          <cell r="C166">
            <v>8</v>
          </cell>
          <cell r="D166" t="str">
            <v>Cty Xi Maêng Haø Tieân II</v>
          </cell>
          <cell r="E166" t="str">
            <v>710A.00091</v>
          </cell>
          <cell r="F166" t="str">
            <v>Coâng Thöông</v>
          </cell>
          <cell r="G166" t="str">
            <v>Kieân Giang</v>
          </cell>
          <cell r="H166" t="str">
            <v>Traû tieàn mua xi maêng 200taán</v>
          </cell>
          <cell r="I166">
            <v>160160000</v>
          </cell>
        </row>
        <row r="167">
          <cell r="A167">
            <v>11</v>
          </cell>
          <cell r="B167">
            <v>37810</v>
          </cell>
          <cell r="C167">
            <v>5</v>
          </cell>
          <cell r="D167" t="str">
            <v>Cty TNHH TMaïi Thaønh Long</v>
          </cell>
          <cell r="E167" t="str">
            <v>710A.00817</v>
          </cell>
          <cell r="F167" t="str">
            <v>Coâng Thöong CN6</v>
          </cell>
          <cell r="G167" t="str">
            <v>Hoà Chí Minh</v>
          </cell>
          <cell r="H167" t="str">
            <v>Traû tieàn mua boät ngoït</v>
          </cell>
          <cell r="I167">
            <v>517163103</v>
          </cell>
        </row>
        <row r="168">
          <cell r="A168">
            <v>12</v>
          </cell>
          <cell r="B168">
            <v>37811</v>
          </cell>
          <cell r="C168">
            <v>44</v>
          </cell>
          <cell r="D168" t="str">
            <v>CTy Ñieän Baùo Ñieän Thoaïi Baïc Lieâu</v>
          </cell>
          <cell r="E168" t="str">
            <v>710A.00074</v>
          </cell>
          <cell r="F168" t="str">
            <v xml:space="preserve">Coâng Thöông </v>
          </cell>
          <cell r="G168" t="str">
            <v>Baïc Lieâu</v>
          </cell>
          <cell r="H168" t="str">
            <v>Tieàn ñieän thoaïi thaùng 6/2003</v>
          </cell>
          <cell r="I168">
            <v>9471776</v>
          </cell>
        </row>
        <row r="169">
          <cell r="A169">
            <v>13</v>
          </cell>
          <cell r="B169">
            <v>37811</v>
          </cell>
          <cell r="C169">
            <v>73</v>
          </cell>
          <cell r="D169" t="str">
            <v>Cty. TNHH SX.TM.HMP Myõ Haûo</v>
          </cell>
          <cell r="E169" t="str">
            <v>007.100.002.4148</v>
          </cell>
          <cell r="F169" t="str">
            <v>Ngoaïi Thöông</v>
          </cell>
          <cell r="G169" t="str">
            <v>Hoà Chí Minh</v>
          </cell>
          <cell r="H169" t="str">
            <v>Traû tieàn mua nöôùc röûa cheùn(TT.Baïc Lieâu)</v>
          </cell>
          <cell r="I169">
            <v>32955078</v>
          </cell>
        </row>
        <row r="170">
          <cell r="A170">
            <v>14</v>
          </cell>
          <cell r="B170">
            <v>37811</v>
          </cell>
          <cell r="C170">
            <v>68</v>
          </cell>
          <cell r="D170" t="str">
            <v>Nhaø Maùy Daàu Töôøng An</v>
          </cell>
          <cell r="E170" t="str">
            <v>710A.00085</v>
          </cell>
          <cell r="F170" t="str">
            <v>Sôû Giao Dòch II CTVN</v>
          </cell>
          <cell r="G170" t="str">
            <v>Hoà Chí Minh</v>
          </cell>
          <cell r="H170" t="str">
            <v>Traû tieàn daàu aên Töôøng An</v>
          </cell>
          <cell r="I170">
            <v>11709500</v>
          </cell>
        </row>
        <row r="171">
          <cell r="A171">
            <v>15</v>
          </cell>
          <cell r="B171">
            <v>37811</v>
          </cell>
          <cell r="C171">
            <v>31</v>
          </cell>
          <cell r="D171" t="str">
            <v>Cty Daàu Aên Golden Hope - Nhaø Beø</v>
          </cell>
          <cell r="E171" t="str">
            <v>710A.06902</v>
          </cell>
          <cell r="F171" t="str">
            <v>Sôû Giao Dòch II CTVN</v>
          </cell>
          <cell r="G171" t="str">
            <v>Hoà Chí Minh</v>
          </cell>
          <cell r="H171" t="str">
            <v>Traû tieàn daàu aên  (TT.TN.CM)</v>
          </cell>
          <cell r="I171">
            <v>80990008</v>
          </cell>
        </row>
        <row r="172">
          <cell r="A172">
            <v>16</v>
          </cell>
          <cell r="B172">
            <v>37812</v>
          </cell>
          <cell r="C172">
            <v>31</v>
          </cell>
          <cell r="D172" t="str">
            <v>Cty Daàu Aên Golden Hope - Nhaø Beø</v>
          </cell>
          <cell r="E172" t="str">
            <v>710A.06902</v>
          </cell>
          <cell r="F172" t="str">
            <v>Sôû Giao Dòch II CTVN</v>
          </cell>
          <cell r="G172" t="str">
            <v>Hoà Chí Minh</v>
          </cell>
          <cell r="H172" t="str">
            <v>Traû tieàn daàu aên  (TT.TN.CM)</v>
          </cell>
          <cell r="I172">
            <v>65932366</v>
          </cell>
        </row>
        <row r="173">
          <cell r="A173">
            <v>17</v>
          </cell>
          <cell r="B173">
            <v>37812</v>
          </cell>
          <cell r="C173">
            <v>73</v>
          </cell>
          <cell r="D173" t="str">
            <v>Cty. TNHH SX.TM.HMP Myõ Haûo</v>
          </cell>
          <cell r="E173" t="str">
            <v>007.100.002.4148</v>
          </cell>
          <cell r="F173" t="str">
            <v>Ngoaïi Thöông</v>
          </cell>
          <cell r="G173" t="str">
            <v>Hoà Chí Minh</v>
          </cell>
          <cell r="H173" t="str">
            <v>Traû tieàn mua nöôùc röûa cheùn(TT.Baïc Lieâu)</v>
          </cell>
          <cell r="I173">
            <v>44875548</v>
          </cell>
        </row>
        <row r="174">
          <cell r="A174">
            <v>18</v>
          </cell>
          <cell r="B174">
            <v>37813</v>
          </cell>
          <cell r="C174">
            <v>93</v>
          </cell>
          <cell r="D174" t="str">
            <v>Cty Coå Phaàn Giaáy Vieãn Ñoâng</v>
          </cell>
          <cell r="E174" t="str">
            <v>710A.04479</v>
          </cell>
          <cell r="F174" t="str">
            <v>Coâng Thöông CN 12</v>
          </cell>
          <cell r="G174" t="str">
            <v>Hoà Chí Minh</v>
          </cell>
          <cell r="H174" t="str">
            <v>Traû tieàn mua giaáy vieãn ñoâng</v>
          </cell>
          <cell r="I174">
            <v>11273460</v>
          </cell>
        </row>
        <row r="175">
          <cell r="A175">
            <v>19</v>
          </cell>
          <cell r="B175">
            <v>37813</v>
          </cell>
          <cell r="C175">
            <v>68</v>
          </cell>
          <cell r="D175" t="str">
            <v>Nhaø Maùy Daàu Töôøng An</v>
          </cell>
          <cell r="E175" t="str">
            <v>710A.00085</v>
          </cell>
          <cell r="F175" t="str">
            <v>Sôû Giao Dòch II CTVN</v>
          </cell>
          <cell r="G175" t="str">
            <v>Hoà Chí Minh</v>
          </cell>
          <cell r="H175" t="str">
            <v>Traû tieàn daàu aên Töôøng An</v>
          </cell>
          <cell r="I175">
            <v>21709500</v>
          </cell>
        </row>
        <row r="176">
          <cell r="A176">
            <v>7</v>
          </cell>
          <cell r="B176">
            <v>37813</v>
          </cell>
          <cell r="C176">
            <v>8</v>
          </cell>
          <cell r="D176" t="str">
            <v>Cty Xi Maêng Haø Tieân II</v>
          </cell>
          <cell r="E176" t="str">
            <v>710A.00091</v>
          </cell>
          <cell r="F176" t="str">
            <v>Coâng Thöông</v>
          </cell>
          <cell r="G176" t="str">
            <v>Kieân Giang</v>
          </cell>
          <cell r="H176" t="str">
            <v>Traû tieàn mua xi maêng 200taán</v>
          </cell>
          <cell r="I176">
            <v>160160000</v>
          </cell>
        </row>
        <row r="177">
          <cell r="A177">
            <v>8</v>
          </cell>
          <cell r="B177">
            <v>37813</v>
          </cell>
          <cell r="C177">
            <v>41</v>
          </cell>
          <cell r="D177" t="str">
            <v>Cty Xi Maêng Nghi Sôn</v>
          </cell>
          <cell r="E177" t="str">
            <v>710A.02772</v>
          </cell>
          <cell r="F177" t="str">
            <v>Coâng Thöông CN 9</v>
          </cell>
          <cell r="G177" t="str">
            <v>Hoà Chí Minh</v>
          </cell>
          <cell r="H177" t="str">
            <v>Traû tieàn mua xi maêng 300taán</v>
          </cell>
          <cell r="I177">
            <v>246000000</v>
          </cell>
        </row>
        <row r="178">
          <cell r="A178">
            <v>20</v>
          </cell>
          <cell r="B178">
            <v>37813</v>
          </cell>
          <cell r="C178">
            <v>28</v>
          </cell>
          <cell r="D178" t="str">
            <v>Chi Nhaùnh Cty CP Söõa VN Taïi Caàn Thô</v>
          </cell>
          <cell r="E178" t="str">
            <v>7301.0479K</v>
          </cell>
          <cell r="F178" t="str">
            <v>Ñaàu Tö &amp; Phaùt Trieån</v>
          </cell>
          <cell r="G178" t="str">
            <v>Caàn Thô</v>
          </cell>
          <cell r="H178" t="str">
            <v>Traû tieàn mua söõa caùc loaïi</v>
          </cell>
          <cell r="I178">
            <v>452010920</v>
          </cell>
        </row>
        <row r="179">
          <cell r="A179">
            <v>9</v>
          </cell>
          <cell r="B179">
            <v>37813</v>
          </cell>
          <cell r="C179">
            <v>4</v>
          </cell>
          <cell r="D179" t="str">
            <v>Cty TMKT &amp; Ñaàu Tö PETEC</v>
          </cell>
          <cell r="E179" t="str">
            <v>710A.09566</v>
          </cell>
          <cell r="F179" t="str">
            <v>Sôû Giao Dòch II  CTVN</v>
          </cell>
          <cell r="G179" t="str">
            <v>Hoà Chí Minh</v>
          </cell>
          <cell r="H179" t="str">
            <v>Traû tieàn mua xaêng daàu</v>
          </cell>
          <cell r="I179">
            <v>2000000000</v>
          </cell>
        </row>
        <row r="180">
          <cell r="A180">
            <v>10</v>
          </cell>
          <cell r="B180">
            <v>37817</v>
          </cell>
          <cell r="C180">
            <v>14</v>
          </cell>
          <cell r="D180" t="str">
            <v>Coâng Ty Theùp Mieàn Nam</v>
          </cell>
          <cell r="E180" t="str">
            <v>710A.01611</v>
          </cell>
          <cell r="F180" t="str">
            <v>Coâng Thöông CN I</v>
          </cell>
          <cell r="G180" t="str">
            <v>Hoà Chí Minh</v>
          </cell>
          <cell r="H180" t="str">
            <v>Traû tieàn mua haøng cho CN Theùp Mieàn Nam taïi Caàn Thô</v>
          </cell>
          <cell r="I180">
            <v>370090319</v>
          </cell>
        </row>
        <row r="181">
          <cell r="A181">
            <v>21</v>
          </cell>
          <cell r="B181">
            <v>37817</v>
          </cell>
          <cell r="C181">
            <v>28</v>
          </cell>
          <cell r="D181" t="str">
            <v>Chi Nhaùnh Cty CP Söõa VN Taïi Caàn Thô</v>
          </cell>
          <cell r="E181" t="str">
            <v>7301.0479K</v>
          </cell>
          <cell r="F181" t="str">
            <v>Ñaàu Tö &amp; Phaùt Trieån</v>
          </cell>
          <cell r="G181" t="str">
            <v>Caàn Thô</v>
          </cell>
          <cell r="H181" t="str">
            <v>Traû tieàn mua söõa caùc loaïi</v>
          </cell>
          <cell r="I181">
            <v>286903465</v>
          </cell>
        </row>
        <row r="182">
          <cell r="A182">
            <v>22</v>
          </cell>
          <cell r="B182">
            <v>37817</v>
          </cell>
          <cell r="C182">
            <v>27</v>
          </cell>
          <cell r="D182" t="str">
            <v>Cty TNHH Quoác Teá Nagarjuna</v>
          </cell>
          <cell r="E182" t="str">
            <v>3586.1</v>
          </cell>
          <cell r="F182" t="str">
            <v>INDOVINA</v>
          </cell>
          <cell r="G182" t="str">
            <v>Hoà Chí Minh</v>
          </cell>
          <cell r="H182" t="str">
            <v>Traû tieàn mua ñöôøng</v>
          </cell>
          <cell r="I182">
            <v>27650000</v>
          </cell>
        </row>
        <row r="183">
          <cell r="A183">
            <v>22</v>
          </cell>
          <cell r="B183">
            <v>37817</v>
          </cell>
          <cell r="C183">
            <v>93</v>
          </cell>
          <cell r="D183" t="str">
            <v>Cty Coå Phaàn Giaáy Vieãn Ñoâng</v>
          </cell>
          <cell r="E183" t="str">
            <v>710A.04479</v>
          </cell>
          <cell r="F183" t="str">
            <v>Coâng Thöông CN 12</v>
          </cell>
          <cell r="G183" t="str">
            <v>Hoà Chí Minh</v>
          </cell>
          <cell r="H183" t="str">
            <v>Traû tieàn mua giaáy vieãn ñoâng</v>
          </cell>
          <cell r="I183">
            <v>11273460</v>
          </cell>
        </row>
        <row r="184">
          <cell r="A184">
            <v>23</v>
          </cell>
          <cell r="B184">
            <v>37817</v>
          </cell>
          <cell r="C184">
            <v>31</v>
          </cell>
          <cell r="D184" t="str">
            <v>Cty Daàu Aên Golden Hope - Nhaø Beø</v>
          </cell>
          <cell r="E184" t="str">
            <v>710A.06902</v>
          </cell>
          <cell r="F184" t="str">
            <v>Sôû Giao Dòch II CTVN</v>
          </cell>
          <cell r="G184" t="str">
            <v>Hoà Chí Minh</v>
          </cell>
          <cell r="H184" t="str">
            <v>Traû tieàn daàu aên  (TT.TN.BL)</v>
          </cell>
          <cell r="I184">
            <v>81982653</v>
          </cell>
        </row>
        <row r="185">
          <cell r="A185">
            <v>24</v>
          </cell>
          <cell r="B185">
            <v>37817</v>
          </cell>
          <cell r="C185">
            <v>73</v>
          </cell>
          <cell r="D185" t="str">
            <v>Cty. TNHH SX.TM.HMP Myõ Haûo</v>
          </cell>
          <cell r="E185" t="str">
            <v>007.100.002.4148</v>
          </cell>
          <cell r="F185" t="str">
            <v>Ngoaïi Thöông</v>
          </cell>
          <cell r="G185" t="str">
            <v>Hoà Chí Minh</v>
          </cell>
          <cell r="H185" t="str">
            <v>Traû tieàn mua nöôùc röûa cheùn(TT.Baïc Lieâu)</v>
          </cell>
          <cell r="I185">
            <v>30833510</v>
          </cell>
        </row>
        <row r="186">
          <cell r="A186">
            <v>25</v>
          </cell>
          <cell r="B186">
            <v>37817</v>
          </cell>
          <cell r="C186">
            <v>77</v>
          </cell>
          <cell r="D186" t="str">
            <v>Cty Ñieän &amp; Ñieän Töû SAMSUNG VINA</v>
          </cell>
          <cell r="E186" t="str">
            <v>710A.01109</v>
          </cell>
          <cell r="F186" t="str">
            <v>Coâng Thöông CN 4</v>
          </cell>
          <cell r="G186" t="str">
            <v>Hoà Chí Minh</v>
          </cell>
          <cell r="H186" t="str">
            <v>Traû tieàn mua ñieän töû</v>
          </cell>
          <cell r="I186">
            <v>55350000</v>
          </cell>
        </row>
        <row r="187">
          <cell r="A187">
            <v>26</v>
          </cell>
          <cell r="B187">
            <v>37817</v>
          </cell>
          <cell r="C187">
            <v>94</v>
          </cell>
          <cell r="D187" t="str">
            <v>CTy TNHH SX Taân AÙ Chaâu</v>
          </cell>
          <cell r="E187" t="str">
            <v>710A.01969</v>
          </cell>
          <cell r="F187" t="str">
            <v>Coâng Thöông CN 9</v>
          </cell>
          <cell r="G187" t="str">
            <v>Hoà Chí Minh</v>
          </cell>
          <cell r="H187" t="str">
            <v>Traû tieàn mua chaùo Bình Tieân</v>
          </cell>
          <cell r="I187">
            <v>11849600</v>
          </cell>
        </row>
        <row r="188">
          <cell r="A188">
            <v>11</v>
          </cell>
          <cell r="B188">
            <v>37817</v>
          </cell>
          <cell r="C188">
            <v>9</v>
          </cell>
          <cell r="D188" t="str">
            <v>Castrol Vieät Nam Ltd</v>
          </cell>
          <cell r="E188" t="str">
            <v>007.1.00.002804.1</v>
          </cell>
          <cell r="F188" t="str">
            <v>Ngoaïi Thöông</v>
          </cell>
          <cell r="G188" t="str">
            <v>Hoà Chí Minh</v>
          </cell>
          <cell r="H188" t="str">
            <v>Traû tieàn mua nhôùt</v>
          </cell>
          <cell r="I188">
            <v>139167841</v>
          </cell>
        </row>
        <row r="189">
          <cell r="A189">
            <v>27</v>
          </cell>
          <cell r="B189">
            <v>37817</v>
          </cell>
          <cell r="C189">
            <v>73</v>
          </cell>
          <cell r="D189" t="str">
            <v>Cty. TNHH SX.TM.HMP Myõ Haûo</v>
          </cell>
          <cell r="E189" t="str">
            <v>007.100.002.4148</v>
          </cell>
          <cell r="F189" t="str">
            <v>Ngoaïi Thöông</v>
          </cell>
          <cell r="G189" t="str">
            <v>Hoà Chí Minh</v>
          </cell>
          <cell r="H189" t="str">
            <v>Traû tieàn mua nöôùc röûa cheùn(TT.Baïc Lieâu)</v>
          </cell>
          <cell r="I189">
            <v>31923817</v>
          </cell>
        </row>
        <row r="190">
          <cell r="A190">
            <v>28</v>
          </cell>
          <cell r="B190">
            <v>37818</v>
          </cell>
          <cell r="C190">
            <v>27</v>
          </cell>
          <cell r="D190" t="str">
            <v>Cty TNHH Quoác Teá Nagarjuna</v>
          </cell>
          <cell r="E190" t="str">
            <v>3586.1</v>
          </cell>
          <cell r="F190" t="str">
            <v>INDOVINA</v>
          </cell>
          <cell r="G190" t="str">
            <v>Hoà Chí Minh</v>
          </cell>
          <cell r="H190" t="str">
            <v>Traû tieàn mua ñöôøng</v>
          </cell>
          <cell r="I190">
            <v>27650000</v>
          </cell>
        </row>
        <row r="191">
          <cell r="A191">
            <v>29</v>
          </cell>
          <cell r="B191">
            <v>37818</v>
          </cell>
          <cell r="C191">
            <v>90</v>
          </cell>
          <cell r="D191" t="str">
            <v>CN CTy. CP Ñöôøng Bieân Hoøa taïi Caàn Thô</v>
          </cell>
          <cell r="E191" t="str">
            <v>710A.80253</v>
          </cell>
          <cell r="F191" t="str">
            <v>Coâng Thöông</v>
          </cell>
          <cell r="G191" t="str">
            <v>Caàn Thô</v>
          </cell>
          <cell r="H191" t="str">
            <v>Traû tieàn mua ñöôøng</v>
          </cell>
          <cell r="I191">
            <v>10241000</v>
          </cell>
        </row>
        <row r="192">
          <cell r="A192">
            <v>12</v>
          </cell>
          <cell r="B192">
            <v>37818</v>
          </cell>
          <cell r="C192">
            <v>5</v>
          </cell>
          <cell r="D192" t="str">
            <v>Cty TNHH TMaïi Thaønh Long</v>
          </cell>
          <cell r="E192" t="str">
            <v>710A.00817</v>
          </cell>
          <cell r="F192" t="str">
            <v>Coâng Thöong CN6</v>
          </cell>
          <cell r="G192" t="str">
            <v>Hoà Chí Minh</v>
          </cell>
          <cell r="H192" t="str">
            <v>Traû tieàn mua boät ngoït</v>
          </cell>
          <cell r="I192">
            <v>264384099</v>
          </cell>
        </row>
        <row r="193">
          <cell r="A193">
            <v>30</v>
          </cell>
          <cell r="B193">
            <v>37818</v>
          </cell>
          <cell r="C193">
            <v>31</v>
          </cell>
          <cell r="D193" t="str">
            <v>Cty Daàu Aên Golden Hope - Nhaø Beø</v>
          </cell>
          <cell r="E193" t="str">
            <v>710A.06902</v>
          </cell>
          <cell r="F193" t="str">
            <v>Sôû Giao Dòch II CTVN</v>
          </cell>
          <cell r="G193" t="str">
            <v>Hoà Chí Minh</v>
          </cell>
          <cell r="H193" t="str">
            <v>Traû tieàn daàu aên  (TT.TN.BL)</v>
          </cell>
          <cell r="I193">
            <v>58080701</v>
          </cell>
        </row>
        <row r="194">
          <cell r="A194">
            <v>31</v>
          </cell>
          <cell r="B194">
            <v>37818</v>
          </cell>
          <cell r="C194">
            <v>62</v>
          </cell>
          <cell r="D194" t="str">
            <v>CTy Coå Phaàn Cô Khí Tænh Soùc Traêng</v>
          </cell>
          <cell r="E194" t="str">
            <v>7301.1336</v>
          </cell>
          <cell r="F194" t="str">
            <v>Ñaàu Tö vaø Phaùt Trieån</v>
          </cell>
          <cell r="G194" t="str">
            <v>Soùc Traêng</v>
          </cell>
          <cell r="H194" t="str">
            <v>Traû tieàn mua boàn theo bieân baûn thanh lyù ngaøy 14/7/2003</v>
          </cell>
          <cell r="I194">
            <v>11970000</v>
          </cell>
        </row>
        <row r="195">
          <cell r="A195">
            <v>13</v>
          </cell>
          <cell r="B195">
            <v>37819</v>
          </cell>
          <cell r="C195">
            <v>3</v>
          </cell>
          <cell r="D195" t="str">
            <v>Cty Coå Phaàn Boät Giaët Lix</v>
          </cell>
          <cell r="E195" t="str">
            <v>710A.01440</v>
          </cell>
          <cell r="F195" t="str">
            <v>Coâng Thöông CN 14</v>
          </cell>
          <cell r="G195" t="str">
            <v>Hoà Chí Minh</v>
          </cell>
          <cell r="H195" t="str">
            <v>Traû tieàn mua boät giaët</v>
          </cell>
          <cell r="I195">
            <v>300000000</v>
          </cell>
        </row>
        <row r="196">
          <cell r="A196">
            <v>14</v>
          </cell>
          <cell r="B196">
            <v>37819</v>
          </cell>
          <cell r="C196">
            <v>17</v>
          </cell>
          <cell r="D196" t="str">
            <v>Cty Daàu Khí -TP/HCM (Saøi Goøn Petro)</v>
          </cell>
          <cell r="E196" t="str">
            <v>007.1.00.000661.6</v>
          </cell>
          <cell r="F196" t="str">
            <v>Ngoaïi Thöông</v>
          </cell>
          <cell r="G196" t="str">
            <v>Hoà Chí Minh</v>
          </cell>
          <cell r="H196" t="str">
            <v>Traû tieàn mua xaêng daàu</v>
          </cell>
          <cell r="I196">
            <v>922000000</v>
          </cell>
        </row>
        <row r="197">
          <cell r="A197">
            <v>32</v>
          </cell>
          <cell r="B197">
            <v>37819</v>
          </cell>
          <cell r="C197">
            <v>73</v>
          </cell>
          <cell r="D197" t="str">
            <v>Cty. TNHH SX.TM.HMP Myõ Haûo</v>
          </cell>
          <cell r="E197" t="str">
            <v>007.100.002.4148</v>
          </cell>
          <cell r="F197" t="str">
            <v>Ngoaïi Thöông</v>
          </cell>
          <cell r="G197" t="str">
            <v>Hoà Chí Minh</v>
          </cell>
          <cell r="H197" t="str">
            <v>Traû tieàn mua nöôùc röûa cheùn</v>
          </cell>
          <cell r="I197">
            <v>63543540</v>
          </cell>
        </row>
        <row r="198">
          <cell r="A198">
            <v>15</v>
          </cell>
          <cell r="B198">
            <v>37820</v>
          </cell>
          <cell r="C198">
            <v>37</v>
          </cell>
          <cell r="D198" t="str">
            <v>Cty LD Daàu Khí Mekong (Petromekong)</v>
          </cell>
          <cell r="E198" t="str">
            <v>011100001700.1</v>
          </cell>
          <cell r="F198" t="str">
            <v>Ngoïai Thöông</v>
          </cell>
          <cell r="G198" t="str">
            <v>Caàn Thô</v>
          </cell>
          <cell r="H198" t="str">
            <v>Traû tieàn mua xaêng daàu</v>
          </cell>
          <cell r="I198">
            <v>1763200000</v>
          </cell>
        </row>
        <row r="199">
          <cell r="A199">
            <v>33</v>
          </cell>
          <cell r="B199">
            <v>37819</v>
          </cell>
          <cell r="C199">
            <v>31</v>
          </cell>
          <cell r="D199" t="str">
            <v>Cty Daàu Aên Golden Hope - Nhaø Beø</v>
          </cell>
          <cell r="E199" t="str">
            <v>710A.06902</v>
          </cell>
          <cell r="F199" t="str">
            <v>Sôû Giao Dòch II CTVN</v>
          </cell>
          <cell r="G199" t="str">
            <v>Hoà Chí Minh</v>
          </cell>
          <cell r="H199" t="str">
            <v>Traû tieàn daàu aên  (TT.TN.BL)</v>
          </cell>
          <cell r="I199">
            <v>81492338</v>
          </cell>
        </row>
        <row r="200">
          <cell r="A200">
            <v>16</v>
          </cell>
          <cell r="B200">
            <v>37820</v>
          </cell>
          <cell r="C200">
            <v>4</v>
          </cell>
          <cell r="D200" t="str">
            <v>Cty TMKT &amp; Ñaàu Tö PETEC</v>
          </cell>
          <cell r="E200" t="str">
            <v>710A.09566</v>
          </cell>
          <cell r="F200" t="str">
            <v>Sôû Giao Dòch II  CTVN</v>
          </cell>
          <cell r="G200" t="str">
            <v>Hoà Chí Minh</v>
          </cell>
          <cell r="H200" t="str">
            <v>Traû tieàn mua xaêng daàu</v>
          </cell>
          <cell r="I200">
            <v>466000000</v>
          </cell>
        </row>
        <row r="201">
          <cell r="A201">
            <v>34</v>
          </cell>
          <cell r="B201">
            <v>37820</v>
          </cell>
          <cell r="C201">
            <v>73</v>
          </cell>
          <cell r="D201" t="str">
            <v>Cty. TNHH SX.TM.HMP Myõ Haûo</v>
          </cell>
          <cell r="E201" t="str">
            <v>007.100.002.4148</v>
          </cell>
          <cell r="F201" t="str">
            <v>Ngoaïi Thöông</v>
          </cell>
          <cell r="G201" t="str">
            <v>Hoà Chí Minh</v>
          </cell>
          <cell r="H201" t="str">
            <v>Traû tieàn mua nöôùc röûa cheùn(TT.Baïc Lieâu:31.373.698ñ; TT.CMau: 31221790)</v>
          </cell>
          <cell r="I201">
            <v>62595488</v>
          </cell>
        </row>
        <row r="202">
          <cell r="A202">
            <v>17</v>
          </cell>
          <cell r="B202">
            <v>37820</v>
          </cell>
          <cell r="C202">
            <v>37</v>
          </cell>
          <cell r="D202" t="str">
            <v>Cty LD Daàu Khí Mekong (Petromekong)</v>
          </cell>
          <cell r="E202" t="str">
            <v>011100001700.1</v>
          </cell>
          <cell r="F202" t="str">
            <v>Ngoïai Thöông</v>
          </cell>
          <cell r="G202" t="str">
            <v>Caàn Thô</v>
          </cell>
          <cell r="H202" t="str">
            <v>Traû tieàn mua xaêng daàu</v>
          </cell>
          <cell r="I202">
            <v>3825000000</v>
          </cell>
        </row>
        <row r="203">
          <cell r="A203">
            <v>18</v>
          </cell>
          <cell r="B203">
            <v>37823</v>
          </cell>
          <cell r="C203">
            <v>8</v>
          </cell>
          <cell r="D203" t="str">
            <v>Cty Xi Maêng Haø Tieân II</v>
          </cell>
          <cell r="E203" t="str">
            <v>710A.00091</v>
          </cell>
          <cell r="F203" t="str">
            <v>Coâng Thöông</v>
          </cell>
          <cell r="G203" t="str">
            <v>Kieân Giang</v>
          </cell>
          <cell r="H203" t="str">
            <v>Traû tieàn mua xi maêng 200taán</v>
          </cell>
          <cell r="I203">
            <v>160160000</v>
          </cell>
        </row>
        <row r="204">
          <cell r="A204">
            <v>35</v>
          </cell>
          <cell r="B204">
            <v>37823</v>
          </cell>
          <cell r="C204">
            <v>31</v>
          </cell>
          <cell r="D204" t="str">
            <v>Cty Daàu Aên Golden Hope - Nhaø Beø</v>
          </cell>
          <cell r="E204" t="str">
            <v>710A.06902</v>
          </cell>
          <cell r="F204" t="str">
            <v>Sôû Giao Dòch II CTVN</v>
          </cell>
          <cell r="G204" t="str">
            <v>Hoà Chí Minh</v>
          </cell>
          <cell r="H204" t="str">
            <v>Traû tieàn daàu aên  (TT.TN.BL)</v>
          </cell>
          <cell r="I204">
            <v>38083441</v>
          </cell>
        </row>
        <row r="205">
          <cell r="A205">
            <v>36</v>
          </cell>
          <cell r="B205">
            <v>37823</v>
          </cell>
          <cell r="C205">
            <v>97</v>
          </cell>
          <cell r="D205" t="str">
            <v>Phoøng TMaïi vaø CNghieäp VN  CN taïi Caàn Thô</v>
          </cell>
          <cell r="E205" t="str">
            <v>011.100.0000.575</v>
          </cell>
          <cell r="F205" t="str">
            <v>Ngoaïi Thöông</v>
          </cell>
          <cell r="G205" t="str">
            <v>Caàn Thô</v>
          </cell>
          <cell r="H205" t="str">
            <v>Ñoùng goùp Hoäi phí hoäi vieân P. TM naêm 2003</v>
          </cell>
          <cell r="I205">
            <v>5000000</v>
          </cell>
        </row>
        <row r="206">
          <cell r="A206">
            <v>37</v>
          </cell>
          <cell r="B206">
            <v>37823</v>
          </cell>
          <cell r="C206">
            <v>22</v>
          </cell>
          <cell r="D206" t="str">
            <v>Cty Deät Long An</v>
          </cell>
          <cell r="E206" t="str">
            <v>710A.10001</v>
          </cell>
          <cell r="F206" t="str">
            <v>Coâng Thöông</v>
          </cell>
          <cell r="G206" t="str">
            <v>Long An</v>
          </cell>
          <cell r="H206" t="str">
            <v>Traû tieàn mua vaûi</v>
          </cell>
          <cell r="I206">
            <v>4828490</v>
          </cell>
        </row>
        <row r="207">
          <cell r="A207">
            <v>19</v>
          </cell>
          <cell r="B207">
            <v>37823</v>
          </cell>
          <cell r="C207">
            <v>10</v>
          </cell>
          <cell r="D207" t="str">
            <v>Cty TNHH Daàu Nhôùt vaø Hoùa Chaát VN</v>
          </cell>
          <cell r="E207" t="str">
            <v>001.004837.041</v>
          </cell>
          <cell r="F207" t="str">
            <v>Hoàng Kong&amp; Thöôïng Haûi</v>
          </cell>
          <cell r="G207" t="str">
            <v>Hoà Chí Minh</v>
          </cell>
          <cell r="H207" t="str">
            <v>Traû tieàn mua nhôùt</v>
          </cell>
          <cell r="I207">
            <v>250000000</v>
          </cell>
        </row>
        <row r="208">
          <cell r="A208">
            <v>20</v>
          </cell>
          <cell r="B208">
            <v>37824</v>
          </cell>
          <cell r="C208">
            <v>17</v>
          </cell>
          <cell r="D208" t="str">
            <v>Cty Daàu Khí -TP/HCM (Saøi Goøn Petro)</v>
          </cell>
          <cell r="E208" t="str">
            <v>007.1.00.000661.6</v>
          </cell>
          <cell r="F208" t="str">
            <v>Ngoaïi Thöông</v>
          </cell>
          <cell r="G208" t="str">
            <v>Hoà Chí Minh</v>
          </cell>
          <cell r="H208" t="str">
            <v>Traû tieàn mua xaêng daàu</v>
          </cell>
          <cell r="I208">
            <v>2000000000</v>
          </cell>
        </row>
        <row r="209">
          <cell r="A209">
            <v>21</v>
          </cell>
          <cell r="B209">
            <v>37824</v>
          </cell>
          <cell r="C209">
            <v>4</v>
          </cell>
          <cell r="D209" t="str">
            <v>Cty TMKT &amp; Ñaàu Tö PETEC</v>
          </cell>
          <cell r="E209" t="str">
            <v>710A.09566</v>
          </cell>
          <cell r="F209" t="str">
            <v>Sôû Giao Dòch II  CTVN</v>
          </cell>
          <cell r="G209" t="str">
            <v>Hoà Chí Minh</v>
          </cell>
          <cell r="H209" t="str">
            <v>Traû tieàn mua xaêng daàu</v>
          </cell>
          <cell r="I209">
            <v>1500000000</v>
          </cell>
        </row>
        <row r="210">
          <cell r="A210">
            <v>38</v>
          </cell>
          <cell r="B210">
            <v>37825</v>
          </cell>
          <cell r="C210">
            <v>95</v>
          </cell>
          <cell r="D210" t="str">
            <v>Cty Deät May Thaønh Coâng - CN MieànTaây</v>
          </cell>
          <cell r="E210" t="str">
            <v>73012209E</v>
          </cell>
          <cell r="F210" t="str">
            <v>Ñaàu Tö &amp; Phaùt Trieån</v>
          </cell>
          <cell r="G210" t="str">
            <v>Caàn Thô</v>
          </cell>
          <cell r="H210" t="str">
            <v>Traû tieàn vaûi + may maëc saún</v>
          </cell>
          <cell r="I210">
            <v>2123720</v>
          </cell>
        </row>
        <row r="211">
          <cell r="A211">
            <v>39</v>
          </cell>
          <cell r="B211">
            <v>37825</v>
          </cell>
          <cell r="C211">
            <v>66</v>
          </cell>
          <cell r="D211" t="str">
            <v>Cty UNI PRESIDENT</v>
          </cell>
          <cell r="E211" t="str">
            <v>30 98 208</v>
          </cell>
          <cell r="F211" t="str">
            <v>ANZ</v>
          </cell>
          <cell r="G211" t="str">
            <v>Hoà Chí Minh</v>
          </cell>
          <cell r="H211" t="str">
            <v>Traû tieàn mua mì Unif</v>
          </cell>
          <cell r="I211">
            <v>74684100</v>
          </cell>
        </row>
        <row r="212">
          <cell r="A212">
            <v>40</v>
          </cell>
          <cell r="B212">
            <v>37825</v>
          </cell>
          <cell r="C212">
            <v>73</v>
          </cell>
          <cell r="D212" t="str">
            <v>Cty. TNHH SX.TM.HMP Myõ Haûo</v>
          </cell>
          <cell r="E212" t="str">
            <v>007.100.002.4148</v>
          </cell>
          <cell r="F212" t="str">
            <v>Ngoaïi Thöông</v>
          </cell>
          <cell r="G212" t="str">
            <v>Hoà Chí Minh</v>
          </cell>
          <cell r="H212" t="str">
            <v>Traû tieàn mua nöôùc röûa cheùn(TT.Baïc Lieâu)</v>
          </cell>
          <cell r="I212">
            <v>26861405</v>
          </cell>
        </row>
        <row r="213">
          <cell r="A213">
            <v>41</v>
          </cell>
          <cell r="B213">
            <v>37826</v>
          </cell>
          <cell r="C213">
            <v>28</v>
          </cell>
          <cell r="D213" t="str">
            <v>Chi Nhaùnh Cty CP Söõa VN Taïi Caàn Thô</v>
          </cell>
          <cell r="E213" t="str">
            <v>7301.0479K</v>
          </cell>
          <cell r="F213" t="str">
            <v>Ñaàu Tö &amp; Phaùt Trieån</v>
          </cell>
          <cell r="G213" t="str">
            <v>Caàn Thô</v>
          </cell>
          <cell r="H213" t="str">
            <v>Traû tieàn mua söõa caùc loaïi</v>
          </cell>
          <cell r="I213">
            <v>411422902</v>
          </cell>
        </row>
        <row r="214">
          <cell r="A214">
            <v>22</v>
          </cell>
          <cell r="B214">
            <v>37826</v>
          </cell>
          <cell r="C214">
            <v>41</v>
          </cell>
          <cell r="D214" t="str">
            <v>Cty Xi Maêng Nghi Sôn</v>
          </cell>
          <cell r="E214" t="str">
            <v>710A.02772</v>
          </cell>
          <cell r="F214" t="str">
            <v>Coâng Thöông CN 9</v>
          </cell>
          <cell r="G214" t="str">
            <v>Hoà Chí Minh</v>
          </cell>
          <cell r="H214" t="str">
            <v>Traû tieàn mua xi maêng 300taán</v>
          </cell>
          <cell r="I214">
            <v>246000000</v>
          </cell>
        </row>
        <row r="215">
          <cell r="A215">
            <v>42</v>
          </cell>
          <cell r="B215">
            <v>37827</v>
          </cell>
          <cell r="C215">
            <v>31</v>
          </cell>
          <cell r="D215" t="str">
            <v>Cty Daàu Aên Golden Hope - Nhaø Beø</v>
          </cell>
          <cell r="E215" t="str">
            <v>710A.06902</v>
          </cell>
          <cell r="F215" t="str">
            <v>Sôû Giao Dòch II CTVN</v>
          </cell>
          <cell r="G215" t="str">
            <v>Hoà Chí Minh</v>
          </cell>
          <cell r="H215" t="str">
            <v>Traû tieàn daàu aên  (TT.TN.CM)</v>
          </cell>
          <cell r="I215">
            <v>91155121</v>
          </cell>
        </row>
        <row r="216">
          <cell r="A216">
            <v>43</v>
          </cell>
          <cell r="B216">
            <v>37827</v>
          </cell>
          <cell r="C216">
            <v>19</v>
          </cell>
          <cell r="D216" t="str">
            <v>Cty LD Khí Ñoát Saøi Goøn (Elf)</v>
          </cell>
          <cell r="E216" t="str">
            <v>100014851025745</v>
          </cell>
          <cell r="F216" t="str">
            <v>Eximbank</v>
          </cell>
          <cell r="G216" t="str">
            <v>Hoà Chí Minh</v>
          </cell>
          <cell r="H216" t="str">
            <v>Traû tieàn mua gas</v>
          </cell>
          <cell r="I216">
            <v>29107000</v>
          </cell>
        </row>
        <row r="217">
          <cell r="A217">
            <v>44</v>
          </cell>
          <cell r="B217">
            <v>37827</v>
          </cell>
          <cell r="C217">
            <v>83</v>
          </cell>
          <cell r="D217" t="str">
            <v>CTy TNHH TM TH Thuaän Taân</v>
          </cell>
          <cell r="E217" t="str">
            <v>007.100.110.1337</v>
          </cell>
          <cell r="F217" t="str">
            <v>Ngoaïi Thöông</v>
          </cell>
          <cell r="G217" t="str">
            <v>Hoà Chí Minh</v>
          </cell>
          <cell r="H217" t="str">
            <v>Traû tieàn muaTivi</v>
          </cell>
          <cell r="I217">
            <v>10707700</v>
          </cell>
        </row>
        <row r="218">
          <cell r="A218">
            <v>23</v>
          </cell>
          <cell r="B218">
            <v>37827</v>
          </cell>
          <cell r="C218">
            <v>5</v>
          </cell>
          <cell r="D218" t="str">
            <v>Cty TNHH TMaïi Thaønh Long</v>
          </cell>
          <cell r="E218" t="str">
            <v>710A.00817</v>
          </cell>
          <cell r="F218" t="str">
            <v>Coâng Thöong CN6</v>
          </cell>
          <cell r="G218" t="str">
            <v>Hoà Chí Minh</v>
          </cell>
          <cell r="H218" t="str">
            <v>Traû tieàn mua boät ngoït</v>
          </cell>
          <cell r="I218">
            <v>255948639</v>
          </cell>
        </row>
        <row r="219">
          <cell r="A219">
            <v>24</v>
          </cell>
          <cell r="B219">
            <v>37830</v>
          </cell>
          <cell r="C219">
            <v>8</v>
          </cell>
          <cell r="D219" t="str">
            <v>Cty Xi Maêng Haø Tieân II</v>
          </cell>
          <cell r="E219" t="str">
            <v>710A.00091</v>
          </cell>
          <cell r="F219" t="str">
            <v>Coâng Thöông</v>
          </cell>
          <cell r="G219" t="str">
            <v>Kieân Giang</v>
          </cell>
          <cell r="H219" t="str">
            <v>Traû tieàn mua xi maêng 200taán</v>
          </cell>
          <cell r="I219">
            <v>157190000</v>
          </cell>
        </row>
        <row r="220">
          <cell r="A220">
            <v>25</v>
          </cell>
          <cell r="B220">
            <v>37830</v>
          </cell>
          <cell r="C220">
            <v>36</v>
          </cell>
          <cell r="D220" t="str">
            <v>XN Xaêng Daàu Daàu Khí Vuõng Taøu</v>
          </cell>
          <cell r="E220" t="str">
            <v>710D.00343</v>
          </cell>
          <cell r="F220" t="str">
            <v>Coâng Thöông</v>
          </cell>
          <cell r="G220" t="str">
            <v>Baø Ròa-Vuõng Taøu</v>
          </cell>
          <cell r="H220" t="str">
            <v>Traû tieàn mua xaêng daàu</v>
          </cell>
          <cell r="I220">
            <v>1459200000</v>
          </cell>
        </row>
        <row r="221">
          <cell r="A221">
            <v>45</v>
          </cell>
          <cell r="B221">
            <v>37830</v>
          </cell>
          <cell r="C221">
            <v>68</v>
          </cell>
          <cell r="D221" t="str">
            <v>Nhaø Maùy Daàu Töôøng An</v>
          </cell>
          <cell r="E221" t="str">
            <v>710A.00085</v>
          </cell>
          <cell r="F221" t="str">
            <v>Sôû Giao Dòch II CTVN</v>
          </cell>
          <cell r="G221" t="str">
            <v>Hoà Chí Minh</v>
          </cell>
          <cell r="H221" t="str">
            <v>Traû tieàn mua daàu aên Töôøng An</v>
          </cell>
          <cell r="I221">
            <v>40000000</v>
          </cell>
        </row>
        <row r="222">
          <cell r="A222">
            <v>46</v>
          </cell>
          <cell r="B222">
            <v>37830</v>
          </cell>
          <cell r="C222">
            <v>73</v>
          </cell>
          <cell r="D222" t="str">
            <v>Cty. TNHH SX.TM.HMP Myõ Haûo</v>
          </cell>
          <cell r="E222" t="str">
            <v>007.100.002.4148</v>
          </cell>
          <cell r="F222" t="str">
            <v>Ngoaïi Thöông</v>
          </cell>
          <cell r="G222" t="str">
            <v>Hoà Chí Minh</v>
          </cell>
          <cell r="H222" t="str">
            <v>Traû tieàn mua nöôùc röûa cheùn(TT.Caø Mau)</v>
          </cell>
          <cell r="I222">
            <v>61679221</v>
          </cell>
        </row>
        <row r="223">
          <cell r="A223">
            <v>25</v>
          </cell>
          <cell r="B223">
            <v>37830</v>
          </cell>
          <cell r="C223">
            <v>36</v>
          </cell>
          <cell r="D223" t="str">
            <v>XN Xaêng Daàu Daàu Khí Vuõng Taøu</v>
          </cell>
          <cell r="E223" t="str">
            <v>710D.00343</v>
          </cell>
          <cell r="F223" t="str">
            <v>Coâng Thöông</v>
          </cell>
          <cell r="G223" t="str">
            <v>Baø Ròa-Vuõng Taøu</v>
          </cell>
          <cell r="H223" t="str">
            <v>Traû tieàn mua xaêng daàu</v>
          </cell>
          <cell r="I223">
            <v>1459200000</v>
          </cell>
        </row>
        <row r="224">
          <cell r="A224">
            <v>26</v>
          </cell>
          <cell r="B224">
            <v>37830</v>
          </cell>
          <cell r="C224">
            <v>1</v>
          </cell>
          <cell r="D224" t="str">
            <v>Nhaø Maùy Thuoác Laù Saøi Goøn</v>
          </cell>
          <cell r="E224" t="str">
            <v>710A.00105</v>
          </cell>
          <cell r="F224" t="str">
            <v>Sôû Giao Dòch II CTVN</v>
          </cell>
          <cell r="G224" t="str">
            <v>Hoà Chí Minh</v>
          </cell>
          <cell r="H224" t="str">
            <v>Traû tieàn mua thuoác laù</v>
          </cell>
          <cell r="I224">
            <v>215825000</v>
          </cell>
        </row>
        <row r="225">
          <cell r="A225">
            <v>47</v>
          </cell>
          <cell r="B225">
            <v>37830</v>
          </cell>
          <cell r="C225">
            <v>31</v>
          </cell>
          <cell r="D225" t="str">
            <v>Cty Daàu Aên Golden Hope - Nhaø Beø</v>
          </cell>
          <cell r="E225" t="str">
            <v>710A.06902</v>
          </cell>
          <cell r="F225" t="str">
            <v>Sôû Giao Dòch II CTVN</v>
          </cell>
          <cell r="G225" t="str">
            <v>Hoà Chí Minh</v>
          </cell>
          <cell r="H225" t="str">
            <v>Traû tieàn daàu aên  (TT.TN.CM)</v>
          </cell>
          <cell r="I225">
            <v>80314582</v>
          </cell>
        </row>
        <row r="226">
          <cell r="A226">
            <v>48</v>
          </cell>
          <cell r="B226">
            <v>37830</v>
          </cell>
          <cell r="C226">
            <v>9</v>
          </cell>
          <cell r="D226" t="str">
            <v>Castrol Vieät Nam Ltd</v>
          </cell>
          <cell r="E226" t="str">
            <v>007.1.00.002804.1</v>
          </cell>
          <cell r="F226" t="str">
            <v>Ngoaïi Thöông</v>
          </cell>
          <cell r="G226" t="str">
            <v>Hoà Chí Minh</v>
          </cell>
          <cell r="H226" t="str">
            <v>Traû tieàn mua nhôùt</v>
          </cell>
          <cell r="I226">
            <v>18779543</v>
          </cell>
        </row>
        <row r="227">
          <cell r="A227">
            <v>49</v>
          </cell>
          <cell r="B227">
            <v>37831</v>
          </cell>
          <cell r="C227">
            <v>73</v>
          </cell>
          <cell r="D227" t="str">
            <v>Cty. TNHH SX.TM.HMP Myõ Haûo</v>
          </cell>
          <cell r="E227" t="str">
            <v>007.100.002.4148</v>
          </cell>
          <cell r="F227" t="str">
            <v>Ngoaïi Thöông</v>
          </cell>
          <cell r="G227" t="str">
            <v>Hoà Chí Minh</v>
          </cell>
          <cell r="H227" t="str">
            <v>Traû tieàn mua nöôùc röûa cheùn(TT.Baïc Lieâu)</v>
          </cell>
          <cell r="I227">
            <v>38083435</v>
          </cell>
        </row>
        <row r="228">
          <cell r="A228">
            <v>50</v>
          </cell>
          <cell r="B228">
            <v>37831</v>
          </cell>
          <cell r="C228">
            <v>28</v>
          </cell>
          <cell r="D228" t="str">
            <v>Chi Nhaùnh Cty CP Söõa VN Taïi Caàn Thô</v>
          </cell>
          <cell r="E228" t="str">
            <v>7301.0479K</v>
          </cell>
          <cell r="F228" t="str">
            <v>Ñaàu Tö &amp; Phaùt Trieån</v>
          </cell>
          <cell r="G228" t="str">
            <v>Caàn Thô</v>
          </cell>
          <cell r="H228" t="str">
            <v>Traû tieàn mua söõa caùc loaïi</v>
          </cell>
          <cell r="I228">
            <v>282700477</v>
          </cell>
        </row>
        <row r="229">
          <cell r="A229">
            <v>27</v>
          </cell>
          <cell r="B229">
            <v>37831</v>
          </cell>
          <cell r="C229">
            <v>36</v>
          </cell>
          <cell r="D229" t="str">
            <v>XN Xaêng Daàu Daàu Khí Vuõng Taøu</v>
          </cell>
          <cell r="E229" t="str">
            <v>710D.00343</v>
          </cell>
          <cell r="F229" t="str">
            <v>Coâng Thöông</v>
          </cell>
          <cell r="G229" t="str">
            <v>Baø Ròa-Vuõng Taøu</v>
          </cell>
          <cell r="H229" t="str">
            <v>Traû tieàn mua xaêng daàu</v>
          </cell>
          <cell r="I229">
            <v>1920000000</v>
          </cell>
        </row>
        <row r="230">
          <cell r="A230">
            <v>28</v>
          </cell>
          <cell r="B230">
            <v>37831</v>
          </cell>
          <cell r="C230">
            <v>4</v>
          </cell>
          <cell r="D230" t="str">
            <v>Cty TMKT &amp; Ñaàu Tö PETEC</v>
          </cell>
          <cell r="E230" t="str">
            <v>710A.09566</v>
          </cell>
          <cell r="F230" t="str">
            <v>Sôû Giao Dòch II  CTVN</v>
          </cell>
          <cell r="G230" t="str">
            <v>Hoà Chí Minh</v>
          </cell>
          <cell r="H230" t="str">
            <v>Traû tieàn mua xaêng daàu</v>
          </cell>
          <cell r="I230">
            <v>3180000</v>
          </cell>
        </row>
        <row r="231">
          <cell r="A231">
            <v>27</v>
          </cell>
          <cell r="B231">
            <v>37831</v>
          </cell>
          <cell r="C231">
            <v>36</v>
          </cell>
          <cell r="D231" t="str">
            <v>XN Xaêng Daàu Daàu Khí Vuõng Taøu</v>
          </cell>
          <cell r="E231" t="str">
            <v>710D.00343</v>
          </cell>
          <cell r="F231" t="str">
            <v>Coâng Thöông</v>
          </cell>
          <cell r="G231" t="str">
            <v>Baø Ròa-Vuõng Taøu</v>
          </cell>
          <cell r="H231" t="str">
            <v>Traû tieàn mua xaêng daàu</v>
          </cell>
          <cell r="I231">
            <v>2468000000</v>
          </cell>
        </row>
        <row r="232">
          <cell r="A232">
            <v>29</v>
          </cell>
          <cell r="B232">
            <v>37832</v>
          </cell>
          <cell r="C232">
            <v>73</v>
          </cell>
          <cell r="D232" t="str">
            <v>Cty. TNHH SX.TM.HMP Myõ Haûo</v>
          </cell>
          <cell r="E232" t="str">
            <v>007.100.002.4148</v>
          </cell>
          <cell r="F232" t="str">
            <v>Ngoaïi Thöông</v>
          </cell>
          <cell r="G232" t="str">
            <v>Hoà Chí Minh</v>
          </cell>
          <cell r="H232" t="str">
            <v>Traû tieàn mua nöôùc röûa cheùn(TT.Baïc Lieâu)</v>
          </cell>
          <cell r="I232">
            <v>95927234</v>
          </cell>
        </row>
        <row r="233">
          <cell r="A233">
            <v>30</v>
          </cell>
          <cell r="B233">
            <v>37832</v>
          </cell>
          <cell r="C233">
            <v>27</v>
          </cell>
          <cell r="D233" t="str">
            <v>Cty TNHH Quoác Teá Nagarjuna</v>
          </cell>
          <cell r="E233" t="str">
            <v>3586.1</v>
          </cell>
          <cell r="F233" t="str">
            <v>INDOVINA</v>
          </cell>
          <cell r="G233" t="str">
            <v>Hoà Chí Minh</v>
          </cell>
          <cell r="H233" t="str">
            <v>Traû tieàn mua ñöôøng</v>
          </cell>
          <cell r="I233">
            <v>27650000</v>
          </cell>
        </row>
        <row r="234">
          <cell r="A234">
            <v>51</v>
          </cell>
          <cell r="B234">
            <v>37833</v>
          </cell>
          <cell r="C234">
            <v>76</v>
          </cell>
          <cell r="D234" t="str">
            <v>Cty Ñieän &amp; Ñieän Töû TCL Vieät Nam</v>
          </cell>
          <cell r="E234" t="str">
            <v>012.100.0020848</v>
          </cell>
          <cell r="F234" t="str">
            <v>Ngoaïi Thöông</v>
          </cell>
          <cell r="G234" t="str">
            <v>Ñoàng Nai</v>
          </cell>
          <cell r="H234" t="str">
            <v>Traû tieàn mua Tivi</v>
          </cell>
          <cell r="I234">
            <v>21750000</v>
          </cell>
        </row>
        <row r="235">
          <cell r="A235">
            <v>31</v>
          </cell>
          <cell r="B235">
            <v>37833</v>
          </cell>
          <cell r="C235">
            <v>21</v>
          </cell>
          <cell r="D235" t="str">
            <v>Cty Coå Phaàn Vaät Tö  Haäu Giang</v>
          </cell>
          <cell r="E235" t="str">
            <v>710A.00040</v>
          </cell>
          <cell r="F235" t="str">
            <v>Coâng Thöông</v>
          </cell>
          <cell r="G235" t="str">
            <v>Caàn Thô</v>
          </cell>
          <cell r="H235" t="str">
            <v>Traû tieàn mua gas</v>
          </cell>
          <cell r="I235">
            <v>65000000</v>
          </cell>
        </row>
        <row r="236">
          <cell r="A236">
            <v>52</v>
          </cell>
          <cell r="B236">
            <v>37833</v>
          </cell>
          <cell r="C236">
            <v>28</v>
          </cell>
          <cell r="D236" t="str">
            <v>Chi Nhaùnh Cty CP Söõa VN Taïi Caàn Thô</v>
          </cell>
          <cell r="E236" t="str">
            <v>7301.0479K</v>
          </cell>
          <cell r="F236" t="str">
            <v>Ñaàu Tö &amp; Phaùt Trieån</v>
          </cell>
          <cell r="G236" t="str">
            <v>Caàn Thô</v>
          </cell>
          <cell r="H236" t="str">
            <v>Traû tieàn mua söõa caùc loaïi</v>
          </cell>
          <cell r="I236">
            <v>181707383</v>
          </cell>
        </row>
        <row r="237">
          <cell r="A237">
            <v>1</v>
          </cell>
          <cell r="B237">
            <v>37834</v>
          </cell>
          <cell r="C237">
            <v>3</v>
          </cell>
          <cell r="D237" t="str">
            <v>Cty Coå Phaàn Boät Giaët Lix</v>
          </cell>
          <cell r="E237" t="str">
            <v>710A.01440</v>
          </cell>
          <cell r="F237" t="str">
            <v>Coâng Thöông CN 14</v>
          </cell>
          <cell r="G237" t="str">
            <v>Hoà Chí Minh</v>
          </cell>
          <cell r="H237" t="str">
            <v>Traû tieàn mua boät giaët</v>
          </cell>
          <cell r="I237">
            <v>200000000</v>
          </cell>
        </row>
        <row r="238">
          <cell r="A238">
            <v>2</v>
          </cell>
          <cell r="B238">
            <v>37837</v>
          </cell>
          <cell r="C238">
            <v>8</v>
          </cell>
          <cell r="D238" t="str">
            <v>Cty Xi Maêng Haø Tieân II</v>
          </cell>
          <cell r="E238" t="str">
            <v>710A.00091</v>
          </cell>
          <cell r="F238" t="str">
            <v>Coâng Thöông</v>
          </cell>
          <cell r="G238" t="str">
            <v>Kieân Giang</v>
          </cell>
          <cell r="H238" t="str">
            <v>Traû tieàn mua xi maêng 150taán</v>
          </cell>
          <cell r="I238">
            <v>120120000</v>
          </cell>
        </row>
        <row r="239">
          <cell r="A239">
            <v>1</v>
          </cell>
          <cell r="B239">
            <v>37837</v>
          </cell>
          <cell r="C239">
            <v>27</v>
          </cell>
          <cell r="D239" t="str">
            <v>Cty TNHH Quoác Teá Nagarjuna</v>
          </cell>
          <cell r="E239" t="str">
            <v>3586.1</v>
          </cell>
          <cell r="F239" t="str">
            <v>INDOVINA</v>
          </cell>
          <cell r="G239" t="str">
            <v>Hoà Chí Minh</v>
          </cell>
          <cell r="H239" t="str">
            <v>Traû tieàn mua ñöôøng</v>
          </cell>
          <cell r="I239">
            <v>28350000</v>
          </cell>
        </row>
        <row r="240">
          <cell r="A240">
            <v>2</v>
          </cell>
          <cell r="B240">
            <v>37837</v>
          </cell>
          <cell r="C240">
            <v>93</v>
          </cell>
          <cell r="D240" t="str">
            <v>Cty Coå Phaàn Giaáy Vieãn Ñoâng</v>
          </cell>
          <cell r="E240" t="str">
            <v>710A.04479</v>
          </cell>
          <cell r="F240" t="str">
            <v>Coâng Thöông CN 12</v>
          </cell>
          <cell r="G240" t="str">
            <v>Hoà Chí Minh</v>
          </cell>
          <cell r="H240" t="str">
            <v>Traû tieàn mua giaáy vieãn ñoâng</v>
          </cell>
          <cell r="I240">
            <v>13804362</v>
          </cell>
        </row>
        <row r="241">
          <cell r="A241">
            <v>3</v>
          </cell>
          <cell r="B241">
            <v>37837</v>
          </cell>
          <cell r="C241">
            <v>83</v>
          </cell>
          <cell r="D241" t="str">
            <v>CTy TNHH TM TH Thuaän Taân</v>
          </cell>
          <cell r="E241" t="str">
            <v>007.100.110.1337</v>
          </cell>
          <cell r="F241" t="str">
            <v>Ngoaïi Thöông</v>
          </cell>
          <cell r="G241" t="str">
            <v>Hoà Chí Minh</v>
          </cell>
          <cell r="H241" t="str">
            <v>Traû tieàn mua Tivi</v>
          </cell>
          <cell r="I241">
            <v>22990000</v>
          </cell>
        </row>
        <row r="242">
          <cell r="A242">
            <v>3</v>
          </cell>
          <cell r="B242">
            <v>37838</v>
          </cell>
          <cell r="C242">
            <v>36</v>
          </cell>
          <cell r="D242" t="str">
            <v>XN Xaêng Daàu Daàu Khí Vuõng Taøu</v>
          </cell>
          <cell r="E242" t="str">
            <v>710D.00343</v>
          </cell>
          <cell r="F242" t="str">
            <v>Coâng Thöông</v>
          </cell>
          <cell r="G242" t="str">
            <v>Baø Ròa-Vuõng Taøu</v>
          </cell>
          <cell r="H242" t="str">
            <v>Traû tieàn mua xaêng daàu</v>
          </cell>
          <cell r="I242">
            <v>5440000000</v>
          </cell>
        </row>
        <row r="243">
          <cell r="A243">
            <v>4</v>
          </cell>
          <cell r="B243">
            <v>37838</v>
          </cell>
          <cell r="C243">
            <v>25</v>
          </cell>
          <cell r="D243" t="str">
            <v xml:space="preserve"> Thu Baûo Hieåm Xaõ Hoäi Tænh Baïc Lieâu</v>
          </cell>
          <cell r="E243" t="str">
            <v>421401.12</v>
          </cell>
          <cell r="F243" t="str">
            <v>NN &amp; P/T N/Thoân</v>
          </cell>
          <cell r="G243" t="str">
            <v>Baïc Lieâu</v>
          </cell>
          <cell r="H243" t="str">
            <v>Noäp BHXH,BHYT thaùng 7/2003</v>
          </cell>
          <cell r="I243">
            <v>15544266</v>
          </cell>
        </row>
        <row r="244">
          <cell r="A244">
            <v>4</v>
          </cell>
          <cell r="B244">
            <v>37838</v>
          </cell>
          <cell r="C244">
            <v>4</v>
          </cell>
          <cell r="D244" t="str">
            <v>Cty TMKT &amp; Ñaàu Tö PETEC</v>
          </cell>
          <cell r="E244" t="str">
            <v>710A.09566</v>
          </cell>
          <cell r="F244" t="str">
            <v>Sôû Giao Dòch II  CTVN</v>
          </cell>
          <cell r="G244" t="str">
            <v>Hoà Chí Minh</v>
          </cell>
          <cell r="H244" t="str">
            <v>Traû tieàn mua xaêng daàu</v>
          </cell>
          <cell r="I244">
            <v>10000000000</v>
          </cell>
        </row>
        <row r="245">
          <cell r="A245">
            <v>5</v>
          </cell>
          <cell r="B245">
            <v>37839</v>
          </cell>
          <cell r="C245">
            <v>5</v>
          </cell>
          <cell r="D245" t="str">
            <v>Cty TNHH TMaïi Thaønh Long</v>
          </cell>
          <cell r="E245" t="str">
            <v>710A.00817</v>
          </cell>
          <cell r="F245" t="str">
            <v>Coâng Thöong CN6</v>
          </cell>
          <cell r="G245" t="str">
            <v>Hoà Chí Minh</v>
          </cell>
          <cell r="H245" t="str">
            <v>Traû tieàn mua boät ngoït</v>
          </cell>
          <cell r="I245">
            <v>423628777</v>
          </cell>
        </row>
        <row r="246">
          <cell r="A246">
            <v>6</v>
          </cell>
          <cell r="B246">
            <v>37840</v>
          </cell>
          <cell r="C246">
            <v>36</v>
          </cell>
          <cell r="D246" t="str">
            <v>XN Xaêng Daàu Daàu Khí Vuõng Taøu</v>
          </cell>
          <cell r="E246" t="str">
            <v>710D.00343</v>
          </cell>
          <cell r="F246" t="str">
            <v>Coâng Thöông</v>
          </cell>
          <cell r="G246" t="str">
            <v>Baø Ròa-Vuõng Taøu</v>
          </cell>
          <cell r="H246" t="str">
            <v>Traû tieàn mua xaêng daàu</v>
          </cell>
          <cell r="I246">
            <v>3600000000</v>
          </cell>
        </row>
        <row r="247">
          <cell r="A247">
            <v>5</v>
          </cell>
          <cell r="B247">
            <v>37840</v>
          </cell>
          <cell r="C247">
            <v>31</v>
          </cell>
          <cell r="D247" t="str">
            <v>Cty Daàu Aên Golden Hope - Nhaø Beø</v>
          </cell>
          <cell r="E247" t="str">
            <v>710A.06902</v>
          </cell>
          <cell r="F247" t="str">
            <v>Sôû Giao Dòch II CTVN</v>
          </cell>
          <cell r="G247" t="str">
            <v>Hoà Chí Minh</v>
          </cell>
          <cell r="H247" t="str">
            <v>Traû tieàn mua daàu aên + oâng taùo</v>
          </cell>
          <cell r="I247">
            <v>63240148</v>
          </cell>
        </row>
        <row r="248">
          <cell r="A248">
            <v>6</v>
          </cell>
          <cell r="B248">
            <v>37840</v>
          </cell>
          <cell r="C248">
            <v>90</v>
          </cell>
          <cell r="D248" t="str">
            <v>CN CTy. CP Ñöôøng Bieân Hoøa taïi Caàn Thô</v>
          </cell>
          <cell r="E248" t="str">
            <v>710A.80253</v>
          </cell>
          <cell r="F248" t="str">
            <v>Coâng Thöông</v>
          </cell>
          <cell r="G248" t="str">
            <v>Caàn Thô</v>
          </cell>
          <cell r="H248" t="str">
            <v>Traû tieàn mua ñöôøng</v>
          </cell>
          <cell r="I248">
            <v>10216000</v>
          </cell>
        </row>
        <row r="249">
          <cell r="A249">
            <v>7</v>
          </cell>
          <cell r="B249">
            <v>37840</v>
          </cell>
          <cell r="C249">
            <v>28</v>
          </cell>
          <cell r="D249" t="str">
            <v>Chi Nhaùnh Cty CP Söõa VN Taïi Caàn Thô</v>
          </cell>
          <cell r="E249" t="str">
            <v>7301.0479K</v>
          </cell>
          <cell r="F249" t="str">
            <v>Ñaàu Tö &amp; Phaùt Trieån</v>
          </cell>
          <cell r="G249" t="str">
            <v>Caàn Thô</v>
          </cell>
          <cell r="H249" t="str">
            <v>Traû tieàn mua söõa caùc loaïi</v>
          </cell>
          <cell r="I249">
            <v>269697331</v>
          </cell>
        </row>
        <row r="250">
          <cell r="A250">
            <v>8</v>
          </cell>
          <cell r="B250">
            <v>37840</v>
          </cell>
          <cell r="C250">
            <v>44</v>
          </cell>
          <cell r="D250" t="str">
            <v>CTy Ñieän Baùo Ñieän Thoaïi Baïc Lieâu</v>
          </cell>
          <cell r="E250" t="str">
            <v>710A.00074</v>
          </cell>
          <cell r="F250" t="str">
            <v xml:space="preserve">Coâng Thöông </v>
          </cell>
          <cell r="G250" t="str">
            <v>Baïc Lieâu</v>
          </cell>
          <cell r="H250" t="str">
            <v>Tieàn ñieän thoaïi thaùng 7/2003</v>
          </cell>
          <cell r="I250">
            <v>9618018</v>
          </cell>
        </row>
        <row r="251">
          <cell r="A251">
            <v>7</v>
          </cell>
          <cell r="B251">
            <v>37841</v>
          </cell>
          <cell r="C251">
            <v>1</v>
          </cell>
          <cell r="D251" t="str">
            <v>Nhaø Maùy Thuoác Laù Saøi Goøn</v>
          </cell>
          <cell r="E251" t="str">
            <v>710A.00105</v>
          </cell>
          <cell r="F251" t="str">
            <v>Sôû Giao Dòch II CTVN</v>
          </cell>
          <cell r="G251" t="str">
            <v>Hoà Chí Minh</v>
          </cell>
          <cell r="H251" t="str">
            <v>Traû tieàn thuoác laù</v>
          </cell>
          <cell r="I251">
            <v>221300000</v>
          </cell>
        </row>
        <row r="252">
          <cell r="A252">
            <v>8</v>
          </cell>
          <cell r="B252">
            <v>37841</v>
          </cell>
          <cell r="C252">
            <v>69</v>
          </cell>
          <cell r="D252" t="str">
            <v>Cty TNHH Vaän Taûi-TM-DV T.H.P</v>
          </cell>
          <cell r="E252" t="str">
            <v>710A.05139</v>
          </cell>
          <cell r="F252" t="str">
            <v>Coâng Thöông CN 5</v>
          </cell>
          <cell r="G252" t="str">
            <v>Hoà Chí Minh</v>
          </cell>
          <cell r="H252" t="str">
            <v>Traû tieàn mua daàu FO</v>
          </cell>
          <cell r="I252">
            <v>77119000</v>
          </cell>
        </row>
        <row r="253">
          <cell r="A253">
            <v>9</v>
          </cell>
          <cell r="B253">
            <v>37841</v>
          </cell>
          <cell r="C253">
            <v>27</v>
          </cell>
          <cell r="D253" t="str">
            <v>Cty TNHH Quoác Teá Nagarjuna</v>
          </cell>
          <cell r="E253" t="str">
            <v>3586.1</v>
          </cell>
          <cell r="F253" t="str">
            <v>INDOVINA</v>
          </cell>
          <cell r="G253" t="str">
            <v>Hoà Chí Minh</v>
          </cell>
          <cell r="H253" t="str">
            <v>Traû tieàn mua ñöôøng</v>
          </cell>
          <cell r="I253">
            <v>27650000</v>
          </cell>
        </row>
        <row r="254">
          <cell r="A254">
            <v>9</v>
          </cell>
          <cell r="B254">
            <v>37844</v>
          </cell>
          <cell r="C254">
            <v>5</v>
          </cell>
          <cell r="D254" t="str">
            <v>Cty TNHH TMaïi Thaønh Long</v>
          </cell>
          <cell r="E254" t="str">
            <v>710A.00817</v>
          </cell>
          <cell r="F254" t="str">
            <v>Coâng Thöong CN6</v>
          </cell>
          <cell r="G254" t="str">
            <v>Hoà Chí Minh</v>
          </cell>
          <cell r="H254" t="str">
            <v>Traû tieàn mua boät ngoït</v>
          </cell>
          <cell r="I254">
            <v>259948474</v>
          </cell>
        </row>
        <row r="255">
          <cell r="A255">
            <v>10</v>
          </cell>
          <cell r="B255">
            <v>37844</v>
          </cell>
          <cell r="C255">
            <v>41</v>
          </cell>
          <cell r="D255" t="str">
            <v>Cty Xi Maêng Nghi Sôn</v>
          </cell>
          <cell r="E255" t="str">
            <v>710A.02772</v>
          </cell>
          <cell r="F255" t="str">
            <v>Coâng Thöông CN 9</v>
          </cell>
          <cell r="G255" t="str">
            <v>Hoà Chí Minh</v>
          </cell>
          <cell r="H255" t="str">
            <v>Traû tieàn mua xi maêng 330taán</v>
          </cell>
          <cell r="I255">
            <v>270600000</v>
          </cell>
        </row>
        <row r="256">
          <cell r="A256">
            <v>11</v>
          </cell>
          <cell r="B256">
            <v>37844</v>
          </cell>
          <cell r="C256">
            <v>8</v>
          </cell>
          <cell r="D256" t="str">
            <v>Cty Xi Maêng Haø Tieân II</v>
          </cell>
          <cell r="E256" t="str">
            <v>710A.00091</v>
          </cell>
          <cell r="F256" t="str">
            <v>Coâng Thöông</v>
          </cell>
          <cell r="G256" t="str">
            <v>Kieân Giang</v>
          </cell>
          <cell r="H256" t="str">
            <v>Traû tieàn mua xi maêng 150taán</v>
          </cell>
          <cell r="I256">
            <v>120120000</v>
          </cell>
        </row>
        <row r="257">
          <cell r="A257">
            <v>12</v>
          </cell>
          <cell r="B257">
            <v>37844</v>
          </cell>
          <cell r="C257">
            <v>10</v>
          </cell>
          <cell r="D257" t="str">
            <v>Cty TNHH Daàu Nhôùt vaø Hoùa Chaát VN</v>
          </cell>
          <cell r="E257" t="str">
            <v>001.004837.041</v>
          </cell>
          <cell r="F257" t="str">
            <v>Hoàng Kong&amp; Thöôïng Haûi</v>
          </cell>
          <cell r="G257" t="str">
            <v>Hoà Chí Minh</v>
          </cell>
          <cell r="H257" t="str">
            <v>Traû tieàn mua nhôùt</v>
          </cell>
          <cell r="I257">
            <v>144960000</v>
          </cell>
        </row>
        <row r="258">
          <cell r="A258">
            <v>13</v>
          </cell>
          <cell r="B258">
            <v>37844</v>
          </cell>
          <cell r="C258">
            <v>14</v>
          </cell>
          <cell r="D258" t="str">
            <v>Coâng Ty Theùp Mieàn Nam</v>
          </cell>
          <cell r="E258" t="str">
            <v>710A.01611</v>
          </cell>
          <cell r="F258" t="str">
            <v>Coâng Thöông CN I</v>
          </cell>
          <cell r="G258" t="str">
            <v>Hoà Chí Minh</v>
          </cell>
          <cell r="H258" t="str">
            <v>Traû tieàn mua haøng cho CN Theùp Mieàn Nam taïi Caàn Thô</v>
          </cell>
          <cell r="I258">
            <v>247926274</v>
          </cell>
        </row>
        <row r="259">
          <cell r="A259">
            <v>10</v>
          </cell>
          <cell r="B259">
            <v>37844</v>
          </cell>
          <cell r="C259">
            <v>98</v>
          </cell>
          <cell r="D259" t="str">
            <v>CTy Lieân Doanh Xi Maêng Haø Tieân II-Caàn Thô</v>
          </cell>
          <cell r="E259" t="str">
            <v>710A.56157</v>
          </cell>
          <cell r="F259" t="str">
            <v>Coâng Thöông</v>
          </cell>
          <cell r="G259" t="str">
            <v>Caàn Thô</v>
          </cell>
          <cell r="H259" t="str">
            <v>Traû tieàn mua xi maêng</v>
          </cell>
          <cell r="I259">
            <v>60750000</v>
          </cell>
        </row>
        <row r="260">
          <cell r="A260">
            <v>14</v>
          </cell>
          <cell r="B260">
            <v>37844</v>
          </cell>
          <cell r="C260">
            <v>4</v>
          </cell>
          <cell r="D260" t="str">
            <v>Cty TMKT &amp; Ñaàu Tö PETEC</v>
          </cell>
          <cell r="E260" t="str">
            <v>710A.09566</v>
          </cell>
          <cell r="F260" t="str">
            <v>Sôû Giao Dòch II  CTVN</v>
          </cell>
          <cell r="G260" t="str">
            <v>Hoà Chí Minh</v>
          </cell>
          <cell r="H260" t="str">
            <v>Traû tieàn mua xaêng daàu</v>
          </cell>
          <cell r="I260">
            <v>2200000000</v>
          </cell>
        </row>
        <row r="261">
          <cell r="A261">
            <v>11</v>
          </cell>
          <cell r="B261">
            <v>37845</v>
          </cell>
          <cell r="C261">
            <v>31</v>
          </cell>
          <cell r="D261" t="str">
            <v>Cty Daàu Aên Golden Hope - Nhaø Beø</v>
          </cell>
          <cell r="E261" t="str">
            <v>710A.06902</v>
          </cell>
          <cell r="F261" t="str">
            <v>Sôû Giao Dòch II CTVN</v>
          </cell>
          <cell r="G261" t="str">
            <v>Hoà Chí Minh</v>
          </cell>
          <cell r="H261" t="str">
            <v>Traû tieàn daàu aên  (TT.TN.BL)</v>
          </cell>
          <cell r="I261">
            <v>122013975</v>
          </cell>
        </row>
        <row r="262">
          <cell r="A262">
            <v>12</v>
          </cell>
          <cell r="B262">
            <v>37845</v>
          </cell>
          <cell r="C262">
            <v>90</v>
          </cell>
          <cell r="D262" t="str">
            <v>CN CTy. CP Ñöôøng Bieân Hoøa taïi Caàn Thô</v>
          </cell>
          <cell r="E262" t="str">
            <v>710A.80253</v>
          </cell>
          <cell r="F262" t="str">
            <v>Coâng Thöông</v>
          </cell>
          <cell r="G262" t="str">
            <v>Caàn Thô</v>
          </cell>
          <cell r="H262" t="str">
            <v>Traû tieàn mua ñöôøng</v>
          </cell>
          <cell r="I262">
            <v>10216000</v>
          </cell>
        </row>
        <row r="263">
          <cell r="A263">
            <v>13</v>
          </cell>
          <cell r="B263">
            <v>37846</v>
          </cell>
          <cell r="C263">
            <v>27</v>
          </cell>
          <cell r="D263" t="str">
            <v>Cty TNHH Quoác Teá Nagarjuna</v>
          </cell>
          <cell r="E263" t="str">
            <v>3586.1</v>
          </cell>
          <cell r="F263" t="str">
            <v>INDOVINA</v>
          </cell>
          <cell r="G263" t="str">
            <v>Hoà Chí Minh</v>
          </cell>
          <cell r="H263" t="str">
            <v>Traû tieàn mua ñöôøng</v>
          </cell>
          <cell r="I263">
            <v>27650000</v>
          </cell>
        </row>
        <row r="264">
          <cell r="A264">
            <v>14</v>
          </cell>
          <cell r="B264">
            <v>37846</v>
          </cell>
          <cell r="C264">
            <v>76</v>
          </cell>
          <cell r="D264" t="str">
            <v>Cty Ñieän &amp; Ñieän Töû TCL Vieät Nam</v>
          </cell>
          <cell r="E264" t="str">
            <v>012.100.0020848</v>
          </cell>
          <cell r="F264" t="str">
            <v>Ngoaïi Thöông</v>
          </cell>
          <cell r="G264" t="str">
            <v>Ñoàng Nai</v>
          </cell>
          <cell r="H264" t="str">
            <v>Traû tieàn mua haøng ñieän maùy</v>
          </cell>
          <cell r="I264">
            <v>34600000</v>
          </cell>
        </row>
        <row r="265">
          <cell r="A265">
            <v>15</v>
          </cell>
          <cell r="B265">
            <v>37847</v>
          </cell>
          <cell r="C265">
            <v>9</v>
          </cell>
          <cell r="D265" t="str">
            <v>Castrol Vieät Nam Ltd</v>
          </cell>
          <cell r="E265" t="str">
            <v>007.1.00.002804.1</v>
          </cell>
          <cell r="F265" t="str">
            <v>Ngoaïi Thöông</v>
          </cell>
          <cell r="G265" t="str">
            <v>Hoà Chí Minh</v>
          </cell>
          <cell r="H265" t="str">
            <v>Traû tieàn mua nhôùt</v>
          </cell>
          <cell r="I265">
            <v>53065824</v>
          </cell>
        </row>
        <row r="266">
          <cell r="A266">
            <v>16</v>
          </cell>
          <cell r="B266">
            <v>37847</v>
          </cell>
          <cell r="C266">
            <v>51</v>
          </cell>
          <cell r="D266" t="str">
            <v xml:space="preserve">Trung Taâm Thoâng Tin Thöông Maïi </v>
          </cell>
          <cell r="E266" t="str">
            <v>0.021.000.000.518</v>
          </cell>
          <cell r="F266" t="str">
            <v xml:space="preserve">Ngoaïi Thöông </v>
          </cell>
          <cell r="G266" t="str">
            <v>Haø Noâi</v>
          </cell>
          <cell r="H266" t="str">
            <v>Baûn tin thoâng tin TM (qua ñieän thoaïi)</v>
          </cell>
          <cell r="I266">
            <v>1200000</v>
          </cell>
        </row>
        <row r="267">
          <cell r="A267">
            <v>17</v>
          </cell>
          <cell r="B267">
            <v>37848</v>
          </cell>
          <cell r="C267">
            <v>73</v>
          </cell>
          <cell r="D267" t="str">
            <v>Cty. TNHH SX.TM.HMP Myõ Haûo</v>
          </cell>
          <cell r="E267" t="str">
            <v>007.100.002.4148</v>
          </cell>
          <cell r="F267" t="str">
            <v>Ngoaïi Thöông</v>
          </cell>
          <cell r="G267" t="str">
            <v>Hoà Chí Minh</v>
          </cell>
          <cell r="H267" t="str">
            <v>Traû tieàn mua nöôùc röûa cheùn(TT.Baïc Lieâu)</v>
          </cell>
          <cell r="I267">
            <v>28595809</v>
          </cell>
        </row>
        <row r="268">
          <cell r="A268">
            <v>18</v>
          </cell>
          <cell r="B268">
            <v>37848</v>
          </cell>
          <cell r="C268">
            <v>31</v>
          </cell>
          <cell r="D268" t="str">
            <v>Cty Daàu Aên Golden Hope - Nhaø Beø</v>
          </cell>
          <cell r="E268" t="str">
            <v>710A.06902</v>
          </cell>
          <cell r="F268" t="str">
            <v>Sôû Giao Dòch II CTVN</v>
          </cell>
          <cell r="G268" t="str">
            <v>Hoà Chí Minh</v>
          </cell>
          <cell r="H268" t="str">
            <v xml:space="preserve">Traû tieàn daàu aên  (TT.TN.CM : 90.657.080ñ)+daàu xaù </v>
          </cell>
          <cell r="I268">
            <v>119466155</v>
          </cell>
        </row>
        <row r="269">
          <cell r="A269">
            <v>19</v>
          </cell>
          <cell r="B269">
            <v>37848</v>
          </cell>
          <cell r="C269">
            <v>80</v>
          </cell>
          <cell r="D269" t="str">
            <v>Chi Nhaùnh Cty TNHH AÉC-QUY GS VN</v>
          </cell>
          <cell r="E269" t="str">
            <v>007.100.075318.7</v>
          </cell>
          <cell r="F269" t="str">
            <v>Ngoaïi Thöông</v>
          </cell>
          <cell r="G269" t="str">
            <v>Hoà Chí Minh</v>
          </cell>
          <cell r="H269" t="str">
            <v>Traû tieàn Bình aéc quy</v>
          </cell>
          <cell r="I269">
            <v>16632000</v>
          </cell>
        </row>
        <row r="270">
          <cell r="A270">
            <v>20</v>
          </cell>
          <cell r="B270">
            <v>37848</v>
          </cell>
          <cell r="C270">
            <v>66</v>
          </cell>
          <cell r="D270" t="str">
            <v>Cty UNI PRESIDENT</v>
          </cell>
          <cell r="E270" t="str">
            <v>30 98 208</v>
          </cell>
          <cell r="F270" t="str">
            <v>ANZ</v>
          </cell>
          <cell r="G270" t="str">
            <v>Hoà Chí Minh</v>
          </cell>
          <cell r="H270" t="str">
            <v>Traû tieàn mì Unif</v>
          </cell>
          <cell r="I270">
            <v>40195680</v>
          </cell>
        </row>
        <row r="271">
          <cell r="A271">
            <v>15</v>
          </cell>
          <cell r="B271">
            <v>37848</v>
          </cell>
          <cell r="C271">
            <v>90</v>
          </cell>
          <cell r="D271" t="str">
            <v>CN CTy. CP Ñöôøng Bieân Hoøa taïi Caàn Thô</v>
          </cell>
          <cell r="E271" t="str">
            <v>710A.80253</v>
          </cell>
          <cell r="F271" t="str">
            <v>Coâng Thöông</v>
          </cell>
          <cell r="G271" t="str">
            <v>Caàn Thô</v>
          </cell>
          <cell r="H271" t="str">
            <v>Traû tieàn ñöôøng</v>
          </cell>
          <cell r="I271">
            <v>14733980</v>
          </cell>
        </row>
        <row r="272">
          <cell r="A272">
            <v>16</v>
          </cell>
          <cell r="B272">
            <v>37848</v>
          </cell>
          <cell r="C272">
            <v>5</v>
          </cell>
          <cell r="D272" t="str">
            <v>Cty TNHH TMaïi Thaønh Long</v>
          </cell>
          <cell r="E272" t="str">
            <v>710A.00817</v>
          </cell>
          <cell r="F272" t="str">
            <v>Coâng Thöong CN6</v>
          </cell>
          <cell r="G272" t="str">
            <v>Hoà Chí Minh</v>
          </cell>
          <cell r="H272" t="str">
            <v>Traû tieàn mua boät ngoït</v>
          </cell>
          <cell r="I272">
            <v>80360940</v>
          </cell>
        </row>
        <row r="273">
          <cell r="A273">
            <v>17</v>
          </cell>
          <cell r="B273">
            <v>37848</v>
          </cell>
          <cell r="C273">
            <v>79</v>
          </cell>
          <cell r="D273" t="str">
            <v>Doanh Nghiệp Tư Nhaân Minh Nghi</v>
          </cell>
          <cell r="E273" t="str">
            <v>540H.00075</v>
          </cell>
          <cell r="F273" t="str">
            <v>T.M.C.P SG Coâng Thöông CN Bình Chaùnh</v>
          </cell>
          <cell r="G273" t="str">
            <v>Hoà Chí Minh</v>
          </cell>
          <cell r="H273" t="str">
            <v>Traû tieàn mua nöôùc ngoït (TT.CM)</v>
          </cell>
          <cell r="I273">
            <v>12925000</v>
          </cell>
        </row>
        <row r="274">
          <cell r="A274">
            <v>21</v>
          </cell>
          <cell r="B274">
            <v>37848</v>
          </cell>
          <cell r="C274">
            <v>8</v>
          </cell>
          <cell r="D274" t="str">
            <v>Cty Xi Maêng Haø Tieân II</v>
          </cell>
          <cell r="E274" t="str">
            <v>710A.00091</v>
          </cell>
          <cell r="F274" t="str">
            <v>Coâng Thöông</v>
          </cell>
          <cell r="G274" t="str">
            <v>Kieân Giang</v>
          </cell>
          <cell r="H274" t="str">
            <v>Traû tieàn mua xi maêng 200taán</v>
          </cell>
          <cell r="I274">
            <v>160160000</v>
          </cell>
        </row>
        <row r="275">
          <cell r="A275">
            <v>18</v>
          </cell>
          <cell r="B275">
            <v>37851</v>
          </cell>
          <cell r="C275">
            <v>28</v>
          </cell>
          <cell r="D275" t="str">
            <v>Chi Nhaùnh Cty CP Söõa VN Taïi Caàn Thô</v>
          </cell>
          <cell r="E275" t="str">
            <v>7301.0479K</v>
          </cell>
          <cell r="F275" t="str">
            <v>Ñaàu Tö &amp; Phaùt Trieån</v>
          </cell>
          <cell r="G275" t="str">
            <v>Caàn Thô</v>
          </cell>
          <cell r="H275" t="str">
            <v>Traû tieàn mua söõa caùc loaïi</v>
          </cell>
          <cell r="I275">
            <v>414753779</v>
          </cell>
        </row>
        <row r="276">
          <cell r="A276">
            <v>19</v>
          </cell>
          <cell r="B276">
            <v>37851</v>
          </cell>
          <cell r="C276">
            <v>27</v>
          </cell>
          <cell r="D276" t="str">
            <v>Cty TNHH Quoác Teá Nagarjuna</v>
          </cell>
          <cell r="E276" t="str">
            <v>3586.1</v>
          </cell>
          <cell r="F276" t="str">
            <v>INDOVINA</v>
          </cell>
          <cell r="G276" t="str">
            <v>Hoà Chí Minh</v>
          </cell>
          <cell r="H276" t="str">
            <v>Traû tieàn mua ñöôøng</v>
          </cell>
          <cell r="I276">
            <v>28350000</v>
          </cell>
        </row>
        <row r="277">
          <cell r="A277">
            <v>20</v>
          </cell>
          <cell r="B277">
            <v>37851</v>
          </cell>
          <cell r="C277">
            <v>83</v>
          </cell>
          <cell r="D277" t="str">
            <v>CTy TNHH TM TH Thuaän Taân</v>
          </cell>
          <cell r="E277" t="str">
            <v>007.100.110.1337</v>
          </cell>
          <cell r="F277" t="str">
            <v>Ngoaïi Thöông</v>
          </cell>
          <cell r="G277" t="str">
            <v>Hoà Chí Minh</v>
          </cell>
          <cell r="H277" t="str">
            <v>Traû tieàn mua Tivi</v>
          </cell>
          <cell r="I277">
            <v>28955300</v>
          </cell>
        </row>
        <row r="278">
          <cell r="A278">
            <v>21</v>
          </cell>
          <cell r="B278">
            <v>37851</v>
          </cell>
          <cell r="C278">
            <v>85</v>
          </cell>
          <cell r="D278" t="str">
            <v>CTy TNHH TM Minh Tuøng</v>
          </cell>
          <cell r="E278" t="str">
            <v>710A.04024</v>
          </cell>
          <cell r="F278" t="str">
            <v>Sôû Giao Dòch II CTVN</v>
          </cell>
          <cell r="G278" t="str">
            <v>Hoà Chí Minh</v>
          </cell>
          <cell r="H278" t="str">
            <v>Haøng ñieän maùy</v>
          </cell>
          <cell r="I278">
            <v>12676000</v>
          </cell>
        </row>
        <row r="279">
          <cell r="A279">
            <v>22</v>
          </cell>
          <cell r="B279">
            <v>37851</v>
          </cell>
          <cell r="C279">
            <v>99</v>
          </cell>
          <cell r="D279" t="str">
            <v xml:space="preserve">Löu Thò Myõ Phöôïng (CTyTNHH Taân Thaùi Thònh) </v>
          </cell>
          <cell r="E279" t="str">
            <v>2656329</v>
          </cell>
          <cell r="F279" t="str">
            <v>AÙ Chaâu</v>
          </cell>
          <cell r="G279" t="str">
            <v>Hoà Chí Minh</v>
          </cell>
          <cell r="H279" t="str">
            <v xml:space="preserve"> Mua nöôùc ngoït+ nöôùc yeán</v>
          </cell>
          <cell r="I279">
            <v>7147859</v>
          </cell>
        </row>
        <row r="280">
          <cell r="A280">
            <v>21</v>
          </cell>
          <cell r="B280">
            <v>37852</v>
          </cell>
          <cell r="C280">
            <v>5</v>
          </cell>
          <cell r="D280" t="str">
            <v>Cty TNHH TMaïi Thaønh Long</v>
          </cell>
          <cell r="E280" t="str">
            <v>710A.00817</v>
          </cell>
          <cell r="F280" t="str">
            <v>Coâng Thöong CN6</v>
          </cell>
          <cell r="G280" t="str">
            <v>Hoà Chí Minh</v>
          </cell>
          <cell r="H280" t="str">
            <v>Traû tieàn mua boät ngoït</v>
          </cell>
          <cell r="I280">
            <v>268040512</v>
          </cell>
        </row>
        <row r="281">
          <cell r="A281">
            <v>22</v>
          </cell>
          <cell r="B281">
            <v>37852</v>
          </cell>
          <cell r="C281">
            <v>8</v>
          </cell>
          <cell r="D281" t="str">
            <v>Cty Xi Maêng Haø Tieân II</v>
          </cell>
          <cell r="E281" t="str">
            <v>710A.00091</v>
          </cell>
          <cell r="F281" t="str">
            <v>Coâng Thöông</v>
          </cell>
          <cell r="G281" t="str">
            <v>Kieân Giang</v>
          </cell>
          <cell r="H281" t="str">
            <v>Traû tieàn mua xi maêng 200taán</v>
          </cell>
          <cell r="I281">
            <v>160160000</v>
          </cell>
        </row>
        <row r="282">
          <cell r="A282">
            <v>23</v>
          </cell>
          <cell r="B282">
            <v>37852</v>
          </cell>
          <cell r="C282">
            <v>31</v>
          </cell>
          <cell r="D282" t="str">
            <v>Cty Daàu Aên Golden Hope - Nhaø Beø</v>
          </cell>
          <cell r="E282" t="str">
            <v>710A.06902</v>
          </cell>
          <cell r="F282" t="str">
            <v>Sôû Giao Dòch II CTVN</v>
          </cell>
          <cell r="G282" t="str">
            <v>Hoà Chí Minh</v>
          </cell>
          <cell r="H282" t="str">
            <v>Traû tieàn daàu aên  (TT.TN.BL)</v>
          </cell>
          <cell r="I282">
            <v>83068546</v>
          </cell>
        </row>
        <row r="283">
          <cell r="A283">
            <v>24</v>
          </cell>
          <cell r="B283">
            <v>37852</v>
          </cell>
          <cell r="C283">
            <v>95</v>
          </cell>
          <cell r="D283" t="str">
            <v>Cty Deät May Thaønh Coâng - CN MieànTaây</v>
          </cell>
          <cell r="E283" t="str">
            <v>73012209E</v>
          </cell>
          <cell r="F283" t="str">
            <v>Ñaàu Tö &amp; Phaùt Trieån</v>
          </cell>
          <cell r="G283" t="str">
            <v>Caàn Thô</v>
          </cell>
          <cell r="H283" t="str">
            <v>Traû tieàn mua vaûi Thaønh Coâng</v>
          </cell>
          <cell r="I283">
            <v>3120010</v>
          </cell>
        </row>
        <row r="284">
          <cell r="A284">
            <v>25</v>
          </cell>
          <cell r="B284">
            <v>37853</v>
          </cell>
          <cell r="C284">
            <v>73</v>
          </cell>
          <cell r="D284" t="str">
            <v>Cty. TNHH SX.TM.HMP Myõ Haûo</v>
          </cell>
          <cell r="E284" t="str">
            <v>007.100.002.4148</v>
          </cell>
          <cell r="F284" t="str">
            <v>Ngoaïi Thöông</v>
          </cell>
          <cell r="G284" t="str">
            <v>Hoà Chí Minh</v>
          </cell>
          <cell r="H284" t="str">
            <v>Traû tieàn mua nöôùc röûa cheùn(TT.Baïc Lieâu)</v>
          </cell>
          <cell r="I284">
            <v>38728934</v>
          </cell>
        </row>
        <row r="285">
          <cell r="A285">
            <v>26</v>
          </cell>
          <cell r="B285">
            <v>37853</v>
          </cell>
          <cell r="C285">
            <v>27</v>
          </cell>
          <cell r="D285" t="str">
            <v>Cty TNHH Quoác Teá Nagarjuna</v>
          </cell>
          <cell r="E285" t="str">
            <v>3586.1</v>
          </cell>
          <cell r="F285" t="str">
            <v>INDOVINA</v>
          </cell>
          <cell r="G285" t="str">
            <v>Hoà Chí Minh</v>
          </cell>
          <cell r="H285" t="str">
            <v>Traû tieàn mua ñöôøng</v>
          </cell>
          <cell r="I285">
            <v>28350000</v>
          </cell>
        </row>
        <row r="286">
          <cell r="A286">
            <v>27</v>
          </cell>
          <cell r="B286">
            <v>37853</v>
          </cell>
          <cell r="C286">
            <v>83</v>
          </cell>
          <cell r="D286" t="str">
            <v>CTy TNHH TM TH Thuaän Taân</v>
          </cell>
          <cell r="E286" t="str">
            <v>007.100.110.1337</v>
          </cell>
          <cell r="F286" t="str">
            <v>Ngoaïi Thöông</v>
          </cell>
          <cell r="G286" t="str">
            <v>Hoà Chí Minh</v>
          </cell>
          <cell r="H286" t="str">
            <v>Traû tieàn mua Tivi</v>
          </cell>
          <cell r="I286">
            <v>27296500</v>
          </cell>
        </row>
        <row r="287">
          <cell r="A287">
            <v>23</v>
          </cell>
          <cell r="B287">
            <v>37853</v>
          </cell>
          <cell r="C287">
            <v>36</v>
          </cell>
          <cell r="D287" t="str">
            <v>XN Xaêng Daàu Daàu Khí Vuõng Taøu</v>
          </cell>
          <cell r="E287" t="str">
            <v>710D.00343</v>
          </cell>
          <cell r="F287" t="str">
            <v>Coâng Thöông</v>
          </cell>
          <cell r="G287" t="str">
            <v>Baø Ròa-Vuõng Taøu</v>
          </cell>
          <cell r="H287" t="str">
            <v>Traû tieàn mua xaêng daàu</v>
          </cell>
          <cell r="I287">
            <v>1440000000</v>
          </cell>
        </row>
        <row r="288">
          <cell r="A288">
            <v>24</v>
          </cell>
          <cell r="B288">
            <v>37854</v>
          </cell>
          <cell r="C288">
            <v>31</v>
          </cell>
          <cell r="D288" t="str">
            <v>Cty Daàu Aên Golden Hope - Nhaø Beø</v>
          </cell>
          <cell r="E288" t="str">
            <v>710A.06902</v>
          </cell>
          <cell r="F288" t="str">
            <v>Sôû Giao Dòch II CTVN</v>
          </cell>
          <cell r="G288" t="str">
            <v>Hoà Chí Minh</v>
          </cell>
          <cell r="H288" t="str">
            <v>Traû tieàn daàu aên  (TT.TN.CM)</v>
          </cell>
          <cell r="I288">
            <v>78103643</v>
          </cell>
        </row>
        <row r="289">
          <cell r="A289">
            <v>24</v>
          </cell>
          <cell r="B289">
            <v>37854</v>
          </cell>
          <cell r="C289">
            <v>31</v>
          </cell>
          <cell r="D289" t="str">
            <v>Cty Daàu Aên Golden Hope - Nhaø Beø</v>
          </cell>
          <cell r="E289" t="str">
            <v>710A.06902</v>
          </cell>
          <cell r="F289" t="str">
            <v>Sôû Giao Dòch II CTVN</v>
          </cell>
          <cell r="G289" t="str">
            <v>Hoà Chí Minh</v>
          </cell>
          <cell r="H289" t="str">
            <v>Traû tieàn daàu aên  (TT.TN.CM)</v>
          </cell>
          <cell r="I289">
            <v>77421080</v>
          </cell>
        </row>
        <row r="290">
          <cell r="A290">
            <v>25</v>
          </cell>
          <cell r="B290">
            <v>37854</v>
          </cell>
          <cell r="C290">
            <v>25</v>
          </cell>
          <cell r="D290" t="str">
            <v xml:space="preserve"> Thu Baûo Hieåm Xaõ Hoäi Tænh Baïc Lieâu</v>
          </cell>
          <cell r="E290" t="str">
            <v>421401.12</v>
          </cell>
          <cell r="F290" t="str">
            <v>NN &amp; P/T N/Thoân</v>
          </cell>
          <cell r="G290" t="str">
            <v>Baïc Lieâu</v>
          </cell>
          <cell r="H290" t="str">
            <v>Noäp BHXH,BHYT thaùng 8/2003</v>
          </cell>
          <cell r="I290">
            <v>24293474</v>
          </cell>
        </row>
        <row r="291">
          <cell r="A291">
            <v>26</v>
          </cell>
          <cell r="B291">
            <v>37855</v>
          </cell>
          <cell r="C291">
            <v>90</v>
          </cell>
          <cell r="D291" t="str">
            <v>CN CTy. CP Ñöôøng Bieân Hoøa taïi Caàn Thô</v>
          </cell>
          <cell r="E291" t="str">
            <v>710A.80253</v>
          </cell>
          <cell r="F291" t="str">
            <v>Coâng Thöông</v>
          </cell>
          <cell r="G291" t="str">
            <v>Caàn Thô</v>
          </cell>
          <cell r="H291" t="str">
            <v>Traû tieàn mì Bieân Hoøa</v>
          </cell>
          <cell r="I291">
            <v>19538930</v>
          </cell>
        </row>
        <row r="292">
          <cell r="A292">
            <v>26</v>
          </cell>
          <cell r="B292">
            <v>37855</v>
          </cell>
          <cell r="C292">
            <v>90</v>
          </cell>
          <cell r="D292" t="str">
            <v>CN CTy. CP Ñöôøng Bieân Hoøa taïi Caàn Thô</v>
          </cell>
          <cell r="E292" t="str">
            <v>710A.80253</v>
          </cell>
          <cell r="F292" t="str">
            <v>Coâng Thöông</v>
          </cell>
          <cell r="G292" t="str">
            <v>Caàn Thô</v>
          </cell>
          <cell r="H292" t="str">
            <v>Traû tieàn mì Bieân Hoøa</v>
          </cell>
          <cell r="I292">
            <v>19538930</v>
          </cell>
        </row>
        <row r="293">
          <cell r="A293">
            <v>27</v>
          </cell>
          <cell r="B293">
            <v>37855</v>
          </cell>
          <cell r="C293">
            <v>19</v>
          </cell>
          <cell r="D293" t="str">
            <v>Cty LD Khí Ñoát Saøi Goøn (Elf)</v>
          </cell>
          <cell r="E293" t="str">
            <v>100014851025745</v>
          </cell>
          <cell r="F293" t="str">
            <v>Eximbank</v>
          </cell>
          <cell r="G293" t="str">
            <v>Hoà Chí Minh</v>
          </cell>
          <cell r="H293" t="str">
            <v>Traû tieàn mua gas</v>
          </cell>
          <cell r="I293">
            <v>29107155</v>
          </cell>
        </row>
        <row r="294">
          <cell r="A294">
            <v>28</v>
          </cell>
          <cell r="B294">
            <v>37858</v>
          </cell>
          <cell r="C294">
            <v>73</v>
          </cell>
          <cell r="D294" t="str">
            <v>Cty. TNHH SX.TM.HMP Myõ Haûo</v>
          </cell>
          <cell r="E294" t="str">
            <v>007.100.002.4148</v>
          </cell>
          <cell r="F294" t="str">
            <v>Ngoaïi Thöông</v>
          </cell>
          <cell r="G294" t="str">
            <v>Hoà Chí Minh</v>
          </cell>
          <cell r="H294" t="str">
            <v>Traû tieàn mua nöôùc röûa cheùn(TT.Baïc Lieâu)</v>
          </cell>
          <cell r="I294">
            <v>54695319</v>
          </cell>
        </row>
        <row r="295">
          <cell r="A295">
            <v>25</v>
          </cell>
          <cell r="B295">
            <v>37858</v>
          </cell>
          <cell r="C295">
            <v>8</v>
          </cell>
          <cell r="D295" t="str">
            <v>Cty Xi Maêng Haø Tieân II</v>
          </cell>
          <cell r="E295" t="str">
            <v>710A.00091</v>
          </cell>
          <cell r="F295" t="str">
            <v>Coâng Thöông</v>
          </cell>
          <cell r="G295" t="str">
            <v>Kieân Giang</v>
          </cell>
          <cell r="H295" t="str">
            <v>Traû tieàn mua xi maêng 100taán</v>
          </cell>
          <cell r="I295">
            <v>80080000</v>
          </cell>
        </row>
        <row r="296">
          <cell r="A296">
            <v>26</v>
          </cell>
          <cell r="B296">
            <v>37858</v>
          </cell>
          <cell r="C296">
            <v>41</v>
          </cell>
          <cell r="D296" t="str">
            <v>Cty Xi Maêng Nghi Sôn</v>
          </cell>
          <cell r="E296" t="str">
            <v>710A.02772</v>
          </cell>
          <cell r="F296" t="str">
            <v>Coâng Thöông CN 9</v>
          </cell>
          <cell r="G296" t="str">
            <v>Hoà Chí Minh</v>
          </cell>
          <cell r="H296" t="str">
            <v>Traû tieàn mua xi maêng 400taán</v>
          </cell>
          <cell r="I296">
            <v>328000000</v>
          </cell>
        </row>
        <row r="297">
          <cell r="A297">
            <v>27</v>
          </cell>
          <cell r="B297">
            <v>37858</v>
          </cell>
          <cell r="C297">
            <v>14</v>
          </cell>
          <cell r="D297" t="str">
            <v>Coâng Ty Theùp Mieàn Nam</v>
          </cell>
          <cell r="E297" t="str">
            <v>710A.01611</v>
          </cell>
          <cell r="F297" t="str">
            <v>Coâng Thöông CN I</v>
          </cell>
          <cell r="G297" t="str">
            <v>Hoà Chí Minh</v>
          </cell>
          <cell r="H297" t="str">
            <v>Traû tieàn mua haøng cho CN Theùp Mieàn Nam taïi Caàn Thô</v>
          </cell>
          <cell r="I297">
            <v>300000000</v>
          </cell>
        </row>
        <row r="298">
          <cell r="A298">
            <v>28</v>
          </cell>
          <cell r="B298">
            <v>37858</v>
          </cell>
          <cell r="C298">
            <v>100</v>
          </cell>
          <cell r="D298" t="str">
            <v>CTy TNHH TM &amp; SX Vieät Tuøng</v>
          </cell>
          <cell r="E298" t="str">
            <v>710A.07124</v>
          </cell>
          <cell r="F298" t="str">
            <v>Coâng Thöông CN 12</v>
          </cell>
          <cell r="G298" t="str">
            <v>Hoà Chí Minh</v>
          </cell>
          <cell r="H298" t="str">
            <v>Traû tieàn caù moøi hoäp</v>
          </cell>
          <cell r="I298">
            <v>26140000</v>
          </cell>
        </row>
        <row r="299">
          <cell r="A299">
            <v>29</v>
          </cell>
          <cell r="B299">
            <v>37858</v>
          </cell>
          <cell r="C299">
            <v>101</v>
          </cell>
          <cell r="D299" t="str">
            <v>Cty TMKT &amp; Ñaàu Tö PETEC</v>
          </cell>
          <cell r="E299" t="str">
            <v>1003227 05 2</v>
          </cell>
          <cell r="F299" t="str">
            <v>Deutsche Bank</v>
          </cell>
          <cell r="G299" t="str">
            <v>Hoà Chí Minh</v>
          </cell>
          <cell r="H299" t="str">
            <v>Traû tieàn mua xaêng daàu theo HÑ soá 7802/2003 ngaøy 02/01/2003</v>
          </cell>
          <cell r="I299">
            <v>4070000000</v>
          </cell>
        </row>
        <row r="300">
          <cell r="A300">
            <v>29</v>
          </cell>
          <cell r="B300">
            <v>37859</v>
          </cell>
          <cell r="C300">
            <v>27</v>
          </cell>
          <cell r="D300" t="str">
            <v>Cty TNHH Quoác Teá Nagarjuna</v>
          </cell>
          <cell r="E300" t="str">
            <v>3586.1</v>
          </cell>
          <cell r="F300" t="str">
            <v>INDOVINA</v>
          </cell>
          <cell r="G300" t="str">
            <v>Hoà Chí Minh</v>
          </cell>
          <cell r="H300" t="str">
            <v>Traû tieàn mua ñöôøng</v>
          </cell>
          <cell r="I300">
            <v>32400000</v>
          </cell>
        </row>
        <row r="301">
          <cell r="A301">
            <v>30</v>
          </cell>
          <cell r="B301">
            <v>37859</v>
          </cell>
          <cell r="C301">
            <v>66</v>
          </cell>
          <cell r="D301" t="str">
            <v>Cty UNI PRESIDENT</v>
          </cell>
          <cell r="E301" t="str">
            <v>30 98 208</v>
          </cell>
          <cell r="F301" t="str">
            <v>ANZ</v>
          </cell>
          <cell r="G301" t="str">
            <v>Hoà Chí Minh</v>
          </cell>
          <cell r="H301" t="str">
            <v>Traû tieàn mua mì Unif</v>
          </cell>
          <cell r="I301">
            <v>50212284</v>
          </cell>
        </row>
        <row r="302">
          <cell r="A302">
            <v>31</v>
          </cell>
          <cell r="B302">
            <v>37859</v>
          </cell>
          <cell r="C302">
            <v>102</v>
          </cell>
          <cell r="D302" t="str">
            <v>CTy TNHH SX-TM-DV Phöông Ñoâng</v>
          </cell>
          <cell r="E302" t="str">
            <v>007100.0022788</v>
          </cell>
          <cell r="F302" t="str">
            <v>Ngoaïi Thöông</v>
          </cell>
          <cell r="G302" t="str">
            <v>Hoà Chí Minh</v>
          </cell>
          <cell r="H302" t="str">
            <v>Traû tieàn mua chaùo Fudo</v>
          </cell>
          <cell r="I302">
            <v>20130000</v>
          </cell>
        </row>
        <row r="303">
          <cell r="A303">
            <v>32</v>
          </cell>
          <cell r="B303">
            <v>37860</v>
          </cell>
          <cell r="C303">
            <v>28</v>
          </cell>
          <cell r="D303" t="str">
            <v>Chi Nhaùnh Cty CP Söõa VN Taïi Caàn Thô</v>
          </cell>
          <cell r="E303" t="str">
            <v>7301.0479K</v>
          </cell>
          <cell r="F303" t="str">
            <v>Ñaàu Tö &amp; Phaùt Trieån</v>
          </cell>
          <cell r="G303" t="str">
            <v>Caàn Thô</v>
          </cell>
          <cell r="H303" t="str">
            <v>Traû tieàn mua söõa caùc loaïi</v>
          </cell>
          <cell r="I303">
            <v>434196271</v>
          </cell>
        </row>
        <row r="304">
          <cell r="A304">
            <v>30</v>
          </cell>
          <cell r="B304">
            <v>37860</v>
          </cell>
          <cell r="C304">
            <v>1</v>
          </cell>
          <cell r="D304" t="str">
            <v>Nhaø Maùy Thuoác Laù Saøi Goøn</v>
          </cell>
          <cell r="E304" t="str">
            <v>710A.00105</v>
          </cell>
          <cell r="F304" t="str">
            <v>Sôû Giao Dòch II CTVN</v>
          </cell>
          <cell r="G304" t="str">
            <v>Hoà Chí Minh</v>
          </cell>
          <cell r="H304" t="str">
            <v>Traû tieàn mua thuoác laù</v>
          </cell>
          <cell r="I304">
            <v>223525000</v>
          </cell>
        </row>
        <row r="305">
          <cell r="A305">
            <v>31</v>
          </cell>
          <cell r="B305">
            <v>37860</v>
          </cell>
          <cell r="C305">
            <v>5</v>
          </cell>
          <cell r="D305" t="str">
            <v>Cty TNHH TMaïi Thaønh Long</v>
          </cell>
          <cell r="E305" t="str">
            <v>710A.00817</v>
          </cell>
          <cell r="F305" t="str">
            <v>Coâng Thöong CN6</v>
          </cell>
          <cell r="G305" t="str">
            <v>Hoà Chí Minh</v>
          </cell>
          <cell r="H305" t="str">
            <v>Traû tieàn mua boät ngoït</v>
          </cell>
          <cell r="I305">
            <v>295240814</v>
          </cell>
        </row>
        <row r="306">
          <cell r="A306">
            <v>32</v>
          </cell>
          <cell r="B306">
            <v>37860</v>
          </cell>
          <cell r="C306">
            <v>8</v>
          </cell>
          <cell r="D306" t="str">
            <v>Cty Xi Maêng Haø Tieân II</v>
          </cell>
          <cell r="E306" t="str">
            <v>710A.00091</v>
          </cell>
          <cell r="F306" t="str">
            <v>Coâng Thöông</v>
          </cell>
          <cell r="G306" t="str">
            <v>Kieân Giang</v>
          </cell>
          <cell r="H306" t="str">
            <v>Traû tieàn mua xi maêng 100taán</v>
          </cell>
          <cell r="I306">
            <v>78485000</v>
          </cell>
        </row>
        <row r="307">
          <cell r="A307">
            <v>33</v>
          </cell>
          <cell r="B307">
            <v>37860</v>
          </cell>
          <cell r="C307">
            <v>31</v>
          </cell>
          <cell r="D307" t="str">
            <v>Cty Daàu Aên Golden Hope - Nhaø Beø</v>
          </cell>
          <cell r="E307" t="str">
            <v>710A.06902</v>
          </cell>
          <cell r="F307" t="str">
            <v>Sôû Giao Dòch II CTVN</v>
          </cell>
          <cell r="G307" t="str">
            <v>Hoà Chí Minh</v>
          </cell>
          <cell r="H307" t="str">
            <v>Traû tieàn daàu aên  (TT.TN.CM)</v>
          </cell>
          <cell r="I307">
            <v>107469758</v>
          </cell>
        </row>
        <row r="308">
          <cell r="A308">
            <v>33</v>
          </cell>
          <cell r="B308">
            <v>37861</v>
          </cell>
          <cell r="C308">
            <v>9</v>
          </cell>
          <cell r="D308" t="str">
            <v>Castrol Vieät Nam Ltd</v>
          </cell>
          <cell r="E308" t="str">
            <v>007.1.00.002804.1</v>
          </cell>
          <cell r="F308" t="str">
            <v>Ngoaïi Thöông</v>
          </cell>
          <cell r="G308" t="str">
            <v>Hoà Chí Minh</v>
          </cell>
          <cell r="H308" t="str">
            <v>Traû tieàn mua nhôùt</v>
          </cell>
          <cell r="I308">
            <v>131408946</v>
          </cell>
        </row>
        <row r="309">
          <cell r="A309">
            <v>34</v>
          </cell>
          <cell r="B309">
            <v>37861</v>
          </cell>
          <cell r="C309">
            <v>46</v>
          </cell>
          <cell r="D309" t="str">
            <v>CTy MIWON VIETNAM</v>
          </cell>
          <cell r="E309" t="str">
            <v>710A.00183</v>
          </cell>
          <cell r="F309" t="str">
            <v xml:space="preserve">Coâng Thöông </v>
          </cell>
          <cell r="G309" t="str">
            <v>Phuù Thoï</v>
          </cell>
          <cell r="H309" t="str">
            <v>Traû tieàn mua boät ngoït</v>
          </cell>
          <cell r="I309">
            <v>109254076</v>
          </cell>
        </row>
        <row r="310">
          <cell r="A310">
            <v>35</v>
          </cell>
          <cell r="B310">
            <v>37862</v>
          </cell>
          <cell r="C310">
            <v>21</v>
          </cell>
          <cell r="D310" t="str">
            <v>Cty Coå Phaàn Vaät Tö  Haäu Giang</v>
          </cell>
          <cell r="E310" t="str">
            <v>710A.00040</v>
          </cell>
          <cell r="F310" t="str">
            <v>Coâng Thöông</v>
          </cell>
          <cell r="G310" t="str">
            <v>Caàn Thô</v>
          </cell>
          <cell r="H310" t="str">
            <v>Traû tieàn mua gas</v>
          </cell>
          <cell r="I310">
            <v>43290001</v>
          </cell>
        </row>
        <row r="311">
          <cell r="A311">
            <v>36</v>
          </cell>
          <cell r="B311">
            <v>37862</v>
          </cell>
          <cell r="C311">
            <v>41</v>
          </cell>
          <cell r="D311" t="str">
            <v>Cty Xi Maêng Nghi Sôn</v>
          </cell>
          <cell r="E311" t="str">
            <v>710A.02772</v>
          </cell>
          <cell r="F311" t="str">
            <v>Coâng Thöông CN 9</v>
          </cell>
          <cell r="G311" t="str">
            <v>Hoà Chí Minh</v>
          </cell>
          <cell r="H311" t="str">
            <v>Traû tieàn mua xi maêng 300taán</v>
          </cell>
          <cell r="I311">
            <v>246000000</v>
          </cell>
        </row>
        <row r="312">
          <cell r="A312">
            <v>34</v>
          </cell>
          <cell r="B312">
            <v>37862</v>
          </cell>
          <cell r="C312">
            <v>27</v>
          </cell>
          <cell r="D312" t="str">
            <v>Cty TNHH Quoác Teá Nagarjuna</v>
          </cell>
          <cell r="E312" t="str">
            <v>3586.1</v>
          </cell>
          <cell r="F312" t="str">
            <v>INDOVINA</v>
          </cell>
          <cell r="G312" t="str">
            <v>Hoà Chí Minh</v>
          </cell>
          <cell r="H312" t="str">
            <v>Traû tieàn mua ñöôøng</v>
          </cell>
          <cell r="I312">
            <v>28350000</v>
          </cell>
        </row>
        <row r="313">
          <cell r="A313">
            <v>37</v>
          </cell>
          <cell r="B313">
            <v>37862</v>
          </cell>
          <cell r="C313">
            <v>77</v>
          </cell>
          <cell r="D313" t="str">
            <v>Cty Ñieän &amp; Ñieän Töû SAMSUNG VINA</v>
          </cell>
          <cell r="E313" t="str">
            <v>710A.01109</v>
          </cell>
          <cell r="F313" t="str">
            <v>Coâng Thöông CN 4</v>
          </cell>
          <cell r="G313" t="str">
            <v>Hoà Chí Minh</v>
          </cell>
          <cell r="H313" t="str">
            <v>Traû tieàn mua haøng ñieän töû</v>
          </cell>
          <cell r="I313">
            <v>24118347</v>
          </cell>
        </row>
        <row r="314">
          <cell r="A314">
            <v>1</v>
          </cell>
          <cell r="B314">
            <v>37865</v>
          </cell>
          <cell r="C314">
            <v>73</v>
          </cell>
          <cell r="D314" t="str">
            <v>Cty. TNHH SX.TM.HMP Myõ Haûo</v>
          </cell>
          <cell r="E314" t="str">
            <v>007.100.002.4148</v>
          </cell>
          <cell r="F314" t="str">
            <v>Ngoaïi Thöông</v>
          </cell>
          <cell r="G314" t="str">
            <v>Hoà Chí Minh</v>
          </cell>
          <cell r="H314" t="str">
            <v>Traû tieàn mua nöôùc röûa cheùn(TT.Baïc Lieâu)</v>
          </cell>
          <cell r="I314">
            <v>62210842</v>
          </cell>
        </row>
        <row r="315">
          <cell r="A315">
            <v>1</v>
          </cell>
          <cell r="B315">
            <v>37865</v>
          </cell>
          <cell r="C315">
            <v>8</v>
          </cell>
          <cell r="D315" t="str">
            <v>Cty Xi Maêng Haø Tieân II</v>
          </cell>
          <cell r="E315" t="str">
            <v>710A.00091</v>
          </cell>
          <cell r="F315" t="str">
            <v>Coâng Thöông</v>
          </cell>
          <cell r="G315" t="str">
            <v>Kieân Giang</v>
          </cell>
          <cell r="H315" t="str">
            <v>Traû tieàn mua xi maêng 250taán</v>
          </cell>
          <cell r="I315">
            <v>200200000</v>
          </cell>
        </row>
        <row r="316">
          <cell r="A316">
            <v>2</v>
          </cell>
          <cell r="B316">
            <v>37865</v>
          </cell>
          <cell r="C316">
            <v>3</v>
          </cell>
          <cell r="D316" t="str">
            <v>Cty Coå Phaàn Boät Giaët Lix</v>
          </cell>
          <cell r="E316" t="str">
            <v>710A.01440</v>
          </cell>
          <cell r="F316" t="str">
            <v>Coâng Thöông CN 14</v>
          </cell>
          <cell r="G316" t="str">
            <v>Hoà Chí Minh</v>
          </cell>
          <cell r="H316" t="str">
            <v>Traû tieàn mua boät giaët</v>
          </cell>
          <cell r="I316">
            <v>450000000</v>
          </cell>
        </row>
        <row r="317">
          <cell r="A317">
            <v>2</v>
          </cell>
          <cell r="B317">
            <v>37867</v>
          </cell>
          <cell r="C317">
            <v>73</v>
          </cell>
          <cell r="D317" t="str">
            <v>Cty. TNHH SX.TM.HMP Myõ Haûo</v>
          </cell>
          <cell r="E317" t="str">
            <v>007.100.002.4148</v>
          </cell>
          <cell r="F317" t="str">
            <v>Ngoaïi Thöông</v>
          </cell>
          <cell r="G317" t="str">
            <v>Hoà Chí Minh</v>
          </cell>
          <cell r="H317" t="str">
            <v>Traû tieàn mua nöôùc röûa cheùn(TT.Caø Mau)</v>
          </cell>
          <cell r="I317">
            <v>26814757</v>
          </cell>
        </row>
        <row r="318">
          <cell r="A318">
            <v>3</v>
          </cell>
          <cell r="B318">
            <v>37867</v>
          </cell>
          <cell r="C318">
            <v>27</v>
          </cell>
          <cell r="D318" t="str">
            <v>Cty TNHH Quoác Teá Nagarjuna</v>
          </cell>
          <cell r="E318" t="str">
            <v>3586.1</v>
          </cell>
          <cell r="F318" t="str">
            <v>INDOVINA</v>
          </cell>
          <cell r="G318" t="str">
            <v>Hoà Chí Minh</v>
          </cell>
          <cell r="H318" t="str">
            <v>Traû tieàn mua ñöôøng</v>
          </cell>
          <cell r="I318">
            <v>29750000</v>
          </cell>
        </row>
        <row r="319">
          <cell r="A319">
            <v>4</v>
          </cell>
          <cell r="B319">
            <v>37868</v>
          </cell>
          <cell r="C319">
            <v>31</v>
          </cell>
          <cell r="D319" t="str">
            <v>Cty Daàu Aên Golden Hope - Nhaø Beø</v>
          </cell>
          <cell r="E319" t="str">
            <v>710A.06902</v>
          </cell>
          <cell r="F319" t="str">
            <v>Sôû Giao Dòch II CTVN</v>
          </cell>
          <cell r="G319" t="str">
            <v>Hoà Chí Minh</v>
          </cell>
          <cell r="H319" t="str">
            <v>Traû tieàn daàu aên  (TT.TN.BL)</v>
          </cell>
          <cell r="I319">
            <v>141228470</v>
          </cell>
        </row>
        <row r="320">
          <cell r="A320">
            <v>5</v>
          </cell>
          <cell r="B320">
            <v>37868</v>
          </cell>
          <cell r="C320">
            <v>94</v>
          </cell>
          <cell r="D320" t="str">
            <v>CTy TNHH SX Taân AÙ Chaâu</v>
          </cell>
          <cell r="E320" t="str">
            <v>710A.01969</v>
          </cell>
          <cell r="F320" t="str">
            <v>Coâng Thöông CN 9</v>
          </cell>
          <cell r="G320" t="str">
            <v>Hoà Chí Minh</v>
          </cell>
          <cell r="H320" t="str">
            <v>Traû tieàn mua chaùo Bình Tieân</v>
          </cell>
          <cell r="I320">
            <v>11894400</v>
          </cell>
        </row>
        <row r="321">
          <cell r="A321">
            <v>3</v>
          </cell>
          <cell r="B321">
            <v>37868</v>
          </cell>
          <cell r="C321">
            <v>5</v>
          </cell>
          <cell r="D321" t="str">
            <v>Cty TNHH TMaïi Thaønh Long</v>
          </cell>
          <cell r="E321" t="str">
            <v>710A.00817</v>
          </cell>
          <cell r="F321" t="str">
            <v>Coâng Thöong CN6</v>
          </cell>
          <cell r="G321" t="str">
            <v>Hoà Chí Minh</v>
          </cell>
          <cell r="H321" t="str">
            <v>Traû tieàn mua boät ngoït</v>
          </cell>
          <cell r="I321">
            <v>289852021</v>
          </cell>
        </row>
        <row r="322">
          <cell r="A322">
            <v>4</v>
          </cell>
          <cell r="B322">
            <v>37868</v>
          </cell>
          <cell r="C322">
            <v>98</v>
          </cell>
          <cell r="D322" t="str">
            <v>CTy Lieân Doanh Xi Maêng Haø Tieân II-Caàn Thô</v>
          </cell>
          <cell r="E322" t="str">
            <v>710A.56157</v>
          </cell>
          <cell r="F322" t="str">
            <v>Coâng Thöông</v>
          </cell>
          <cell r="G322" t="str">
            <v>Caàn Thô</v>
          </cell>
          <cell r="H322" t="str">
            <v>Traû tieàn mua xi maêng</v>
          </cell>
          <cell r="I322">
            <v>116000000</v>
          </cell>
        </row>
        <row r="323">
          <cell r="A323">
            <v>5</v>
          </cell>
          <cell r="B323">
            <v>37869</v>
          </cell>
          <cell r="C323">
            <v>10</v>
          </cell>
          <cell r="D323" t="str">
            <v>Cty TNHH Daàu Nhôùt vaø Hoùa Chaát VN</v>
          </cell>
          <cell r="E323" t="str">
            <v>001.004837.041</v>
          </cell>
          <cell r="F323" t="str">
            <v>Hoàng Kong&amp; Thöôïng Haûi</v>
          </cell>
          <cell r="G323" t="str">
            <v>Hoà Chí Minh</v>
          </cell>
          <cell r="H323" t="str">
            <v>Traû tieàn mua nhôùt Vilube</v>
          </cell>
          <cell r="I323">
            <v>251260000</v>
          </cell>
        </row>
        <row r="324">
          <cell r="A324">
            <v>6</v>
          </cell>
          <cell r="B324">
            <v>37869</v>
          </cell>
          <cell r="C324">
            <v>93</v>
          </cell>
          <cell r="D324" t="str">
            <v>Cty Coå Phaàn Giaáy Vieãn Ñoâng</v>
          </cell>
          <cell r="E324" t="str">
            <v>710A.04479</v>
          </cell>
          <cell r="F324" t="str">
            <v>Coâng Thöông CN 12</v>
          </cell>
          <cell r="G324" t="str">
            <v>Hoà Chí Minh</v>
          </cell>
          <cell r="H324" t="str">
            <v>Traû tieàn mua giaáy vieãn ñoâng</v>
          </cell>
          <cell r="I324">
            <v>11023848</v>
          </cell>
        </row>
        <row r="325">
          <cell r="A325">
            <v>7</v>
          </cell>
          <cell r="B325">
            <v>37869</v>
          </cell>
          <cell r="C325">
            <v>73</v>
          </cell>
          <cell r="D325" t="str">
            <v>Cty. TNHH SX.TM.HMP Myõ Haûo</v>
          </cell>
          <cell r="E325" t="str">
            <v>007.100.002.4148</v>
          </cell>
          <cell r="F325" t="str">
            <v>Ngoaïi Thöông</v>
          </cell>
          <cell r="G325" t="str">
            <v>Hoà Chí Minh</v>
          </cell>
          <cell r="H325" t="str">
            <v>Traû tieàn mua nöôùc röûa cheùn (TT.BL)</v>
          </cell>
          <cell r="I325">
            <v>34963260</v>
          </cell>
        </row>
        <row r="326">
          <cell r="A326">
            <v>8</v>
          </cell>
          <cell r="B326">
            <v>37869</v>
          </cell>
          <cell r="C326">
            <v>90</v>
          </cell>
          <cell r="D326" t="str">
            <v>CN CTy. CP Ñöôøng Bieân Hoøa taïi Caàn Thô</v>
          </cell>
          <cell r="E326" t="str">
            <v>710A.80253</v>
          </cell>
          <cell r="F326" t="str">
            <v>Coâng Thöông</v>
          </cell>
          <cell r="G326" t="str">
            <v>Caàn Thô</v>
          </cell>
          <cell r="H326" t="str">
            <v>Traû tieàn mua ñöôøng</v>
          </cell>
          <cell r="I326">
            <v>10216000</v>
          </cell>
        </row>
        <row r="327">
          <cell r="A327">
            <v>9</v>
          </cell>
          <cell r="B327">
            <v>37869</v>
          </cell>
          <cell r="C327">
            <v>83</v>
          </cell>
          <cell r="D327" t="str">
            <v>CTy TNHH TM TH Thuaän Taân</v>
          </cell>
          <cell r="E327" t="str">
            <v>007.100.110.1337</v>
          </cell>
          <cell r="F327" t="str">
            <v>Ngoaïi Thöông</v>
          </cell>
          <cell r="G327" t="str">
            <v>Hoà Chí Minh</v>
          </cell>
          <cell r="H327" t="str">
            <v>Traû tieàn mua tivi</v>
          </cell>
          <cell r="I327">
            <v>45977800</v>
          </cell>
        </row>
        <row r="328">
          <cell r="A328">
            <v>10</v>
          </cell>
          <cell r="B328">
            <v>37869</v>
          </cell>
          <cell r="C328">
            <v>36</v>
          </cell>
          <cell r="D328" t="str">
            <v>XN Xaêng Daàu Daàu Khí Vuõng Taøu</v>
          </cell>
          <cell r="E328" t="str">
            <v>710D.00343</v>
          </cell>
          <cell r="F328" t="str">
            <v>Coâng Thöông</v>
          </cell>
          <cell r="G328" t="str">
            <v>Baø Ròa-Vuõng Taøu</v>
          </cell>
          <cell r="H328" t="str">
            <v>Traû tieàn mua xaêng daàu</v>
          </cell>
          <cell r="I328">
            <v>1736700000</v>
          </cell>
        </row>
        <row r="329">
          <cell r="A329">
            <v>6</v>
          </cell>
          <cell r="B329">
            <v>37872</v>
          </cell>
          <cell r="C329">
            <v>28</v>
          </cell>
          <cell r="D329" t="str">
            <v>Chi Nhaùnh Cty CP Söõa VN Taïi Caàn Thô</v>
          </cell>
          <cell r="E329" t="str">
            <v>7301.0479K</v>
          </cell>
          <cell r="F329" t="str">
            <v>Ñaàu Tö &amp; Phaùt Trieån</v>
          </cell>
          <cell r="G329" t="str">
            <v>Caàn Thô</v>
          </cell>
          <cell r="H329" t="str">
            <v>Traû tieàn mua söõa caùc loaïi</v>
          </cell>
          <cell r="I329">
            <v>291845992</v>
          </cell>
        </row>
        <row r="330">
          <cell r="A330">
            <v>7</v>
          </cell>
          <cell r="B330">
            <v>37872</v>
          </cell>
          <cell r="C330">
            <v>73</v>
          </cell>
          <cell r="D330" t="str">
            <v>Cty. TNHH SX.TM.HMP Myõ Haûo</v>
          </cell>
          <cell r="E330" t="str">
            <v>007.100.002.4148</v>
          </cell>
          <cell r="F330" t="str">
            <v>Ngoaïi Thöông</v>
          </cell>
          <cell r="G330" t="str">
            <v>Hoà Chí Minh</v>
          </cell>
          <cell r="H330" t="str">
            <v>Traû tieàn mua nöôùc röûa cheùn (TT.BL)</v>
          </cell>
          <cell r="I330">
            <v>35082207</v>
          </cell>
        </row>
        <row r="331">
          <cell r="A331">
            <v>11</v>
          </cell>
          <cell r="B331">
            <v>37872</v>
          </cell>
          <cell r="C331">
            <v>8</v>
          </cell>
          <cell r="D331" t="str">
            <v>Cty Xi Maêng Haø Tieân II</v>
          </cell>
          <cell r="E331" t="str">
            <v>710A.00091</v>
          </cell>
          <cell r="F331" t="str">
            <v>Coâng Thöông</v>
          </cell>
          <cell r="G331" t="str">
            <v>Kieân Giang</v>
          </cell>
          <cell r="H331" t="str">
            <v>Traû tieàn mua xi maêng 200taán</v>
          </cell>
          <cell r="I331">
            <v>160160000</v>
          </cell>
        </row>
        <row r="332">
          <cell r="A332">
            <v>12</v>
          </cell>
          <cell r="B332">
            <v>37872</v>
          </cell>
          <cell r="C332">
            <v>14</v>
          </cell>
          <cell r="D332" t="str">
            <v>Coâng Ty Theùp Mieàn Nam</v>
          </cell>
          <cell r="E332" t="str">
            <v>710A.01611</v>
          </cell>
          <cell r="F332" t="str">
            <v>Coâng Thöông CN I</v>
          </cell>
          <cell r="G332" t="str">
            <v>Hoà Chí Minh</v>
          </cell>
          <cell r="H332" t="str">
            <v>Traû tieàn mua haøng cho CN Theùp Mieàn Nam taïi Caàn Thô</v>
          </cell>
          <cell r="I332">
            <v>261191601</v>
          </cell>
        </row>
        <row r="333">
          <cell r="A333">
            <v>13</v>
          </cell>
          <cell r="B333">
            <v>37872</v>
          </cell>
          <cell r="C333">
            <v>36</v>
          </cell>
          <cell r="D333" t="str">
            <v>XN Xaêng Daàu Daàu Khí Vuõng Taøu</v>
          </cell>
          <cell r="E333" t="str">
            <v>710D.00343</v>
          </cell>
          <cell r="F333" t="str">
            <v>Coâng Thöông</v>
          </cell>
          <cell r="G333" t="str">
            <v>Baø Ròa-Vuõng Taøu</v>
          </cell>
          <cell r="H333" t="str">
            <v>Traû tieàn mua xaêng daàu</v>
          </cell>
          <cell r="I333">
            <v>125000000</v>
          </cell>
        </row>
        <row r="334">
          <cell r="A334">
            <v>8</v>
          </cell>
          <cell r="B334">
            <v>37872</v>
          </cell>
          <cell r="C334">
            <v>31</v>
          </cell>
          <cell r="D334" t="str">
            <v>Cty Daàu Aên Golden Hope - Nhaø Beø</v>
          </cell>
          <cell r="E334" t="str">
            <v>710A.06902</v>
          </cell>
          <cell r="F334" t="str">
            <v>Sôû Giao Dòch II CTVN</v>
          </cell>
          <cell r="G334" t="str">
            <v>Hoà Chí Minh</v>
          </cell>
          <cell r="H334" t="str">
            <v>Traû tieàn daàu aên  (TT.CM: 78.361.598ñ;TT.BL: 81.657.972ñ)</v>
          </cell>
          <cell r="I334">
            <v>160019570</v>
          </cell>
        </row>
        <row r="335">
          <cell r="A335">
            <v>14</v>
          </cell>
          <cell r="B335">
            <v>37873</v>
          </cell>
          <cell r="C335">
            <v>41</v>
          </cell>
          <cell r="D335" t="str">
            <v>Cty Xi Maêng Nghi Sôn</v>
          </cell>
          <cell r="E335" t="str">
            <v>710A.02772</v>
          </cell>
          <cell r="F335" t="str">
            <v>Coâng Thöông CN 9</v>
          </cell>
          <cell r="G335" t="str">
            <v>Hoà Chí Minh</v>
          </cell>
          <cell r="H335" t="str">
            <v>Traû tieàn mua xi maêng</v>
          </cell>
          <cell r="I335">
            <v>123000000</v>
          </cell>
        </row>
        <row r="336">
          <cell r="A336">
            <v>15</v>
          </cell>
          <cell r="B336">
            <v>37874</v>
          </cell>
          <cell r="C336">
            <v>14</v>
          </cell>
          <cell r="D336" t="str">
            <v>Coâng Ty Theùp Mieàn Nam</v>
          </cell>
          <cell r="E336" t="str">
            <v>710A.01611</v>
          </cell>
          <cell r="F336" t="str">
            <v>Coâng Thöông CN I</v>
          </cell>
          <cell r="G336" t="str">
            <v>Hoà Chí Minh</v>
          </cell>
          <cell r="H336" t="str">
            <v>Traû tieàn mua haøng cho CN Theùp Mieàn Nam taïi Caàn Thô</v>
          </cell>
          <cell r="I336">
            <v>338100578</v>
          </cell>
        </row>
        <row r="337">
          <cell r="A337">
            <v>16</v>
          </cell>
          <cell r="B337">
            <v>37875</v>
          </cell>
          <cell r="C337">
            <v>8</v>
          </cell>
          <cell r="D337" t="str">
            <v>Cty Xi Maêng Haø Tieân II</v>
          </cell>
          <cell r="E337" t="str">
            <v>710A.00091</v>
          </cell>
          <cell r="F337" t="str">
            <v>Coâng Thöông</v>
          </cell>
          <cell r="G337" t="str">
            <v>Kieân Giang</v>
          </cell>
          <cell r="H337" t="str">
            <v>Traû tieàn mua xi maêng 200taán</v>
          </cell>
          <cell r="I337">
            <v>160160000</v>
          </cell>
        </row>
        <row r="338">
          <cell r="A338">
            <v>17</v>
          </cell>
          <cell r="B338">
            <v>37875</v>
          </cell>
          <cell r="C338">
            <v>5</v>
          </cell>
          <cell r="D338" t="str">
            <v>Cty TNHH TMaïi Thaønh Long</v>
          </cell>
          <cell r="E338" t="str">
            <v>710A.00817</v>
          </cell>
          <cell r="F338" t="str">
            <v>Coâng Thöong CN6</v>
          </cell>
          <cell r="G338" t="str">
            <v>Hoà Chí Minh</v>
          </cell>
          <cell r="H338" t="str">
            <v>Traû tieàn mua boät ngoït</v>
          </cell>
          <cell r="I338">
            <v>253558173</v>
          </cell>
        </row>
        <row r="339">
          <cell r="A339">
            <v>9</v>
          </cell>
          <cell r="B339">
            <v>37875</v>
          </cell>
          <cell r="C339">
            <v>95</v>
          </cell>
          <cell r="D339" t="str">
            <v>Cty Deät May Thaønh Coâng - CN MieànTaây</v>
          </cell>
          <cell r="E339" t="str">
            <v>73012209E</v>
          </cell>
          <cell r="F339" t="str">
            <v>Ñaàu Tö &amp; Phaùt Trieån</v>
          </cell>
          <cell r="G339" t="str">
            <v>Caàn Thô</v>
          </cell>
          <cell r="H339" t="str">
            <v>Traû tieàn haøng may saún</v>
          </cell>
          <cell r="I339">
            <v>3120010</v>
          </cell>
        </row>
        <row r="340">
          <cell r="A340">
            <v>10</v>
          </cell>
          <cell r="B340">
            <v>37875</v>
          </cell>
          <cell r="C340">
            <v>73</v>
          </cell>
          <cell r="D340" t="str">
            <v>Cty. TNHH SX.TM.HMP Myõ Haûo</v>
          </cell>
          <cell r="E340" t="str">
            <v>007.100.002.4148</v>
          </cell>
          <cell r="F340" t="str">
            <v>Ngoaïi Thöông</v>
          </cell>
          <cell r="G340" t="str">
            <v>Hoà Chí Minh</v>
          </cell>
          <cell r="H340" t="str">
            <v>Traû tieàn mua nöôùc röûa cheùn (TT.BL)</v>
          </cell>
          <cell r="I340">
            <v>17827048</v>
          </cell>
        </row>
        <row r="341">
          <cell r="A341">
            <v>11</v>
          </cell>
          <cell r="B341">
            <v>37876</v>
          </cell>
          <cell r="C341">
            <v>44</v>
          </cell>
          <cell r="D341" t="str">
            <v>CTy Ñieän Baùo Ñieän Thoaïi Baïc Lieâu</v>
          </cell>
          <cell r="E341" t="str">
            <v>710A.00074</v>
          </cell>
          <cell r="F341" t="str">
            <v xml:space="preserve">Coâng Thöông </v>
          </cell>
          <cell r="G341" t="str">
            <v>Baïc Lieâu</v>
          </cell>
          <cell r="H341" t="str">
            <v>Traû tieàn ñieän thoaïi thaùng 8/2003</v>
          </cell>
          <cell r="I341">
            <v>10279334</v>
          </cell>
        </row>
        <row r="342">
          <cell r="A342">
            <v>12</v>
          </cell>
          <cell r="B342">
            <v>37876</v>
          </cell>
          <cell r="C342">
            <v>73</v>
          </cell>
          <cell r="D342" t="str">
            <v>Cty. TNHH SX.TM.HMP Myõ Haûo</v>
          </cell>
          <cell r="E342" t="str">
            <v>007.100.002.4148</v>
          </cell>
          <cell r="F342" t="str">
            <v>Ngoaïi Thöông</v>
          </cell>
          <cell r="G342" t="str">
            <v>Hoà Chí Minh</v>
          </cell>
          <cell r="H342" t="str">
            <v>Traû tieàn mua nöôùc röûa cheùn (TT.CM)</v>
          </cell>
          <cell r="I342">
            <v>32079660</v>
          </cell>
        </row>
        <row r="343">
          <cell r="A343">
            <v>18</v>
          </cell>
          <cell r="B343">
            <v>37876</v>
          </cell>
          <cell r="C343">
            <v>1</v>
          </cell>
          <cell r="D343" t="str">
            <v>Nhaø Maùy Thuoác Laù Saøi Goøn</v>
          </cell>
          <cell r="E343" t="str">
            <v>710A.00105</v>
          </cell>
          <cell r="F343" t="str">
            <v>Sôû Giao Dòch II CTVN</v>
          </cell>
          <cell r="G343" t="str">
            <v>Hoà Chí Minh</v>
          </cell>
          <cell r="H343" t="str">
            <v>Traû tieàn mua thuoác laù</v>
          </cell>
          <cell r="I343">
            <v>222575000</v>
          </cell>
        </row>
        <row r="344">
          <cell r="A344">
            <v>13</v>
          </cell>
          <cell r="B344">
            <v>37876</v>
          </cell>
          <cell r="C344">
            <v>28</v>
          </cell>
          <cell r="D344" t="str">
            <v>Chi Nhaùnh Cty CP Söõa VN Taïi Caàn Thô</v>
          </cell>
          <cell r="E344" t="str">
            <v>7301.0479K</v>
          </cell>
          <cell r="F344" t="str">
            <v>Ñaàu Tö &amp; Phaùt Trieån</v>
          </cell>
          <cell r="G344" t="str">
            <v>Caàn Thô</v>
          </cell>
          <cell r="H344" t="str">
            <v>Traû tieàn mua söõa caùc loaïi</v>
          </cell>
          <cell r="I344">
            <v>255684856</v>
          </cell>
        </row>
        <row r="345">
          <cell r="A345">
            <v>14</v>
          </cell>
          <cell r="B345">
            <v>37876</v>
          </cell>
          <cell r="C345">
            <v>90</v>
          </cell>
          <cell r="D345" t="str">
            <v>CN CTy. CP Ñöôøng Bieân Hoøa taïi Caàn Thô</v>
          </cell>
          <cell r="E345" t="str">
            <v>710A.80253</v>
          </cell>
          <cell r="F345" t="str">
            <v>Coâng Thöông</v>
          </cell>
          <cell r="G345" t="str">
            <v>Caàn Thô</v>
          </cell>
          <cell r="H345" t="str">
            <v>Traû tieàn mua ñöôøng</v>
          </cell>
          <cell r="I345">
            <v>21250000</v>
          </cell>
        </row>
        <row r="346">
          <cell r="A346">
            <v>15</v>
          </cell>
          <cell r="B346">
            <v>37879</v>
          </cell>
          <cell r="C346">
            <v>28</v>
          </cell>
          <cell r="D346" t="str">
            <v>Chi Nhaùnh Cty CP Söõa VN Taïi Caàn Thô</v>
          </cell>
          <cell r="E346" t="str">
            <v>7301.0479K</v>
          </cell>
          <cell r="F346" t="str">
            <v>Ñaàu Tö &amp; Phaùt Trieån</v>
          </cell>
          <cell r="G346" t="str">
            <v>Caàn Thô</v>
          </cell>
          <cell r="H346" t="str">
            <v>Traû tieàn mua söõa caùc loaïi</v>
          </cell>
          <cell r="I346">
            <v>342891712</v>
          </cell>
        </row>
        <row r="347">
          <cell r="A347">
            <v>16</v>
          </cell>
          <cell r="B347">
            <v>37879</v>
          </cell>
          <cell r="C347">
            <v>27</v>
          </cell>
          <cell r="D347" t="str">
            <v>Cty TNHH Quoác Teá Nagarjuna</v>
          </cell>
          <cell r="E347" t="str">
            <v>3586.1</v>
          </cell>
          <cell r="F347" t="str">
            <v>INDOVINA</v>
          </cell>
          <cell r="G347" t="str">
            <v>Hoà Chí Minh</v>
          </cell>
          <cell r="H347" t="str">
            <v>Traû tieàn mua ñöôøng</v>
          </cell>
          <cell r="I347">
            <v>57050000</v>
          </cell>
        </row>
        <row r="348">
          <cell r="A348">
            <v>17</v>
          </cell>
          <cell r="B348">
            <v>37879</v>
          </cell>
          <cell r="C348">
            <v>73</v>
          </cell>
          <cell r="D348" t="str">
            <v>Cty. TNHH SX.TM.HMP Myõ Haûo</v>
          </cell>
          <cell r="E348" t="str">
            <v>007.100.002.4148</v>
          </cell>
          <cell r="F348" t="str">
            <v>Ngoaïi Thöông</v>
          </cell>
          <cell r="G348" t="str">
            <v>Hoà Chí Minh</v>
          </cell>
          <cell r="H348" t="str">
            <v>Traû tieàn mua nöôùc röûa cheùn (TT.BL)</v>
          </cell>
          <cell r="I348">
            <v>38931855</v>
          </cell>
        </row>
        <row r="349">
          <cell r="A349">
            <v>18</v>
          </cell>
          <cell r="B349">
            <v>37879</v>
          </cell>
          <cell r="C349">
            <v>99</v>
          </cell>
          <cell r="D349" t="str">
            <v xml:space="preserve">Löu Thò Myõ Phöôïng (CTyTNHH Taân Thaùi Thònh) </v>
          </cell>
          <cell r="E349" t="str">
            <v>2656329</v>
          </cell>
          <cell r="F349" t="str">
            <v>AÙ Chaâu</v>
          </cell>
          <cell r="G349" t="str">
            <v>Hoà Chí Minh</v>
          </cell>
          <cell r="H349" t="str">
            <v>Traû tieàn mua nöôùc yeán,bí ñao, nöôùc ngoït</v>
          </cell>
          <cell r="I349">
            <v>20787517</v>
          </cell>
        </row>
        <row r="350">
          <cell r="A350">
            <v>19</v>
          </cell>
          <cell r="B350">
            <v>37879</v>
          </cell>
          <cell r="C350">
            <v>83</v>
          </cell>
          <cell r="D350" t="str">
            <v>CTy TNHH TM TH Thuaän Taân</v>
          </cell>
          <cell r="E350" t="str">
            <v>007.100.110.1337</v>
          </cell>
          <cell r="F350" t="str">
            <v>Ngoaïi Thöông</v>
          </cell>
          <cell r="G350" t="str">
            <v>Hoà Chí Minh</v>
          </cell>
          <cell r="H350" t="str">
            <v>Traû tieàn mua Tivi</v>
          </cell>
          <cell r="I350">
            <v>27244500</v>
          </cell>
        </row>
        <row r="351">
          <cell r="A351">
            <v>20</v>
          </cell>
          <cell r="B351">
            <v>37881</v>
          </cell>
          <cell r="C351">
            <v>73</v>
          </cell>
          <cell r="D351" t="str">
            <v>Cty. TNHH SX.TM.HMP Myõ Haûo</v>
          </cell>
          <cell r="E351" t="str">
            <v>007.100.002.4148</v>
          </cell>
          <cell r="F351" t="str">
            <v>Ngoaïi Thöông</v>
          </cell>
          <cell r="G351" t="str">
            <v>Hoà Chí Minh</v>
          </cell>
          <cell r="H351" t="str">
            <v>Traû tieàn mua nöôùc röûa cheùn (TT.BL)</v>
          </cell>
          <cell r="I351">
            <v>33098688</v>
          </cell>
        </row>
        <row r="352">
          <cell r="A352">
            <v>21</v>
          </cell>
          <cell r="B352">
            <v>37881</v>
          </cell>
          <cell r="C352">
            <v>31</v>
          </cell>
          <cell r="D352" t="str">
            <v>Cty Daàu Aên Golden Hope - Nhaø Beø</v>
          </cell>
          <cell r="E352" t="str">
            <v>710A.06902</v>
          </cell>
          <cell r="F352" t="str">
            <v>Sôû Giao Dòch II CTVN</v>
          </cell>
          <cell r="G352" t="str">
            <v>Hoà Chí Minh</v>
          </cell>
          <cell r="H352" t="str">
            <v>Traû tieàn daàu aên  (TT.TN.BL)</v>
          </cell>
          <cell r="I352">
            <v>78397440</v>
          </cell>
        </row>
        <row r="353">
          <cell r="A353">
            <v>19</v>
          </cell>
          <cell r="B353">
            <v>37881</v>
          </cell>
          <cell r="C353">
            <v>101</v>
          </cell>
          <cell r="D353" t="str">
            <v>Cty TMKT &amp; Ñaàu Tö PETEC</v>
          </cell>
          <cell r="E353" t="str">
            <v>1003227 05 2</v>
          </cell>
          <cell r="F353" t="str">
            <v>Deutsche Bank</v>
          </cell>
          <cell r="G353" t="str">
            <v>Hoà Chí Minh</v>
          </cell>
          <cell r="H353" t="str">
            <v>Traû tieàn mua xaêng daàu (Maõ IBPS 50619012)</v>
          </cell>
          <cell r="I353">
            <v>1700000000</v>
          </cell>
        </row>
        <row r="354">
          <cell r="A354">
            <v>20</v>
          </cell>
          <cell r="B354">
            <v>37881</v>
          </cell>
          <cell r="C354">
            <v>36</v>
          </cell>
          <cell r="D354" t="str">
            <v>XN Xaêng Daàu Daàu Khí Vuõng Taøu</v>
          </cell>
          <cell r="E354" t="str">
            <v>710D.00343</v>
          </cell>
          <cell r="F354" t="str">
            <v>Coâng Thöông</v>
          </cell>
          <cell r="G354" t="str">
            <v>Baø Ròa-Vuõng Taøu</v>
          </cell>
          <cell r="H354" t="str">
            <v>Traû tieàn mua xaêng daàu</v>
          </cell>
          <cell r="I354">
            <v>1865000000</v>
          </cell>
        </row>
        <row r="355">
          <cell r="A355">
            <v>21</v>
          </cell>
          <cell r="B355">
            <v>37882</v>
          </cell>
          <cell r="C355">
            <v>5</v>
          </cell>
          <cell r="D355" t="str">
            <v>Cty TNHH TMaïi Thaønh Long</v>
          </cell>
          <cell r="E355" t="str">
            <v>710A.00817</v>
          </cell>
          <cell r="F355" t="str">
            <v>Coâng Thöong CN6</v>
          </cell>
          <cell r="G355" t="str">
            <v>Hoà Chí Minh</v>
          </cell>
          <cell r="H355" t="str">
            <v>Traû tieàn mua boät ngoït</v>
          </cell>
          <cell r="I355">
            <v>263226480</v>
          </cell>
        </row>
        <row r="356">
          <cell r="A356">
            <v>22</v>
          </cell>
          <cell r="B356">
            <v>37882</v>
          </cell>
          <cell r="C356">
            <v>95</v>
          </cell>
          <cell r="D356" t="str">
            <v>Cty Deät May Thaønh Coâng - CN MieànTaây</v>
          </cell>
          <cell r="E356" t="str">
            <v>73012209E</v>
          </cell>
          <cell r="F356" t="str">
            <v>Ñaàu Tö &amp; Phaùt Trieån</v>
          </cell>
          <cell r="G356" t="str">
            <v>Caàn Thô</v>
          </cell>
          <cell r="H356" t="str">
            <v>Traû tieàn haøng may saún</v>
          </cell>
          <cell r="I356">
            <v>2006850</v>
          </cell>
        </row>
        <row r="357">
          <cell r="A357">
            <v>23</v>
          </cell>
          <cell r="B357">
            <v>37883</v>
          </cell>
          <cell r="C357">
            <v>31</v>
          </cell>
          <cell r="D357" t="str">
            <v>Cty Daàu Aên Golden Hope - Nhaø Beø</v>
          </cell>
          <cell r="E357" t="str">
            <v>710A.06902</v>
          </cell>
          <cell r="F357" t="str">
            <v>Sôû Giao Dòch II CTVN</v>
          </cell>
          <cell r="G357" t="str">
            <v>Hoà Chí Minh</v>
          </cell>
          <cell r="H357" t="str">
            <v>Traû tieàn daàu aên  (TT.TN.CM)</v>
          </cell>
          <cell r="I357">
            <v>74327563</v>
          </cell>
        </row>
        <row r="358">
          <cell r="A358">
            <v>24</v>
          </cell>
          <cell r="B358">
            <v>37886</v>
          </cell>
          <cell r="C358">
            <v>31</v>
          </cell>
          <cell r="D358" t="str">
            <v>Cty Daàu Aên Golden Hope - Nhaø Beø</v>
          </cell>
          <cell r="E358" t="str">
            <v>710A.06902</v>
          </cell>
          <cell r="F358" t="str">
            <v>Sôû Giao Dòch II CTVN</v>
          </cell>
          <cell r="G358" t="str">
            <v>Hoà Chí Minh</v>
          </cell>
          <cell r="H358" t="str">
            <v>Traû tieàn daàu aên  (TT.TN.BL)</v>
          </cell>
          <cell r="I358">
            <v>61599758</v>
          </cell>
        </row>
        <row r="359">
          <cell r="A359">
            <v>25</v>
          </cell>
          <cell r="B359">
            <v>37886</v>
          </cell>
          <cell r="C359">
            <v>73</v>
          </cell>
          <cell r="D359" t="str">
            <v>Cty. TNHH SX.TM.HMP Myõ Haûo</v>
          </cell>
          <cell r="E359" t="str">
            <v>007.100.002.4148</v>
          </cell>
          <cell r="F359" t="str">
            <v>Ngoaïi Thöông</v>
          </cell>
          <cell r="G359" t="str">
            <v>Hoà Chí Minh</v>
          </cell>
          <cell r="H359" t="str">
            <v>Traû tieàn mua nöôùc röûa cheùn (TT.CM)</v>
          </cell>
          <cell r="I359">
            <v>27088277</v>
          </cell>
        </row>
        <row r="360">
          <cell r="A360">
            <v>22</v>
          </cell>
          <cell r="B360">
            <v>37886</v>
          </cell>
          <cell r="C360">
            <v>36</v>
          </cell>
          <cell r="D360" t="str">
            <v>XN Xaêng Daàu Daàu Khí Vuõng Taøu</v>
          </cell>
          <cell r="E360" t="str">
            <v>710D.00343</v>
          </cell>
          <cell r="F360" t="str">
            <v>Coâng Thöông</v>
          </cell>
          <cell r="G360" t="str">
            <v>Baø Ròa-Vuõng Taøu</v>
          </cell>
          <cell r="H360" t="str">
            <v>Traû tieàn mua xaêng daàu</v>
          </cell>
          <cell r="I360">
            <v>1729000000</v>
          </cell>
        </row>
        <row r="361">
          <cell r="A361">
            <v>23</v>
          </cell>
          <cell r="B361">
            <v>37886</v>
          </cell>
          <cell r="C361">
            <v>10</v>
          </cell>
          <cell r="D361" t="str">
            <v>Cty TNHH Daàu Nhôùt vaø Hoùa Chaát VN</v>
          </cell>
          <cell r="E361" t="str">
            <v>001.004837.041</v>
          </cell>
          <cell r="F361" t="str">
            <v>Hoàng Kong&amp; Thöôïng Haûi</v>
          </cell>
          <cell r="G361" t="str">
            <v>Hoà Chí Minh</v>
          </cell>
          <cell r="H361" t="str">
            <v>Traû tieàn mua nhôùt</v>
          </cell>
          <cell r="I361">
            <v>319099999</v>
          </cell>
        </row>
        <row r="362">
          <cell r="A362">
            <v>24</v>
          </cell>
          <cell r="B362">
            <v>37886</v>
          </cell>
          <cell r="C362">
            <v>9</v>
          </cell>
          <cell r="D362" t="str">
            <v>Castrol Vieät Nam Ltd</v>
          </cell>
          <cell r="E362" t="str">
            <v>007.1.00.002804.1</v>
          </cell>
          <cell r="F362" t="str">
            <v>Ngoaïi Thöông</v>
          </cell>
          <cell r="G362" t="str">
            <v>Hoà Chí Minh</v>
          </cell>
          <cell r="H362" t="str">
            <v>Traû tieàn mua nhôùt Castrol</v>
          </cell>
          <cell r="I362">
            <v>15241000</v>
          </cell>
        </row>
        <row r="363">
          <cell r="A363">
            <v>25</v>
          </cell>
          <cell r="B363">
            <v>37887</v>
          </cell>
          <cell r="C363">
            <v>66</v>
          </cell>
          <cell r="D363" t="str">
            <v>Cty UNI PRESIDENT</v>
          </cell>
          <cell r="E363" t="str">
            <v>30 98 208</v>
          </cell>
          <cell r="F363" t="str">
            <v>ANZ</v>
          </cell>
          <cell r="G363" t="str">
            <v>Hoà Chí Minh</v>
          </cell>
          <cell r="H363" t="str">
            <v>Traû tieàn mì Unif</v>
          </cell>
          <cell r="I363">
            <v>50244600</v>
          </cell>
        </row>
        <row r="364">
          <cell r="A364">
            <v>24</v>
          </cell>
          <cell r="B364">
            <v>37887</v>
          </cell>
          <cell r="C364">
            <v>5</v>
          </cell>
          <cell r="D364" t="str">
            <v>Cty TNHH TMaïi Thaønh Long</v>
          </cell>
          <cell r="E364" t="str">
            <v>710A.00817</v>
          </cell>
          <cell r="F364" t="str">
            <v>Coâng Thöong CN6</v>
          </cell>
          <cell r="G364" t="str">
            <v>Hoà Chí Minh</v>
          </cell>
          <cell r="H364" t="str">
            <v>Traû tieàn mua boät ngoït</v>
          </cell>
          <cell r="I364">
            <v>143285340</v>
          </cell>
        </row>
        <row r="365">
          <cell r="A365">
            <v>25</v>
          </cell>
          <cell r="B365">
            <v>37887</v>
          </cell>
          <cell r="C365">
            <v>1</v>
          </cell>
          <cell r="D365" t="str">
            <v>Nhaø Maùy Thuoác Laù Saøi Goøn</v>
          </cell>
          <cell r="E365" t="str">
            <v>710A.00105</v>
          </cell>
          <cell r="F365" t="str">
            <v>Sôû Giao Dòch II CTVN</v>
          </cell>
          <cell r="G365" t="str">
            <v>Hoà Chí Minh</v>
          </cell>
          <cell r="H365" t="str">
            <v>Traû tieàn mua thuoác laù</v>
          </cell>
          <cell r="I365">
            <v>213025000</v>
          </cell>
        </row>
        <row r="366">
          <cell r="A366">
            <v>26</v>
          </cell>
          <cell r="B366">
            <v>37887</v>
          </cell>
          <cell r="C366">
            <v>8</v>
          </cell>
          <cell r="D366" t="str">
            <v>Cty Xi Maêng Haø Tieân II</v>
          </cell>
          <cell r="E366" t="str">
            <v>710A.00091</v>
          </cell>
          <cell r="F366" t="str">
            <v>Coâng Thöông</v>
          </cell>
          <cell r="G366" t="str">
            <v>Kieân Giang</v>
          </cell>
          <cell r="H366" t="str">
            <v>Traû tieàn mua xi maêng 150taán</v>
          </cell>
          <cell r="I366">
            <v>120120000</v>
          </cell>
        </row>
        <row r="367">
          <cell r="A367">
            <v>26</v>
          </cell>
          <cell r="B367">
            <v>37887</v>
          </cell>
          <cell r="C367">
            <v>28</v>
          </cell>
          <cell r="D367" t="str">
            <v>Chi Nhaùnh Cty CP Söõa VN Taïi Caàn Thô</v>
          </cell>
          <cell r="E367" t="str">
            <v>7301.0479K</v>
          </cell>
          <cell r="F367" t="str">
            <v>Ñaàu Tö &amp; Phaùt Trieån</v>
          </cell>
          <cell r="G367" t="str">
            <v>Caàn Thô</v>
          </cell>
          <cell r="H367" t="str">
            <v>Traû tieàn mua söõa caùc loaïi</v>
          </cell>
          <cell r="I367">
            <v>332548586</v>
          </cell>
        </row>
        <row r="368">
          <cell r="A368">
            <v>27</v>
          </cell>
          <cell r="B368">
            <v>37887</v>
          </cell>
          <cell r="C368">
            <v>25</v>
          </cell>
          <cell r="D368" t="str">
            <v xml:space="preserve"> Thu Baûo Hieåm Xaõ Hoäi Tænh Baïc Lieâu</v>
          </cell>
          <cell r="E368" t="str">
            <v>421401.12</v>
          </cell>
          <cell r="F368" t="str">
            <v>NN &amp; P/T N/Thoân</v>
          </cell>
          <cell r="G368" t="str">
            <v>Baïc Lieâu</v>
          </cell>
          <cell r="H368" t="str">
            <v>Noäp BHXH,BHYT thaùng 9/2003</v>
          </cell>
          <cell r="I368">
            <v>24652545</v>
          </cell>
        </row>
        <row r="369">
          <cell r="A369">
            <v>27</v>
          </cell>
          <cell r="B369">
            <v>37887</v>
          </cell>
          <cell r="C369">
            <v>101</v>
          </cell>
          <cell r="D369" t="str">
            <v>Cty TMKT &amp; Ñaàu Tö PETEC</v>
          </cell>
          <cell r="E369" t="str">
            <v>1003227 05 2</v>
          </cell>
          <cell r="F369" t="str">
            <v>Deutsche Bank</v>
          </cell>
          <cell r="G369" t="str">
            <v>Hoà Chí Minh</v>
          </cell>
          <cell r="H369" t="str">
            <v>Traû tieàn mua xaêng daàu (Maõ IBPS 50619012)</v>
          </cell>
          <cell r="I369">
            <v>2500000000</v>
          </cell>
        </row>
        <row r="370">
          <cell r="A370">
            <v>28</v>
          </cell>
          <cell r="B370">
            <v>37888</v>
          </cell>
          <cell r="C370">
            <v>31</v>
          </cell>
          <cell r="D370" t="str">
            <v>Cty Daàu Aên Golden Hope - Nhaø Beø</v>
          </cell>
          <cell r="E370" t="str">
            <v>710A.06902</v>
          </cell>
          <cell r="F370" t="str">
            <v>Sôû Giao Dòch II CTVN</v>
          </cell>
          <cell r="G370" t="str">
            <v>Hoà Chí Minh</v>
          </cell>
          <cell r="H370" t="str">
            <v>Traû tieàn daàu aên  (TT.BL:7.938.150ñ; TT.CM: 29.403.000ñ)</v>
          </cell>
          <cell r="I370">
            <v>37341150</v>
          </cell>
        </row>
        <row r="371">
          <cell r="A371">
            <v>29</v>
          </cell>
          <cell r="B371">
            <v>37888</v>
          </cell>
          <cell r="C371">
            <v>90</v>
          </cell>
          <cell r="D371" t="str">
            <v>CN CTy. CP Ñöôøng Bieân Hoøa taïi Caàn Thô</v>
          </cell>
          <cell r="E371" t="str">
            <v>710A.80253</v>
          </cell>
          <cell r="F371" t="str">
            <v>Coâng Thöông</v>
          </cell>
          <cell r="G371" t="str">
            <v>Caàn Thô</v>
          </cell>
          <cell r="H371" t="str">
            <v>Traû tieàn mua ñöôøng</v>
          </cell>
          <cell r="I371">
            <v>14280000</v>
          </cell>
        </row>
        <row r="372">
          <cell r="A372">
            <v>30</v>
          </cell>
          <cell r="B372">
            <v>37889</v>
          </cell>
          <cell r="C372">
            <v>31</v>
          </cell>
          <cell r="D372" t="str">
            <v>Cty Daàu Aên Golden Hope - Nhaø Beø</v>
          </cell>
          <cell r="E372" t="str">
            <v>710A.06902</v>
          </cell>
          <cell r="F372" t="str">
            <v>Sôû Giao Dòch II CTVN</v>
          </cell>
          <cell r="G372" t="str">
            <v>Hoà Chí Minh</v>
          </cell>
          <cell r="H372" t="str">
            <v>Traû tieàn daàu aên  (TT.TN.CM)</v>
          </cell>
          <cell r="I372">
            <v>80203407</v>
          </cell>
        </row>
        <row r="373">
          <cell r="A373">
            <v>31</v>
          </cell>
          <cell r="B373">
            <v>37889</v>
          </cell>
          <cell r="C373">
            <v>6</v>
          </cell>
          <cell r="D373" t="str">
            <v>BP Petco Ltd</v>
          </cell>
          <cell r="E373" t="str">
            <v>0300007015 DS10450(VND)</v>
          </cell>
          <cell r="F373" t="str">
            <v>Citibank</v>
          </cell>
          <cell r="G373" t="str">
            <v>Hoà Chí Minh</v>
          </cell>
          <cell r="H373" t="str">
            <v>Traû tieàn mua nhôùt (Maõ soá DS10450 CTTN Baïc Lieâu)</v>
          </cell>
          <cell r="I373">
            <v>33371000</v>
          </cell>
        </row>
        <row r="374">
          <cell r="A374">
            <v>32</v>
          </cell>
          <cell r="B374">
            <v>37889</v>
          </cell>
          <cell r="C374">
            <v>27</v>
          </cell>
          <cell r="D374" t="str">
            <v>Cty TNHH Quoác Teá Nagarjuna</v>
          </cell>
          <cell r="E374" t="str">
            <v>3586.1</v>
          </cell>
          <cell r="F374" t="str">
            <v>INDOVINA</v>
          </cell>
          <cell r="G374" t="str">
            <v>Hoà Chí Minh</v>
          </cell>
          <cell r="H374" t="str">
            <v>Traû tieàn mua ñöôøng</v>
          </cell>
          <cell r="I374">
            <v>28700000</v>
          </cell>
        </row>
        <row r="375">
          <cell r="A375">
            <v>33</v>
          </cell>
          <cell r="B375">
            <v>37890</v>
          </cell>
          <cell r="C375">
            <v>73</v>
          </cell>
          <cell r="D375" t="str">
            <v>Cty. TNHH SX.TM.HMP Myõ Haûo</v>
          </cell>
          <cell r="E375" t="str">
            <v>007.100.002.4148</v>
          </cell>
          <cell r="F375" t="str">
            <v>Ngoaïi Thöông</v>
          </cell>
          <cell r="G375" t="str">
            <v>Hoà Chí Minh</v>
          </cell>
          <cell r="H375" t="str">
            <v>Traû tieàn mua nöôùc röûa cheùn (TT.BL)</v>
          </cell>
          <cell r="I375">
            <v>72396067</v>
          </cell>
        </row>
        <row r="376">
          <cell r="A376">
            <v>28</v>
          </cell>
          <cell r="B376">
            <v>37890</v>
          </cell>
          <cell r="C376">
            <v>36</v>
          </cell>
          <cell r="D376" t="str">
            <v>XN Xaêng Daàu Daàu Khí Vuõng Taøu</v>
          </cell>
          <cell r="E376" t="str">
            <v>710D.00343</v>
          </cell>
          <cell r="F376" t="str">
            <v>Coâng Thöông</v>
          </cell>
          <cell r="G376" t="str">
            <v>Baø Ròa-Vuõng Taøu</v>
          </cell>
          <cell r="H376" t="str">
            <v>Traû tieàn mua xaêng daàu</v>
          </cell>
          <cell r="I376">
            <v>4368000000</v>
          </cell>
        </row>
        <row r="377">
          <cell r="A377">
            <v>29</v>
          </cell>
          <cell r="B377">
            <v>37890</v>
          </cell>
          <cell r="C377">
            <v>8</v>
          </cell>
          <cell r="D377" t="str">
            <v>Cty Xi Maêng Haø Tieân II</v>
          </cell>
          <cell r="E377" t="str">
            <v>710A.00091</v>
          </cell>
          <cell r="F377" t="str">
            <v>Coâng Thöông</v>
          </cell>
          <cell r="G377" t="str">
            <v>Kieân Giang</v>
          </cell>
          <cell r="H377" t="str">
            <v>Traû tieàn mua xi maêng 250taán</v>
          </cell>
          <cell r="I377">
            <v>200200000</v>
          </cell>
        </row>
        <row r="378">
          <cell r="A378">
            <v>30</v>
          </cell>
          <cell r="B378">
            <v>37890</v>
          </cell>
          <cell r="C378">
            <v>22</v>
          </cell>
          <cell r="D378" t="str">
            <v>Cty Deät Long An</v>
          </cell>
          <cell r="E378" t="str">
            <v>710A.10001</v>
          </cell>
          <cell r="F378" t="str">
            <v>Coâng Thöông</v>
          </cell>
          <cell r="G378" t="str">
            <v>Long An</v>
          </cell>
          <cell r="H378" t="str">
            <v>Traû tieàn vaûi Long An</v>
          </cell>
          <cell r="I378">
            <v>18414190</v>
          </cell>
        </row>
        <row r="379">
          <cell r="A379">
            <v>31</v>
          </cell>
          <cell r="B379">
            <v>37893</v>
          </cell>
          <cell r="C379">
            <v>3</v>
          </cell>
          <cell r="D379" t="str">
            <v>Cty Coå Phaàn Boät Giaët Lix</v>
          </cell>
          <cell r="E379" t="str">
            <v>710A.01440</v>
          </cell>
          <cell r="F379" t="str">
            <v>Coâng Thöông CN 14</v>
          </cell>
          <cell r="G379" t="str">
            <v>Hoà Chí Minh</v>
          </cell>
          <cell r="H379" t="str">
            <v>Traû tieàn mua boät giaët</v>
          </cell>
          <cell r="I379">
            <v>330000000</v>
          </cell>
        </row>
        <row r="380">
          <cell r="A380">
            <v>32</v>
          </cell>
          <cell r="B380">
            <v>37893</v>
          </cell>
          <cell r="C380">
            <v>41</v>
          </cell>
          <cell r="D380" t="str">
            <v>Cty Xi Maêng Nghi Sôn</v>
          </cell>
          <cell r="E380" t="str">
            <v>710A.02772</v>
          </cell>
          <cell r="F380" t="str">
            <v>Coâng Thöông CN 9</v>
          </cell>
          <cell r="G380" t="str">
            <v>Hoà Chí Minh</v>
          </cell>
          <cell r="H380" t="str">
            <v>Traû tieàn mua  xi maêng</v>
          </cell>
          <cell r="I380">
            <v>369000000</v>
          </cell>
        </row>
        <row r="381">
          <cell r="A381">
            <v>33</v>
          </cell>
          <cell r="B381">
            <v>37893</v>
          </cell>
          <cell r="C381">
            <v>77</v>
          </cell>
          <cell r="D381" t="str">
            <v>Cty Ñieän &amp; Ñieän Töû SAMSUNG VINA</v>
          </cell>
          <cell r="E381" t="str">
            <v>710A.01109</v>
          </cell>
          <cell r="F381" t="str">
            <v>Coâng Thöông CN 4</v>
          </cell>
          <cell r="G381" t="str">
            <v>Hoà Chí Minh</v>
          </cell>
          <cell r="H381" t="str">
            <v>Traû tieàn mua Ti vi</v>
          </cell>
          <cell r="I381">
            <v>34642864</v>
          </cell>
        </row>
        <row r="382">
          <cell r="A382">
            <v>34</v>
          </cell>
          <cell r="B382">
            <v>37893</v>
          </cell>
          <cell r="C382">
            <v>27</v>
          </cell>
          <cell r="D382" t="str">
            <v>Cty TNHH Quoác Teá Nagarjuna</v>
          </cell>
          <cell r="E382" t="str">
            <v>3586.1</v>
          </cell>
          <cell r="F382" t="str">
            <v>INDOVINA</v>
          </cell>
          <cell r="G382" t="str">
            <v>Hoà Chí Minh</v>
          </cell>
          <cell r="H382" t="str">
            <v>Traû tieàn mua ñöôøng</v>
          </cell>
          <cell r="I382">
            <v>28700000</v>
          </cell>
        </row>
        <row r="383">
          <cell r="A383">
            <v>35</v>
          </cell>
          <cell r="B383">
            <v>37893</v>
          </cell>
          <cell r="C383">
            <v>31</v>
          </cell>
          <cell r="D383" t="str">
            <v>Cty Daàu Aên Golden Hope - Nhaø Beø</v>
          </cell>
          <cell r="E383" t="str">
            <v>710A.06902</v>
          </cell>
          <cell r="F383" t="str">
            <v>Sôû Giao Dòch II CTVN</v>
          </cell>
          <cell r="G383" t="str">
            <v>Hoà Chí Minh</v>
          </cell>
          <cell r="H383" t="str">
            <v>Traû tieàn daàu aên  (TT.CM : 81.784.032ñ;TT.BL: 146.035.469ñ)</v>
          </cell>
          <cell r="I383">
            <v>227819501</v>
          </cell>
        </row>
        <row r="384">
          <cell r="A384">
            <v>36</v>
          </cell>
          <cell r="B384">
            <v>37894</v>
          </cell>
          <cell r="C384">
            <v>28</v>
          </cell>
          <cell r="D384" t="str">
            <v>Chi Nhaùnh Cty CP Söõa VN Taïi Caàn Thô</v>
          </cell>
          <cell r="E384" t="str">
            <v>7301.0479K</v>
          </cell>
          <cell r="F384" t="str">
            <v>Ñaàu Tö &amp; Phaùt Trieån</v>
          </cell>
          <cell r="G384" t="str">
            <v>Caàn Thô</v>
          </cell>
          <cell r="H384" t="str">
            <v>Traû tieàn mua söõa caùc loaïi</v>
          </cell>
          <cell r="I384">
            <v>531742190</v>
          </cell>
        </row>
        <row r="385">
          <cell r="A385">
            <v>37</v>
          </cell>
          <cell r="B385">
            <v>37894</v>
          </cell>
          <cell r="C385">
            <v>76</v>
          </cell>
          <cell r="D385" t="str">
            <v>Cty Ñieän &amp; Ñieän Töû TCL Vieät Nam</v>
          </cell>
          <cell r="E385" t="str">
            <v>012.100.0020848</v>
          </cell>
          <cell r="F385" t="str">
            <v>Ngoaïi Thöông</v>
          </cell>
          <cell r="G385" t="str">
            <v>Ñoàng Nai</v>
          </cell>
          <cell r="H385" t="str">
            <v>Traû tieàn mua Ti vi TCL</v>
          </cell>
          <cell r="I385">
            <v>29300000</v>
          </cell>
        </row>
        <row r="386">
          <cell r="A386">
            <v>38</v>
          </cell>
          <cell r="B386">
            <v>37894</v>
          </cell>
          <cell r="C386">
            <v>93</v>
          </cell>
          <cell r="D386" t="str">
            <v>Cty Coå Phaàn Giaáy Vieãn Ñoâng</v>
          </cell>
          <cell r="E386" t="str">
            <v>710A.04479</v>
          </cell>
          <cell r="F386" t="str">
            <v>Coâng Thöông CN 12</v>
          </cell>
          <cell r="G386" t="str">
            <v>Hoà Chí Minh</v>
          </cell>
          <cell r="H386" t="str">
            <v>Traû tieàn mua giaáy vieãn ñoâng</v>
          </cell>
          <cell r="I386">
            <v>46744345</v>
          </cell>
        </row>
        <row r="387">
          <cell r="A387">
            <v>34</v>
          </cell>
          <cell r="B387">
            <v>37894</v>
          </cell>
          <cell r="C387">
            <v>3</v>
          </cell>
          <cell r="D387" t="str">
            <v>Cty Coå Phaàn Boät Giaët Lix</v>
          </cell>
          <cell r="E387" t="str">
            <v>710A.01440</v>
          </cell>
          <cell r="F387" t="str">
            <v>Coâng Thöông CN 14</v>
          </cell>
          <cell r="G387" t="str">
            <v>Hoà Chí Minh</v>
          </cell>
          <cell r="H387" t="str">
            <v>Traû tieàn mua boät giaët</v>
          </cell>
          <cell r="I387">
            <v>200000000</v>
          </cell>
        </row>
        <row r="388">
          <cell r="A388">
            <v>35</v>
          </cell>
          <cell r="B388">
            <v>37894</v>
          </cell>
          <cell r="C388">
            <v>21</v>
          </cell>
          <cell r="D388" t="str">
            <v>Cty Coå Phaàn Vaät Tö  Haäu Giang</v>
          </cell>
          <cell r="E388" t="str">
            <v>710A.00040</v>
          </cell>
          <cell r="F388" t="str">
            <v>Coâng Thöông</v>
          </cell>
          <cell r="G388" t="str">
            <v>Caàn Thô</v>
          </cell>
          <cell r="H388" t="str">
            <v>Traû tieàn mua gas</v>
          </cell>
          <cell r="I388">
            <v>54381003</v>
          </cell>
        </row>
        <row r="389">
          <cell r="A389">
            <v>36</v>
          </cell>
          <cell r="B389">
            <v>37894</v>
          </cell>
          <cell r="C389">
            <v>12</v>
          </cell>
          <cell r="D389" t="str">
            <v>Cty Miwon Vieät Nam</v>
          </cell>
          <cell r="E389" t="str">
            <v>710A.00183</v>
          </cell>
          <cell r="F389" t="str">
            <v>Coâng Thöông</v>
          </cell>
          <cell r="G389" t="str">
            <v>Phuù Thoï</v>
          </cell>
          <cell r="H389" t="str">
            <v>Traû tieàn mua boät ngoït (Maõ soá 22 CT TN Baïc Lieâu)</v>
          </cell>
          <cell r="I389">
            <v>120232874</v>
          </cell>
        </row>
        <row r="390">
          <cell r="A390">
            <v>37</v>
          </cell>
          <cell r="B390">
            <v>37894</v>
          </cell>
          <cell r="C390">
            <v>93</v>
          </cell>
          <cell r="D390" t="str">
            <v>Cty Coå Phaàn Giaáy Vieãn Ñoâng</v>
          </cell>
          <cell r="E390" t="str">
            <v>710A.04479</v>
          </cell>
          <cell r="F390" t="str">
            <v>Coâng Thöông CN 12</v>
          </cell>
          <cell r="G390" t="str">
            <v>Hoà Chí Minh</v>
          </cell>
          <cell r="H390" t="str">
            <v>Traû tieàn mua giaáy vieãn ñoâng</v>
          </cell>
          <cell r="I390">
            <v>21347964</v>
          </cell>
        </row>
        <row r="391">
          <cell r="A391">
            <v>38</v>
          </cell>
          <cell r="B391">
            <v>37894</v>
          </cell>
          <cell r="C391">
            <v>73</v>
          </cell>
          <cell r="D391" t="str">
            <v>Cty. TNHH SX.TM.HMP Myõ Haûo</v>
          </cell>
          <cell r="E391" t="str">
            <v>007.100.002.4148</v>
          </cell>
          <cell r="F391" t="str">
            <v>Ngoaïi Thöông</v>
          </cell>
          <cell r="G391" t="str">
            <v>Hoà Chí Minh</v>
          </cell>
          <cell r="H391" t="str">
            <v>Traû tieàn mua nöôùc röûa cheùn (TT.BL)</v>
          </cell>
          <cell r="I391">
            <v>46744345</v>
          </cell>
        </row>
        <row r="392">
          <cell r="A392">
            <v>1</v>
          </cell>
          <cell r="B392">
            <v>37895</v>
          </cell>
          <cell r="C392">
            <v>17</v>
          </cell>
          <cell r="D392" t="str">
            <v>Cty Daàu Khí -TP/HCM (Saøi Goøn Petro)</v>
          </cell>
          <cell r="E392" t="str">
            <v>007.1.00.000661.6</v>
          </cell>
          <cell r="F392" t="str">
            <v>Ngoaïi Thöông</v>
          </cell>
          <cell r="G392" t="str">
            <v>Hoà Chí Minh</v>
          </cell>
          <cell r="H392" t="str">
            <v>Traû tieàn mua xaêng daàu</v>
          </cell>
          <cell r="I392">
            <v>1550000000</v>
          </cell>
        </row>
        <row r="393">
          <cell r="A393">
            <v>2</v>
          </cell>
          <cell r="B393">
            <v>37896</v>
          </cell>
          <cell r="C393">
            <v>8</v>
          </cell>
          <cell r="D393" t="str">
            <v>Cty Xi Maêng Haø Tieân II</v>
          </cell>
          <cell r="E393" t="str">
            <v>710A.00091</v>
          </cell>
          <cell r="F393" t="str">
            <v>Coâng Thöông</v>
          </cell>
          <cell r="G393" t="str">
            <v>Kieân Giang</v>
          </cell>
          <cell r="H393" t="str">
            <v>Traû tieàn mua xi maêng 250taán</v>
          </cell>
          <cell r="I393">
            <v>200200000</v>
          </cell>
        </row>
        <row r="394">
          <cell r="A394">
            <v>3</v>
          </cell>
          <cell r="B394">
            <v>37897</v>
          </cell>
          <cell r="C394">
            <v>98</v>
          </cell>
          <cell r="D394" t="str">
            <v>CTy Lieân Doanh Xi Maêng Haø Tieân II-Caàn Thô</v>
          </cell>
          <cell r="E394" t="str">
            <v>710A.56157</v>
          </cell>
          <cell r="F394" t="str">
            <v>Coâng Thöông</v>
          </cell>
          <cell r="G394" t="str">
            <v>Caàn Thô</v>
          </cell>
          <cell r="H394" t="str">
            <v>Traû tieàn mua xi maêng 220taán</v>
          </cell>
          <cell r="I394">
            <v>176000000</v>
          </cell>
        </row>
        <row r="395">
          <cell r="A395">
            <v>4</v>
          </cell>
          <cell r="B395">
            <v>37897</v>
          </cell>
          <cell r="C395">
            <v>5</v>
          </cell>
          <cell r="D395" t="str">
            <v>Cty TNHH TMaïi Thaønh Long</v>
          </cell>
          <cell r="E395" t="str">
            <v>710A.00817</v>
          </cell>
          <cell r="F395" t="str">
            <v>Coâng Thöong CN6</v>
          </cell>
          <cell r="G395" t="str">
            <v>Hoà Chí Minh</v>
          </cell>
          <cell r="H395" t="str">
            <v>Traû tieàn mua boät ngoït</v>
          </cell>
          <cell r="I395">
            <v>358458473</v>
          </cell>
        </row>
        <row r="396">
          <cell r="A396">
            <v>5</v>
          </cell>
          <cell r="B396">
            <v>37897</v>
          </cell>
          <cell r="C396">
            <v>36</v>
          </cell>
          <cell r="D396" t="str">
            <v>XN Xaêng Daàu Daàu Khí Vuõng Taøu</v>
          </cell>
          <cell r="E396" t="str">
            <v>710D.00343</v>
          </cell>
          <cell r="F396" t="str">
            <v>Coâng Thöông</v>
          </cell>
          <cell r="G396" t="str">
            <v>Baø Ròa-Vuõng Taøu</v>
          </cell>
          <cell r="H396" t="str">
            <v>Traû tieàn mua xaêng daàu</v>
          </cell>
          <cell r="I396">
            <v>2300000000</v>
          </cell>
        </row>
        <row r="397">
          <cell r="A397">
            <v>1</v>
          </cell>
          <cell r="B397">
            <v>37897</v>
          </cell>
          <cell r="C397">
            <v>27</v>
          </cell>
          <cell r="D397" t="str">
            <v>Cty TNHH Quoác Teá Nagarjuna</v>
          </cell>
          <cell r="E397" t="str">
            <v>3586.1</v>
          </cell>
          <cell r="F397" t="str">
            <v>INDOVINA</v>
          </cell>
          <cell r="G397" t="str">
            <v>Hoà Chí Minh</v>
          </cell>
          <cell r="H397" t="str">
            <v>Traû tieàn mua ñöôøng</v>
          </cell>
          <cell r="I397">
            <v>28700000</v>
          </cell>
        </row>
        <row r="398">
          <cell r="A398">
            <v>6</v>
          </cell>
          <cell r="B398">
            <v>37901</v>
          </cell>
          <cell r="C398">
            <v>14</v>
          </cell>
          <cell r="D398" t="str">
            <v>Coâng Ty Theùp Mieàn Nam</v>
          </cell>
          <cell r="E398" t="str">
            <v>710A.01611</v>
          </cell>
          <cell r="F398" t="str">
            <v>Coâng Thöông CN I</v>
          </cell>
          <cell r="G398" t="str">
            <v>Hoà Chí Minh</v>
          </cell>
          <cell r="H398" t="str">
            <v>Traû tieàn mua haøng cho CN Theùp Mieàn Nam taïi Caàn Thô</v>
          </cell>
          <cell r="I398">
            <v>215337990</v>
          </cell>
        </row>
        <row r="399">
          <cell r="A399">
            <v>2</v>
          </cell>
          <cell r="B399">
            <v>37901</v>
          </cell>
          <cell r="C399">
            <v>73</v>
          </cell>
          <cell r="D399" t="str">
            <v>Cty. TNHH SX.TM.HMP Myõ Haûo</v>
          </cell>
          <cell r="E399" t="str">
            <v>007.100.002.4148</v>
          </cell>
          <cell r="F399" t="str">
            <v>Ngoaïi Thöông</v>
          </cell>
          <cell r="G399" t="str">
            <v>Hoà Chí Minh</v>
          </cell>
          <cell r="H399" t="str">
            <v>Traû tieàn mua nöôùc röûa cheùn (TT.BL)</v>
          </cell>
          <cell r="I399">
            <v>59020049</v>
          </cell>
        </row>
        <row r="400">
          <cell r="A400">
            <v>3</v>
          </cell>
          <cell r="B400">
            <v>37901</v>
          </cell>
          <cell r="C400">
            <v>28</v>
          </cell>
          <cell r="D400" t="str">
            <v>Chi Nhaùnh Cty CP Söõa VN Taïi Caàn Thô</v>
          </cell>
          <cell r="E400" t="str">
            <v>7301.0479K</v>
          </cell>
          <cell r="F400" t="str">
            <v>Ñaàu Tö &amp; Phaùt Trieån</v>
          </cell>
          <cell r="G400" t="str">
            <v>Caàn Thô</v>
          </cell>
          <cell r="H400" t="str">
            <v>Traû tieàn mua söõa caùc loaïi</v>
          </cell>
          <cell r="I400">
            <v>368874563</v>
          </cell>
        </row>
        <row r="401">
          <cell r="A401">
            <v>4</v>
          </cell>
          <cell r="B401">
            <v>37901</v>
          </cell>
          <cell r="C401">
            <v>6</v>
          </cell>
          <cell r="D401" t="str">
            <v>BP Petco Ltd</v>
          </cell>
          <cell r="E401" t="str">
            <v>0300007015 DS10450(VND)</v>
          </cell>
          <cell r="F401" t="str">
            <v>Citibank</v>
          </cell>
          <cell r="G401" t="str">
            <v>Hoà Chí Minh</v>
          </cell>
          <cell r="H401" t="str">
            <v>Traû tieàn mua nhôùt (Maõ soá DS10450 CTTN Baïc Lieâu)</v>
          </cell>
          <cell r="I401">
            <v>20350000</v>
          </cell>
        </row>
        <row r="402">
          <cell r="A402">
            <v>5</v>
          </cell>
          <cell r="B402">
            <v>37902</v>
          </cell>
          <cell r="C402">
            <v>31</v>
          </cell>
          <cell r="D402" t="str">
            <v>Cty Daàu Aên Golden Hope - Nhaø Beø</v>
          </cell>
          <cell r="E402" t="str">
            <v>710A.06902</v>
          </cell>
          <cell r="F402" t="str">
            <v>Sôû Giao Dòch II CTVN</v>
          </cell>
          <cell r="G402" t="str">
            <v>Hoà Chí Minh</v>
          </cell>
          <cell r="H402" t="str">
            <v>Traû tieàn daàu aên  (TT.TN.CM)</v>
          </cell>
          <cell r="I402">
            <v>81155048</v>
          </cell>
        </row>
        <row r="403">
          <cell r="A403">
            <v>6</v>
          </cell>
          <cell r="B403">
            <v>37903</v>
          </cell>
          <cell r="C403">
            <v>27</v>
          </cell>
          <cell r="D403" t="str">
            <v>Cty TNHH Quoác Teá Nagarjuna</v>
          </cell>
          <cell r="E403" t="str">
            <v>3586.1</v>
          </cell>
          <cell r="F403" t="str">
            <v>INDOVINA</v>
          </cell>
          <cell r="G403" t="str">
            <v>Hoà Chí Minh</v>
          </cell>
          <cell r="H403" t="str">
            <v>Traû tieàn mua ñöôøng</v>
          </cell>
          <cell r="I403">
            <v>41250000</v>
          </cell>
        </row>
        <row r="404">
          <cell r="A404">
            <v>7</v>
          </cell>
          <cell r="B404">
            <v>37903</v>
          </cell>
          <cell r="C404">
            <v>66</v>
          </cell>
          <cell r="D404" t="str">
            <v>Cty UNI PRESIDENT</v>
          </cell>
          <cell r="E404" t="str">
            <v>30 98 208</v>
          </cell>
          <cell r="F404" t="str">
            <v>ANZ</v>
          </cell>
          <cell r="G404" t="str">
            <v>Hoà Chí Minh</v>
          </cell>
          <cell r="H404" t="str">
            <v>Traû tieàn mua mì Unif</v>
          </cell>
          <cell r="I404">
            <v>52756839</v>
          </cell>
        </row>
        <row r="405">
          <cell r="A405">
            <v>8</v>
          </cell>
          <cell r="B405">
            <v>37904</v>
          </cell>
          <cell r="C405">
            <v>31</v>
          </cell>
          <cell r="D405" t="str">
            <v>Cty Daàu Aên Golden Hope - Nhaø Beø</v>
          </cell>
          <cell r="E405" t="str">
            <v>710A.06902</v>
          </cell>
          <cell r="F405" t="str">
            <v>Sôû Giao Dòch II CTVN</v>
          </cell>
          <cell r="G405" t="str">
            <v>Hoà Chí Minh</v>
          </cell>
          <cell r="H405" t="str">
            <v>Traû tieàn daàu aên  (TT.TN.BL)</v>
          </cell>
          <cell r="I405">
            <v>76020956</v>
          </cell>
        </row>
        <row r="406">
          <cell r="A406">
            <v>9</v>
          </cell>
          <cell r="B406">
            <v>37904</v>
          </cell>
          <cell r="C406">
            <v>83</v>
          </cell>
          <cell r="D406" t="str">
            <v>CTy TNHH TM TH Thuaän Taân</v>
          </cell>
          <cell r="E406" t="str">
            <v>007.100.110.1337</v>
          </cell>
          <cell r="F406" t="str">
            <v>Ngoaïi Thöông</v>
          </cell>
          <cell r="G406" t="str">
            <v>Hoà Chí Minh</v>
          </cell>
          <cell r="H406" t="str">
            <v>Traû tieàn mua Tivi</v>
          </cell>
          <cell r="I406">
            <v>29909000</v>
          </cell>
        </row>
        <row r="407">
          <cell r="A407">
            <v>7</v>
          </cell>
          <cell r="B407">
            <v>37904</v>
          </cell>
          <cell r="C407">
            <v>1</v>
          </cell>
          <cell r="D407" t="str">
            <v>Nhaø Maùy Thuoác Laù Saøi Goøn</v>
          </cell>
          <cell r="E407" t="str">
            <v>710A.00105</v>
          </cell>
          <cell r="F407" t="str">
            <v>Sôû Giao Dòch II CTVN</v>
          </cell>
          <cell r="G407" t="str">
            <v>Hoà Chí Minh</v>
          </cell>
          <cell r="H407" t="str">
            <v>Traû tieàn mua thuoác laù</v>
          </cell>
          <cell r="I407">
            <v>224025000</v>
          </cell>
        </row>
        <row r="408">
          <cell r="A408">
            <v>8</v>
          </cell>
          <cell r="B408">
            <v>37904</v>
          </cell>
          <cell r="C408">
            <v>8</v>
          </cell>
          <cell r="D408" t="str">
            <v>Cty Xi Maêng Haø Tieân II</v>
          </cell>
          <cell r="E408" t="str">
            <v>710A.00091</v>
          </cell>
          <cell r="F408" t="str">
            <v>Coâng Thöông</v>
          </cell>
          <cell r="G408" t="str">
            <v>Kieân Giang</v>
          </cell>
          <cell r="H408" t="str">
            <v>Traû tieàn mua xi maêng 250taán</v>
          </cell>
          <cell r="I408">
            <v>200200000</v>
          </cell>
        </row>
        <row r="409">
          <cell r="A409">
            <v>10</v>
          </cell>
          <cell r="B409">
            <v>37907</v>
          </cell>
          <cell r="C409">
            <v>31</v>
          </cell>
          <cell r="D409" t="str">
            <v>Cty Daàu Aên Golden Hope - Nhaø Beø</v>
          </cell>
          <cell r="E409" t="str">
            <v>710A.06902</v>
          </cell>
          <cell r="F409" t="str">
            <v>Sôû Giao Dòch II CTVN</v>
          </cell>
          <cell r="G409" t="str">
            <v>Hoà Chí Minh</v>
          </cell>
          <cell r="H409" t="str">
            <v>Traû tieàn daàu aên  (TT.TN.CM)</v>
          </cell>
          <cell r="I409">
            <v>77052026</v>
          </cell>
        </row>
        <row r="410">
          <cell r="A410">
            <v>11</v>
          </cell>
          <cell r="B410">
            <v>37907</v>
          </cell>
          <cell r="C410">
            <v>73</v>
          </cell>
          <cell r="D410" t="str">
            <v>Cty. TNHH SX.TM.HMP Myõ Haûo</v>
          </cell>
          <cell r="E410" t="str">
            <v>007.100.002.4148</v>
          </cell>
          <cell r="F410" t="str">
            <v>Ngoaïi Thöông</v>
          </cell>
          <cell r="G410" t="str">
            <v>Hoà Chí Minh</v>
          </cell>
          <cell r="H410" t="str">
            <v>Traû tieàn mua nöôùc röûa cheùn (TT.BL:52.765.252ñ; TT.CM:32.773.386ñ)</v>
          </cell>
          <cell r="I410">
            <v>85538638</v>
          </cell>
        </row>
        <row r="411">
          <cell r="A411">
            <v>9</v>
          </cell>
          <cell r="B411">
            <v>37907</v>
          </cell>
          <cell r="C411">
            <v>36</v>
          </cell>
          <cell r="D411" t="str">
            <v>XN Xaêng Daàu Daàu Khí Vuõng Taøu</v>
          </cell>
          <cell r="E411" t="str">
            <v>710D.00343</v>
          </cell>
          <cell r="F411" t="str">
            <v>Coâng Thöông</v>
          </cell>
          <cell r="G411" t="str">
            <v>Baø Ròa-Vuõng Taøu</v>
          </cell>
          <cell r="H411" t="str">
            <v>Traû tieàn mua xaêng daàu</v>
          </cell>
          <cell r="I411">
            <v>3278000000</v>
          </cell>
        </row>
        <row r="412">
          <cell r="A412">
            <v>10</v>
          </cell>
          <cell r="B412">
            <v>37907</v>
          </cell>
          <cell r="C412">
            <v>101</v>
          </cell>
          <cell r="D412" t="str">
            <v>Cty TMKT &amp; Ñaàu Tö PETEC</v>
          </cell>
          <cell r="E412" t="str">
            <v>1003227 05 2</v>
          </cell>
          <cell r="F412" t="str">
            <v>Deutsche Bank</v>
          </cell>
          <cell r="G412" t="str">
            <v>Hoà Chí Minh</v>
          </cell>
          <cell r="H412" t="str">
            <v>Traû tieàn mua xaêng daàu (Maõ IBPS 50619012)</v>
          </cell>
          <cell r="I412">
            <v>1000000000</v>
          </cell>
        </row>
        <row r="413">
          <cell r="A413">
            <v>12</v>
          </cell>
          <cell r="B413">
            <v>37907</v>
          </cell>
          <cell r="C413">
            <v>27</v>
          </cell>
          <cell r="D413" t="str">
            <v>Cty TNHH Quoác Teá Nagarjuna</v>
          </cell>
          <cell r="E413" t="str">
            <v>3586.1</v>
          </cell>
          <cell r="F413" t="str">
            <v>INDOVINA</v>
          </cell>
          <cell r="G413" t="str">
            <v>Hoà Chí Minh</v>
          </cell>
          <cell r="H413" t="str">
            <v>Traû tieàn mua ñöôøng</v>
          </cell>
          <cell r="I413">
            <v>58800000</v>
          </cell>
        </row>
        <row r="414">
          <cell r="A414">
            <v>12</v>
          </cell>
          <cell r="B414">
            <v>37908</v>
          </cell>
          <cell r="C414">
            <v>41</v>
          </cell>
          <cell r="D414" t="str">
            <v>Cty Xi Maêng Nghi Sôn</v>
          </cell>
          <cell r="E414" t="str">
            <v>710A.02772</v>
          </cell>
          <cell r="F414" t="str">
            <v>Coâng Thöông CN 9</v>
          </cell>
          <cell r="G414" t="str">
            <v>Hoà Chí Minh</v>
          </cell>
          <cell r="H414" t="str">
            <v>Traû tieàn mua  xi maêng</v>
          </cell>
          <cell r="I414">
            <v>172000000</v>
          </cell>
        </row>
        <row r="415">
          <cell r="A415">
            <v>13</v>
          </cell>
          <cell r="B415">
            <v>37908</v>
          </cell>
          <cell r="C415">
            <v>5</v>
          </cell>
          <cell r="D415" t="str">
            <v>Cty TNHH TMaïi Thaønh Long</v>
          </cell>
          <cell r="E415" t="str">
            <v>710A.00817</v>
          </cell>
          <cell r="F415" t="str">
            <v>Coâng Thöong CN6</v>
          </cell>
          <cell r="G415" t="str">
            <v>Hoà Chí Minh</v>
          </cell>
          <cell r="H415" t="str">
            <v>Traû tieàn mua boät ngoït</v>
          </cell>
          <cell r="I415">
            <v>344171453</v>
          </cell>
        </row>
        <row r="416">
          <cell r="A416">
            <v>14</v>
          </cell>
          <cell r="B416">
            <v>37909</v>
          </cell>
          <cell r="C416">
            <v>36</v>
          </cell>
          <cell r="D416" t="str">
            <v>XN Xaêng Daàu Daàu Khí Vuõng Taøu</v>
          </cell>
          <cell r="E416" t="str">
            <v>710D.00343</v>
          </cell>
          <cell r="F416" t="str">
            <v>Coâng Thöông</v>
          </cell>
          <cell r="G416" t="str">
            <v>Baø Ròa-Vuõng Taøu</v>
          </cell>
          <cell r="H416" t="str">
            <v>Traû tieàn mua xaêng daàu</v>
          </cell>
          <cell r="I416">
            <v>2491000000</v>
          </cell>
        </row>
        <row r="417">
          <cell r="A417">
            <v>15</v>
          </cell>
          <cell r="B417">
            <v>37909</v>
          </cell>
          <cell r="C417">
            <v>14</v>
          </cell>
          <cell r="D417" t="str">
            <v>Coâng Ty Theùp Mieàn Nam</v>
          </cell>
          <cell r="E417" t="str">
            <v>710A.01611</v>
          </cell>
          <cell r="F417" t="str">
            <v>Coâng Thöông CN I</v>
          </cell>
          <cell r="G417" t="str">
            <v>Hoà Chí Minh</v>
          </cell>
          <cell r="H417" t="str">
            <v>Traû tieàn mua haøng cho CN Theùp Mieàn Nam taïi Caàn Thô</v>
          </cell>
          <cell r="I417">
            <v>192375120</v>
          </cell>
        </row>
        <row r="418">
          <cell r="A418">
            <v>13</v>
          </cell>
          <cell r="B418">
            <v>37909</v>
          </cell>
          <cell r="C418">
            <v>28</v>
          </cell>
          <cell r="D418" t="str">
            <v>Chi Nhaùnh Cty CP Söõa VN Taïi Caàn Thô</v>
          </cell>
          <cell r="E418" t="str">
            <v>7301.0479K</v>
          </cell>
          <cell r="F418" t="str">
            <v>Ñaàu Tö &amp; Phaùt Trieån</v>
          </cell>
          <cell r="G418" t="str">
            <v>Caàn Thô</v>
          </cell>
          <cell r="H418" t="str">
            <v>Traû tieàn mua söõa caùc loaïi</v>
          </cell>
          <cell r="I418">
            <v>279370531</v>
          </cell>
        </row>
        <row r="419">
          <cell r="A419">
            <v>16</v>
          </cell>
          <cell r="B419">
            <v>37909</v>
          </cell>
          <cell r="C419">
            <v>73</v>
          </cell>
          <cell r="D419" t="str">
            <v>Cty. TNHH SX.TM.HMP Myõ Haûo</v>
          </cell>
          <cell r="E419" t="str">
            <v>007.100.002.4148</v>
          </cell>
          <cell r="F419" t="str">
            <v>Ngoaïi Thöông</v>
          </cell>
          <cell r="G419" t="str">
            <v>Hoà Chí Minh</v>
          </cell>
          <cell r="H419" t="str">
            <v>Traû tieàn mua nöôùc röûa cheùn (TT.BL)</v>
          </cell>
          <cell r="I419">
            <v>120000000</v>
          </cell>
        </row>
        <row r="420">
          <cell r="A420">
            <v>17</v>
          </cell>
          <cell r="B420">
            <v>37911</v>
          </cell>
          <cell r="C420">
            <v>31</v>
          </cell>
          <cell r="D420" t="str">
            <v>Cty Daàu Aên Golden Hope - Nhaø Beø</v>
          </cell>
          <cell r="E420" t="str">
            <v>710A.06902</v>
          </cell>
          <cell r="F420" t="str">
            <v>Sôû Giao Dòch II CTVN</v>
          </cell>
          <cell r="G420" t="str">
            <v>Hoà Chí Minh</v>
          </cell>
          <cell r="H420" t="str">
            <v>Traû tieàn daàu aên  (TT.TN.CM)</v>
          </cell>
          <cell r="I420">
            <v>75822208</v>
          </cell>
        </row>
        <row r="421">
          <cell r="A421">
            <v>18</v>
          </cell>
          <cell r="B421">
            <v>37911</v>
          </cell>
          <cell r="C421">
            <v>44</v>
          </cell>
          <cell r="D421" t="str">
            <v>CTy Ñieän Baùo Ñieän Thoaïi Baïc Lieâu</v>
          </cell>
          <cell r="E421" t="str">
            <v>710A.00074</v>
          </cell>
          <cell r="F421" t="str">
            <v xml:space="preserve">Coâng Thöông </v>
          </cell>
          <cell r="G421" t="str">
            <v>Baïc Lieâu</v>
          </cell>
          <cell r="H421" t="str">
            <v>Traû tieàn ñieän thoaïi thaùng 9/2003</v>
          </cell>
          <cell r="I421">
            <v>9637210</v>
          </cell>
        </row>
        <row r="422">
          <cell r="A422">
            <v>16</v>
          </cell>
          <cell r="B422">
            <v>37911</v>
          </cell>
          <cell r="C422">
            <v>8</v>
          </cell>
          <cell r="D422" t="str">
            <v>Cty Xi Maêng Haø Tieân II</v>
          </cell>
          <cell r="E422" t="str">
            <v>710A.00091</v>
          </cell>
          <cell r="F422" t="str">
            <v>Coâng Thöông</v>
          </cell>
          <cell r="G422" t="str">
            <v>Kieân Giang</v>
          </cell>
          <cell r="H422" t="str">
            <v>Traû tieàn mua xi maêng 250taán</v>
          </cell>
          <cell r="I422">
            <v>200200000</v>
          </cell>
        </row>
        <row r="423">
          <cell r="A423">
            <v>19</v>
          </cell>
          <cell r="B423">
            <v>37911</v>
          </cell>
          <cell r="C423">
            <v>31</v>
          </cell>
          <cell r="D423" t="str">
            <v>Cty Daàu Aên Golden Hope - Nhaø Beø</v>
          </cell>
          <cell r="E423" t="str">
            <v>710A.06902</v>
          </cell>
          <cell r="F423" t="str">
            <v>Sôû Giao Dòch II CTVN</v>
          </cell>
          <cell r="G423" t="str">
            <v>Hoà Chí Minh</v>
          </cell>
          <cell r="H423" t="str">
            <v>Traû tieàn daàu aên  (TT.TN.CM)</v>
          </cell>
          <cell r="I423">
            <v>80723808</v>
          </cell>
        </row>
        <row r="424">
          <cell r="A424">
            <v>20</v>
          </cell>
          <cell r="B424">
            <v>37914</v>
          </cell>
          <cell r="C424">
            <v>80</v>
          </cell>
          <cell r="D424" t="str">
            <v>Chi Nhaùnh Cty TNHH AÉC-QUY GS VN</v>
          </cell>
          <cell r="E424" t="str">
            <v>007.100.075318.7</v>
          </cell>
          <cell r="F424" t="str">
            <v>Ngoaïi Thöông</v>
          </cell>
          <cell r="G424" t="str">
            <v>Hoà Chí Minh</v>
          </cell>
          <cell r="H424" t="str">
            <v>Traû tieàn mua bình aéc qui</v>
          </cell>
          <cell r="I424">
            <v>18090000</v>
          </cell>
        </row>
        <row r="425">
          <cell r="A425">
            <v>21</v>
          </cell>
          <cell r="B425">
            <v>37914</v>
          </cell>
          <cell r="C425">
            <v>25</v>
          </cell>
          <cell r="D425" t="str">
            <v xml:space="preserve"> Thu Baûo Hieåm Xaõ Hoäi Tænh Baïc Lieâu</v>
          </cell>
          <cell r="E425" t="str">
            <v>421401.12</v>
          </cell>
          <cell r="F425" t="str">
            <v>NN &amp; P/T N/Thoân</v>
          </cell>
          <cell r="G425" t="str">
            <v>Baïc Lieâu</v>
          </cell>
          <cell r="H425" t="str">
            <v>Noäp BHXH,BHYT thaùng 10/2003</v>
          </cell>
          <cell r="I425">
            <v>24334161</v>
          </cell>
        </row>
        <row r="426">
          <cell r="A426">
            <v>17</v>
          </cell>
          <cell r="B426">
            <v>37914</v>
          </cell>
          <cell r="C426">
            <v>36</v>
          </cell>
          <cell r="D426" t="str">
            <v>XN Xaêng Daàu Daàu Khí Vuõng Taøu</v>
          </cell>
          <cell r="E426" t="str">
            <v>710D.00343</v>
          </cell>
          <cell r="F426" t="str">
            <v>Coâng Thöông</v>
          </cell>
          <cell r="G426" t="str">
            <v>Baø Ròa-Vuõng Taøu</v>
          </cell>
          <cell r="H426" t="str">
            <v>Traû tieàn mua xaêng daàu</v>
          </cell>
          <cell r="I426">
            <v>2538000000</v>
          </cell>
        </row>
        <row r="427">
          <cell r="A427">
            <v>22</v>
          </cell>
          <cell r="B427">
            <v>37914</v>
          </cell>
          <cell r="C427">
            <v>73</v>
          </cell>
          <cell r="D427" t="str">
            <v>Cty. TNHH SX.TM.HMP Myõ Haûo</v>
          </cell>
          <cell r="E427" t="str">
            <v>007.100.002.4148</v>
          </cell>
          <cell r="F427" t="str">
            <v>Ngoaïi Thöông</v>
          </cell>
          <cell r="G427" t="str">
            <v>Hoà Chí Minh</v>
          </cell>
          <cell r="H427" t="str">
            <v>Traû tieàn mua nöôùc röûa cheùn (TT.CM)</v>
          </cell>
          <cell r="I427">
            <v>32071341</v>
          </cell>
        </row>
        <row r="428">
          <cell r="A428">
            <v>18</v>
          </cell>
          <cell r="B428">
            <v>37916</v>
          </cell>
          <cell r="C428">
            <v>5</v>
          </cell>
          <cell r="D428" t="str">
            <v>Cty TNHH TMaïi Thaønh Long</v>
          </cell>
          <cell r="E428" t="str">
            <v>710A.00817</v>
          </cell>
          <cell r="F428" t="str">
            <v>Coâng Thöong CN6</v>
          </cell>
          <cell r="G428" t="str">
            <v>Hoà Chí Minh</v>
          </cell>
          <cell r="H428" t="str">
            <v>Traû tieàn mua boät ngoït</v>
          </cell>
          <cell r="I428">
            <v>213296429</v>
          </cell>
        </row>
        <row r="429">
          <cell r="A429">
            <v>19</v>
          </cell>
          <cell r="B429">
            <v>37916</v>
          </cell>
          <cell r="C429">
            <v>3</v>
          </cell>
          <cell r="D429" t="str">
            <v>Cty Coå Phaàn Boät Giaët Lix</v>
          </cell>
          <cell r="E429" t="str">
            <v>710A.01440</v>
          </cell>
          <cell r="F429" t="str">
            <v>Coâng Thöông CN 14</v>
          </cell>
          <cell r="G429" t="str">
            <v>Hoà Chí Minh</v>
          </cell>
          <cell r="H429" t="str">
            <v>Traû tieàn mua boät giaët</v>
          </cell>
          <cell r="I429">
            <v>290000000</v>
          </cell>
        </row>
        <row r="430">
          <cell r="A430">
            <v>23</v>
          </cell>
          <cell r="B430">
            <v>37916</v>
          </cell>
          <cell r="C430">
            <v>28</v>
          </cell>
          <cell r="D430" t="str">
            <v>Chi Nhaùnh Cty CP Söõa VN Taïi Caàn Thô</v>
          </cell>
          <cell r="E430" t="str">
            <v>7301.0479K</v>
          </cell>
          <cell r="F430" t="str">
            <v>Ñaàu Tö &amp; Phaùt Trieån</v>
          </cell>
          <cell r="G430" t="str">
            <v>Caàn Thô</v>
          </cell>
          <cell r="H430" t="str">
            <v>Traû tieàn mua söõa caùc loaïi</v>
          </cell>
          <cell r="I430">
            <v>385955524</v>
          </cell>
        </row>
        <row r="431">
          <cell r="A431">
            <v>24</v>
          </cell>
          <cell r="B431">
            <v>37917</v>
          </cell>
          <cell r="C431">
            <v>73</v>
          </cell>
          <cell r="D431" t="str">
            <v>Cty. TNHH SX.TM.HMP Myõ Haûo</v>
          </cell>
          <cell r="E431" t="str">
            <v>007.100.002.4148</v>
          </cell>
          <cell r="F431" t="str">
            <v>Ngoaïi Thöông</v>
          </cell>
          <cell r="G431" t="str">
            <v>Hoà Chí Minh</v>
          </cell>
          <cell r="H431" t="str">
            <v>Traû tieàn mua nöôùc röûa cheùn (TT.CM)</v>
          </cell>
          <cell r="I431">
            <v>62534084</v>
          </cell>
        </row>
        <row r="432">
          <cell r="A432">
            <v>25</v>
          </cell>
          <cell r="B432">
            <v>37917</v>
          </cell>
          <cell r="C432">
            <v>22</v>
          </cell>
          <cell r="D432" t="str">
            <v>Cty Deät Long An</v>
          </cell>
          <cell r="E432" t="str">
            <v>710A.10001</v>
          </cell>
          <cell r="F432" t="str">
            <v>Coâng Thöông</v>
          </cell>
          <cell r="G432" t="str">
            <v>Long An</v>
          </cell>
          <cell r="H432" t="str">
            <v>Traû tieàn mua vaûi Long An</v>
          </cell>
          <cell r="I432">
            <v>16369570</v>
          </cell>
        </row>
        <row r="433">
          <cell r="A433">
            <v>26</v>
          </cell>
          <cell r="B433">
            <v>37918</v>
          </cell>
          <cell r="C433">
            <v>31</v>
          </cell>
          <cell r="D433" t="str">
            <v>Cty Daàu Aên Golden Hope - Nhaø Beø</v>
          </cell>
          <cell r="E433" t="str">
            <v>710A.06902</v>
          </cell>
          <cell r="F433" t="str">
            <v>Sôû Giao Dòch II CTVN</v>
          </cell>
          <cell r="G433" t="str">
            <v>Hoà Chí Minh</v>
          </cell>
          <cell r="H433" t="str">
            <v>Traû tieàn mua daàu xaù</v>
          </cell>
          <cell r="I433">
            <v>48639450</v>
          </cell>
        </row>
        <row r="434">
          <cell r="A434">
            <v>20</v>
          </cell>
          <cell r="B434">
            <v>37918</v>
          </cell>
          <cell r="C434">
            <v>8</v>
          </cell>
          <cell r="D434" t="str">
            <v>Cty Xi Maêng Haø Tieân II</v>
          </cell>
          <cell r="E434" t="str">
            <v>710A.00091</v>
          </cell>
          <cell r="F434" t="str">
            <v>Coâng Thöông</v>
          </cell>
          <cell r="G434" t="str">
            <v>Kieân Giang</v>
          </cell>
          <cell r="H434" t="str">
            <v>Traû tieàn mua xi maêng 200taán</v>
          </cell>
          <cell r="I434">
            <v>160160000</v>
          </cell>
        </row>
        <row r="435">
          <cell r="A435">
            <v>27</v>
          </cell>
          <cell r="B435">
            <v>37921</v>
          </cell>
          <cell r="C435">
            <v>83</v>
          </cell>
          <cell r="D435" t="str">
            <v>CTy TNHH TM TH Thuaän Taân</v>
          </cell>
          <cell r="E435" t="str">
            <v>007.100.110.1337</v>
          </cell>
          <cell r="F435" t="str">
            <v>Ngoaïi Thöông</v>
          </cell>
          <cell r="G435" t="str">
            <v>Hoà Chí Minh</v>
          </cell>
          <cell r="H435" t="str">
            <v>Traû tieànhaøng ñieän maùy</v>
          </cell>
          <cell r="I435">
            <v>77777300</v>
          </cell>
        </row>
        <row r="436">
          <cell r="A436">
            <v>28</v>
          </cell>
          <cell r="B436">
            <v>37921</v>
          </cell>
          <cell r="C436">
            <v>31</v>
          </cell>
          <cell r="D436" t="str">
            <v>Cty Daàu Aên Golden Hope - Nhaø Beø</v>
          </cell>
          <cell r="E436" t="str">
            <v>710A.06902</v>
          </cell>
          <cell r="F436" t="str">
            <v>Sôû Giao Dòch II CTVN</v>
          </cell>
          <cell r="G436" t="str">
            <v>Hoà Chí Minh</v>
          </cell>
          <cell r="H436" t="str">
            <v>Traû tieàn daàu aên  (TT.TN.BL)</v>
          </cell>
          <cell r="I436">
            <v>73394970</v>
          </cell>
        </row>
        <row r="437">
          <cell r="A437">
            <v>21</v>
          </cell>
          <cell r="B437">
            <v>37921</v>
          </cell>
          <cell r="C437">
            <v>36</v>
          </cell>
          <cell r="D437" t="str">
            <v>XN Xaêng Daàu Daàu Khí Vuõng Taøu</v>
          </cell>
          <cell r="E437" t="str">
            <v>710D.00343</v>
          </cell>
          <cell r="F437" t="str">
            <v>Coâng Thöông</v>
          </cell>
          <cell r="G437" t="str">
            <v>Baø Ròa-Vuõng Taøu</v>
          </cell>
          <cell r="H437" t="str">
            <v>Traû tieàn mua xaêng daàu</v>
          </cell>
          <cell r="I437">
            <v>1927000000</v>
          </cell>
        </row>
        <row r="438">
          <cell r="A438">
            <v>22</v>
          </cell>
          <cell r="B438">
            <v>37921</v>
          </cell>
          <cell r="C438">
            <v>41</v>
          </cell>
          <cell r="D438" t="str">
            <v>Cty Xi Maêng Nghi Sôn</v>
          </cell>
          <cell r="E438" t="str">
            <v>710A.02772</v>
          </cell>
          <cell r="F438" t="str">
            <v>Coâng Thöông CN 9</v>
          </cell>
          <cell r="G438" t="str">
            <v>Hoà Chí Minh</v>
          </cell>
          <cell r="H438" t="str">
            <v>Traû tieàn mua xi maêng 250taán</v>
          </cell>
          <cell r="I438">
            <v>215000000</v>
          </cell>
        </row>
        <row r="439">
          <cell r="A439">
            <v>23</v>
          </cell>
          <cell r="B439">
            <v>37921</v>
          </cell>
          <cell r="C439">
            <v>14</v>
          </cell>
          <cell r="D439" t="str">
            <v>Coâng Ty Theùp Mieàn Nam</v>
          </cell>
          <cell r="E439" t="str">
            <v>710A.01611</v>
          </cell>
          <cell r="F439" t="str">
            <v>Coâng Thöông CN I</v>
          </cell>
          <cell r="G439" t="str">
            <v>Hoà Chí Minh</v>
          </cell>
          <cell r="H439" t="str">
            <v>Traû tieàn mua haøng cho CN Theùp Mieàn Nam taïi Caàn Thô</v>
          </cell>
          <cell r="I439">
            <v>221993415</v>
          </cell>
        </row>
        <row r="440">
          <cell r="A440">
            <v>29</v>
          </cell>
          <cell r="B440">
            <v>37921</v>
          </cell>
          <cell r="C440">
            <v>31</v>
          </cell>
          <cell r="D440" t="str">
            <v>Cty Daàu Aên Golden Hope - Nhaø Beø</v>
          </cell>
          <cell r="E440" t="str">
            <v>710A.06902</v>
          </cell>
          <cell r="F440" t="str">
            <v>Sôû Giao Dòch II CTVN</v>
          </cell>
          <cell r="G440" t="str">
            <v>Hoà Chí Minh</v>
          </cell>
          <cell r="H440" t="str">
            <v>Traû tieàn daàu aên  (TT.BL : 79.910.006ñ;TT.CM: 24.994.992ñ)</v>
          </cell>
          <cell r="I440">
            <v>104904998</v>
          </cell>
        </row>
        <row r="441">
          <cell r="A441">
            <v>30</v>
          </cell>
          <cell r="B441">
            <v>37922</v>
          </cell>
          <cell r="C441">
            <v>73</v>
          </cell>
          <cell r="D441" t="str">
            <v>Cty. TNHH SX.TM.HMP Myõ Haûo</v>
          </cell>
          <cell r="E441" t="str">
            <v>007.100.002.4148</v>
          </cell>
          <cell r="F441" t="str">
            <v>Ngoaïi Thöông</v>
          </cell>
          <cell r="G441" t="str">
            <v>Hoà Chí Minh</v>
          </cell>
          <cell r="H441" t="str">
            <v>Traû tieàn mua nöôùc röûa cheùn (TT.BL)</v>
          </cell>
          <cell r="I441">
            <v>57798229</v>
          </cell>
        </row>
        <row r="442">
          <cell r="A442">
            <v>30</v>
          </cell>
          <cell r="B442">
            <v>37922</v>
          </cell>
          <cell r="C442">
            <v>73</v>
          </cell>
          <cell r="D442" t="str">
            <v>Cty. TNHH SX.TM.HMP Myõ Haûo</v>
          </cell>
          <cell r="E442" t="str">
            <v>007.100.002.4148</v>
          </cell>
          <cell r="F442" t="str">
            <v>Ngoaïi Thöông</v>
          </cell>
          <cell r="G442" t="str">
            <v>Hoà Chí Minh</v>
          </cell>
          <cell r="H442" t="str">
            <v>Traû tieàn mua nöôùc röûa cheùn (TT.BL)</v>
          </cell>
          <cell r="I442">
            <v>57798229</v>
          </cell>
        </row>
        <row r="443">
          <cell r="A443">
            <v>31</v>
          </cell>
          <cell r="B443">
            <v>37922</v>
          </cell>
          <cell r="C443">
            <v>27</v>
          </cell>
          <cell r="D443" t="str">
            <v>Cty TNHH Quoác Teá Nagarjuna</v>
          </cell>
          <cell r="E443" t="str">
            <v>3586.1</v>
          </cell>
          <cell r="F443" t="str">
            <v>INDOVINA</v>
          </cell>
          <cell r="G443" t="str">
            <v>Hoà Chí Minh</v>
          </cell>
          <cell r="H443" t="str">
            <v>Traû tieàn mua ñöôøng</v>
          </cell>
          <cell r="I443">
            <v>61600000</v>
          </cell>
        </row>
        <row r="444">
          <cell r="A444">
            <v>24</v>
          </cell>
          <cell r="B444">
            <v>37922</v>
          </cell>
          <cell r="C444">
            <v>1</v>
          </cell>
          <cell r="D444" t="str">
            <v>Nhaø Maùy Thuoác Laù Saøi Goøn</v>
          </cell>
          <cell r="E444" t="str">
            <v>710A.00105</v>
          </cell>
          <cell r="F444" t="str">
            <v>Sôû Giao Dòch II CTVN</v>
          </cell>
          <cell r="G444" t="str">
            <v>Hoà Chí Minh</v>
          </cell>
          <cell r="H444" t="str">
            <v>Traû tieàn mua thuoác laù</v>
          </cell>
          <cell r="I444">
            <v>221275000</v>
          </cell>
        </row>
        <row r="445">
          <cell r="A445">
            <v>30</v>
          </cell>
          <cell r="B445">
            <v>37922</v>
          </cell>
          <cell r="C445">
            <v>73</v>
          </cell>
          <cell r="D445" t="str">
            <v>Cty. TNHH SX.TM.HMP Myõ Haûo</v>
          </cell>
          <cell r="E445" t="str">
            <v>007.100.002.4148</v>
          </cell>
          <cell r="F445" t="str">
            <v>Ngoaïi Thöông</v>
          </cell>
          <cell r="G445" t="str">
            <v>Hoà Chí Minh</v>
          </cell>
          <cell r="H445" t="str">
            <v>Traû tieàn mua nöôùc röûa cheùn (TT.BL)</v>
          </cell>
          <cell r="I445">
            <v>57798229</v>
          </cell>
        </row>
        <row r="446">
          <cell r="A446">
            <v>31</v>
          </cell>
          <cell r="B446">
            <v>37922</v>
          </cell>
          <cell r="C446">
            <v>27</v>
          </cell>
          <cell r="D446" t="str">
            <v>Cty TNHH Quoác Teá Nagarjuna</v>
          </cell>
          <cell r="E446" t="str">
            <v>3586.1</v>
          </cell>
          <cell r="F446" t="str">
            <v>INDOVINA</v>
          </cell>
          <cell r="G446" t="str">
            <v>Hoà Chí Minh</v>
          </cell>
          <cell r="H446" t="str">
            <v>Traû tieàn mua ñöôøng</v>
          </cell>
          <cell r="I446">
            <v>61600000</v>
          </cell>
        </row>
        <row r="447">
          <cell r="A447">
            <v>32</v>
          </cell>
          <cell r="B447">
            <v>37924</v>
          </cell>
          <cell r="C447">
            <v>28</v>
          </cell>
          <cell r="D447" t="str">
            <v>Chi Nhaùnh Cty CP Söõa VN Taïi Caàn Thô</v>
          </cell>
          <cell r="E447" t="str">
            <v>7301.0479K</v>
          </cell>
          <cell r="F447" t="str">
            <v>Ñaàu Tö &amp; Phaùt Trieån</v>
          </cell>
          <cell r="G447" t="str">
            <v>Caàn Thô</v>
          </cell>
          <cell r="H447" t="str">
            <v>Traû tieàn mua söõa caùc loaïi</v>
          </cell>
          <cell r="I447">
            <v>386314036</v>
          </cell>
        </row>
        <row r="448">
          <cell r="A448">
            <v>25</v>
          </cell>
          <cell r="B448">
            <v>37924</v>
          </cell>
          <cell r="C448">
            <v>5</v>
          </cell>
          <cell r="D448" t="str">
            <v>Cty TNHH TMaïi Thaønh Long</v>
          </cell>
          <cell r="E448" t="str">
            <v>710A.00817</v>
          </cell>
          <cell r="F448" t="str">
            <v>Coâng Thöong CN6</v>
          </cell>
          <cell r="G448" t="str">
            <v>Hoà Chí Minh</v>
          </cell>
          <cell r="H448" t="str">
            <v>Traû tieàn mua boät ngoït</v>
          </cell>
          <cell r="I448">
            <v>426483031</v>
          </cell>
        </row>
        <row r="449">
          <cell r="A449">
            <v>33</v>
          </cell>
          <cell r="B449">
            <v>37924</v>
          </cell>
          <cell r="C449">
            <v>31</v>
          </cell>
          <cell r="D449" t="str">
            <v>Cty Daàu Aên Golden Hope - Nhaø Beø</v>
          </cell>
          <cell r="E449" t="str">
            <v>710A.06902</v>
          </cell>
          <cell r="F449" t="str">
            <v>Sôû Giao Dòch II CTVN</v>
          </cell>
          <cell r="G449" t="str">
            <v>Hoà Chí Minh</v>
          </cell>
          <cell r="H449" t="str">
            <v>Traû tieàn mua daàu aên</v>
          </cell>
          <cell r="I449">
            <v>89692872</v>
          </cell>
        </row>
        <row r="450">
          <cell r="A450">
            <v>34</v>
          </cell>
          <cell r="B450">
            <v>37924</v>
          </cell>
          <cell r="C450">
            <v>77</v>
          </cell>
          <cell r="D450" t="str">
            <v>Cty Ñieän &amp; Ñieän Töû SAMSUNG VINA</v>
          </cell>
          <cell r="E450" t="str">
            <v>710A.01109</v>
          </cell>
          <cell r="F450" t="str">
            <v>Coâng Thöông CN 4</v>
          </cell>
          <cell r="G450" t="str">
            <v>Hoà Chí Minh</v>
          </cell>
          <cell r="H450" t="str">
            <v>Traû tieàn mua haøng ñieän maùy</v>
          </cell>
          <cell r="I450">
            <v>9390000</v>
          </cell>
        </row>
        <row r="451">
          <cell r="A451">
            <v>26</v>
          </cell>
          <cell r="B451">
            <v>37925</v>
          </cell>
          <cell r="C451">
            <v>8</v>
          </cell>
          <cell r="D451" t="str">
            <v>Cty Xi Maêng Haø Tieân II</v>
          </cell>
          <cell r="E451" t="str">
            <v>710A.00091</v>
          </cell>
          <cell r="F451" t="str">
            <v>Coâng Thöông</v>
          </cell>
          <cell r="G451" t="str">
            <v>Kieân Giang</v>
          </cell>
          <cell r="H451" t="str">
            <v>Traû tieàn mua xi maêng 45taán</v>
          </cell>
          <cell r="I451">
            <v>35318250</v>
          </cell>
        </row>
        <row r="452">
          <cell r="A452">
            <v>27</v>
          </cell>
          <cell r="B452">
            <v>37925</v>
          </cell>
          <cell r="C452">
            <v>46</v>
          </cell>
          <cell r="D452" t="str">
            <v>CTy MIWON VIETNAM</v>
          </cell>
          <cell r="E452" t="str">
            <v>710A.00183</v>
          </cell>
          <cell r="F452" t="str">
            <v xml:space="preserve">Coâng Thöông </v>
          </cell>
          <cell r="G452" t="str">
            <v>Phuù Thoï</v>
          </cell>
          <cell r="H452" t="str">
            <v>Traû tieàn mua boät ngoït</v>
          </cell>
          <cell r="I452">
            <v>116866067</v>
          </cell>
        </row>
        <row r="453">
          <cell r="A453">
            <v>35</v>
          </cell>
          <cell r="B453">
            <v>37925</v>
          </cell>
          <cell r="C453">
            <v>73</v>
          </cell>
          <cell r="D453" t="str">
            <v>Cty. TNHH SX.TM.HMP Myõ Haûo</v>
          </cell>
          <cell r="E453" t="str">
            <v>007.100.002.4148</v>
          </cell>
          <cell r="F453" t="str">
            <v>Ngoaïi Thöông</v>
          </cell>
          <cell r="G453" t="str">
            <v>Hoà Chí Minh</v>
          </cell>
          <cell r="H453" t="str">
            <v>Traû tieàn mua nöôùc röûa cheùn (TT.BL:31.925.273ñ;TT.CM:86.219.686ñ)</v>
          </cell>
          <cell r="I453">
            <v>118145141</v>
          </cell>
        </row>
        <row r="454">
          <cell r="A454">
            <v>28</v>
          </cell>
          <cell r="B454">
            <v>37925</v>
          </cell>
          <cell r="C454">
            <v>101</v>
          </cell>
          <cell r="D454" t="str">
            <v>Cty TMKT &amp; Ñaàu Tö PETEC</v>
          </cell>
          <cell r="E454" t="str">
            <v>1003227 05 2</v>
          </cell>
          <cell r="F454" t="str">
            <v>Deutsche Bank</v>
          </cell>
          <cell r="G454" t="str">
            <v>Hoà Chí Minh</v>
          </cell>
          <cell r="H454" t="str">
            <v>Traû tieàn mua xaêng daàu (Maõ IBPS 50619012)</v>
          </cell>
          <cell r="I454">
            <v>1958000000</v>
          </cell>
        </row>
        <row r="455">
          <cell r="A455">
            <v>29</v>
          </cell>
          <cell r="B455">
            <v>37925</v>
          </cell>
          <cell r="C455">
            <v>16</v>
          </cell>
          <cell r="D455" t="str">
            <v>Cty Daàu Khí Petechim</v>
          </cell>
          <cell r="E455" t="str">
            <v>007.1.00.000583.2</v>
          </cell>
          <cell r="F455" t="str">
            <v>Ngoaïi Thöông</v>
          </cell>
          <cell r="G455" t="str">
            <v>Hoà Chí Minh</v>
          </cell>
          <cell r="H455" t="str">
            <v>Traû tieàn mua xaêng daàu</v>
          </cell>
          <cell r="I455">
            <v>1736550000</v>
          </cell>
        </row>
        <row r="456">
          <cell r="A456">
            <v>1</v>
          </cell>
          <cell r="B456">
            <v>37928</v>
          </cell>
          <cell r="C456">
            <v>36</v>
          </cell>
          <cell r="D456" t="str">
            <v>XN Xaêng Daàu Daàu Khí Vuõng Taøu</v>
          </cell>
          <cell r="E456" t="str">
            <v>710D.00343</v>
          </cell>
          <cell r="F456" t="str">
            <v>Coâng Thöông</v>
          </cell>
          <cell r="G456" t="str">
            <v>Baø Ròa-Vuõng Taøu</v>
          </cell>
          <cell r="H456" t="str">
            <v>Traû tieàn mua xaêng daàu</v>
          </cell>
          <cell r="I456">
            <v>1974000000</v>
          </cell>
        </row>
        <row r="457">
          <cell r="A457">
            <v>2</v>
          </cell>
          <cell r="B457">
            <v>37928</v>
          </cell>
          <cell r="C457">
            <v>8</v>
          </cell>
          <cell r="D457" t="str">
            <v>Cty Xi Maêng Haø Tieân II</v>
          </cell>
          <cell r="E457" t="str">
            <v>710A.00091</v>
          </cell>
          <cell r="F457" t="str">
            <v>Coâng Thöông</v>
          </cell>
          <cell r="G457" t="str">
            <v>Kieân Giang</v>
          </cell>
          <cell r="H457" t="str">
            <v>Traû tieàn mua xi maêng 250taán</v>
          </cell>
          <cell r="I457">
            <v>200200000</v>
          </cell>
        </row>
        <row r="458">
          <cell r="A458">
            <v>3</v>
          </cell>
          <cell r="B458">
            <v>37928</v>
          </cell>
          <cell r="C458">
            <v>90</v>
          </cell>
          <cell r="D458" t="str">
            <v>CN CTy. CP Ñöôøng Bieân Hoøa taïi Caàn Thô</v>
          </cell>
          <cell r="E458" t="str">
            <v>710A.80253</v>
          </cell>
          <cell r="F458" t="str">
            <v>Coâng Thöông</v>
          </cell>
          <cell r="G458" t="str">
            <v>Caàn Thô</v>
          </cell>
          <cell r="H458" t="str">
            <v>Traû tieàn mua ñöôøng</v>
          </cell>
          <cell r="I458">
            <v>25493761</v>
          </cell>
        </row>
        <row r="459">
          <cell r="A459">
            <v>1</v>
          </cell>
          <cell r="B459">
            <v>37928</v>
          </cell>
          <cell r="C459">
            <v>73</v>
          </cell>
          <cell r="D459" t="str">
            <v>Cty. TNHH SX.TM.HMP Myõ Haûo</v>
          </cell>
          <cell r="E459" t="str">
            <v>007.100.002.4148</v>
          </cell>
          <cell r="F459" t="str">
            <v>Ngoaïi Thöông</v>
          </cell>
          <cell r="G459" t="str">
            <v>Hoà Chí Minh</v>
          </cell>
          <cell r="H459" t="str">
            <v>Traû tieàn mua nöôùc röûa cheùn (TT.CM)</v>
          </cell>
          <cell r="I459">
            <v>21577336</v>
          </cell>
        </row>
        <row r="460">
          <cell r="A460">
            <v>4</v>
          </cell>
          <cell r="B460">
            <v>37928</v>
          </cell>
          <cell r="C460">
            <v>3</v>
          </cell>
          <cell r="D460" t="str">
            <v>Cty Coå Phaàn Boät Giaët Lix</v>
          </cell>
          <cell r="E460" t="str">
            <v>710A.01440</v>
          </cell>
          <cell r="F460" t="str">
            <v>Coâng Thöông CN 14</v>
          </cell>
          <cell r="G460" t="str">
            <v>Hoà Chí Minh</v>
          </cell>
          <cell r="H460" t="str">
            <v>Traû tieàn mua boät giaët</v>
          </cell>
          <cell r="I460">
            <v>280000000</v>
          </cell>
        </row>
        <row r="461">
          <cell r="A461">
            <v>5</v>
          </cell>
          <cell r="B461">
            <v>37928</v>
          </cell>
          <cell r="C461">
            <v>17</v>
          </cell>
          <cell r="D461" t="str">
            <v>Cty Daàu Khí -TP/HCM (Saøi Goøn Petro)</v>
          </cell>
          <cell r="E461" t="str">
            <v>007.1.00.000661.6</v>
          </cell>
          <cell r="F461" t="str">
            <v>Ngoaïi Thöông</v>
          </cell>
          <cell r="G461" t="str">
            <v>Hoà Chí Minh</v>
          </cell>
          <cell r="H461" t="str">
            <v>Traû tieàn mua xaêng daàu</v>
          </cell>
          <cell r="I461">
            <v>732000000</v>
          </cell>
        </row>
        <row r="462">
          <cell r="A462">
            <v>2</v>
          </cell>
          <cell r="B462">
            <v>37929</v>
          </cell>
          <cell r="C462">
            <v>93</v>
          </cell>
          <cell r="D462" t="str">
            <v>Cty Coå Phaàn Giaáy Vieãn Ñoâng</v>
          </cell>
          <cell r="E462" t="str">
            <v>710A.04479</v>
          </cell>
          <cell r="F462" t="str">
            <v>Coâng Thöông CN 12</v>
          </cell>
          <cell r="G462" t="str">
            <v>Hoà Chí Minh</v>
          </cell>
          <cell r="H462" t="str">
            <v>Traû tieàn mua giaáy Vieãn Ñoâng</v>
          </cell>
          <cell r="I462">
            <v>21348987</v>
          </cell>
        </row>
        <row r="463">
          <cell r="A463">
            <v>6</v>
          </cell>
          <cell r="B463">
            <v>37930</v>
          </cell>
          <cell r="C463">
            <v>8</v>
          </cell>
          <cell r="D463" t="str">
            <v>Cty Xi Maêng Haø Tieân II</v>
          </cell>
          <cell r="E463" t="str">
            <v>710A.00091</v>
          </cell>
          <cell r="F463" t="str">
            <v>Coâng Thöông</v>
          </cell>
          <cell r="G463" t="str">
            <v>Kieân Giang</v>
          </cell>
          <cell r="H463" t="str">
            <v>Traû tieàn mua xi maêng 250taán</v>
          </cell>
          <cell r="I463">
            <v>200200000</v>
          </cell>
        </row>
        <row r="464">
          <cell r="A464">
            <v>3</v>
          </cell>
          <cell r="B464">
            <v>37930</v>
          </cell>
          <cell r="C464">
            <v>66</v>
          </cell>
          <cell r="D464" t="str">
            <v>Cty UNI PRESIDENT</v>
          </cell>
          <cell r="E464" t="str">
            <v>30 98 208</v>
          </cell>
          <cell r="F464" t="str">
            <v>ANZ</v>
          </cell>
          <cell r="G464" t="str">
            <v>Hoà Chí Minh</v>
          </cell>
          <cell r="H464" t="str">
            <v>Traû tieàn mua mì Unif</v>
          </cell>
          <cell r="I464">
            <v>49930695</v>
          </cell>
        </row>
        <row r="465">
          <cell r="A465">
            <v>7</v>
          </cell>
          <cell r="B465">
            <v>37930</v>
          </cell>
          <cell r="C465">
            <v>41</v>
          </cell>
          <cell r="D465" t="str">
            <v>Cty Xi Maêng Nghi Sôn</v>
          </cell>
          <cell r="E465" t="str">
            <v>710A.02772</v>
          </cell>
          <cell r="F465" t="str">
            <v>Coâng Thöông CN 9</v>
          </cell>
          <cell r="G465" t="str">
            <v>Hoà Chí Minh</v>
          </cell>
          <cell r="H465" t="str">
            <v>Traû tieàn mua xi maêng 250taán</v>
          </cell>
          <cell r="I465">
            <v>212500000</v>
          </cell>
        </row>
        <row r="466">
          <cell r="A466">
            <v>4</v>
          </cell>
          <cell r="B466">
            <v>37932</v>
          </cell>
          <cell r="C466">
            <v>31</v>
          </cell>
          <cell r="D466" t="str">
            <v>Cty Daàu Aên Golden Hope - Nhaø Beø</v>
          </cell>
          <cell r="E466" t="str">
            <v>710A.06902</v>
          </cell>
          <cell r="F466" t="str">
            <v>Sôû Giao Dòch II CTVN</v>
          </cell>
          <cell r="G466" t="str">
            <v>Hoà Chí Minh</v>
          </cell>
          <cell r="H466" t="str">
            <v>Traû tieàn mua daàu xaù</v>
          </cell>
          <cell r="I466">
            <v>42116250</v>
          </cell>
        </row>
        <row r="467">
          <cell r="A467">
            <v>5</v>
          </cell>
          <cell r="B467">
            <v>37932</v>
          </cell>
          <cell r="C467">
            <v>73</v>
          </cell>
          <cell r="D467" t="str">
            <v>Cty. TNHH SX.TM.HMP Myõ Haûo</v>
          </cell>
          <cell r="E467" t="str">
            <v>007.100.002.4148</v>
          </cell>
          <cell r="F467" t="str">
            <v>Ngoaïi Thöông</v>
          </cell>
          <cell r="G467" t="str">
            <v>Hoà Chí Minh</v>
          </cell>
          <cell r="H467" t="str">
            <v>Traû tieàn mua nöôùc röûa cheùn (TT.BL)</v>
          </cell>
          <cell r="I467">
            <v>30779697</v>
          </cell>
        </row>
        <row r="468">
          <cell r="A468">
            <v>6</v>
          </cell>
          <cell r="B468">
            <v>37935</v>
          </cell>
          <cell r="C468">
            <v>73</v>
          </cell>
          <cell r="D468" t="str">
            <v>Cty. TNHH SX.TM.HMP Myõ Haûo</v>
          </cell>
          <cell r="E468" t="str">
            <v>007.100.002.4148</v>
          </cell>
          <cell r="F468" t="str">
            <v>Ngoaïi Thöông</v>
          </cell>
          <cell r="G468" t="str">
            <v>Hoà Chí Minh</v>
          </cell>
          <cell r="H468" t="str">
            <v>Traû tieàn mua nöôùc röûa cheùn (TT.BL)</v>
          </cell>
          <cell r="I468">
            <v>61835435</v>
          </cell>
        </row>
        <row r="469">
          <cell r="A469">
            <v>7</v>
          </cell>
          <cell r="B469">
            <v>37935</v>
          </cell>
          <cell r="C469">
            <v>31</v>
          </cell>
          <cell r="D469" t="str">
            <v>Cty Daàu Aên Golden Hope - Nhaø Beø</v>
          </cell>
          <cell r="E469" t="str">
            <v>710A.06902</v>
          </cell>
          <cell r="F469" t="str">
            <v>Sôû Giao Dòch II CTVN</v>
          </cell>
          <cell r="G469" t="str">
            <v>Hoà Chí Minh</v>
          </cell>
          <cell r="H469" t="str">
            <v>Traû tieàn mua daàu xaù</v>
          </cell>
          <cell r="I469">
            <v>57529800</v>
          </cell>
        </row>
        <row r="470">
          <cell r="A470">
            <v>8</v>
          </cell>
          <cell r="B470">
            <v>37935</v>
          </cell>
          <cell r="C470">
            <v>77</v>
          </cell>
          <cell r="D470" t="str">
            <v>Cty Ñieän &amp; Ñieän Töû SAMSUNG VINA</v>
          </cell>
          <cell r="E470" t="str">
            <v>710A.01109</v>
          </cell>
          <cell r="F470" t="str">
            <v>Coâng Thöông CN 4</v>
          </cell>
          <cell r="G470" t="str">
            <v>Hoà Chí Minh</v>
          </cell>
          <cell r="H470" t="str">
            <v>Traû tieàn mua tivi samsung</v>
          </cell>
          <cell r="I470">
            <v>18008951</v>
          </cell>
        </row>
        <row r="471">
          <cell r="A471">
            <v>9</v>
          </cell>
          <cell r="B471">
            <v>37935</v>
          </cell>
          <cell r="C471">
            <v>95</v>
          </cell>
          <cell r="D471" t="str">
            <v>Cty Deät May Thaønh Coâng - CN MieànTaây</v>
          </cell>
          <cell r="E471" t="str">
            <v>73012209E</v>
          </cell>
          <cell r="F471" t="str">
            <v>Ñaàu Tö &amp; Phaùt Trieån</v>
          </cell>
          <cell r="G471" t="str">
            <v>Caàn Thô</v>
          </cell>
          <cell r="H471" t="str">
            <v>Traû tieàn mua haøng may maëc saün</v>
          </cell>
          <cell r="I471">
            <v>8543265</v>
          </cell>
        </row>
        <row r="472">
          <cell r="A472">
            <v>8</v>
          </cell>
          <cell r="B472">
            <v>37935</v>
          </cell>
          <cell r="C472">
            <v>8</v>
          </cell>
          <cell r="D472" t="str">
            <v>Cty Xi Maêng Haø Tieân II</v>
          </cell>
          <cell r="E472" t="str">
            <v>710A.00091</v>
          </cell>
          <cell r="F472" t="str">
            <v>Coâng Thöông</v>
          </cell>
          <cell r="G472" t="str">
            <v>Kieân Giang</v>
          </cell>
          <cell r="H472" t="str">
            <v>Traû tieàn mua xi maêng 300taán</v>
          </cell>
          <cell r="I472">
            <v>240240000</v>
          </cell>
        </row>
        <row r="473">
          <cell r="A473">
            <v>9</v>
          </cell>
          <cell r="B473">
            <v>37935</v>
          </cell>
          <cell r="C473">
            <v>21</v>
          </cell>
          <cell r="D473" t="str">
            <v>Cty Coå Phaàn Vaät Tö  Haäu Giang</v>
          </cell>
          <cell r="E473" t="str">
            <v>710A.00040</v>
          </cell>
          <cell r="F473" t="str">
            <v>Coâng Thöông</v>
          </cell>
          <cell r="G473" t="str">
            <v>Caàn Thô</v>
          </cell>
          <cell r="H473" t="str">
            <v>Traû tieàn mua gaz</v>
          </cell>
          <cell r="I473">
            <v>55860000</v>
          </cell>
        </row>
        <row r="474">
          <cell r="A474">
            <v>10</v>
          </cell>
          <cell r="B474">
            <v>37935</v>
          </cell>
          <cell r="C474">
            <v>17</v>
          </cell>
          <cell r="D474" t="str">
            <v>Cty Daàu Khí -TP/HCM (Saøi Goøn Petro)</v>
          </cell>
          <cell r="E474" t="str">
            <v>007.1.00.000661.6</v>
          </cell>
          <cell r="F474" t="str">
            <v>Ngoaïi Thöông</v>
          </cell>
          <cell r="G474" t="str">
            <v>Hoà Chí Minh</v>
          </cell>
          <cell r="H474" t="str">
            <v>Traû tieàn mua xaêng daàu</v>
          </cell>
          <cell r="I474">
            <v>586000000</v>
          </cell>
        </row>
        <row r="475">
          <cell r="A475">
            <v>11</v>
          </cell>
          <cell r="B475">
            <v>37935</v>
          </cell>
          <cell r="C475">
            <v>4</v>
          </cell>
          <cell r="D475" t="str">
            <v>Cty TMKT &amp; Ñaàu Tö PETEC</v>
          </cell>
          <cell r="E475" t="str">
            <v>710A.09566</v>
          </cell>
          <cell r="F475" t="str">
            <v>Sôû Giao Dòch II  CTVN</v>
          </cell>
          <cell r="G475" t="str">
            <v>Hoà Chí Minh</v>
          </cell>
          <cell r="H475" t="str">
            <v>Traû tieàn mua xaêng daàu</v>
          </cell>
          <cell r="I475">
            <v>2573000000</v>
          </cell>
        </row>
        <row r="476">
          <cell r="A476">
            <v>12</v>
          </cell>
          <cell r="B476">
            <v>37935</v>
          </cell>
          <cell r="C476">
            <v>4</v>
          </cell>
          <cell r="D476" t="str">
            <v>Cty TMKT &amp; Ñaàu Tö PETEC</v>
          </cell>
          <cell r="E476" t="str">
            <v>710A.09566</v>
          </cell>
          <cell r="F476" t="str">
            <v>Sôû Giao Dòch II  CTVN</v>
          </cell>
          <cell r="G476" t="str">
            <v>Hoà Chí Minh</v>
          </cell>
          <cell r="H476" t="str">
            <v>Traû tieàn mua xaêng daàu</v>
          </cell>
          <cell r="I476">
            <v>996000000</v>
          </cell>
        </row>
        <row r="477">
          <cell r="A477">
            <v>13</v>
          </cell>
          <cell r="B477">
            <v>37936</v>
          </cell>
          <cell r="C477">
            <v>36</v>
          </cell>
          <cell r="D477" t="str">
            <v>XN Xaêng Daàu Daàu Khí Vuõng Taøu</v>
          </cell>
          <cell r="E477" t="str">
            <v>710D.00343</v>
          </cell>
          <cell r="F477" t="str">
            <v>Coâng Thöông</v>
          </cell>
          <cell r="G477" t="str">
            <v>Baø Ròa-Vuõng Taøu</v>
          </cell>
          <cell r="H477" t="str">
            <v>Traû tieàn mua xaêng daàu</v>
          </cell>
          <cell r="I477">
            <v>5692000000</v>
          </cell>
        </row>
        <row r="478">
          <cell r="A478">
            <v>14</v>
          </cell>
          <cell r="B478">
            <v>37936</v>
          </cell>
          <cell r="C478">
            <v>10</v>
          </cell>
          <cell r="D478" t="str">
            <v>Cty TNHH Daàu Nhôùt vaø Hoùa Chaát VN</v>
          </cell>
          <cell r="E478" t="str">
            <v>001.004837.041</v>
          </cell>
          <cell r="F478" t="str">
            <v>Hoàng Kong&amp; Thöôïng Haûi</v>
          </cell>
          <cell r="G478" t="str">
            <v>Hoà Chí Minh</v>
          </cell>
          <cell r="H478" t="str">
            <v>Traû tieàn mua nhôùt</v>
          </cell>
          <cell r="I478">
            <v>490840000</v>
          </cell>
        </row>
        <row r="479">
          <cell r="A479">
            <v>15</v>
          </cell>
          <cell r="B479">
            <v>37936</v>
          </cell>
          <cell r="C479">
            <v>28</v>
          </cell>
          <cell r="D479" t="str">
            <v>Chi Nhaùnh Cty CP Söõa VN Taïi Caàn Thô</v>
          </cell>
          <cell r="E479" t="str">
            <v>7301.0479K</v>
          </cell>
          <cell r="F479" t="str">
            <v>Ñaàu Tö &amp; Phaùt Trieån</v>
          </cell>
          <cell r="G479" t="str">
            <v>Caàn Thô</v>
          </cell>
          <cell r="H479" t="str">
            <v>Traû tieân mua söõa hoäp caùc loaïi</v>
          </cell>
          <cell r="I479">
            <v>341238940</v>
          </cell>
        </row>
        <row r="480">
          <cell r="A480">
            <v>15</v>
          </cell>
          <cell r="B480">
            <v>37937</v>
          </cell>
          <cell r="C480">
            <v>1</v>
          </cell>
          <cell r="D480" t="str">
            <v>Nhaø Maùy Thuoác Laù Saøi Goøn</v>
          </cell>
          <cell r="E480" t="str">
            <v>710A.00105</v>
          </cell>
          <cell r="F480" t="str">
            <v>Sôû Giao Dòch II CTVN</v>
          </cell>
          <cell r="G480" t="str">
            <v>Hoà Chí Minh</v>
          </cell>
          <cell r="H480" t="str">
            <v>Traû tieàn mua thuoác la'</v>
          </cell>
          <cell r="I480">
            <v>219300000</v>
          </cell>
        </row>
        <row r="481">
          <cell r="A481">
            <v>16</v>
          </cell>
          <cell r="B481">
            <v>37938</v>
          </cell>
          <cell r="C481">
            <v>8</v>
          </cell>
          <cell r="D481" t="str">
            <v>Cty Xi Maêng Haø Tieân II</v>
          </cell>
          <cell r="E481" t="str">
            <v>710A.00091</v>
          </cell>
          <cell r="F481" t="str">
            <v>Coâng Thöông</v>
          </cell>
          <cell r="G481" t="str">
            <v>Kieân Giang</v>
          </cell>
          <cell r="H481" t="str">
            <v>Traû tieàn mua xi maêng 250taán</v>
          </cell>
          <cell r="I481">
            <v>200200000</v>
          </cell>
        </row>
        <row r="482">
          <cell r="A482">
            <v>17</v>
          </cell>
          <cell r="B482">
            <v>37938</v>
          </cell>
          <cell r="C482">
            <v>5</v>
          </cell>
          <cell r="D482" t="str">
            <v>Cty TNHH TMaïi Thaønh Long</v>
          </cell>
          <cell r="E482" t="str">
            <v>710A.00817</v>
          </cell>
          <cell r="F482" t="str">
            <v>Coâng Thöong CN6</v>
          </cell>
          <cell r="G482" t="str">
            <v>Hoà Chí Minh</v>
          </cell>
          <cell r="H482" t="str">
            <v>Traû tieàn mua boät ngoït</v>
          </cell>
          <cell r="I482">
            <v>413286047</v>
          </cell>
        </row>
        <row r="483">
          <cell r="A483">
            <v>19</v>
          </cell>
          <cell r="B483">
            <v>37942</v>
          </cell>
          <cell r="C483">
            <v>98</v>
          </cell>
          <cell r="D483" t="str">
            <v>CTy Lieân Doanh Xi Maêng Haø Tieân II-Caàn Thô</v>
          </cell>
          <cell r="E483" t="str">
            <v>710A.56157</v>
          </cell>
          <cell r="F483" t="str">
            <v>Coâng Thöông</v>
          </cell>
          <cell r="G483" t="str">
            <v>Caàn Thô</v>
          </cell>
          <cell r="H483" t="str">
            <v>Traû tieàn mua xi maêng</v>
          </cell>
          <cell r="I483">
            <v>169555000</v>
          </cell>
        </row>
        <row r="484">
          <cell r="A484">
            <v>11</v>
          </cell>
          <cell r="B484">
            <v>37942</v>
          </cell>
          <cell r="C484">
            <v>79</v>
          </cell>
          <cell r="D484" t="str">
            <v>Doanh Nghiệp Tư Nhaân Minh Nghi</v>
          </cell>
          <cell r="E484" t="str">
            <v>540H.00075</v>
          </cell>
          <cell r="F484" t="str">
            <v>T.M.C.P SG Coâng Thöông CN Bình Chaùnh</v>
          </cell>
          <cell r="G484" t="str">
            <v>Hoà Chí Minh</v>
          </cell>
          <cell r="H484" t="str">
            <v>Traû tieàn mua boät ngoït</v>
          </cell>
          <cell r="I484">
            <v>9936679</v>
          </cell>
        </row>
        <row r="485">
          <cell r="A485">
            <v>20</v>
          </cell>
          <cell r="B485">
            <v>37942</v>
          </cell>
          <cell r="C485">
            <v>101</v>
          </cell>
          <cell r="D485" t="str">
            <v>Cty TMKT &amp; Ñaàu Tö PETEC</v>
          </cell>
          <cell r="E485" t="str">
            <v>1003227 05 2</v>
          </cell>
          <cell r="F485" t="str">
            <v>Deutsche Bank</v>
          </cell>
          <cell r="G485" t="str">
            <v>Hoà Chí Minh</v>
          </cell>
          <cell r="H485" t="str">
            <v xml:space="preserve">Traû tieàn mua xaêng daàu </v>
          </cell>
          <cell r="I485">
            <v>5147000000</v>
          </cell>
        </row>
        <row r="486">
          <cell r="A486">
            <v>12</v>
          </cell>
          <cell r="B486">
            <v>37942</v>
          </cell>
          <cell r="C486">
            <v>83</v>
          </cell>
          <cell r="D486" t="str">
            <v>CTy TNHH TM TH Thuaän Taân</v>
          </cell>
          <cell r="E486" t="str">
            <v>007.100.110.1337</v>
          </cell>
          <cell r="F486" t="str">
            <v>Ngoaïi Thöông</v>
          </cell>
          <cell r="G486" t="str">
            <v>Hoà Chí Minh</v>
          </cell>
          <cell r="H486" t="str">
            <v>Traû tieàn mua haøng ñieän maùy</v>
          </cell>
          <cell r="I486">
            <v>25976500</v>
          </cell>
        </row>
        <row r="487">
          <cell r="A487">
            <v>20</v>
          </cell>
          <cell r="B487">
            <v>37942</v>
          </cell>
          <cell r="C487">
            <v>101</v>
          </cell>
          <cell r="D487" t="str">
            <v>Cty TMKT &amp; Ñaàu Tö PETEC</v>
          </cell>
          <cell r="E487" t="str">
            <v>1003227 05 2</v>
          </cell>
          <cell r="F487" t="str">
            <v>Deutsche Bank</v>
          </cell>
          <cell r="G487" t="str">
            <v>Hoà Chí Minh</v>
          </cell>
          <cell r="H487" t="str">
            <v xml:space="preserve">Traû tieàn mua xaêng daàu </v>
          </cell>
          <cell r="I487">
            <v>5147000000</v>
          </cell>
        </row>
        <row r="488">
          <cell r="A488">
            <v>13</v>
          </cell>
          <cell r="B488">
            <v>37943</v>
          </cell>
          <cell r="C488">
            <v>28</v>
          </cell>
          <cell r="D488" t="str">
            <v>Chi Nhaùnh Cty CP Söõa VN Taïi Caàn Thô</v>
          </cell>
          <cell r="E488" t="str">
            <v>7301.0479K</v>
          </cell>
          <cell r="F488" t="str">
            <v>Ñaàu Tö &amp; Phaùt Trieån</v>
          </cell>
          <cell r="G488" t="str">
            <v>Caàn Thô</v>
          </cell>
          <cell r="H488" t="str">
            <v>Traû tieân mua söõa hoäp caùc loaïi</v>
          </cell>
          <cell r="I488">
            <v>449082873</v>
          </cell>
        </row>
        <row r="489">
          <cell r="A489">
            <v>21</v>
          </cell>
          <cell r="B489">
            <v>37943</v>
          </cell>
          <cell r="C489">
            <v>8</v>
          </cell>
          <cell r="D489" t="str">
            <v>Cty Xi Maêng Haø Tieân II</v>
          </cell>
          <cell r="E489" t="str">
            <v>710A.00091</v>
          </cell>
          <cell r="F489" t="str">
            <v>Coâng Thöông</v>
          </cell>
          <cell r="G489" t="str">
            <v>Kieân Giang</v>
          </cell>
          <cell r="H489" t="str">
            <v>Traû tieàn mua xi maêng 200taán</v>
          </cell>
          <cell r="I489">
            <v>156970000</v>
          </cell>
        </row>
        <row r="490">
          <cell r="A490">
            <v>22</v>
          </cell>
          <cell r="B490">
            <v>37944</v>
          </cell>
          <cell r="C490">
            <v>14</v>
          </cell>
          <cell r="D490" t="str">
            <v>Coâng Ty Theùp Mieàn Nam</v>
          </cell>
          <cell r="E490" t="str">
            <v>710A.01611</v>
          </cell>
          <cell r="F490" t="str">
            <v>Coâng Thöông CN I</v>
          </cell>
          <cell r="G490" t="str">
            <v>Hoà Chí Minh</v>
          </cell>
          <cell r="H490" t="str">
            <v>Traû tieàn mua haøng cho CN Theùp Mieàn Nam taïi Caàn Thô</v>
          </cell>
          <cell r="I490">
            <v>233748271</v>
          </cell>
        </row>
        <row r="491">
          <cell r="A491">
            <v>14</v>
          </cell>
          <cell r="B491">
            <v>37944</v>
          </cell>
          <cell r="C491">
            <v>73</v>
          </cell>
          <cell r="D491" t="str">
            <v>Cty. TNHH SX.TM.HMP Myõ Haûo</v>
          </cell>
          <cell r="E491" t="str">
            <v>007.100.002.4148</v>
          </cell>
          <cell r="F491" t="str">
            <v>Ngoaïi Thöông</v>
          </cell>
          <cell r="G491" t="str">
            <v>Hoà Chí Minh</v>
          </cell>
          <cell r="H491" t="str">
            <v>Traû tieàn mua nöôùc röûa cheùn (TT.BL)</v>
          </cell>
          <cell r="I491">
            <v>31204570</v>
          </cell>
        </row>
        <row r="492">
          <cell r="A492">
            <v>15</v>
          </cell>
          <cell r="B492">
            <v>37944</v>
          </cell>
          <cell r="C492">
            <v>31</v>
          </cell>
          <cell r="D492" t="str">
            <v>Cty Daàu Aên Golden Hope - Nhaø Beø</v>
          </cell>
          <cell r="E492" t="str">
            <v>710A.06902</v>
          </cell>
          <cell r="F492" t="str">
            <v>Sôû Giao Dòch II CTVN</v>
          </cell>
          <cell r="G492" t="str">
            <v>Hoà Chí Minh</v>
          </cell>
          <cell r="H492" t="str">
            <v>Traû tieàn mua daàu(TT.TN.BL)</v>
          </cell>
          <cell r="I492">
            <v>155201556</v>
          </cell>
        </row>
        <row r="493">
          <cell r="A493">
            <v>16</v>
          </cell>
          <cell r="B493">
            <v>37944</v>
          </cell>
          <cell r="C493">
            <v>44</v>
          </cell>
          <cell r="D493" t="str">
            <v>CTy Ñieän Baùo Ñieän Thoaïi Baïc Lieâu</v>
          </cell>
          <cell r="E493" t="str">
            <v>710A.00074</v>
          </cell>
          <cell r="F493" t="str">
            <v xml:space="preserve">Coâng Thöông </v>
          </cell>
          <cell r="G493" t="str">
            <v>Baïc Lieâu</v>
          </cell>
          <cell r="H493" t="str">
            <v>Traû tieàn ñieän thoaïi thaùng 10/2003</v>
          </cell>
          <cell r="I493">
            <v>8878411</v>
          </cell>
        </row>
        <row r="494">
          <cell r="A494">
            <v>23</v>
          </cell>
          <cell r="B494">
            <v>37944</v>
          </cell>
          <cell r="C494">
            <v>94</v>
          </cell>
          <cell r="D494" t="str">
            <v>CTy TNHH SX Taân AÙ Chaâu</v>
          </cell>
          <cell r="E494" t="str">
            <v>710A.01969</v>
          </cell>
          <cell r="F494" t="str">
            <v>Coâng Thöông CN 9</v>
          </cell>
          <cell r="G494" t="str">
            <v>Hoà Chí Minh</v>
          </cell>
          <cell r="H494" t="str">
            <v>Traû tieàn mua chaùo Bình Tieân</v>
          </cell>
          <cell r="I494">
            <v>17808000</v>
          </cell>
        </row>
        <row r="495">
          <cell r="A495">
            <v>24</v>
          </cell>
          <cell r="B495">
            <v>37944</v>
          </cell>
          <cell r="C495">
            <v>98</v>
          </cell>
          <cell r="D495" t="str">
            <v>CTy Lieân Doanh Xi Maêng Haø Tieân II-Caàn Thô</v>
          </cell>
          <cell r="E495" t="str">
            <v>710A.56157</v>
          </cell>
          <cell r="F495" t="str">
            <v>Coâng Thöông</v>
          </cell>
          <cell r="G495" t="str">
            <v>Caàn Thô</v>
          </cell>
          <cell r="H495" t="str">
            <v>Traû tieàn mua xi maêng</v>
          </cell>
          <cell r="I495">
            <v>160800000</v>
          </cell>
        </row>
        <row r="496">
          <cell r="A496">
            <v>17</v>
          </cell>
          <cell r="B496">
            <v>37945</v>
          </cell>
          <cell r="C496">
            <v>27</v>
          </cell>
          <cell r="D496" t="str">
            <v>Cty TNHH Quoác Teá Nagarjuna</v>
          </cell>
          <cell r="E496" t="str">
            <v>3586.1</v>
          </cell>
          <cell r="F496" t="str">
            <v>INDOVINA</v>
          </cell>
          <cell r="G496" t="str">
            <v>Hoà Chí Minh</v>
          </cell>
          <cell r="H496" t="str">
            <v>Traû tieàn mua ñöôøng</v>
          </cell>
          <cell r="I496">
            <v>63000000</v>
          </cell>
        </row>
        <row r="497">
          <cell r="A497">
            <v>18</v>
          </cell>
          <cell r="B497">
            <v>37946</v>
          </cell>
          <cell r="C497">
            <v>99</v>
          </cell>
          <cell r="D497" t="str">
            <v xml:space="preserve">Löu Thò Myõ Phöôïng (CTyTNHH Taân Thaùi Thònh) </v>
          </cell>
          <cell r="E497" t="str">
            <v>2656329</v>
          </cell>
          <cell r="F497" t="str">
            <v>AÙ Chaâu</v>
          </cell>
          <cell r="G497" t="str">
            <v>Hoà Chí Minh</v>
          </cell>
          <cell r="H497" t="str">
            <v>Traû tieàn mua nöôùc ngoït</v>
          </cell>
          <cell r="I497">
            <v>92700791</v>
          </cell>
        </row>
        <row r="498">
          <cell r="A498">
            <v>25</v>
          </cell>
          <cell r="B498">
            <v>37946</v>
          </cell>
          <cell r="C498">
            <v>5</v>
          </cell>
          <cell r="D498" t="str">
            <v>Cty TNHH TMaïi Thaønh Long</v>
          </cell>
          <cell r="E498" t="str">
            <v>710A.00817</v>
          </cell>
          <cell r="F498" t="str">
            <v>Coâng Thöong CN6</v>
          </cell>
          <cell r="G498" t="str">
            <v>Hoà Chí Minh</v>
          </cell>
          <cell r="H498" t="str">
            <v>Traû tieàn mua boät ngoït</v>
          </cell>
          <cell r="I498">
            <v>326578048</v>
          </cell>
        </row>
        <row r="499">
          <cell r="A499">
            <v>26</v>
          </cell>
          <cell r="B499">
            <v>37946</v>
          </cell>
          <cell r="C499">
            <v>8</v>
          </cell>
          <cell r="D499" t="str">
            <v>Cty Xi Maêng Haø Tieân II</v>
          </cell>
          <cell r="E499" t="str">
            <v>710A.00091</v>
          </cell>
          <cell r="F499" t="str">
            <v>Coâng Thöông</v>
          </cell>
          <cell r="G499" t="str">
            <v>Kieân Giang</v>
          </cell>
          <cell r="H499" t="str">
            <v>Traû tieàn mua xi maêng 250taán</v>
          </cell>
          <cell r="I499">
            <v>196212500</v>
          </cell>
        </row>
        <row r="500">
          <cell r="A500">
            <v>19</v>
          </cell>
          <cell r="B500">
            <v>37946</v>
          </cell>
          <cell r="C500">
            <v>7</v>
          </cell>
          <cell r="D500" t="str">
            <v>Xí Nghieäp Colusa-Miliket</v>
          </cell>
          <cell r="E500" t="str">
            <v>314.100.00000052</v>
          </cell>
          <cell r="F500" t="str">
            <v>Ñaàu Tö &amp; Phaùt Trieån CN Thuû Ñöùc</v>
          </cell>
          <cell r="G500" t="str">
            <v>Hoà Chí Minh</v>
          </cell>
          <cell r="H500" t="str">
            <v>Traû tieàn mua mì Colusa</v>
          </cell>
          <cell r="I500">
            <v>121061710</v>
          </cell>
        </row>
        <row r="501">
          <cell r="A501">
            <v>20</v>
          </cell>
          <cell r="B501">
            <v>37949</v>
          </cell>
          <cell r="C501">
            <v>101</v>
          </cell>
          <cell r="D501" t="str">
            <v>Cty TMKT &amp; Ñaàu Tö PETEC</v>
          </cell>
          <cell r="E501" t="str">
            <v>1003227 05 2</v>
          </cell>
          <cell r="F501" t="str">
            <v>Deutsche Bank</v>
          </cell>
          <cell r="G501" t="str">
            <v>Hoà Chí Minh</v>
          </cell>
          <cell r="H501" t="str">
            <v xml:space="preserve">Traû tieàn mua xaêng daàu </v>
          </cell>
          <cell r="I501">
            <v>1600000000</v>
          </cell>
        </row>
        <row r="502">
          <cell r="A502">
            <v>21</v>
          </cell>
          <cell r="B502">
            <v>37949</v>
          </cell>
          <cell r="C502">
            <v>41</v>
          </cell>
          <cell r="D502" t="str">
            <v>Cty Xi Maêng Nghi Sôn</v>
          </cell>
          <cell r="E502" t="str">
            <v>710A.02772</v>
          </cell>
          <cell r="F502" t="str">
            <v>Coâng Thöông CN 9</v>
          </cell>
          <cell r="G502" t="str">
            <v>Hoà Chí Minh</v>
          </cell>
          <cell r="H502" t="str">
            <v>Traû tieàn mua xi maêng 300taán</v>
          </cell>
          <cell r="I502">
            <v>255000000</v>
          </cell>
        </row>
        <row r="503">
          <cell r="A503">
            <v>22</v>
          </cell>
          <cell r="B503">
            <v>37951</v>
          </cell>
          <cell r="C503">
            <v>5</v>
          </cell>
          <cell r="D503" t="str">
            <v>Cty TNHH TMaïi Thaønh Long</v>
          </cell>
          <cell r="E503" t="str">
            <v>710A.00817</v>
          </cell>
          <cell r="F503" t="str">
            <v>Coâng Thöong CN6</v>
          </cell>
          <cell r="G503" t="str">
            <v>Hoà Chí Minh</v>
          </cell>
          <cell r="H503" t="str">
            <v>Traû tieàn mua boät ngoït</v>
          </cell>
          <cell r="I503">
            <v>309858220</v>
          </cell>
        </row>
        <row r="504">
          <cell r="A504">
            <v>23</v>
          </cell>
          <cell r="B504">
            <v>37951</v>
          </cell>
          <cell r="C504">
            <v>9</v>
          </cell>
          <cell r="D504" t="str">
            <v>Castrol Vieät Nam Ltd</v>
          </cell>
          <cell r="E504" t="str">
            <v>007.1.00.002804.1</v>
          </cell>
          <cell r="F504" t="str">
            <v>Ngoaïi Thöông</v>
          </cell>
          <cell r="G504" t="str">
            <v>Hoà Chí Minh</v>
          </cell>
          <cell r="H504" t="str">
            <v>Traû tieàn mua nhôùt</v>
          </cell>
          <cell r="I504">
            <v>182341071</v>
          </cell>
        </row>
        <row r="505">
          <cell r="A505">
            <v>24</v>
          </cell>
          <cell r="B505">
            <v>37951</v>
          </cell>
          <cell r="C505">
            <v>22</v>
          </cell>
          <cell r="D505" t="str">
            <v>Cty Deät Long An</v>
          </cell>
          <cell r="E505" t="str">
            <v>710A.10001</v>
          </cell>
          <cell r="F505" t="str">
            <v>Coâng Thöông</v>
          </cell>
          <cell r="G505" t="str">
            <v>Long An</v>
          </cell>
          <cell r="H505" t="str">
            <v>Traû tieàn mua haøng may maëc Long An</v>
          </cell>
          <cell r="I505">
            <v>18798780</v>
          </cell>
        </row>
        <row r="506">
          <cell r="A506">
            <v>25</v>
          </cell>
          <cell r="B506">
            <v>37951</v>
          </cell>
          <cell r="C506">
            <v>27</v>
          </cell>
          <cell r="D506" t="str">
            <v>Cty TNHH Quoác Teá Nagarjuna</v>
          </cell>
          <cell r="E506" t="str">
            <v>3586.1</v>
          </cell>
          <cell r="F506" t="str">
            <v>INDOVINA</v>
          </cell>
          <cell r="G506" t="str">
            <v>Hoà Chí Minh</v>
          </cell>
          <cell r="H506" t="str">
            <v>Traû tieàn mua ñöôøng</v>
          </cell>
          <cell r="I506">
            <v>63350000</v>
          </cell>
        </row>
        <row r="507">
          <cell r="A507">
            <v>26</v>
          </cell>
          <cell r="B507">
            <v>37951</v>
          </cell>
          <cell r="C507">
            <v>66</v>
          </cell>
          <cell r="D507" t="str">
            <v>Cty UNI PRESIDENT</v>
          </cell>
          <cell r="E507" t="str">
            <v>30 98 208</v>
          </cell>
          <cell r="F507" t="str">
            <v>ANZ</v>
          </cell>
          <cell r="G507" t="str">
            <v>Hoà Chí Minh</v>
          </cell>
          <cell r="H507" t="str">
            <v>Traû tieàn mì Unif</v>
          </cell>
          <cell r="I507">
            <v>87952452</v>
          </cell>
        </row>
        <row r="508">
          <cell r="A508">
            <v>27</v>
          </cell>
          <cell r="B508">
            <v>37951</v>
          </cell>
          <cell r="C508">
            <v>28</v>
          </cell>
          <cell r="D508" t="str">
            <v>Chi Nhaùnh Cty CP Söõa VN Taïi Caàn Thô</v>
          </cell>
          <cell r="E508" t="str">
            <v>7301.0479K</v>
          </cell>
          <cell r="F508" t="str">
            <v>Ñaàu Tö &amp; Phaùt Trieån</v>
          </cell>
          <cell r="G508" t="str">
            <v>Caàn Thô</v>
          </cell>
          <cell r="H508" t="str">
            <v>Traû tieân mua söõa hoäp caùc loaïi</v>
          </cell>
          <cell r="I508">
            <v>430800412</v>
          </cell>
        </row>
        <row r="509">
          <cell r="A509">
            <v>28</v>
          </cell>
          <cell r="B509">
            <v>37952</v>
          </cell>
          <cell r="C509">
            <v>80</v>
          </cell>
          <cell r="D509" t="str">
            <v>Chi Nhaùnh Cty TNHH AÉC-QUY GS VN</v>
          </cell>
          <cell r="E509" t="str">
            <v>007.100.075318.7</v>
          </cell>
          <cell r="F509" t="str">
            <v>Ngoaïi Thöông</v>
          </cell>
          <cell r="G509" t="str">
            <v>Hoà Chí Minh</v>
          </cell>
          <cell r="H509" t="str">
            <v>Traû tieàn mua bình aéc quy</v>
          </cell>
          <cell r="I509">
            <v>26515500</v>
          </cell>
        </row>
        <row r="510">
          <cell r="A510">
            <v>27</v>
          </cell>
          <cell r="B510">
            <v>37952</v>
          </cell>
          <cell r="C510">
            <v>36</v>
          </cell>
          <cell r="D510" t="str">
            <v>XN Xaêng Daàu Daàu Khí Vuõng Taøu</v>
          </cell>
          <cell r="E510" t="str">
            <v>710D.00343</v>
          </cell>
          <cell r="F510" t="str">
            <v>Coâng Thöông</v>
          </cell>
          <cell r="G510" t="str">
            <v>Baø Ròa-Vuõng Taøu</v>
          </cell>
          <cell r="H510" t="str">
            <v xml:space="preserve">Traû tieàn mua xaêng daàu </v>
          </cell>
          <cell r="I510">
            <v>1222000000</v>
          </cell>
        </row>
        <row r="511">
          <cell r="A511">
            <v>29</v>
          </cell>
          <cell r="B511">
            <v>37952</v>
          </cell>
          <cell r="C511">
            <v>73</v>
          </cell>
          <cell r="D511" t="str">
            <v>Cty. TNHH SX.TM.HMP Myõ Haûo</v>
          </cell>
          <cell r="E511" t="str">
            <v>007.100.002.4148</v>
          </cell>
          <cell r="F511" t="str">
            <v>Ngoaïi Thöông</v>
          </cell>
          <cell r="G511" t="str">
            <v>Hoà Chí Minh</v>
          </cell>
          <cell r="H511" t="str">
            <v>Traû tieàn mua nöôùc röûa cheùn (TT.BL)</v>
          </cell>
          <cell r="I511">
            <v>18557581</v>
          </cell>
        </row>
        <row r="512">
          <cell r="A512">
            <v>28</v>
          </cell>
          <cell r="B512">
            <v>37952</v>
          </cell>
          <cell r="C512">
            <v>8</v>
          </cell>
          <cell r="D512" t="str">
            <v>Cty Xi Maêng Haø Tieân II</v>
          </cell>
          <cell r="E512" t="str">
            <v>710A.00091</v>
          </cell>
          <cell r="F512" t="str">
            <v>Coâng Thöông</v>
          </cell>
          <cell r="G512" t="str">
            <v>Kieân Giang</v>
          </cell>
          <cell r="H512" t="str">
            <v>Traû tieàn mua xi maêng 75taán</v>
          </cell>
          <cell r="I512">
            <v>58256200</v>
          </cell>
        </row>
        <row r="513">
          <cell r="A513">
            <v>30</v>
          </cell>
          <cell r="B513">
            <v>37952</v>
          </cell>
          <cell r="C513">
            <v>1</v>
          </cell>
          <cell r="D513" t="str">
            <v>Nhaø Maùy Thuoác Laù Saøi Goøn</v>
          </cell>
          <cell r="E513" t="str">
            <v>710A.00105</v>
          </cell>
          <cell r="F513" t="str">
            <v>Sôû Giao Dòch II CTVN</v>
          </cell>
          <cell r="G513" t="str">
            <v>Hoà Chí Minh</v>
          </cell>
          <cell r="H513" t="str">
            <v>Traû tieàn mua thuoác laù</v>
          </cell>
          <cell r="I513">
            <v>214300000</v>
          </cell>
        </row>
        <row r="514">
          <cell r="A514">
            <v>29</v>
          </cell>
          <cell r="B514">
            <v>37952</v>
          </cell>
          <cell r="C514">
            <v>19</v>
          </cell>
          <cell r="D514" t="str">
            <v>Cty LD Khí Ñoát Saøi Goøn (Elf)</v>
          </cell>
          <cell r="E514" t="str">
            <v>100014851025745</v>
          </cell>
          <cell r="F514" t="str">
            <v>Eximbank</v>
          </cell>
          <cell r="G514" t="str">
            <v>Hoà Chí Minh</v>
          </cell>
          <cell r="H514" t="str">
            <v>Traû tieàn mua gas</v>
          </cell>
          <cell r="I514">
            <v>33831916</v>
          </cell>
        </row>
        <row r="515">
          <cell r="A515">
            <v>30</v>
          </cell>
          <cell r="B515">
            <v>37953</v>
          </cell>
          <cell r="C515">
            <v>76</v>
          </cell>
          <cell r="D515" t="str">
            <v>Cty Ñieän &amp; Ñieän Töû TCL Vieät Nam</v>
          </cell>
          <cell r="E515" t="str">
            <v>012.100.0020848</v>
          </cell>
          <cell r="F515" t="str">
            <v>Ngoaïi Thöông</v>
          </cell>
          <cell r="G515" t="str">
            <v>Ñoàng Nai</v>
          </cell>
          <cell r="H515" t="str">
            <v>Traû tieàn mua haøng ñieän maùy</v>
          </cell>
          <cell r="I515">
            <v>19700000</v>
          </cell>
        </row>
        <row r="516">
          <cell r="A516">
            <v>31</v>
          </cell>
          <cell r="B516">
            <v>37953</v>
          </cell>
          <cell r="C516">
            <v>28</v>
          </cell>
          <cell r="D516" t="str">
            <v>Chi Nhaùnh Cty CP Söõa VN Taïi Caàn Thô</v>
          </cell>
          <cell r="E516" t="str">
            <v>7301.0479K</v>
          </cell>
          <cell r="F516" t="str">
            <v>Ñaàu Tö &amp; Phaùt Trieån</v>
          </cell>
          <cell r="G516" t="str">
            <v>Caàn Thô</v>
          </cell>
          <cell r="H516" t="str">
            <v>Traû tieân mua söõa hoäp caùc loaïi</v>
          </cell>
          <cell r="I516">
            <v>239598612</v>
          </cell>
        </row>
        <row r="517">
          <cell r="A517">
            <v>32</v>
          </cell>
          <cell r="B517">
            <v>37953</v>
          </cell>
          <cell r="C517">
            <v>46</v>
          </cell>
          <cell r="D517" t="str">
            <v>CTy MIWON VIETNAM</v>
          </cell>
          <cell r="E517" t="str">
            <v>710A.00183</v>
          </cell>
          <cell r="F517" t="str">
            <v xml:space="preserve">Coâng Thöông </v>
          </cell>
          <cell r="G517" t="str">
            <v>Phuù Thoï</v>
          </cell>
          <cell r="H517" t="str">
            <v>Traû tieân mua boät ngoït</v>
          </cell>
          <cell r="I517">
            <v>129784054</v>
          </cell>
        </row>
        <row r="518">
          <cell r="A518">
            <v>31</v>
          </cell>
          <cell r="B518">
            <v>37953</v>
          </cell>
          <cell r="C518">
            <v>3</v>
          </cell>
          <cell r="D518" t="str">
            <v>Cty Coå Phaàn Boät Giaët Lix</v>
          </cell>
          <cell r="E518" t="str">
            <v>710A.01440</v>
          </cell>
          <cell r="F518" t="str">
            <v>Coâng Thöông CN 14</v>
          </cell>
          <cell r="G518" t="str">
            <v>Hoà Chí Minh</v>
          </cell>
          <cell r="H518" t="str">
            <v>Traû tieàn mua boät giaët</v>
          </cell>
          <cell r="I518">
            <v>400000000</v>
          </cell>
        </row>
        <row r="519">
          <cell r="A519">
            <v>32</v>
          </cell>
          <cell r="B519">
            <v>37953</v>
          </cell>
          <cell r="C519">
            <v>28</v>
          </cell>
          <cell r="D519" t="str">
            <v>Chi Nhaùnh Cty CP Söõa VN Taïi Caàn Thô</v>
          </cell>
          <cell r="E519" t="str">
            <v>7301.0479K</v>
          </cell>
          <cell r="F519" t="str">
            <v>Ñaàu Tö &amp; Phaùt Trieån</v>
          </cell>
          <cell r="G519" t="str">
            <v>Caàn Thô</v>
          </cell>
          <cell r="H519" t="str">
            <v>Traû tieân mua söõa hoäp caùc loaïi</v>
          </cell>
          <cell r="I519">
            <v>97671552</v>
          </cell>
        </row>
        <row r="520">
          <cell r="A520">
            <v>1</v>
          </cell>
          <cell r="B520">
            <v>37956</v>
          </cell>
          <cell r="C520">
            <v>95</v>
          </cell>
          <cell r="D520" t="str">
            <v>Cty Deät May Thaønh Coâng - CN MieànTaây</v>
          </cell>
          <cell r="E520" t="str">
            <v>73012209E</v>
          </cell>
          <cell r="F520" t="str">
            <v>Ñaàu Tö &amp; Phaùt Trieån</v>
          </cell>
          <cell r="G520" t="str">
            <v>Caàn Thô</v>
          </cell>
          <cell r="H520" t="str">
            <v>Traû tieàn mua haøng may maëc</v>
          </cell>
          <cell r="I520">
            <v>6730130</v>
          </cell>
        </row>
        <row r="521">
          <cell r="A521">
            <v>1</v>
          </cell>
          <cell r="B521">
            <v>37956</v>
          </cell>
          <cell r="C521">
            <v>8</v>
          </cell>
          <cell r="D521" t="str">
            <v>Cty Xi Maêng Haø Tieân II</v>
          </cell>
          <cell r="E521" t="str">
            <v>710A.00091</v>
          </cell>
          <cell r="F521" t="str">
            <v>Coâng Thöông</v>
          </cell>
          <cell r="G521" t="str">
            <v>Kieân Giang</v>
          </cell>
          <cell r="H521" t="str">
            <v>Traû tieàn mua xi maêng 350taán</v>
          </cell>
          <cell r="I521">
            <v>280280000</v>
          </cell>
        </row>
        <row r="522">
          <cell r="A522">
            <v>2</v>
          </cell>
          <cell r="B522">
            <v>37956</v>
          </cell>
          <cell r="C522">
            <v>21</v>
          </cell>
          <cell r="D522" t="str">
            <v>Cty Coå Phaàn Vaät Tö  Haäu Giang</v>
          </cell>
          <cell r="E522" t="str">
            <v>710A.00040</v>
          </cell>
          <cell r="F522" t="str">
            <v>Coâng Thöông</v>
          </cell>
          <cell r="G522" t="str">
            <v>Caàn Thô</v>
          </cell>
          <cell r="H522" t="str">
            <v>Traû tieàn mua gas</v>
          </cell>
          <cell r="I522">
            <v>96388000</v>
          </cell>
        </row>
        <row r="523">
          <cell r="A523">
            <v>3</v>
          </cell>
          <cell r="B523">
            <v>37957</v>
          </cell>
          <cell r="C523">
            <v>14</v>
          </cell>
          <cell r="D523" t="str">
            <v>Coâng Ty Theùp Mieàn Nam</v>
          </cell>
          <cell r="E523" t="str">
            <v>710A.01611</v>
          </cell>
          <cell r="F523" t="str">
            <v>Coâng Thöông CN I</v>
          </cell>
          <cell r="G523" t="str">
            <v>Hoà Chí Minh</v>
          </cell>
          <cell r="H523" t="str">
            <v>Traû tieàn mua haøng cho CN Theùp Mieàn Nam taïi Caàn Thô</v>
          </cell>
          <cell r="I523">
            <v>564568431</v>
          </cell>
        </row>
        <row r="524">
          <cell r="A524">
            <v>4</v>
          </cell>
          <cell r="B524">
            <v>37957</v>
          </cell>
          <cell r="C524">
            <v>41</v>
          </cell>
          <cell r="D524" t="str">
            <v>Cty Xi Maêng Nghi Sôn</v>
          </cell>
          <cell r="E524" t="str">
            <v>710A.02772</v>
          </cell>
          <cell r="F524" t="str">
            <v>Coâng Thöông CN 9</v>
          </cell>
          <cell r="G524" t="str">
            <v>Hoà Chí Minh</v>
          </cell>
          <cell r="H524" t="str">
            <v>Traû tieàn mua xi maêng 300taán</v>
          </cell>
          <cell r="I524">
            <v>255000000</v>
          </cell>
        </row>
        <row r="525">
          <cell r="A525">
            <v>5</v>
          </cell>
          <cell r="B525">
            <v>37957</v>
          </cell>
          <cell r="C525">
            <v>3</v>
          </cell>
          <cell r="D525" t="str">
            <v>Cty Coå Phaàn Boät Giaët Lix</v>
          </cell>
          <cell r="E525" t="str">
            <v>710A.01440</v>
          </cell>
          <cell r="F525" t="str">
            <v>Coâng Thöông CN 14</v>
          </cell>
          <cell r="G525" t="str">
            <v>Hoà Chí Minh</v>
          </cell>
          <cell r="H525" t="str">
            <v>Traû tieàn mua boät giaët</v>
          </cell>
          <cell r="I525">
            <v>200000000</v>
          </cell>
        </row>
        <row r="526">
          <cell r="A526">
            <v>6</v>
          </cell>
          <cell r="B526">
            <v>37959</v>
          </cell>
          <cell r="C526">
            <v>8</v>
          </cell>
          <cell r="D526" t="str">
            <v>Cty Xi Maêng Haø Tieân II</v>
          </cell>
          <cell r="E526" t="str">
            <v>710A.00091</v>
          </cell>
          <cell r="F526" t="str">
            <v>Coâng Thöông</v>
          </cell>
          <cell r="G526" t="str">
            <v>Kieân Giang</v>
          </cell>
          <cell r="H526" t="str">
            <v>Traû tieàn mua xi maêng 300taán</v>
          </cell>
          <cell r="I526">
            <v>240240000</v>
          </cell>
        </row>
        <row r="527">
          <cell r="A527">
            <v>7</v>
          </cell>
          <cell r="B527">
            <v>37959</v>
          </cell>
          <cell r="C527">
            <v>5</v>
          </cell>
          <cell r="D527" t="str">
            <v>Cty TNHH TMaïi Thaønh Long</v>
          </cell>
          <cell r="E527" t="str">
            <v>710A.00817</v>
          </cell>
          <cell r="F527" t="str">
            <v>Coâng Thöong CN6</v>
          </cell>
          <cell r="G527" t="str">
            <v>Hoà Chí Minh</v>
          </cell>
          <cell r="H527" t="str">
            <v>Traû tieàn mua boät ngoït</v>
          </cell>
          <cell r="I527">
            <v>170709693</v>
          </cell>
        </row>
        <row r="528">
          <cell r="A528">
            <v>8</v>
          </cell>
          <cell r="B528">
            <v>37959</v>
          </cell>
          <cell r="C528">
            <v>93</v>
          </cell>
          <cell r="D528" t="str">
            <v>Cty Coå Phaàn Giaáy Vieãn Ñoâng</v>
          </cell>
          <cell r="E528" t="str">
            <v>710A.04479</v>
          </cell>
          <cell r="F528" t="str">
            <v>Coâng Thöông CN 12</v>
          </cell>
          <cell r="G528" t="str">
            <v>Hoà Chí Minh</v>
          </cell>
          <cell r="H528" t="str">
            <v>Traû tieàn mua giaáy</v>
          </cell>
          <cell r="I528">
            <v>25767324</v>
          </cell>
        </row>
        <row r="529">
          <cell r="A529">
            <v>9</v>
          </cell>
          <cell r="B529">
            <v>37959</v>
          </cell>
          <cell r="C529">
            <v>85</v>
          </cell>
          <cell r="D529" t="str">
            <v>CTy TNHH TM Minh Tuøng</v>
          </cell>
          <cell r="E529" t="str">
            <v>710A.04024</v>
          </cell>
          <cell r="F529" t="str">
            <v>Sôû Giao Dòch II CTVN</v>
          </cell>
          <cell r="G529" t="str">
            <v>Hoà Chí Minh</v>
          </cell>
          <cell r="H529" t="str">
            <v>Traû tieàn mua haøng ñieän maùy</v>
          </cell>
          <cell r="I529">
            <v>35883000</v>
          </cell>
        </row>
        <row r="530">
          <cell r="A530">
            <v>10</v>
          </cell>
          <cell r="B530">
            <v>37960</v>
          </cell>
          <cell r="C530">
            <v>101</v>
          </cell>
          <cell r="D530" t="str">
            <v>Cty TMKT &amp; Ñaàu Tö PETEC</v>
          </cell>
          <cell r="E530" t="str">
            <v>1003227 05 2</v>
          </cell>
          <cell r="F530" t="str">
            <v>Deutsche Bank</v>
          </cell>
          <cell r="G530" t="str">
            <v>Hoà Chí Minh</v>
          </cell>
          <cell r="H530" t="str">
            <v xml:space="preserve">Traû tieàn mua xaêng daàu </v>
          </cell>
          <cell r="I530">
            <v>690000000</v>
          </cell>
        </row>
        <row r="531">
          <cell r="A531">
            <v>11</v>
          </cell>
          <cell r="B531">
            <v>37963</v>
          </cell>
          <cell r="C531">
            <v>8</v>
          </cell>
          <cell r="D531" t="str">
            <v>Cty Xi Maêng Haø Tieân II</v>
          </cell>
          <cell r="E531" t="str">
            <v>710A.00091</v>
          </cell>
          <cell r="F531" t="str">
            <v>Coâng Thöông</v>
          </cell>
          <cell r="G531" t="str">
            <v>Kieân Giang</v>
          </cell>
          <cell r="H531" t="str">
            <v>Traû tieàn mua xi maêng 250taán</v>
          </cell>
          <cell r="I531">
            <v>200200000</v>
          </cell>
        </row>
        <row r="532">
          <cell r="A532">
            <v>12</v>
          </cell>
          <cell r="B532">
            <v>37963</v>
          </cell>
          <cell r="C532">
            <v>1</v>
          </cell>
          <cell r="D532" t="str">
            <v>Nhaø Maùy Thuoác Laù Saøi Goøn</v>
          </cell>
          <cell r="E532" t="str">
            <v>710A.00105</v>
          </cell>
          <cell r="F532" t="str">
            <v>Sôû Giao Dòch II CTVN</v>
          </cell>
          <cell r="G532" t="str">
            <v>Hoà Chí Minh</v>
          </cell>
          <cell r="H532" t="str">
            <v>Traû tieàn mua thuoác laù</v>
          </cell>
          <cell r="I532">
            <v>277275000</v>
          </cell>
        </row>
        <row r="533">
          <cell r="A533">
            <v>2</v>
          </cell>
          <cell r="B533">
            <v>37963</v>
          </cell>
          <cell r="C533">
            <v>28</v>
          </cell>
          <cell r="D533" t="str">
            <v>Chi Nhaùnh Cty CP Söõa VN Taïi Caàn Thô</v>
          </cell>
          <cell r="E533" t="str">
            <v>7301.0479K</v>
          </cell>
          <cell r="F533" t="str">
            <v>Ñaàu Tö &amp; Phaùt Trieån</v>
          </cell>
          <cell r="G533" t="str">
            <v>Caàn Thô</v>
          </cell>
          <cell r="H533" t="str">
            <v>Traû tieân mua söõa hoäp caùc loaïi</v>
          </cell>
          <cell r="I533">
            <v>249208313</v>
          </cell>
        </row>
        <row r="534">
          <cell r="A534">
            <v>3</v>
          </cell>
          <cell r="B534">
            <v>37963</v>
          </cell>
          <cell r="C534">
            <v>27</v>
          </cell>
          <cell r="D534" t="str">
            <v>Cty TNHH Quoác Teá Nagarjuna</v>
          </cell>
          <cell r="E534" t="str">
            <v>3586.1</v>
          </cell>
          <cell r="F534" t="str">
            <v>INDOVINA</v>
          </cell>
          <cell r="G534" t="str">
            <v>Hoà Chí Minh</v>
          </cell>
          <cell r="H534" t="str">
            <v>Traû tieàn mua ñöôøng</v>
          </cell>
          <cell r="I534">
            <v>31500000</v>
          </cell>
        </row>
        <row r="535">
          <cell r="A535">
            <v>4</v>
          </cell>
          <cell r="B535">
            <v>37963</v>
          </cell>
          <cell r="C535">
            <v>73</v>
          </cell>
          <cell r="D535" t="str">
            <v>Cty. TNHH SX.TM.HMP Myõ Haûo</v>
          </cell>
          <cell r="E535" t="str">
            <v>007.100.002.4148</v>
          </cell>
          <cell r="F535" t="str">
            <v>Ngoaïi Thöông</v>
          </cell>
          <cell r="G535" t="str">
            <v>Hoà Chí Minh</v>
          </cell>
          <cell r="H535" t="str">
            <v>Traû tieàn mua nöôùc röûa cheùn (TT.BL)</v>
          </cell>
          <cell r="I535">
            <v>29677874</v>
          </cell>
        </row>
        <row r="536">
          <cell r="A536">
            <v>5</v>
          </cell>
          <cell r="B536">
            <v>37963</v>
          </cell>
          <cell r="C536">
            <v>44</v>
          </cell>
          <cell r="D536" t="str">
            <v>CTy Ñieän Baùo Ñieän Thoaïi Baïc Lieâu</v>
          </cell>
          <cell r="E536" t="str">
            <v>710A.00074</v>
          </cell>
          <cell r="F536" t="str">
            <v xml:space="preserve">Coâng Thöông </v>
          </cell>
          <cell r="G536" t="str">
            <v>Baïc Lieâu</v>
          </cell>
          <cell r="H536" t="str">
            <v>Traû tieàn ñieän thoaïi thaùng 11/2003</v>
          </cell>
          <cell r="I536">
            <v>9058877</v>
          </cell>
        </row>
        <row r="537">
          <cell r="A537">
            <v>6</v>
          </cell>
          <cell r="B537">
            <v>37963</v>
          </cell>
          <cell r="C537">
            <v>31</v>
          </cell>
          <cell r="D537" t="str">
            <v>Cty Daàu Aên Golden Hope - Nhaø Beø</v>
          </cell>
          <cell r="E537" t="str">
            <v>710A.06902</v>
          </cell>
          <cell r="F537" t="str">
            <v>Sôû Giao Dòch II CTVN</v>
          </cell>
          <cell r="G537" t="str">
            <v>Hoà Chí Minh</v>
          </cell>
          <cell r="H537" t="str">
            <v>Traû tieàn mua daàu(TT.TN.CM)</v>
          </cell>
          <cell r="I537">
            <v>83680766</v>
          </cell>
        </row>
        <row r="538">
          <cell r="A538">
            <v>13</v>
          </cell>
          <cell r="B538">
            <v>37964</v>
          </cell>
          <cell r="C538">
            <v>36</v>
          </cell>
          <cell r="D538" t="str">
            <v>XN Xaêng Daàu Daàu Khí Vuõng Taøu</v>
          </cell>
          <cell r="E538" t="str">
            <v>710D.00343</v>
          </cell>
          <cell r="F538" t="str">
            <v>Coâng Thöông</v>
          </cell>
          <cell r="G538" t="str">
            <v>Baø Ròa-Vuõng Taøu</v>
          </cell>
          <cell r="H538" t="str">
            <v xml:space="preserve">Traû tieàn mua xaêng daàu </v>
          </cell>
          <cell r="I538">
            <v>1786000000</v>
          </cell>
        </row>
        <row r="539">
          <cell r="A539">
            <v>14</v>
          </cell>
          <cell r="B539">
            <v>37964</v>
          </cell>
          <cell r="C539">
            <v>10</v>
          </cell>
          <cell r="D539" t="str">
            <v>Cty TNHH Daàu Nhôùt vaø Hoùa Chaát VN</v>
          </cell>
          <cell r="E539" t="str">
            <v>001.004837.041</v>
          </cell>
          <cell r="F539" t="str">
            <v>Hoàng Kong&amp; Thöôïng Haûi</v>
          </cell>
          <cell r="G539" t="str">
            <v>Hoà Chí Minh</v>
          </cell>
          <cell r="H539" t="str">
            <v>Traû tieàn mua nhôùt</v>
          </cell>
          <cell r="I539">
            <v>320300000</v>
          </cell>
        </row>
        <row r="540">
          <cell r="A540">
            <v>7</v>
          </cell>
          <cell r="B540">
            <v>37964</v>
          </cell>
          <cell r="C540">
            <v>77</v>
          </cell>
          <cell r="D540" t="str">
            <v>Cty Ñieän &amp; Ñieän Töû SAMSUNG VINA</v>
          </cell>
          <cell r="E540" t="str">
            <v>710A.01109</v>
          </cell>
          <cell r="F540" t="str">
            <v>Coâng Thöông CN 4</v>
          </cell>
          <cell r="G540" t="str">
            <v>Hoà Chí Minh</v>
          </cell>
          <cell r="H540" t="str">
            <v>Traû tieàn mua haøng ñieän maùy</v>
          </cell>
          <cell r="I540">
            <v>8273606</v>
          </cell>
        </row>
        <row r="541">
          <cell r="A541">
            <v>8</v>
          </cell>
          <cell r="B541">
            <v>37965</v>
          </cell>
          <cell r="C541">
            <v>73</v>
          </cell>
          <cell r="D541" t="str">
            <v>Cty. TNHH SX.TM.HMP Myõ Haûo</v>
          </cell>
          <cell r="E541" t="str">
            <v>007.100.002.4148</v>
          </cell>
          <cell r="F541" t="str">
            <v>Ngoaïi Thöông</v>
          </cell>
          <cell r="G541" t="str">
            <v>Hoà Chí Minh</v>
          </cell>
          <cell r="H541" t="str">
            <v>Traû tieàn mua nöôùc röûa cheùn (TT.BL:32.878.969ñ;TT.CM: 30.323.994ñ)</v>
          </cell>
          <cell r="I541">
            <v>63202963</v>
          </cell>
        </row>
        <row r="542">
          <cell r="A542">
            <v>9</v>
          </cell>
          <cell r="B542">
            <v>37965</v>
          </cell>
          <cell r="C542">
            <v>100</v>
          </cell>
          <cell r="D542" t="str">
            <v>CTy TNHH TM &amp; SX Vieät Tuøng</v>
          </cell>
          <cell r="E542" t="str">
            <v>710A.07124</v>
          </cell>
          <cell r="F542" t="str">
            <v>Coâng Thöông CN 12</v>
          </cell>
          <cell r="G542" t="str">
            <v>Hoà Chí Minh</v>
          </cell>
          <cell r="H542" t="str">
            <v>Traû tieàn mua caù moøi</v>
          </cell>
          <cell r="I542">
            <v>7200750</v>
          </cell>
        </row>
        <row r="543">
          <cell r="A543">
            <v>12</v>
          </cell>
          <cell r="B543">
            <v>37967</v>
          </cell>
          <cell r="C543">
            <v>25</v>
          </cell>
          <cell r="D543" t="str">
            <v xml:space="preserve"> Thu Baûo Hieåm Xaõ Hoäi Tænh Baïc Lieâu</v>
          </cell>
          <cell r="E543" t="str">
            <v>421401.12</v>
          </cell>
          <cell r="F543" t="str">
            <v>NN &amp; P/T N/Thoân</v>
          </cell>
          <cell r="G543" t="str">
            <v>Baïc Lieâu</v>
          </cell>
          <cell r="H543" t="str">
            <v>Noäp BHXH,BHYT thaùng 12/2003</v>
          </cell>
          <cell r="I543">
            <v>24807063</v>
          </cell>
        </row>
        <row r="544">
          <cell r="A544">
            <v>13</v>
          </cell>
          <cell r="B544">
            <v>37967</v>
          </cell>
          <cell r="C544">
            <v>28</v>
          </cell>
          <cell r="D544" t="str">
            <v>Chi Nhaùnh Cty CP Söõa VN Taïi Caàn Thô</v>
          </cell>
          <cell r="E544" t="str">
            <v>7301.0479K</v>
          </cell>
          <cell r="F544" t="str">
            <v>Ñaàu Tö &amp; Phaùt Trieån</v>
          </cell>
          <cell r="G544" t="str">
            <v>Caàn Thô</v>
          </cell>
          <cell r="H544" t="str">
            <v>Traû tieân mua söõa hoäp caùc loaïi</v>
          </cell>
          <cell r="I544">
            <v>250798944</v>
          </cell>
        </row>
        <row r="545">
          <cell r="A545">
            <v>18</v>
          </cell>
          <cell r="B545">
            <v>37967</v>
          </cell>
          <cell r="C545">
            <v>98</v>
          </cell>
          <cell r="D545" t="str">
            <v>CTy Lieân Doanh Xi Maêng Haø Tieân II-Caàn Thô</v>
          </cell>
          <cell r="E545" t="str">
            <v>710A.56157</v>
          </cell>
          <cell r="F545" t="str">
            <v>Coâng Thöông</v>
          </cell>
          <cell r="G545" t="str">
            <v>Caàn Thô</v>
          </cell>
          <cell r="H545" t="str">
            <v>Traû tieàn mua xi maêng 100taán</v>
          </cell>
          <cell r="I545">
            <v>80000000</v>
          </cell>
        </row>
        <row r="546">
          <cell r="A546">
            <v>19</v>
          </cell>
          <cell r="B546">
            <v>37970</v>
          </cell>
          <cell r="C546">
            <v>8</v>
          </cell>
          <cell r="D546" t="str">
            <v>Cty Xi Maêng Haø Tieân II</v>
          </cell>
          <cell r="E546" t="str">
            <v>710A.00091</v>
          </cell>
          <cell r="F546" t="str">
            <v>Coâng Thöông</v>
          </cell>
          <cell r="G546" t="str">
            <v>Kieân Giang</v>
          </cell>
          <cell r="H546" t="str">
            <v>Traû tieàn mua xi maêng 250taán</v>
          </cell>
          <cell r="I546">
            <v>196212500</v>
          </cell>
        </row>
        <row r="547">
          <cell r="A547">
            <v>14</v>
          </cell>
          <cell r="B547">
            <v>37970</v>
          </cell>
          <cell r="C547">
            <v>31</v>
          </cell>
          <cell r="D547" t="str">
            <v>Cty Daàu Aên Golden Hope - Nhaø Beø</v>
          </cell>
          <cell r="E547" t="str">
            <v>710A.06902</v>
          </cell>
          <cell r="F547" t="str">
            <v>Sôû Giao Dòch II CTVN</v>
          </cell>
          <cell r="G547" t="str">
            <v>Hoà Chí Minh</v>
          </cell>
          <cell r="H547" t="str">
            <v>Traû tieàn mua daàu(TT.TN.BL)</v>
          </cell>
          <cell r="I547">
            <v>79884202</v>
          </cell>
        </row>
        <row r="548">
          <cell r="A548">
            <v>20</v>
          </cell>
          <cell r="B548">
            <v>37971</v>
          </cell>
          <cell r="C548">
            <v>41</v>
          </cell>
          <cell r="D548" t="str">
            <v>Cty Xi Maêng Nghi Sôn</v>
          </cell>
          <cell r="E548" t="str">
            <v>710A.02772</v>
          </cell>
          <cell r="F548" t="str">
            <v>Coâng Thöông CN 9</v>
          </cell>
          <cell r="G548" t="str">
            <v>Hoà Chí Minh</v>
          </cell>
          <cell r="H548" t="str">
            <v>Traû tieàn mua xi maêng 300taán</v>
          </cell>
          <cell r="I548">
            <v>255000000</v>
          </cell>
        </row>
        <row r="549">
          <cell r="A549">
            <v>21</v>
          </cell>
          <cell r="B549">
            <v>37971</v>
          </cell>
          <cell r="C549">
            <v>14</v>
          </cell>
          <cell r="D549" t="str">
            <v>Coâng Ty Theùp Mieàn Nam</v>
          </cell>
          <cell r="E549" t="str">
            <v>710A.01611</v>
          </cell>
          <cell r="F549" t="str">
            <v>Coâng Thöông CN I</v>
          </cell>
          <cell r="G549" t="str">
            <v>Hoà Chí Minh</v>
          </cell>
          <cell r="H549" t="str">
            <v>Traû tieàn mua haøng cho CN Theùp Mieàn Nam taïi Caàn Thô</v>
          </cell>
          <cell r="I549">
            <v>300000000</v>
          </cell>
        </row>
        <row r="550">
          <cell r="A550">
            <v>22</v>
          </cell>
          <cell r="B550">
            <v>37971</v>
          </cell>
          <cell r="C550">
            <v>5</v>
          </cell>
          <cell r="D550" t="str">
            <v>Cty TNHH TMaïi Thaønh Long</v>
          </cell>
          <cell r="E550" t="str">
            <v>710A.00817</v>
          </cell>
          <cell r="F550" t="str">
            <v>Coâng Thöong CN6</v>
          </cell>
          <cell r="G550" t="str">
            <v>Hoà Chí Minh</v>
          </cell>
          <cell r="H550" t="str">
            <v>Traû tieàn mua boät ngoït</v>
          </cell>
          <cell r="I550">
            <v>660935457</v>
          </cell>
        </row>
        <row r="551">
          <cell r="A551">
            <v>23</v>
          </cell>
          <cell r="B551">
            <v>37972</v>
          </cell>
          <cell r="C551">
            <v>101</v>
          </cell>
          <cell r="D551" t="str">
            <v>Cty TMKT &amp; Ñaàu Tö PETEC</v>
          </cell>
          <cell r="E551" t="str">
            <v>1003227 05 2</v>
          </cell>
          <cell r="F551" t="str">
            <v>Deutsche Bank</v>
          </cell>
          <cell r="G551" t="str">
            <v>Hoà Chí Minh</v>
          </cell>
          <cell r="H551" t="str">
            <v>Traû tieàn mua xaêng daàu (Maõ IBPS 50619012)</v>
          </cell>
          <cell r="I551">
            <v>3164000000</v>
          </cell>
        </row>
        <row r="552">
          <cell r="A552">
            <v>15</v>
          </cell>
          <cell r="B552">
            <v>37972</v>
          </cell>
          <cell r="C552">
            <v>27</v>
          </cell>
          <cell r="D552" t="str">
            <v>Cty TNHH Quoác Teá Nagarjuna</v>
          </cell>
          <cell r="E552" t="str">
            <v>3586.1</v>
          </cell>
          <cell r="F552" t="str">
            <v>INDOVINA</v>
          </cell>
          <cell r="G552" t="str">
            <v>Hoà Chí Minh</v>
          </cell>
          <cell r="H552" t="str">
            <v>Traû tieàn mua ñöôøng</v>
          </cell>
          <cell r="I552">
            <v>31010000</v>
          </cell>
        </row>
        <row r="553">
          <cell r="A553">
            <v>16</v>
          </cell>
          <cell r="B553">
            <v>37972</v>
          </cell>
          <cell r="C553">
            <v>73</v>
          </cell>
          <cell r="D553" t="str">
            <v>Cty. TNHH SX.TM.HMP Myõ Haûo</v>
          </cell>
          <cell r="E553" t="str">
            <v>007.100.002.4148</v>
          </cell>
          <cell r="F553" t="str">
            <v>Ngoaïi Thöông</v>
          </cell>
          <cell r="G553" t="str">
            <v>Hoà Chí Minh</v>
          </cell>
          <cell r="H553" t="str">
            <v>Traû tieàn mua nöôùc röûa cheùn (TT.CM)</v>
          </cell>
          <cell r="I553">
            <v>100347108</v>
          </cell>
        </row>
        <row r="554">
          <cell r="A554">
            <v>24</v>
          </cell>
          <cell r="B554">
            <v>37973</v>
          </cell>
          <cell r="C554">
            <v>36</v>
          </cell>
          <cell r="D554" t="str">
            <v>XN Xaêng Daàu Daàu Khí Vuõng Taøu</v>
          </cell>
          <cell r="E554" t="str">
            <v>710D.00343</v>
          </cell>
          <cell r="F554" t="str">
            <v>Coâng Thöông</v>
          </cell>
          <cell r="G554" t="str">
            <v>Baø Ròa-Vuõng Taøu</v>
          </cell>
          <cell r="H554" t="str">
            <v xml:space="preserve">Traû tieàn mua xaêng daàu </v>
          </cell>
          <cell r="I554">
            <v>1947000000</v>
          </cell>
        </row>
        <row r="555">
          <cell r="A555">
            <v>17</v>
          </cell>
          <cell r="B555">
            <v>37973</v>
          </cell>
          <cell r="C555">
            <v>99</v>
          </cell>
          <cell r="D555" t="str">
            <v xml:space="preserve">Löu Thò Myõ Phöôïng (CTyTNHH Taân Thaùi Thònh) </v>
          </cell>
          <cell r="E555" t="str">
            <v>2656329</v>
          </cell>
          <cell r="F555" t="str">
            <v>AÙ Chaâu</v>
          </cell>
          <cell r="G555" t="str">
            <v>Hoà Chí Minh</v>
          </cell>
          <cell r="H555" t="str">
            <v>Traû tieàn mua nöôùc ngoït</v>
          </cell>
          <cell r="I555">
            <v>47897591</v>
          </cell>
        </row>
        <row r="556">
          <cell r="A556">
            <v>18</v>
          </cell>
          <cell r="B556">
            <v>37974</v>
          </cell>
          <cell r="C556">
            <v>93</v>
          </cell>
          <cell r="D556" t="str">
            <v>Cty Coå Phaàn Giaáy Vieãn Ñoâng</v>
          </cell>
          <cell r="E556" t="str">
            <v>710A.04479</v>
          </cell>
          <cell r="F556" t="str">
            <v>Coâng Thöông CN 12</v>
          </cell>
          <cell r="G556" t="str">
            <v>Hoà Chí Minh</v>
          </cell>
          <cell r="H556" t="str">
            <v>Traû tieàn mua giaáy</v>
          </cell>
          <cell r="I556">
            <v>14115866</v>
          </cell>
        </row>
        <row r="557">
          <cell r="A557">
            <v>19</v>
          </cell>
          <cell r="B557">
            <v>37974</v>
          </cell>
          <cell r="C557">
            <v>73</v>
          </cell>
          <cell r="D557" t="str">
            <v>Cty. TNHH SX.TM.HMP Myõ Haûo</v>
          </cell>
          <cell r="E557" t="str">
            <v>007.100.002.4148</v>
          </cell>
          <cell r="F557" t="str">
            <v>Ngoaïi Thöông</v>
          </cell>
          <cell r="G557" t="str">
            <v>Hoà Chí Minh</v>
          </cell>
          <cell r="H557" t="str">
            <v>Traû tieàn mua nöôùc röûa cheùn (TT.BL)</v>
          </cell>
          <cell r="I557">
            <v>34622573</v>
          </cell>
        </row>
        <row r="558">
          <cell r="A558">
            <v>25</v>
          </cell>
          <cell r="B558">
            <v>37974</v>
          </cell>
          <cell r="C558">
            <v>7</v>
          </cell>
          <cell r="D558" t="str">
            <v>Xí Nghieäp Colusa-Miliket</v>
          </cell>
          <cell r="E558" t="str">
            <v>314.100.00000052</v>
          </cell>
          <cell r="F558" t="str">
            <v>Ñaàu Tö &amp; Phaùt Trieån CN Thuû Ñöùc</v>
          </cell>
          <cell r="G558" t="str">
            <v>Hoà Chí Minh</v>
          </cell>
          <cell r="H558" t="str">
            <v>Traû tieàn mua mì Colusa</v>
          </cell>
          <cell r="I558">
            <v>151016158</v>
          </cell>
        </row>
        <row r="559">
          <cell r="A559">
            <v>26</v>
          </cell>
          <cell r="B559">
            <v>37974</v>
          </cell>
          <cell r="C559">
            <v>1</v>
          </cell>
          <cell r="D559" t="str">
            <v>Nhaø Maùy Thuoác Laù Saøi Goøn</v>
          </cell>
          <cell r="E559" t="str">
            <v>710A.00105</v>
          </cell>
          <cell r="F559" t="str">
            <v>Sôû Giao Dòch II CTVN</v>
          </cell>
          <cell r="G559" t="str">
            <v>Hoà Chí Minh</v>
          </cell>
          <cell r="H559" t="str">
            <v>Traû tieàn mua thuoác la'</v>
          </cell>
          <cell r="I559">
            <v>214525000</v>
          </cell>
        </row>
        <row r="560">
          <cell r="A560">
            <v>25</v>
          </cell>
          <cell r="B560">
            <v>37974</v>
          </cell>
          <cell r="C560">
            <v>7</v>
          </cell>
          <cell r="D560" t="str">
            <v>Xí Nghieäp Colusa-Miliket</v>
          </cell>
          <cell r="E560" t="str">
            <v>314.100.00000052</v>
          </cell>
          <cell r="F560" t="str">
            <v>Ñaàu Tö &amp; Phaùt Trieån CN Thuû Ñöùc</v>
          </cell>
          <cell r="G560" t="str">
            <v>Hoà Chí Minh</v>
          </cell>
          <cell r="H560" t="str">
            <v>Traû tieàn mua mì Colusa</v>
          </cell>
          <cell r="I560">
            <v>200594920</v>
          </cell>
        </row>
        <row r="561">
          <cell r="A561">
            <v>27</v>
          </cell>
          <cell r="B561">
            <v>37977</v>
          </cell>
          <cell r="C561">
            <v>8</v>
          </cell>
          <cell r="D561" t="str">
            <v>Cty Xi Maêng Haø Tieân II</v>
          </cell>
          <cell r="E561" t="str">
            <v>710A.00091</v>
          </cell>
          <cell r="F561" t="str">
            <v>Coâng Thöông</v>
          </cell>
          <cell r="G561" t="str">
            <v>Kieân Giang</v>
          </cell>
          <cell r="H561" t="str">
            <v>Traû tieàn mua xi maêng 200taán</v>
          </cell>
          <cell r="I561">
            <v>160160000</v>
          </cell>
        </row>
        <row r="562">
          <cell r="A562">
            <v>28</v>
          </cell>
          <cell r="B562">
            <v>37977</v>
          </cell>
          <cell r="C562">
            <v>14</v>
          </cell>
          <cell r="D562" t="str">
            <v>Coâng Ty Theùp Mieàn Nam</v>
          </cell>
          <cell r="E562" t="str">
            <v>710A.01611</v>
          </cell>
          <cell r="F562" t="str">
            <v>Coâng Thöông CN I</v>
          </cell>
          <cell r="G562" t="str">
            <v>Hoà Chí Minh</v>
          </cell>
          <cell r="H562" t="str">
            <v>Traû tieàn mua haøng cho CN Theùp Mieàn Nam taïi Caàn Thô</v>
          </cell>
          <cell r="I562">
            <v>177796028</v>
          </cell>
        </row>
        <row r="563">
          <cell r="A563">
            <v>29</v>
          </cell>
          <cell r="B563">
            <v>37977</v>
          </cell>
          <cell r="C563">
            <v>101</v>
          </cell>
          <cell r="D563" t="str">
            <v>Cty TMKT &amp; Ñaàu Tö PETEC</v>
          </cell>
          <cell r="E563" t="str">
            <v>1003227 05 2</v>
          </cell>
          <cell r="F563" t="str">
            <v>Deutsche Bank</v>
          </cell>
          <cell r="G563" t="str">
            <v>Hoà Chí Minh</v>
          </cell>
          <cell r="H563" t="str">
            <v xml:space="preserve">Traû tieàn mua xaêng daàu </v>
          </cell>
          <cell r="I563">
            <v>500000000</v>
          </cell>
        </row>
        <row r="564">
          <cell r="A564">
            <v>20</v>
          </cell>
          <cell r="B564">
            <v>37977</v>
          </cell>
          <cell r="C564">
            <v>73</v>
          </cell>
          <cell r="D564" t="str">
            <v>Cty. TNHH SX.TM.HMP Myõ Haûo</v>
          </cell>
          <cell r="E564" t="str">
            <v>007.100.002.4148</v>
          </cell>
          <cell r="F564" t="str">
            <v>Ngoaïi Thöông</v>
          </cell>
          <cell r="G564" t="str">
            <v>Hoà Chí Minh</v>
          </cell>
          <cell r="H564" t="str">
            <v>Traû tieàn mua nöôùc röûa cheùn (TT.BL)</v>
          </cell>
          <cell r="I564">
            <v>34714439</v>
          </cell>
        </row>
        <row r="565">
          <cell r="A565">
            <v>21</v>
          </cell>
          <cell r="B565">
            <v>37977</v>
          </cell>
          <cell r="C565">
            <v>31</v>
          </cell>
          <cell r="D565" t="str">
            <v>Cty Daàu Aên Golden Hope - Nhaø Beø</v>
          </cell>
          <cell r="E565" t="str">
            <v>710A.06902</v>
          </cell>
          <cell r="F565" t="str">
            <v>Sôû Giao Dòch II CTVN</v>
          </cell>
          <cell r="G565" t="str">
            <v>Hoà Chí Minh</v>
          </cell>
          <cell r="H565" t="str">
            <v>Traû tieàn mua daàu(TT.TN.BL)</v>
          </cell>
          <cell r="I565">
            <v>89176428</v>
          </cell>
        </row>
        <row r="566">
          <cell r="A566">
            <v>29</v>
          </cell>
          <cell r="B566">
            <v>37977</v>
          </cell>
          <cell r="C566">
            <v>101</v>
          </cell>
          <cell r="D566" t="str">
            <v>Cty TMKT &amp; Ñaàu Tö PETEC</v>
          </cell>
          <cell r="E566" t="str">
            <v>1003227 05 2</v>
          </cell>
          <cell r="F566" t="str">
            <v>Deutsche Bank</v>
          </cell>
          <cell r="G566" t="str">
            <v>Hoà Chí Minh</v>
          </cell>
          <cell r="H566" t="str">
            <v xml:space="preserve">Traû tieàn mua xaêng daàu </v>
          </cell>
          <cell r="I566">
            <v>500000000</v>
          </cell>
        </row>
        <row r="567">
          <cell r="A567">
            <v>22</v>
          </cell>
          <cell r="B567">
            <v>37978</v>
          </cell>
          <cell r="C567">
            <v>31</v>
          </cell>
          <cell r="D567" t="str">
            <v>Cty Daàu Aên Golden Hope - Nhaø Beø</v>
          </cell>
          <cell r="E567" t="str">
            <v>710A.06902</v>
          </cell>
          <cell r="F567" t="str">
            <v>Sôû Giao Dòch II CTVN</v>
          </cell>
          <cell r="G567" t="str">
            <v>Hoà Chí Minh</v>
          </cell>
          <cell r="H567" t="str">
            <v>Traû tieàn mua daàu(TT.TN.BL)</v>
          </cell>
          <cell r="I567">
            <v>87097142</v>
          </cell>
        </row>
        <row r="568">
          <cell r="A568">
            <v>23</v>
          </cell>
          <cell r="B568">
            <v>37978</v>
          </cell>
          <cell r="C568">
            <v>101</v>
          </cell>
          <cell r="D568" t="str">
            <v>Cty TMKT &amp; Ñaàu Tö PETEC</v>
          </cell>
          <cell r="E568" t="str">
            <v>1003227 05 2</v>
          </cell>
          <cell r="F568" t="str">
            <v>Deutsche Bank</v>
          </cell>
          <cell r="G568" t="str">
            <v>Hoà Chí Minh</v>
          </cell>
          <cell r="H568" t="str">
            <v>Traû tieàn mua truï bôm  kyø 4</v>
          </cell>
          <cell r="I568">
            <v>50400000</v>
          </cell>
        </row>
        <row r="569">
          <cell r="A569">
            <v>24</v>
          </cell>
          <cell r="B569">
            <v>37979</v>
          </cell>
          <cell r="C569">
            <v>28</v>
          </cell>
          <cell r="D569" t="str">
            <v>Chi Nhaùnh Cty CP Söõa VN Taïi Caàn Thô</v>
          </cell>
          <cell r="E569" t="str">
            <v>7301.0479K</v>
          </cell>
          <cell r="F569" t="str">
            <v>Ñaàu Tö &amp; Phaùt Trieån</v>
          </cell>
          <cell r="G569" t="str">
            <v>Caàn Thô</v>
          </cell>
          <cell r="H569" t="str">
            <v>Traû tieân mua söõa hoäp caùc loaïi</v>
          </cell>
          <cell r="I569">
            <v>464386428</v>
          </cell>
        </row>
        <row r="570">
          <cell r="A570">
            <v>25</v>
          </cell>
          <cell r="B570">
            <v>37979</v>
          </cell>
          <cell r="C570">
            <v>31</v>
          </cell>
          <cell r="D570" t="str">
            <v>Cty Daàu Aên Golden Hope - Nhaø Beø</v>
          </cell>
          <cell r="E570" t="str">
            <v>710A.06902</v>
          </cell>
          <cell r="F570" t="str">
            <v>Sôû Giao Dòch II CTVN</v>
          </cell>
          <cell r="G570" t="str">
            <v>Hoà Chí Minh</v>
          </cell>
          <cell r="H570" t="str">
            <v>Traû tieàn mua daàu xaù</v>
          </cell>
          <cell r="I570">
            <v>36323100</v>
          </cell>
        </row>
        <row r="571">
          <cell r="A571">
            <v>26</v>
          </cell>
          <cell r="B571">
            <v>37979</v>
          </cell>
          <cell r="C571">
            <v>37</v>
          </cell>
          <cell r="D571" t="str">
            <v>Cty LD Daàu Khí Mekong (Petromekong)</v>
          </cell>
          <cell r="E571" t="str">
            <v>011100001700.1</v>
          </cell>
          <cell r="F571" t="str">
            <v>Ngoïai Thöông</v>
          </cell>
          <cell r="G571" t="str">
            <v>Caàn Thô</v>
          </cell>
          <cell r="H571" t="str">
            <v>Traû tieàn mua xaêng daàu</v>
          </cell>
          <cell r="I571">
            <v>8582075</v>
          </cell>
        </row>
        <row r="572">
          <cell r="A572">
            <v>27</v>
          </cell>
          <cell r="B572">
            <v>37979</v>
          </cell>
          <cell r="C572">
            <v>99</v>
          </cell>
          <cell r="D572" t="str">
            <v xml:space="preserve">Löu Thò Myõ Phöôïng (CTyTNHH Taân Thaùi Thònh) </v>
          </cell>
          <cell r="E572" t="str">
            <v>2656329</v>
          </cell>
          <cell r="F572" t="str">
            <v>AÙ Chaâu</v>
          </cell>
          <cell r="G572" t="str">
            <v>Hoà Chí Minh</v>
          </cell>
          <cell r="H572" t="str">
            <v>Traû tieàn mua nöôùc ngoït</v>
          </cell>
          <cell r="I572">
            <v>8732227</v>
          </cell>
        </row>
        <row r="573">
          <cell r="A573">
            <v>30</v>
          </cell>
          <cell r="B573">
            <v>37980</v>
          </cell>
          <cell r="C573">
            <v>36</v>
          </cell>
          <cell r="D573" t="str">
            <v>XN Xaêng Daàu Daàu Khí Vuõng Taøu</v>
          </cell>
          <cell r="E573" t="str">
            <v>710D.00343</v>
          </cell>
          <cell r="F573" t="str">
            <v>Coâng Thöông</v>
          </cell>
          <cell r="G573" t="str">
            <v>Baø Ròa-Vuõng Taøu</v>
          </cell>
          <cell r="H573" t="str">
            <v>Traû tieàn mua xaêng daàu</v>
          </cell>
          <cell r="I573">
            <v>1995000000</v>
          </cell>
        </row>
        <row r="574">
          <cell r="A574">
            <v>28</v>
          </cell>
          <cell r="B574">
            <v>37981</v>
          </cell>
          <cell r="C574">
            <v>31</v>
          </cell>
          <cell r="D574" t="str">
            <v>Cty Daàu Aên Golden Hope - Nhaø Beø</v>
          </cell>
          <cell r="E574" t="str">
            <v>710A.06902</v>
          </cell>
          <cell r="F574" t="str">
            <v>Sôû Giao Dòch II CTVN</v>
          </cell>
          <cell r="G574" t="str">
            <v>Hoà Chí Minh</v>
          </cell>
          <cell r="H574" t="str">
            <v>Traû tieàn mua daàu(TT.TN.CM)</v>
          </cell>
          <cell r="I574">
            <v>101452780</v>
          </cell>
        </row>
        <row r="575">
          <cell r="A575">
            <v>29</v>
          </cell>
          <cell r="B575">
            <v>37981</v>
          </cell>
          <cell r="C575">
            <v>73</v>
          </cell>
          <cell r="D575" t="str">
            <v>Cty. TNHH SX.TM.HMP Myõ Haûo</v>
          </cell>
          <cell r="E575" t="str">
            <v>007.100.002.4148</v>
          </cell>
          <cell r="F575" t="str">
            <v>Ngoaïi Thöông</v>
          </cell>
          <cell r="G575" t="str">
            <v>Hoà Chí Minh</v>
          </cell>
          <cell r="H575" t="str">
            <v>Traû tieàn mua nöôùc röûa cheùn (TT.CM)</v>
          </cell>
          <cell r="I575">
            <v>38577400</v>
          </cell>
        </row>
        <row r="576">
          <cell r="A576">
            <v>30</v>
          </cell>
          <cell r="B576">
            <v>37981</v>
          </cell>
          <cell r="C576">
            <v>94</v>
          </cell>
          <cell r="D576" t="str">
            <v>CTy TNHH SX Taân AÙ Chaâu</v>
          </cell>
          <cell r="E576" t="str">
            <v>710A.01969</v>
          </cell>
          <cell r="F576" t="str">
            <v>Coâng Thöông CN 9</v>
          </cell>
          <cell r="G576" t="str">
            <v>Hoà Chí Minh</v>
          </cell>
          <cell r="H576" t="str">
            <v>Traû tieàn mua chaùo bình tieân</v>
          </cell>
          <cell r="I576">
            <v>5936000</v>
          </cell>
        </row>
        <row r="577">
          <cell r="A577">
            <v>31</v>
          </cell>
          <cell r="B577">
            <v>37984</v>
          </cell>
          <cell r="C577">
            <v>46</v>
          </cell>
          <cell r="D577" t="str">
            <v>CTy MIWON VIETNAM</v>
          </cell>
          <cell r="E577" t="str">
            <v>710A.00183</v>
          </cell>
          <cell r="F577" t="str">
            <v xml:space="preserve">Coâng Thöông </v>
          </cell>
          <cell r="G577" t="str">
            <v>Phuù Thoï</v>
          </cell>
          <cell r="H577" t="str">
            <v>Traû tieàn mua boät ngoït</v>
          </cell>
          <cell r="I577">
            <v>130268864</v>
          </cell>
        </row>
        <row r="578">
          <cell r="A578">
            <v>32</v>
          </cell>
          <cell r="B578">
            <v>37984</v>
          </cell>
          <cell r="C578">
            <v>5</v>
          </cell>
          <cell r="D578" t="str">
            <v>Cty TNHH TMaïi Thaønh Long</v>
          </cell>
          <cell r="E578" t="str">
            <v>710A.00817</v>
          </cell>
          <cell r="F578" t="str">
            <v>Coâng Thöong CN6</v>
          </cell>
          <cell r="G578" t="str">
            <v>Hoà Chí Minh</v>
          </cell>
          <cell r="H578" t="str">
            <v>Traû tieàn mua boät ngoït</v>
          </cell>
          <cell r="I578">
            <v>103043086</v>
          </cell>
        </row>
        <row r="579">
          <cell r="A579">
            <v>33</v>
          </cell>
          <cell r="B579">
            <v>37984</v>
          </cell>
          <cell r="C579">
            <v>21</v>
          </cell>
          <cell r="D579" t="str">
            <v>Cty Coå Phaàn Vaät Tö  Haäu Giang</v>
          </cell>
          <cell r="E579" t="str">
            <v>710A.00040</v>
          </cell>
          <cell r="F579" t="str">
            <v>Coâng Thöông</v>
          </cell>
          <cell r="G579" t="str">
            <v>Caàn Thô</v>
          </cell>
          <cell r="H579" t="str">
            <v>Traû tieàn mua gas</v>
          </cell>
          <cell r="I579">
            <v>76973001</v>
          </cell>
        </row>
        <row r="580">
          <cell r="A580">
            <v>34</v>
          </cell>
          <cell r="B580">
            <v>37984</v>
          </cell>
          <cell r="C580">
            <v>3</v>
          </cell>
          <cell r="D580" t="str">
            <v>Cty Coå Phaàn Boät Giaët Lix</v>
          </cell>
          <cell r="E580" t="str">
            <v>710A.01440</v>
          </cell>
          <cell r="F580" t="str">
            <v>Coâng Thöông CN 14</v>
          </cell>
          <cell r="G580" t="str">
            <v>Hoà Chí Minh</v>
          </cell>
          <cell r="H580" t="str">
            <v>Traû tieàn mua boät giaët</v>
          </cell>
          <cell r="I580">
            <v>300000000</v>
          </cell>
        </row>
        <row r="581">
          <cell r="A581">
            <v>35</v>
          </cell>
          <cell r="B581">
            <v>37984</v>
          </cell>
          <cell r="C581">
            <v>8</v>
          </cell>
          <cell r="D581" t="str">
            <v>Cty Xi Maêng Haø Tieân II</v>
          </cell>
          <cell r="E581" t="str">
            <v>710A.00091</v>
          </cell>
          <cell r="F581" t="str">
            <v>Coâng Thöông</v>
          </cell>
          <cell r="G581" t="str">
            <v>Kieân Giang</v>
          </cell>
          <cell r="H581" t="str">
            <v>Traû tieàn mua xi maêng 100taán</v>
          </cell>
          <cell r="I581">
            <v>60859250</v>
          </cell>
        </row>
        <row r="582">
          <cell r="A582">
            <v>31</v>
          </cell>
          <cell r="B582">
            <v>37986</v>
          </cell>
          <cell r="C582">
            <v>28</v>
          </cell>
          <cell r="D582" t="str">
            <v>Chi Nhaùnh Cty CP Söõa VN Taïi Caàn Thô</v>
          </cell>
          <cell r="E582" t="str">
            <v>7301.0479K</v>
          </cell>
          <cell r="F582" t="str">
            <v>Ñaàu Tö &amp; Phaùt Trieån</v>
          </cell>
          <cell r="G582" t="str">
            <v>Caàn Thô</v>
          </cell>
          <cell r="H582" t="str">
            <v>Traû tieân mua söõa hoäp caùc loaïi</v>
          </cell>
          <cell r="I582">
            <v>431930374</v>
          </cell>
        </row>
        <row r="583">
          <cell r="A583">
            <v>32</v>
          </cell>
          <cell r="B583">
            <v>37986</v>
          </cell>
          <cell r="C583">
            <v>28</v>
          </cell>
          <cell r="D583" t="str">
            <v>Chi Nhaùnh Cty CP Söõa VN Taïi Caàn Thô</v>
          </cell>
          <cell r="E583" t="str">
            <v>7301.0479K</v>
          </cell>
          <cell r="F583" t="str">
            <v>Ñaàu Tö &amp; Phaùt Trieån</v>
          </cell>
          <cell r="G583" t="str">
            <v>Caàn Thô</v>
          </cell>
          <cell r="H583" t="str">
            <v>Traû tieân mua söõa hoäp caùc loaïi</v>
          </cell>
          <cell r="I583">
            <v>216322049</v>
          </cell>
        </row>
        <row r="584">
          <cell r="A584">
            <v>33</v>
          </cell>
          <cell r="B584">
            <v>37986</v>
          </cell>
          <cell r="C584">
            <v>73</v>
          </cell>
          <cell r="D584" t="str">
            <v>Cty. TNHH SX.TM.HMP Myõ Haûo</v>
          </cell>
          <cell r="E584" t="str">
            <v>007.100.002.4148</v>
          </cell>
          <cell r="F584" t="str">
            <v>Ngoaïi Thöông</v>
          </cell>
          <cell r="G584" t="str">
            <v>Hoà Chí Minh</v>
          </cell>
          <cell r="H584" t="str">
            <v>Traû tieàn mua nöôùc röûa cheùn (TT.CM: 76.747.153ñ; TT.BL : 58.819.004ñ)</v>
          </cell>
          <cell r="I584">
            <v>135566157</v>
          </cell>
        </row>
        <row r="585">
          <cell r="A585">
            <v>34</v>
          </cell>
          <cell r="B585">
            <v>37986</v>
          </cell>
          <cell r="C585">
            <v>27</v>
          </cell>
          <cell r="D585" t="str">
            <v>Cty TNHH Quoác Teá Nagarjuna</v>
          </cell>
          <cell r="E585" t="str">
            <v>3586.1</v>
          </cell>
          <cell r="F585" t="str">
            <v>INDOVINA</v>
          </cell>
          <cell r="G585" t="str">
            <v>Hoà Chí Minh</v>
          </cell>
          <cell r="H585" t="str">
            <v>Traû tieàn mua ñöôøng</v>
          </cell>
          <cell r="I585">
            <v>30625000</v>
          </cell>
        </row>
        <row r="586">
          <cell r="A586">
            <v>35</v>
          </cell>
          <cell r="B586">
            <v>37986</v>
          </cell>
          <cell r="C586">
            <v>6</v>
          </cell>
          <cell r="D586" t="str">
            <v>BP Petco Ltd</v>
          </cell>
          <cell r="E586" t="str">
            <v>0300007015 DS10450(VND)</v>
          </cell>
          <cell r="F586" t="str">
            <v>Citibank</v>
          </cell>
          <cell r="G586" t="str">
            <v>Hoà Chí Minh</v>
          </cell>
          <cell r="H586" t="str">
            <v>Traû tieàn mua nhôùt</v>
          </cell>
          <cell r="I586">
            <v>18600000</v>
          </cell>
        </row>
        <row r="587">
          <cell r="A587">
            <v>36</v>
          </cell>
          <cell r="B587">
            <v>37986</v>
          </cell>
          <cell r="C587">
            <v>76</v>
          </cell>
          <cell r="D587" t="str">
            <v>Cty Ñieän &amp; Ñieän Töû TCL Vieät Nam</v>
          </cell>
          <cell r="E587" t="str">
            <v>012.100.0020848</v>
          </cell>
          <cell r="F587" t="str">
            <v>Ngoaïi Thöông</v>
          </cell>
          <cell r="G587" t="str">
            <v>Ñoàng Nai</v>
          </cell>
          <cell r="H587" t="str">
            <v>Traû tieàn mua haøng ñieän maùy</v>
          </cell>
          <cell r="I587">
            <v>57600000</v>
          </cell>
        </row>
        <row r="588">
          <cell r="A588">
            <v>37</v>
          </cell>
          <cell r="B588">
            <v>37986</v>
          </cell>
          <cell r="C588">
            <v>95</v>
          </cell>
          <cell r="D588" t="str">
            <v>Cty Deät May Thaønh Coâng - CN MieànTaây</v>
          </cell>
          <cell r="E588" t="str">
            <v>73012209E</v>
          </cell>
          <cell r="F588" t="str">
            <v>Ñaàu Tö &amp; Phaùt Trieån</v>
          </cell>
          <cell r="G588" t="str">
            <v>Caàn Thô</v>
          </cell>
          <cell r="H588" t="str">
            <v>Traû tieàn mua haøng may maëc</v>
          </cell>
          <cell r="I588">
            <v>3420740</v>
          </cell>
        </row>
        <row r="589">
          <cell r="A589">
            <v>38</v>
          </cell>
          <cell r="B589">
            <v>37986</v>
          </cell>
          <cell r="C589">
            <v>31</v>
          </cell>
          <cell r="D589" t="str">
            <v>Cty Daàu Aên Golden Hope - Nhaø Beø</v>
          </cell>
          <cell r="E589" t="str">
            <v>710A.06902</v>
          </cell>
          <cell r="F589" t="str">
            <v>Sôû Giao Dòch II CTVN</v>
          </cell>
          <cell r="G589" t="str">
            <v>Hoà Chí Minh</v>
          </cell>
          <cell r="H589" t="str">
            <v>Traû tieàn mua daàu(TT.TN.BL)</v>
          </cell>
          <cell r="I589">
            <v>81131854</v>
          </cell>
        </row>
        <row r="590">
          <cell r="A590">
            <v>36</v>
          </cell>
          <cell r="B590">
            <v>37986</v>
          </cell>
          <cell r="C590">
            <v>77</v>
          </cell>
          <cell r="D590" t="str">
            <v>Cty Ñieän &amp; Ñieän Töû SAMSUNG VINA</v>
          </cell>
          <cell r="E590" t="str">
            <v>710A.01109</v>
          </cell>
          <cell r="F590" t="str">
            <v>Coâng Thöông CN 4</v>
          </cell>
          <cell r="G590" t="str">
            <v>Hoà Chí Minh</v>
          </cell>
          <cell r="H590" t="str">
            <v>Traû tieàn mua haøng ñieän maùy</v>
          </cell>
          <cell r="I590">
            <v>21838300</v>
          </cell>
        </row>
        <row r="591">
          <cell r="A591">
            <v>37</v>
          </cell>
          <cell r="B591">
            <v>37986</v>
          </cell>
          <cell r="C591">
            <v>22</v>
          </cell>
          <cell r="D591" t="str">
            <v>Cty Deät Long An</v>
          </cell>
          <cell r="E591" t="str">
            <v>710A.10001</v>
          </cell>
          <cell r="F591" t="str">
            <v>Coâng Thöông</v>
          </cell>
          <cell r="G591" t="str">
            <v>Long An</v>
          </cell>
          <cell r="H591" t="str">
            <v>Traû tieàn mua haøng may maëc</v>
          </cell>
          <cell r="I591">
            <v>17092480</v>
          </cell>
        </row>
        <row r="592">
          <cell r="A592">
            <v>38</v>
          </cell>
          <cell r="B592">
            <v>37986</v>
          </cell>
          <cell r="C592">
            <v>3</v>
          </cell>
          <cell r="D592" t="str">
            <v>Cty Coå Phaàn Boät Giaët Lix</v>
          </cell>
          <cell r="E592" t="str">
            <v>710A.01440</v>
          </cell>
          <cell r="F592" t="str">
            <v>Coâng Thöông CN 14</v>
          </cell>
          <cell r="G592" t="str">
            <v>Hoà Chí Minh</v>
          </cell>
          <cell r="H592" t="str">
            <v>Traû tieàn mua boät giaët Lix</v>
          </cell>
          <cell r="I592">
            <v>340000000</v>
          </cell>
        </row>
        <row r="593">
          <cell r="A593">
            <v>39</v>
          </cell>
          <cell r="B593">
            <v>37986</v>
          </cell>
          <cell r="C593">
            <v>85</v>
          </cell>
          <cell r="D593" t="str">
            <v>CTy TNHH TM Minh Tuøng</v>
          </cell>
          <cell r="E593" t="str">
            <v>710A.04024</v>
          </cell>
          <cell r="F593" t="str">
            <v>Sôû Giao Dòch II CTVN</v>
          </cell>
          <cell r="G593" t="str">
            <v>Hoà Chí Minh</v>
          </cell>
          <cell r="H593" t="str">
            <v>Traû tieàn mua haøng ñieän maùy</v>
          </cell>
          <cell r="I593">
            <v>46186000</v>
          </cell>
        </row>
        <row r="594">
          <cell r="A594">
            <v>39</v>
          </cell>
          <cell r="B594">
            <v>37986</v>
          </cell>
          <cell r="C594">
            <v>73</v>
          </cell>
          <cell r="D594" t="str">
            <v>Cty. TNHH SX.TM.HMP Myõ Haûo</v>
          </cell>
          <cell r="E594" t="str">
            <v>007.100.002.4148</v>
          </cell>
          <cell r="F594" t="str">
            <v>Ngoaïi Thöông</v>
          </cell>
          <cell r="G594" t="str">
            <v>Hoà Chí Minh</v>
          </cell>
          <cell r="H594" t="str">
            <v>Traû tieàn mua nöôùc röûa cheùn (TT.BL)</v>
          </cell>
          <cell r="I594">
            <v>125802529</v>
          </cell>
        </row>
        <row r="595">
          <cell r="A595">
            <v>1</v>
          </cell>
          <cell r="B595">
            <v>37988</v>
          </cell>
          <cell r="C595">
            <v>8</v>
          </cell>
          <cell r="D595" t="str">
            <v>Cty Xi Maêng Haø Tieân II</v>
          </cell>
          <cell r="E595" t="str">
            <v>710A.00091</v>
          </cell>
          <cell r="F595" t="str">
            <v>Coâng Thöông</v>
          </cell>
          <cell r="G595" t="str">
            <v>Kieân Giang</v>
          </cell>
          <cell r="H595" t="str">
            <v>Traû tieàn mua xi maêng 400taán</v>
          </cell>
          <cell r="I595">
            <v>320320000</v>
          </cell>
        </row>
        <row r="596">
          <cell r="A596">
            <v>1</v>
          </cell>
          <cell r="B596">
            <v>37988</v>
          </cell>
          <cell r="C596">
            <v>99</v>
          </cell>
          <cell r="D596" t="str">
            <v xml:space="preserve">Löu Thò Myõ Phöôïng (CTyTNHH Taân Thaùi Thònh) </v>
          </cell>
          <cell r="E596" t="str">
            <v>2656329</v>
          </cell>
          <cell r="F596" t="str">
            <v>AÙ Chaâu</v>
          </cell>
          <cell r="G596" t="str">
            <v>Hoà Chí Minh</v>
          </cell>
          <cell r="H596" t="str">
            <v>Traû tieàn mua nöôùc ngoït</v>
          </cell>
          <cell r="I596">
            <v>8799091</v>
          </cell>
        </row>
        <row r="597">
          <cell r="A597">
            <v>2</v>
          </cell>
          <cell r="B597">
            <v>37988</v>
          </cell>
          <cell r="C597">
            <v>36</v>
          </cell>
          <cell r="D597" t="str">
            <v>XN Xaêng Daàu Daàu Khí Vuõng Taøu</v>
          </cell>
          <cell r="E597" t="str">
            <v>710D.00343</v>
          </cell>
          <cell r="F597" t="str">
            <v>Coâng Thöông</v>
          </cell>
          <cell r="G597" t="str">
            <v>Baø Ròa-Vuõng Taøu</v>
          </cell>
          <cell r="H597" t="str">
            <v>Traû tieàn mua xaêng daàu</v>
          </cell>
          <cell r="I597">
            <v>3593000000</v>
          </cell>
        </row>
        <row r="598">
          <cell r="A598">
            <v>1</v>
          </cell>
          <cell r="B598">
            <v>37988</v>
          </cell>
          <cell r="C598">
            <v>99</v>
          </cell>
          <cell r="D598" t="str">
            <v xml:space="preserve">Löu Thò Myõ Phöôïng (CTyTNHH Taân Thaùi Thònh) </v>
          </cell>
          <cell r="E598" t="str">
            <v>2656329</v>
          </cell>
          <cell r="F598" t="str">
            <v>AÙ Chaâu</v>
          </cell>
          <cell r="G598" t="str">
            <v>Hoà Chí Minh</v>
          </cell>
          <cell r="H598" t="str">
            <v>Traû tieàn mua nöôùc ngoït</v>
          </cell>
          <cell r="I598">
            <v>8799091</v>
          </cell>
        </row>
        <row r="599">
          <cell r="A599">
            <v>2</v>
          </cell>
          <cell r="B599">
            <v>37988</v>
          </cell>
          <cell r="C599">
            <v>73</v>
          </cell>
          <cell r="D599" t="str">
            <v>Cty. TNHH SX.TM.HMP Myõ Haûo</v>
          </cell>
          <cell r="E599" t="str">
            <v>007.100.002.4148</v>
          </cell>
          <cell r="F599" t="str">
            <v>Ngoaïi Thöông</v>
          </cell>
          <cell r="G599" t="str">
            <v>Hoà Chí Minh</v>
          </cell>
          <cell r="H599" t="str">
            <v>Traû tieàn mua nöôùc röûa cheùn (TT.CM)</v>
          </cell>
          <cell r="I599">
            <v>34971864</v>
          </cell>
        </row>
        <row r="600">
          <cell r="A600">
            <v>3</v>
          </cell>
          <cell r="B600">
            <v>37989</v>
          </cell>
          <cell r="C600">
            <v>27</v>
          </cell>
          <cell r="D600" t="str">
            <v>Cty TNHH Quoác Teá Nagarjuna</v>
          </cell>
          <cell r="E600" t="str">
            <v>3586.1</v>
          </cell>
          <cell r="F600" t="str">
            <v>INDOVINA</v>
          </cell>
          <cell r="G600" t="str">
            <v>Hoà Chí Minh</v>
          </cell>
          <cell r="H600" t="str">
            <v>Traû tieàn mua ñöôøng</v>
          </cell>
          <cell r="I600">
            <v>30625000</v>
          </cell>
        </row>
        <row r="601">
          <cell r="A601">
            <v>3</v>
          </cell>
          <cell r="B601">
            <v>37989</v>
          </cell>
          <cell r="C601">
            <v>5</v>
          </cell>
          <cell r="D601" t="str">
            <v>Cty TNHH TMaïi Thaønh Long</v>
          </cell>
          <cell r="E601" t="str">
            <v>710A.00817</v>
          </cell>
          <cell r="F601" t="str">
            <v>Coâng Thöong CN6</v>
          </cell>
          <cell r="G601" t="str">
            <v>Hoà Chí Minh</v>
          </cell>
          <cell r="H601" t="str">
            <v>Traû tieàn mua boät ngoït</v>
          </cell>
          <cell r="I601">
            <v>202346974</v>
          </cell>
        </row>
        <row r="602">
          <cell r="A602">
            <v>4</v>
          </cell>
          <cell r="B602">
            <v>37989</v>
          </cell>
          <cell r="C602">
            <v>41</v>
          </cell>
          <cell r="D602" t="str">
            <v>Cty Xi Maêng Nghi Sôn</v>
          </cell>
          <cell r="E602" t="str">
            <v>710A.02772</v>
          </cell>
          <cell r="F602" t="str">
            <v>Coâng Thöông CN 9</v>
          </cell>
          <cell r="G602" t="str">
            <v>Hoà Chí Minh</v>
          </cell>
          <cell r="H602" t="str">
            <v>Traû tieàn mua xi maêng 400taán</v>
          </cell>
          <cell r="I602">
            <v>340000000</v>
          </cell>
        </row>
        <row r="603">
          <cell r="A603">
            <v>5</v>
          </cell>
          <cell r="B603">
            <v>37989</v>
          </cell>
          <cell r="C603">
            <v>36</v>
          </cell>
          <cell r="D603" t="str">
            <v>XN Xaêng Daàu Daàu Khí Vuõng Taøu</v>
          </cell>
          <cell r="E603" t="str">
            <v>710D.00343</v>
          </cell>
          <cell r="F603" t="str">
            <v>Coâng Thöông</v>
          </cell>
          <cell r="G603" t="str">
            <v>Baø Ròa-Vuõng Taøu</v>
          </cell>
          <cell r="H603" t="str">
            <v>Traû tieàn mua xaêng daàu</v>
          </cell>
          <cell r="I603">
            <v>3594000000</v>
          </cell>
        </row>
        <row r="604">
          <cell r="A604">
            <v>8</v>
          </cell>
          <cell r="B604">
            <v>37993</v>
          </cell>
          <cell r="C604">
            <v>8</v>
          </cell>
          <cell r="D604" t="str">
            <v>Cty Xi Maêng Haø Tieân II</v>
          </cell>
          <cell r="E604" t="str">
            <v>710A.00091</v>
          </cell>
          <cell r="F604" t="str">
            <v>Coâng Thöông</v>
          </cell>
          <cell r="G604" t="str">
            <v>Kieân Giang</v>
          </cell>
          <cell r="H604" t="str">
            <v>Traû tieàn mua xi maêng 300taán</v>
          </cell>
          <cell r="I604">
            <v>240240000</v>
          </cell>
        </row>
        <row r="605">
          <cell r="A605">
            <v>9</v>
          </cell>
          <cell r="B605">
            <v>37994</v>
          </cell>
          <cell r="C605">
            <v>14</v>
          </cell>
          <cell r="D605" t="str">
            <v>Coâng Ty Theùp Mieàn Nam</v>
          </cell>
          <cell r="E605" t="str">
            <v>710A.01611</v>
          </cell>
          <cell r="F605" t="str">
            <v>Coâng Thöông CN I</v>
          </cell>
          <cell r="G605" t="str">
            <v>Hoà Chí Minh</v>
          </cell>
          <cell r="H605" t="str">
            <v>Traû tieàn mua haøng cho CN Theùp Mieàn Nam taïi Caàn Thô</v>
          </cell>
          <cell r="I605">
            <v>280000000</v>
          </cell>
        </row>
        <row r="606">
          <cell r="A606">
            <v>4</v>
          </cell>
          <cell r="B606">
            <v>37994</v>
          </cell>
          <cell r="C606">
            <v>79</v>
          </cell>
          <cell r="D606" t="str">
            <v>Doanh Nghiệp Tư Nhaân Minh Nghi</v>
          </cell>
          <cell r="E606" t="str">
            <v>540H.00075</v>
          </cell>
          <cell r="F606" t="str">
            <v>T.M.C.P SG Coâng Thöông CN Bình Chaùnh</v>
          </cell>
          <cell r="G606" t="str">
            <v>Hoà Chí Minh</v>
          </cell>
          <cell r="H606" t="str">
            <v>Traû tieàn mua nöôùc ngoït</v>
          </cell>
          <cell r="I606">
            <v>11368175</v>
          </cell>
        </row>
        <row r="607">
          <cell r="A607">
            <v>10</v>
          </cell>
          <cell r="B607">
            <v>37994</v>
          </cell>
          <cell r="C607">
            <v>100</v>
          </cell>
          <cell r="D607" t="str">
            <v>CTy TNHH TM &amp; SX Vieät Tuøng</v>
          </cell>
          <cell r="E607" t="str">
            <v>710A.07124</v>
          </cell>
          <cell r="F607" t="str">
            <v>Coâng Thöông CN 12</v>
          </cell>
          <cell r="G607" t="str">
            <v>Hoà Chí Minh</v>
          </cell>
          <cell r="H607" t="str">
            <v>Traû tieàn mua caù moøi</v>
          </cell>
          <cell r="I607">
            <v>12800000</v>
          </cell>
        </row>
        <row r="608">
          <cell r="A608">
            <v>11</v>
          </cell>
          <cell r="B608">
            <v>37994</v>
          </cell>
          <cell r="C608">
            <v>79</v>
          </cell>
          <cell r="D608" t="str">
            <v>Doanh Nghiệp Tư Nhaân Minh Nghi</v>
          </cell>
          <cell r="E608" t="str">
            <v>540H.00075</v>
          </cell>
          <cell r="F608" t="str">
            <v>T.M.C.P SG Coâng Thöông CN Bình Chaùnh</v>
          </cell>
          <cell r="G608" t="str">
            <v>Hoà Chí Minh</v>
          </cell>
          <cell r="H608" t="str">
            <v>Traû tieàn mua nöôùc ngoït</v>
          </cell>
          <cell r="I608">
            <v>11368175</v>
          </cell>
        </row>
        <row r="609">
          <cell r="A609">
            <v>4</v>
          </cell>
          <cell r="B609">
            <v>37994</v>
          </cell>
          <cell r="C609">
            <v>73</v>
          </cell>
          <cell r="D609" t="str">
            <v>Cty. TNHH SX.TM.HMP Myõ Haûo</v>
          </cell>
          <cell r="E609" t="str">
            <v>007.100.002.4148</v>
          </cell>
          <cell r="F609" t="str">
            <v>Ngoaïi Thöông</v>
          </cell>
          <cell r="G609" t="str">
            <v>Hoà Chí Minh</v>
          </cell>
          <cell r="H609" t="str">
            <v>Traû tieàn mua nöôùc röûa cheùn (TT.CM)</v>
          </cell>
          <cell r="I609">
            <v>42271354</v>
          </cell>
        </row>
        <row r="610">
          <cell r="A610">
            <v>5</v>
          </cell>
          <cell r="B610">
            <v>37995</v>
          </cell>
          <cell r="C610">
            <v>79</v>
          </cell>
          <cell r="D610" t="str">
            <v>Doanh Nghiệp Tư Nhaân Minh Nghi</v>
          </cell>
          <cell r="E610" t="str">
            <v>540H.00075</v>
          </cell>
          <cell r="F610" t="str">
            <v>T.M.C.P SG Coâng Thöông CN Bình Chaùnh</v>
          </cell>
          <cell r="G610" t="str">
            <v>Hoà Chí Minh</v>
          </cell>
          <cell r="H610" t="str">
            <v>Traû tieàn mua nöôùc ngoït</v>
          </cell>
          <cell r="I610">
            <v>30000000</v>
          </cell>
        </row>
        <row r="611">
          <cell r="A611">
            <v>6</v>
          </cell>
          <cell r="B611">
            <v>37995</v>
          </cell>
          <cell r="C611">
            <v>27</v>
          </cell>
          <cell r="D611" t="str">
            <v>Cty TNHH Quoác Teá Nagarjuna</v>
          </cell>
          <cell r="E611" t="str">
            <v>3586.1</v>
          </cell>
          <cell r="F611" t="str">
            <v>INDOVINA</v>
          </cell>
          <cell r="G611" t="str">
            <v>Hoà Chí Minh</v>
          </cell>
          <cell r="H611" t="str">
            <v>Traû tieàn mua ñöôøng</v>
          </cell>
          <cell r="I611">
            <v>61600000</v>
          </cell>
        </row>
        <row r="612">
          <cell r="A612">
            <v>12</v>
          </cell>
          <cell r="B612">
            <v>37995</v>
          </cell>
          <cell r="C612">
            <v>1</v>
          </cell>
          <cell r="D612" t="str">
            <v>Nhaø Maùy Thuoác Laù Saøi Goøn</v>
          </cell>
          <cell r="E612" t="str">
            <v>710A.00105</v>
          </cell>
          <cell r="F612" t="str">
            <v>Sôû Giao Dòch II CTVN</v>
          </cell>
          <cell r="G612" t="str">
            <v>Hoà Chí Minh</v>
          </cell>
          <cell r="H612" t="str">
            <v>Traû tieàn mua thuoác laù</v>
          </cell>
          <cell r="I612">
            <v>90750000</v>
          </cell>
        </row>
        <row r="613">
          <cell r="A613">
            <v>5</v>
          </cell>
          <cell r="B613">
            <v>37995</v>
          </cell>
          <cell r="C613">
            <v>99</v>
          </cell>
          <cell r="D613" t="str">
            <v xml:space="preserve">Löu Thò Myõ Phöôïng (CTyTNHH Taân Thaùi Thònh) </v>
          </cell>
          <cell r="E613" t="str">
            <v>2656329</v>
          </cell>
          <cell r="F613" t="str">
            <v>AÙ Chaâu</v>
          </cell>
          <cell r="G613" t="str">
            <v>Hoà Chí Minh</v>
          </cell>
          <cell r="H613" t="str">
            <v>Traû tieàn mua nöôùc ngoït</v>
          </cell>
          <cell r="I613">
            <v>30000000</v>
          </cell>
        </row>
        <row r="614">
          <cell r="A614">
            <v>6</v>
          </cell>
          <cell r="B614">
            <v>37995</v>
          </cell>
          <cell r="C614">
            <v>85</v>
          </cell>
          <cell r="D614" t="str">
            <v>CTy TNHH TM Minh Tuøng</v>
          </cell>
          <cell r="E614" t="str">
            <v>710A.04024</v>
          </cell>
          <cell r="F614" t="str">
            <v>Sôû Giao Dòch II CTVN</v>
          </cell>
          <cell r="G614" t="str">
            <v>Hoà Chí Minh</v>
          </cell>
          <cell r="H614" t="str">
            <v>Traû tieàn mua haøng ñieän töû</v>
          </cell>
          <cell r="I614">
            <v>60242000</v>
          </cell>
        </row>
        <row r="615">
          <cell r="A615">
            <v>13</v>
          </cell>
          <cell r="B615">
            <v>37998</v>
          </cell>
          <cell r="C615">
            <v>8</v>
          </cell>
          <cell r="D615" t="str">
            <v>Cty Xi Maêng Haø Tieân II</v>
          </cell>
          <cell r="E615" t="str">
            <v>710A.00091</v>
          </cell>
          <cell r="F615" t="str">
            <v>Coâng Thöông</v>
          </cell>
          <cell r="G615" t="str">
            <v>Kieân Giang</v>
          </cell>
          <cell r="H615" t="str">
            <v>Traû tieàn mua xi maêng 80taán</v>
          </cell>
          <cell r="I615">
            <v>52873700</v>
          </cell>
        </row>
        <row r="616">
          <cell r="A616">
            <v>14</v>
          </cell>
          <cell r="B616">
            <v>37998</v>
          </cell>
          <cell r="C616">
            <v>36</v>
          </cell>
          <cell r="D616" t="str">
            <v>XN Xaêng Daàu Daàu Khí Vuõng Taøu</v>
          </cell>
          <cell r="E616" t="str">
            <v>710D.00343</v>
          </cell>
          <cell r="F616" t="str">
            <v>Coâng Thöông</v>
          </cell>
          <cell r="G616" t="str">
            <v>Baø Ròa-Vuõng Taøu</v>
          </cell>
          <cell r="H616" t="str">
            <v>Traû tieàn mua xaêng daàu</v>
          </cell>
          <cell r="I616">
            <v>3785000000</v>
          </cell>
        </row>
        <row r="617">
          <cell r="A617">
            <v>15</v>
          </cell>
          <cell r="B617">
            <v>37999</v>
          </cell>
          <cell r="C617">
            <v>5</v>
          </cell>
          <cell r="D617" t="str">
            <v>Cty TNHH TMaïi Thaønh Long</v>
          </cell>
          <cell r="E617" t="str">
            <v>710A.00817</v>
          </cell>
          <cell r="F617" t="str">
            <v>Coâng Thöong CN6</v>
          </cell>
          <cell r="G617" t="str">
            <v>Hoà Chí Minh</v>
          </cell>
          <cell r="H617" t="str">
            <v>Traû tieàn mua boät ngoït</v>
          </cell>
          <cell r="I617">
            <v>395408144</v>
          </cell>
        </row>
        <row r="618">
          <cell r="A618">
            <v>16</v>
          </cell>
          <cell r="B618">
            <v>37999</v>
          </cell>
          <cell r="C618">
            <v>31</v>
          </cell>
          <cell r="D618" t="str">
            <v>Cty Daàu Aên Golden Hope - Nhaø Beø</v>
          </cell>
          <cell r="E618" t="str">
            <v>710A.06902</v>
          </cell>
          <cell r="F618" t="str">
            <v>Sôû Giao Dòch II CTVN</v>
          </cell>
          <cell r="G618" t="str">
            <v>Hoà Chí Minh</v>
          </cell>
          <cell r="H618" t="str">
            <v>Traû tieàn mua daàu aên TT.TN.BL</v>
          </cell>
          <cell r="I618">
            <v>86840305</v>
          </cell>
        </row>
        <row r="619">
          <cell r="A619">
            <v>17</v>
          </cell>
          <cell r="B619">
            <v>37999</v>
          </cell>
          <cell r="C619">
            <v>31</v>
          </cell>
          <cell r="D619" t="str">
            <v>Cty Daàu Aên Golden Hope - Nhaø Beø</v>
          </cell>
          <cell r="E619" t="str">
            <v>710A.06902</v>
          </cell>
          <cell r="F619" t="str">
            <v>Sôû Giao Dòch II CTVN</v>
          </cell>
          <cell r="G619" t="str">
            <v>Hoà Chí Minh</v>
          </cell>
          <cell r="H619" t="str">
            <v>Traû tieàn mua daàu xaù</v>
          </cell>
          <cell r="I619">
            <v>12107700</v>
          </cell>
        </row>
        <row r="620">
          <cell r="A620">
            <v>7</v>
          </cell>
          <cell r="B620">
            <v>37999</v>
          </cell>
          <cell r="C620">
            <v>73</v>
          </cell>
          <cell r="D620" t="str">
            <v>Cty. TNHH SX.TM.HMP Myõ Haûo</v>
          </cell>
          <cell r="E620" t="str">
            <v>007.100.002.4148</v>
          </cell>
          <cell r="F620" t="str">
            <v>Ngoaïi Thöông</v>
          </cell>
          <cell r="G620" t="str">
            <v>Hoà Chí Minh</v>
          </cell>
          <cell r="H620" t="str">
            <v>Traû tieàn mua nöôùc röûa cheùn (TT.BL)</v>
          </cell>
          <cell r="I620">
            <v>54281639</v>
          </cell>
        </row>
        <row r="621">
          <cell r="A621">
            <v>8</v>
          </cell>
          <cell r="B621">
            <v>38000</v>
          </cell>
          <cell r="C621">
            <v>66</v>
          </cell>
          <cell r="D621" t="str">
            <v>Cty UNI PRESIDENT</v>
          </cell>
          <cell r="E621" t="str">
            <v>30 98 208</v>
          </cell>
          <cell r="F621" t="str">
            <v>ANZ</v>
          </cell>
          <cell r="G621" t="str">
            <v>Hoà Chí Minh</v>
          </cell>
          <cell r="H621" t="str">
            <v>Traû tieàn mua mì Unif</v>
          </cell>
          <cell r="I621">
            <v>25149948</v>
          </cell>
        </row>
        <row r="622">
          <cell r="A622">
            <v>18</v>
          </cell>
          <cell r="B622">
            <v>38000</v>
          </cell>
          <cell r="C622">
            <v>10</v>
          </cell>
          <cell r="D622" t="str">
            <v>Cty TNHH Daàu Nhôùt vaø Hoùa Chaát VN</v>
          </cell>
          <cell r="E622" t="str">
            <v>001.004837.041</v>
          </cell>
          <cell r="F622" t="str">
            <v>Hoàng Kong&amp; Thöôïng Haûi</v>
          </cell>
          <cell r="G622" t="str">
            <v>Hoà Chí Minh</v>
          </cell>
          <cell r="H622" t="str">
            <v>Traû tieàn mua nhôùt</v>
          </cell>
          <cell r="I622">
            <v>147880000</v>
          </cell>
        </row>
        <row r="623">
          <cell r="A623">
            <v>19</v>
          </cell>
          <cell r="B623">
            <v>38000</v>
          </cell>
          <cell r="C623">
            <v>90</v>
          </cell>
          <cell r="D623" t="str">
            <v>CN CTy. CP Ñöôøng Bieân Hoøa taïi Caàn Thô</v>
          </cell>
          <cell r="E623" t="str">
            <v>710A.80253</v>
          </cell>
          <cell r="F623" t="str">
            <v>Coâng Thöông</v>
          </cell>
          <cell r="G623" t="str">
            <v>Caàn Thô</v>
          </cell>
          <cell r="H623" t="str">
            <v>Traû tieàn mua ñöôøng</v>
          </cell>
          <cell r="I623">
            <v>21400000</v>
          </cell>
        </row>
        <row r="624">
          <cell r="A624">
            <v>9</v>
          </cell>
          <cell r="B624">
            <v>38000</v>
          </cell>
          <cell r="C624">
            <v>27</v>
          </cell>
          <cell r="D624" t="str">
            <v>Cty TNHH Quoác Teá Nagarjuna</v>
          </cell>
          <cell r="E624" t="str">
            <v>3586.1</v>
          </cell>
          <cell r="F624" t="str">
            <v>INDOVINA</v>
          </cell>
          <cell r="G624" t="str">
            <v>Hoà Chí Minh</v>
          </cell>
          <cell r="H624" t="str">
            <v>Traû tieàn mua ñöôøng</v>
          </cell>
          <cell r="I624">
            <v>39600000</v>
          </cell>
        </row>
        <row r="625">
          <cell r="A625">
            <v>10</v>
          </cell>
          <cell r="B625">
            <v>38000</v>
          </cell>
          <cell r="C625">
            <v>44</v>
          </cell>
          <cell r="D625" t="str">
            <v>CTy Ñieän Baùo Ñieän Thoaïi Baïc Lieâu</v>
          </cell>
          <cell r="E625" t="str">
            <v>710A.00074</v>
          </cell>
          <cell r="F625" t="str">
            <v xml:space="preserve">Coâng Thöông </v>
          </cell>
          <cell r="G625" t="str">
            <v>Baïc Lieâu</v>
          </cell>
          <cell r="H625" t="str">
            <v>Traû tieàn ñieän thoaïi thaùng 12/2003</v>
          </cell>
          <cell r="I625">
            <v>10013205</v>
          </cell>
        </row>
        <row r="626">
          <cell r="A626">
            <v>11</v>
          </cell>
          <cell r="B626">
            <v>38001</v>
          </cell>
          <cell r="C626">
            <v>93</v>
          </cell>
          <cell r="D626" t="str">
            <v>Cty Coå Phaàn Giaáy Vieãn Ñoâng</v>
          </cell>
          <cell r="E626" t="str">
            <v>710A.04479</v>
          </cell>
          <cell r="F626" t="str">
            <v>Coâng Thöông CN 12</v>
          </cell>
          <cell r="G626" t="str">
            <v>Hoà Chí Minh</v>
          </cell>
          <cell r="H626" t="str">
            <v>Traû tieàn mua giaáy Vieãn Ñoâng</v>
          </cell>
          <cell r="I626">
            <v>10091895</v>
          </cell>
        </row>
        <row r="627">
          <cell r="A627">
            <v>12</v>
          </cell>
          <cell r="B627">
            <v>38001</v>
          </cell>
          <cell r="C627">
            <v>59</v>
          </cell>
          <cell r="D627" t="str">
            <v>Baùo Ñaïi Ñoaøn Keát</v>
          </cell>
          <cell r="E627" t="str">
            <v>945.01.03.00011</v>
          </cell>
          <cell r="F627" t="str">
            <v>Kho Baïc Nhaø Nöôùc Q.3</v>
          </cell>
          <cell r="G627" t="str">
            <v>Hoà Chí Minh</v>
          </cell>
          <cell r="H627" t="str">
            <v>Quaûng caùo baùo xuaân naêm 2004</v>
          </cell>
          <cell r="I627">
            <v>3000000</v>
          </cell>
        </row>
        <row r="628">
          <cell r="A628">
            <v>13</v>
          </cell>
          <cell r="B628">
            <v>38002</v>
          </cell>
          <cell r="C628">
            <v>28</v>
          </cell>
          <cell r="D628" t="str">
            <v>Chi Nhaùnh Cty CP Söõa VN Taïi Caàn Thô</v>
          </cell>
          <cell r="E628" t="str">
            <v>7301.0479K</v>
          </cell>
          <cell r="F628" t="str">
            <v>Ñaàu Tö &amp; Phaùt Trieån</v>
          </cell>
          <cell r="G628" t="str">
            <v>Caàn Thô</v>
          </cell>
          <cell r="H628" t="str">
            <v>Traû tieân mua söõa hoäp caùc loaïi</v>
          </cell>
          <cell r="I628">
            <v>900000000</v>
          </cell>
        </row>
        <row r="629">
          <cell r="A629">
            <v>20</v>
          </cell>
          <cell r="B629">
            <v>38002</v>
          </cell>
          <cell r="C629">
            <v>36</v>
          </cell>
          <cell r="D629" t="str">
            <v>XN Xaêng Daàu Daàu Khí Vuõng Taøu</v>
          </cell>
          <cell r="E629" t="str">
            <v>710D.00343</v>
          </cell>
          <cell r="F629" t="str">
            <v>Coâng Thöông</v>
          </cell>
          <cell r="G629" t="str">
            <v>Baø Ròa-Vuõng Taøu</v>
          </cell>
          <cell r="H629" t="str">
            <v>Traû tieàn mua xaêng daàu</v>
          </cell>
          <cell r="I629">
            <v>2011000000</v>
          </cell>
        </row>
        <row r="630">
          <cell r="A630">
            <v>21</v>
          </cell>
          <cell r="B630">
            <v>38002</v>
          </cell>
          <cell r="C630">
            <v>3</v>
          </cell>
          <cell r="D630" t="str">
            <v>Cty Coå Phaàn Boät Giaët Lix</v>
          </cell>
          <cell r="E630" t="str">
            <v>710A.01440</v>
          </cell>
          <cell r="F630" t="str">
            <v>Coâng Thöông CN 14</v>
          </cell>
          <cell r="G630" t="str">
            <v>Hoà Chí Minh</v>
          </cell>
          <cell r="H630" t="str">
            <v>Traû tieàn mua boät giaët</v>
          </cell>
          <cell r="I630">
            <v>240000000</v>
          </cell>
        </row>
        <row r="631">
          <cell r="A631">
            <v>14</v>
          </cell>
          <cell r="B631">
            <v>38002</v>
          </cell>
          <cell r="C631">
            <v>80</v>
          </cell>
          <cell r="D631" t="str">
            <v>Chi Nhaùnh Cty TNHH AÉC-QUY GS VN</v>
          </cell>
          <cell r="E631" t="str">
            <v>007.100.075318.7</v>
          </cell>
          <cell r="F631" t="str">
            <v>Ngoaïi Thöông</v>
          </cell>
          <cell r="G631" t="str">
            <v>Hoà Chí Minh</v>
          </cell>
          <cell r="H631" t="str">
            <v>Traû tieàn mua bình aéc quy</v>
          </cell>
          <cell r="I631">
            <v>25806000</v>
          </cell>
        </row>
        <row r="632">
          <cell r="A632">
            <v>22</v>
          </cell>
          <cell r="B632">
            <v>38002</v>
          </cell>
          <cell r="C632">
            <v>14</v>
          </cell>
          <cell r="D632" t="str">
            <v>Coâng Ty Theùp Mieàn Nam</v>
          </cell>
          <cell r="E632" t="str">
            <v>710A.01611</v>
          </cell>
          <cell r="F632" t="str">
            <v>Coâng Thöông CN I</v>
          </cell>
          <cell r="G632" t="str">
            <v>Hoà Chí Minh</v>
          </cell>
          <cell r="H632" t="str">
            <v>Traû tieàn mua haøng cho CN Theùp Mieàn Nam taïi Caàn Thô</v>
          </cell>
          <cell r="I632">
            <v>100000000</v>
          </cell>
        </row>
        <row r="633">
          <cell r="A633">
            <v>23</v>
          </cell>
          <cell r="B633">
            <v>38005</v>
          </cell>
          <cell r="C633">
            <v>36</v>
          </cell>
          <cell r="D633" t="str">
            <v>XN Xaêng Daàu Daàu Khí Vuõng Taøu</v>
          </cell>
          <cell r="E633" t="str">
            <v>710D.00343</v>
          </cell>
          <cell r="F633" t="str">
            <v>Coâng Thöông</v>
          </cell>
          <cell r="G633" t="str">
            <v>Baø Ròa-Vuõng Taøu</v>
          </cell>
          <cell r="H633" t="str">
            <v>Traû tieàn mua xaêng daàu</v>
          </cell>
          <cell r="I633">
            <v>3610000000</v>
          </cell>
        </row>
        <row r="634">
          <cell r="A634">
            <v>24</v>
          </cell>
          <cell r="B634">
            <v>38005</v>
          </cell>
          <cell r="C634">
            <v>31</v>
          </cell>
          <cell r="D634" t="str">
            <v>Cty Daàu Aên Golden Hope - Nhaø Beø</v>
          </cell>
          <cell r="E634" t="str">
            <v>710A.06902</v>
          </cell>
          <cell r="F634" t="str">
            <v>Sôû Giao Dòch II CTVN</v>
          </cell>
          <cell r="G634" t="str">
            <v>Hoà Chí Minh</v>
          </cell>
          <cell r="H634" t="str">
            <v>Traû tieàn mua daàu xaù</v>
          </cell>
          <cell r="I634">
            <v>36323100</v>
          </cell>
        </row>
        <row r="635">
          <cell r="A635">
            <v>25</v>
          </cell>
          <cell r="B635">
            <v>38005</v>
          </cell>
          <cell r="C635">
            <v>31</v>
          </cell>
          <cell r="D635" t="str">
            <v>Cty Daàu Aên Golden Hope - Nhaø Beø</v>
          </cell>
          <cell r="E635" t="str">
            <v>710A.06902</v>
          </cell>
          <cell r="F635" t="str">
            <v>Sôû Giao Dòch II CTVN</v>
          </cell>
          <cell r="G635" t="str">
            <v>Hoà Chí Minh</v>
          </cell>
          <cell r="H635" t="str">
            <v>Traû tieàn mua daàu aên TT.TN.BL</v>
          </cell>
          <cell r="I635">
            <v>99751414</v>
          </cell>
        </row>
        <row r="636">
          <cell r="A636">
            <v>15</v>
          </cell>
          <cell r="B636">
            <v>38005</v>
          </cell>
          <cell r="C636">
            <v>28</v>
          </cell>
          <cell r="D636" t="str">
            <v>Chi Nhaùnh Cty CP Söõa VN Taïi Caàn Thô</v>
          </cell>
          <cell r="E636" t="str">
            <v>7301.0479K</v>
          </cell>
          <cell r="F636" t="str">
            <v>Ñaàu Tö &amp; Phaùt Trieån</v>
          </cell>
          <cell r="G636" t="str">
            <v>Caàn Thô</v>
          </cell>
          <cell r="H636" t="str">
            <v>Traû tieân mua söõa hoäp caùc loaïi</v>
          </cell>
          <cell r="I636">
            <v>200000000</v>
          </cell>
        </row>
        <row r="637">
          <cell r="A637">
            <v>16</v>
          </cell>
          <cell r="B637">
            <v>38005</v>
          </cell>
          <cell r="C637">
            <v>9</v>
          </cell>
          <cell r="D637" t="str">
            <v>Castrol Vieät Nam Ltd</v>
          </cell>
          <cell r="E637" t="str">
            <v>007.1.00.002804.1</v>
          </cell>
          <cell r="F637" t="str">
            <v>Ngoaïi Thöông</v>
          </cell>
          <cell r="G637" t="str">
            <v>Hoà Chí Minh</v>
          </cell>
          <cell r="H637" t="str">
            <v>Traû tieàn mua nhôùt</v>
          </cell>
          <cell r="I637">
            <v>9264528</v>
          </cell>
        </row>
        <row r="638">
          <cell r="A638">
            <v>17</v>
          </cell>
          <cell r="B638">
            <v>38005</v>
          </cell>
          <cell r="C638">
            <v>73</v>
          </cell>
          <cell r="D638" t="str">
            <v>Cty. TNHH SX.TM.HMP Myõ Haûo</v>
          </cell>
          <cell r="E638" t="str">
            <v>007.100.002.4148</v>
          </cell>
          <cell r="F638" t="str">
            <v>Ngoaïi Thöông</v>
          </cell>
          <cell r="G638" t="str">
            <v>Hoà Chí Minh</v>
          </cell>
          <cell r="H638" t="str">
            <v>Traû tieàn mua nöôùc röûa cheùn (TT.BL)</v>
          </cell>
          <cell r="I638">
            <v>44501465</v>
          </cell>
        </row>
        <row r="639">
          <cell r="A639">
            <v>18</v>
          </cell>
          <cell r="B639">
            <v>38005</v>
          </cell>
          <cell r="C639">
            <v>27</v>
          </cell>
          <cell r="D639" t="str">
            <v>Cty TNHH Quoác Teá Nagarjuna</v>
          </cell>
          <cell r="E639" t="str">
            <v>3586.1</v>
          </cell>
          <cell r="F639" t="str">
            <v>INDOVINA</v>
          </cell>
          <cell r="G639" t="str">
            <v>Hoà Chí Minh</v>
          </cell>
          <cell r="H639" t="str">
            <v>Traû tieàn mua ñöôøng</v>
          </cell>
          <cell r="I639">
            <v>39600000</v>
          </cell>
        </row>
        <row r="640">
          <cell r="A640">
            <v>19</v>
          </cell>
          <cell r="B640">
            <v>38005</v>
          </cell>
          <cell r="C640">
            <v>66</v>
          </cell>
          <cell r="D640" t="str">
            <v>Cty UNI PRESIDENT</v>
          </cell>
          <cell r="E640" t="str">
            <v>30 98 208</v>
          </cell>
          <cell r="F640" t="str">
            <v>ANZ</v>
          </cell>
          <cell r="G640" t="str">
            <v>Hoà Chí Minh</v>
          </cell>
          <cell r="H640" t="str">
            <v>Traû tieàn mua mì Unif</v>
          </cell>
          <cell r="I640">
            <v>39072882</v>
          </cell>
        </row>
        <row r="641">
          <cell r="A641">
            <v>20</v>
          </cell>
          <cell r="B641">
            <v>38005</v>
          </cell>
          <cell r="C641">
            <v>94</v>
          </cell>
          <cell r="D641" t="str">
            <v>CTy TNHH SX Taân AÙ Chaâu</v>
          </cell>
          <cell r="E641" t="str">
            <v>710A.01969</v>
          </cell>
          <cell r="F641" t="str">
            <v>Coâng Thöông CN 9</v>
          </cell>
          <cell r="G641" t="str">
            <v>Hoà Chí Minh</v>
          </cell>
          <cell r="H641" t="str">
            <v>Traû tieàn mua chaùo bình tieân</v>
          </cell>
          <cell r="I641">
            <v>5936000</v>
          </cell>
        </row>
        <row r="642">
          <cell r="A642">
            <v>17</v>
          </cell>
          <cell r="B642">
            <v>38005</v>
          </cell>
          <cell r="C642">
            <v>73</v>
          </cell>
          <cell r="D642" t="str">
            <v>Cty. TNHH SX.TM.HMP Myõ Haûo</v>
          </cell>
          <cell r="E642" t="str">
            <v>007.100.002.4148</v>
          </cell>
          <cell r="F642" t="str">
            <v>Ngoaïi Thöông</v>
          </cell>
          <cell r="G642" t="str">
            <v>Hoà Chí Minh</v>
          </cell>
          <cell r="H642" t="str">
            <v>Traû tieàn mua nöôùc röûa cheùn (TT.BL: 83.359.005ñ; TT.CM: 45.521.291ñ)</v>
          </cell>
          <cell r="I642">
            <v>128880296</v>
          </cell>
        </row>
        <row r="643">
          <cell r="A643">
            <v>22</v>
          </cell>
          <cell r="B643">
            <v>38006</v>
          </cell>
          <cell r="C643">
            <v>14</v>
          </cell>
          <cell r="D643" t="str">
            <v>Coâng Ty Theùp Mieàn Nam</v>
          </cell>
          <cell r="E643" t="str">
            <v>710A.01611</v>
          </cell>
          <cell r="F643" t="str">
            <v>Coâng Thöông CN I</v>
          </cell>
          <cell r="G643" t="str">
            <v>Hoà Chí Minh</v>
          </cell>
          <cell r="H643" t="str">
            <v xml:space="preserve">Traû tieàn mua haøng cho CN Mieàn Taây C.Ty Theùp Mieàn Nam </v>
          </cell>
          <cell r="I643">
            <v>550000000</v>
          </cell>
        </row>
        <row r="644">
          <cell r="A644">
            <v>23</v>
          </cell>
          <cell r="B644">
            <v>38013</v>
          </cell>
          <cell r="C644">
            <v>8</v>
          </cell>
          <cell r="D644" t="str">
            <v>Cty Xi Maêng Haø Tieân II</v>
          </cell>
          <cell r="E644" t="str">
            <v>710A.00091</v>
          </cell>
          <cell r="F644" t="str">
            <v>Coâng Thöông</v>
          </cell>
          <cell r="G644" t="str">
            <v>Kieân Giang</v>
          </cell>
          <cell r="H644" t="str">
            <v>Traû tieàn mua xi maêng 300taán</v>
          </cell>
          <cell r="I644">
            <v>234135000</v>
          </cell>
        </row>
        <row r="645">
          <cell r="A645">
            <v>18</v>
          </cell>
          <cell r="B645">
            <v>38013</v>
          </cell>
          <cell r="C645">
            <v>28</v>
          </cell>
          <cell r="D645" t="str">
            <v>Chi Nhaùnh Cty CP Söõa VN Taïi Caàn Thô</v>
          </cell>
          <cell r="E645" t="str">
            <v>7301.0479K</v>
          </cell>
          <cell r="F645" t="str">
            <v>Ñaàu Tö &amp; Phaùt Trieån</v>
          </cell>
          <cell r="G645" t="str">
            <v>Caàn Thô</v>
          </cell>
          <cell r="H645" t="str">
            <v>Traû tieân mua söõa hoäp caùc loaïi</v>
          </cell>
          <cell r="I645">
            <v>261590630</v>
          </cell>
        </row>
        <row r="646">
          <cell r="A646">
            <v>19</v>
          </cell>
          <cell r="B646">
            <v>38013</v>
          </cell>
          <cell r="C646">
            <v>31</v>
          </cell>
          <cell r="D646" t="str">
            <v>Cty Daàu Aên Golden Hope - Nhaø Beø</v>
          </cell>
          <cell r="E646" t="str">
            <v>710A.06902</v>
          </cell>
          <cell r="F646" t="str">
            <v>Sôû Giao Dòch II CTVN</v>
          </cell>
          <cell r="G646" t="str">
            <v>Hoà Chí Minh</v>
          </cell>
          <cell r="H646" t="str">
            <v>Traû tieàn mua daàu aên TT.TN.Hoä Phoøng</v>
          </cell>
          <cell r="I646">
            <v>84856420</v>
          </cell>
        </row>
        <row r="647">
          <cell r="A647">
            <v>24</v>
          </cell>
          <cell r="B647">
            <v>38015</v>
          </cell>
          <cell r="C647">
            <v>36</v>
          </cell>
          <cell r="D647" t="str">
            <v>XN Xaêng Daàu Daàu Khí Vuõng Taøu</v>
          </cell>
          <cell r="E647" t="str">
            <v>710D.00343</v>
          </cell>
          <cell r="F647" t="str">
            <v>Coâng Thöông</v>
          </cell>
          <cell r="G647" t="str">
            <v>Baø Ròa-Vuõng Taøu</v>
          </cell>
          <cell r="H647" t="str">
            <v>Traû tieàn mua xaêng daàu</v>
          </cell>
          <cell r="I647">
            <v>1930000000</v>
          </cell>
        </row>
        <row r="648">
          <cell r="A648">
            <v>25</v>
          </cell>
          <cell r="B648">
            <v>38015</v>
          </cell>
          <cell r="C648">
            <v>31</v>
          </cell>
          <cell r="D648" t="str">
            <v>Cty Daàu Aên Golden Hope - Nhaø Beø</v>
          </cell>
          <cell r="E648" t="str">
            <v>710A.06902</v>
          </cell>
          <cell r="F648" t="str">
            <v>Sôû Giao Dòch II CTVN</v>
          </cell>
          <cell r="G648" t="str">
            <v>Hoà Chí Minh</v>
          </cell>
          <cell r="H648" t="str">
            <v>Traû tieàn mua daàu aên TT.TN.CM</v>
          </cell>
          <cell r="I648">
            <v>109604994</v>
          </cell>
        </row>
        <row r="649">
          <cell r="A649">
            <v>26</v>
          </cell>
          <cell r="B649">
            <v>38015</v>
          </cell>
          <cell r="C649">
            <v>7</v>
          </cell>
          <cell r="D649" t="str">
            <v>Xí Nghieäp Colusa-Miliket</v>
          </cell>
          <cell r="E649" t="str">
            <v>314.100.00000052</v>
          </cell>
          <cell r="F649" t="str">
            <v>Ñaàu Tö &amp; Phaùt Trieån CN Thuû Ñöùc</v>
          </cell>
          <cell r="G649" t="str">
            <v>Hoà Chí Minh</v>
          </cell>
          <cell r="H649" t="str">
            <v>Traû tieàn mì Colusa</v>
          </cell>
          <cell r="I649">
            <v>188101605</v>
          </cell>
        </row>
        <row r="650">
          <cell r="A650">
            <v>27</v>
          </cell>
          <cell r="B650">
            <v>38015</v>
          </cell>
          <cell r="C650">
            <v>46</v>
          </cell>
          <cell r="D650" t="str">
            <v>CTy MIWON VIETNAM</v>
          </cell>
          <cell r="E650" t="str">
            <v>710A.00183</v>
          </cell>
          <cell r="F650" t="str">
            <v xml:space="preserve">Coâng Thöông </v>
          </cell>
          <cell r="G650" t="str">
            <v>Phuù Thoï</v>
          </cell>
          <cell r="H650" t="str">
            <v>Traû tieàn mua boät ngoït</v>
          </cell>
          <cell r="I650">
            <v>49859539</v>
          </cell>
        </row>
        <row r="651">
          <cell r="A651">
            <v>28</v>
          </cell>
          <cell r="B651">
            <v>38015</v>
          </cell>
          <cell r="C651">
            <v>100</v>
          </cell>
          <cell r="D651" t="str">
            <v>CTy TNHH TM &amp; SX Vieät Tuøng</v>
          </cell>
          <cell r="E651" t="str">
            <v>710A.07124</v>
          </cell>
          <cell r="F651" t="str">
            <v>Coâng Thöông CN 12</v>
          </cell>
          <cell r="G651" t="str">
            <v>Hoà Chí Minh</v>
          </cell>
          <cell r="H651" t="str">
            <v>Traû tieàn mua caù moøi</v>
          </cell>
          <cell r="I651">
            <v>7680000</v>
          </cell>
        </row>
        <row r="652">
          <cell r="A652">
            <v>20</v>
          </cell>
          <cell r="B652">
            <v>38015</v>
          </cell>
          <cell r="C652">
            <v>66</v>
          </cell>
          <cell r="D652" t="str">
            <v>Cty UNI PRESIDENT</v>
          </cell>
          <cell r="E652" t="str">
            <v>30 98 208</v>
          </cell>
          <cell r="F652" t="str">
            <v>ANZ</v>
          </cell>
          <cell r="G652" t="str">
            <v>Hoà Chí Minh</v>
          </cell>
          <cell r="H652" t="str">
            <v>Traû tieàn mì Unif</v>
          </cell>
          <cell r="I652">
            <v>45436320</v>
          </cell>
        </row>
        <row r="653">
          <cell r="A653">
            <v>21</v>
          </cell>
          <cell r="B653">
            <v>38015</v>
          </cell>
          <cell r="C653">
            <v>73</v>
          </cell>
          <cell r="D653" t="str">
            <v>Cty. TNHH SX.TM.HMP Myõ Haûo</v>
          </cell>
          <cell r="E653" t="str">
            <v>007.100.002.4148</v>
          </cell>
          <cell r="F653" t="str">
            <v>Ngoaïi Thöông</v>
          </cell>
          <cell r="G653" t="str">
            <v>Hoà Chí Minh</v>
          </cell>
          <cell r="H653" t="str">
            <v>Traû tieàn mua nöôùc röûa cheùn  (TT.CM)</v>
          </cell>
          <cell r="I653">
            <v>105391542</v>
          </cell>
        </row>
        <row r="654">
          <cell r="A654">
            <v>22</v>
          </cell>
          <cell r="B654">
            <v>38016</v>
          </cell>
          <cell r="C654">
            <v>28</v>
          </cell>
          <cell r="D654" t="str">
            <v>Chi Nhaùnh Cty CP Söõa VN Taïi Caàn Thô</v>
          </cell>
          <cell r="E654" t="str">
            <v>7301.0479K</v>
          </cell>
          <cell r="F654" t="str">
            <v>Ñaàu Tö &amp; Phaùt Trieån</v>
          </cell>
          <cell r="G654" t="str">
            <v>Caàn Thô</v>
          </cell>
          <cell r="H654" t="str">
            <v>Traû tieân mua söõa hoäp caùc loaïi</v>
          </cell>
          <cell r="I654">
            <v>340205237</v>
          </cell>
        </row>
        <row r="655">
          <cell r="A655">
            <v>29</v>
          </cell>
          <cell r="B655">
            <v>38016</v>
          </cell>
          <cell r="C655">
            <v>8</v>
          </cell>
          <cell r="D655" t="str">
            <v>Cty Xi Maêng Haø Tieân II</v>
          </cell>
          <cell r="E655" t="str">
            <v>710A.00091</v>
          </cell>
          <cell r="F655" t="str">
            <v>Coâng Thöông</v>
          </cell>
          <cell r="G655" t="str">
            <v>Kieân Giang</v>
          </cell>
          <cell r="H655" t="str">
            <v>Traû tieàn mua xi maêng 120taán</v>
          </cell>
          <cell r="I655">
            <v>97040550</v>
          </cell>
        </row>
        <row r="656">
          <cell r="A656">
            <v>30</v>
          </cell>
          <cell r="B656">
            <v>38016</v>
          </cell>
          <cell r="C656">
            <v>22</v>
          </cell>
          <cell r="D656" t="str">
            <v>Cty Deät Long An</v>
          </cell>
          <cell r="E656" t="str">
            <v>710A.10001</v>
          </cell>
          <cell r="F656" t="str">
            <v>Coâng Thöông</v>
          </cell>
          <cell r="G656" t="str">
            <v>Long An</v>
          </cell>
          <cell r="H656" t="str">
            <v>Traû tieàn vaûi Long An</v>
          </cell>
          <cell r="I656">
            <v>6603510</v>
          </cell>
        </row>
        <row r="657">
          <cell r="A657">
            <v>31</v>
          </cell>
          <cell r="B657">
            <v>38016</v>
          </cell>
          <cell r="C657">
            <v>77</v>
          </cell>
          <cell r="D657" t="str">
            <v>Cty Ñieän &amp; Ñieän Töû SAMSUNG VINA</v>
          </cell>
          <cell r="E657" t="str">
            <v>710A.01109</v>
          </cell>
          <cell r="F657" t="str">
            <v>Coâng Thöông CN 4</v>
          </cell>
          <cell r="G657" t="str">
            <v>Hoà Chí Minh</v>
          </cell>
          <cell r="H657" t="str">
            <v>Traû tieàn haøng ñieän maùy</v>
          </cell>
          <cell r="I657">
            <v>25488299</v>
          </cell>
        </row>
        <row r="658">
          <cell r="A658">
            <v>32</v>
          </cell>
          <cell r="B658">
            <v>38016</v>
          </cell>
          <cell r="C658">
            <v>36</v>
          </cell>
          <cell r="D658" t="str">
            <v>XN Xaêng Daàu Daàu Khí Vuõng Taøu</v>
          </cell>
          <cell r="E658" t="str">
            <v>710D.00343</v>
          </cell>
          <cell r="F658" t="str">
            <v>Coâng Thöông</v>
          </cell>
          <cell r="G658" t="str">
            <v>Baø Ròa-Vuõng Taøu</v>
          </cell>
          <cell r="H658" t="str">
            <v>Traû tieàn mua xaêng daàu</v>
          </cell>
          <cell r="I658">
            <v>5590000000</v>
          </cell>
        </row>
        <row r="659">
          <cell r="A659">
            <v>33</v>
          </cell>
          <cell r="B659">
            <v>38016</v>
          </cell>
          <cell r="C659">
            <v>101</v>
          </cell>
          <cell r="D659" t="str">
            <v>Cty TMKT &amp; Ñaàu Tö PETEC</v>
          </cell>
          <cell r="E659" t="str">
            <v>1003227 05 2</v>
          </cell>
          <cell r="F659" t="str">
            <v>Deutsche Bank</v>
          </cell>
          <cell r="G659" t="str">
            <v>Hoà Chí Minh</v>
          </cell>
          <cell r="H659" t="str">
            <v xml:space="preserve">Traû tieàn mua xaêng daàu </v>
          </cell>
          <cell r="I659">
            <v>6764000000</v>
          </cell>
        </row>
        <row r="660">
          <cell r="A660">
            <v>23</v>
          </cell>
          <cell r="B660">
            <v>38016</v>
          </cell>
          <cell r="C660">
            <v>103</v>
          </cell>
          <cell r="D660" t="str">
            <v>Baùo Nhaân Daân</v>
          </cell>
          <cell r="E660" t="str">
            <v>001.1.00.006884.5</v>
          </cell>
          <cell r="F660" t="str">
            <v>Ngoaïi Thöông Vieät Nam</v>
          </cell>
          <cell r="G660" t="str">
            <v>Haø Noäi</v>
          </cell>
          <cell r="H660" t="str">
            <v xml:space="preserve">Tieàn ñaët baùo 5 kyø </v>
          </cell>
          <cell r="I660">
            <v>5000000</v>
          </cell>
        </row>
        <row r="661">
          <cell r="A661">
            <v>34</v>
          </cell>
          <cell r="B661">
            <v>38016</v>
          </cell>
          <cell r="C661">
            <v>101</v>
          </cell>
          <cell r="D661" t="str">
            <v>Cty TMKT &amp; Ñaàu Tö PETEC</v>
          </cell>
          <cell r="E661" t="str">
            <v>1003227 05 2</v>
          </cell>
          <cell r="F661" t="str">
            <v>Deutsche Bank</v>
          </cell>
          <cell r="G661" t="str">
            <v>Hoà Chí Minh</v>
          </cell>
          <cell r="H661" t="str">
            <v>Traû tieàn mua xaêng daàu (Maõ IBPS 50619012)</v>
          </cell>
          <cell r="I661">
            <v>3310000000</v>
          </cell>
        </row>
        <row r="662">
          <cell r="A662">
            <v>1</v>
          </cell>
          <cell r="B662">
            <v>38019</v>
          </cell>
          <cell r="C662">
            <v>86</v>
          </cell>
          <cell r="D662" t="str">
            <v xml:space="preserve"> Baûo Minh Baïc Lieâu</v>
          </cell>
          <cell r="E662" t="str">
            <v>4211.30.00.48.0030</v>
          </cell>
          <cell r="F662" t="str">
            <v>Phöông Ñoâng</v>
          </cell>
          <cell r="G662" t="str">
            <v>Baïc Lieâu</v>
          </cell>
          <cell r="H662" t="str">
            <v>Mua boûa hieåm naêm 2004</v>
          </cell>
          <cell r="I662">
            <v>15500000</v>
          </cell>
        </row>
        <row r="663">
          <cell r="A663">
            <v>2</v>
          </cell>
          <cell r="B663">
            <v>38019</v>
          </cell>
          <cell r="C663">
            <v>95</v>
          </cell>
          <cell r="D663" t="str">
            <v>Cty Deät May Thaønh Coâng - CN MieànTaây</v>
          </cell>
          <cell r="E663" t="str">
            <v>73012209E</v>
          </cell>
          <cell r="F663" t="str">
            <v>Ñaàu Tö &amp; Phaùt Trieån</v>
          </cell>
          <cell r="G663" t="str">
            <v>Caàn Thô</v>
          </cell>
          <cell r="H663" t="str">
            <v>Traû tieàn haøng may saún</v>
          </cell>
          <cell r="I663">
            <v>7282630</v>
          </cell>
        </row>
        <row r="664">
          <cell r="A664">
            <v>1</v>
          </cell>
          <cell r="B664">
            <v>38019</v>
          </cell>
          <cell r="C664">
            <v>41</v>
          </cell>
          <cell r="D664" t="str">
            <v>Cty Xi Maêng Nghi Sôn</v>
          </cell>
          <cell r="E664" t="str">
            <v>710A.02772</v>
          </cell>
          <cell r="F664" t="str">
            <v>Coâng Thöông CN 9</v>
          </cell>
          <cell r="G664" t="str">
            <v>Hoà Chí Minh</v>
          </cell>
          <cell r="H664" t="str">
            <v>Traû tieàn mua xi maêng 300 taán</v>
          </cell>
          <cell r="I664">
            <v>255000000</v>
          </cell>
        </row>
        <row r="665">
          <cell r="A665">
            <v>2</v>
          </cell>
          <cell r="B665">
            <v>38019</v>
          </cell>
          <cell r="C665">
            <v>3</v>
          </cell>
          <cell r="D665" t="str">
            <v>Cty Coå Phaàn Boät Giaët Lix</v>
          </cell>
          <cell r="E665" t="str">
            <v>710A.01440</v>
          </cell>
          <cell r="F665" t="str">
            <v>Coâng Thöông CN 14</v>
          </cell>
          <cell r="G665" t="str">
            <v>Hoà Chí Minh</v>
          </cell>
          <cell r="H665" t="str">
            <v>Traû tieàn mua boät giaët</v>
          </cell>
          <cell r="I665">
            <v>500000000</v>
          </cell>
        </row>
        <row r="666">
          <cell r="A666">
            <v>3</v>
          </cell>
          <cell r="B666">
            <v>38019</v>
          </cell>
          <cell r="C666">
            <v>8</v>
          </cell>
          <cell r="D666" t="str">
            <v>Cty Xi Maêng Haø Tieân II</v>
          </cell>
          <cell r="E666" t="str">
            <v>710A.00091</v>
          </cell>
          <cell r="F666" t="str">
            <v>Coâng Thöông</v>
          </cell>
          <cell r="G666" t="str">
            <v>Kieân Giang</v>
          </cell>
          <cell r="H666" t="str">
            <v>Traû tieàn mua xi maêng 400taán</v>
          </cell>
          <cell r="I666">
            <v>320320000</v>
          </cell>
        </row>
        <row r="667">
          <cell r="A667">
            <v>4</v>
          </cell>
          <cell r="B667">
            <v>38019</v>
          </cell>
          <cell r="C667">
            <v>5</v>
          </cell>
          <cell r="D667" t="str">
            <v>Cty TNHH TMaïi Thaønh Long</v>
          </cell>
          <cell r="E667" t="str">
            <v>710A.00817</v>
          </cell>
          <cell r="F667" t="str">
            <v>Coâng Thöong CN6</v>
          </cell>
          <cell r="G667" t="str">
            <v>Hoà Chí Minh</v>
          </cell>
          <cell r="H667" t="str">
            <v>Traû tieàn mua boät ngoït</v>
          </cell>
          <cell r="I667">
            <v>472504555</v>
          </cell>
        </row>
        <row r="668">
          <cell r="A668">
            <v>5</v>
          </cell>
          <cell r="B668">
            <v>38019</v>
          </cell>
          <cell r="C668">
            <v>31</v>
          </cell>
          <cell r="D668" t="str">
            <v>Cty Daàu Aên Golden Hope - Nhaø Beø</v>
          </cell>
          <cell r="E668" t="str">
            <v>710A.06902</v>
          </cell>
          <cell r="F668" t="str">
            <v>Sôû Giao Dòch II CTVN</v>
          </cell>
          <cell r="G668" t="str">
            <v>Hoà Chí Minh</v>
          </cell>
          <cell r="H668" t="str">
            <v>Traû tieàn mua daàu aên TT.TN.BL</v>
          </cell>
          <cell r="I668">
            <v>87899517</v>
          </cell>
        </row>
        <row r="669">
          <cell r="A669">
            <v>3</v>
          </cell>
          <cell r="B669">
            <v>38021</v>
          </cell>
          <cell r="C669">
            <v>66</v>
          </cell>
          <cell r="D669" t="str">
            <v>Cty UNI PRESIDENT</v>
          </cell>
          <cell r="E669" t="str">
            <v>30 98 208</v>
          </cell>
          <cell r="F669" t="str">
            <v>ANZ</v>
          </cell>
          <cell r="G669" t="str">
            <v>Hoà Chí Minh</v>
          </cell>
          <cell r="H669" t="str">
            <v>Traû tieàn mì Unif</v>
          </cell>
          <cell r="I669">
            <v>84057192</v>
          </cell>
        </row>
        <row r="670">
          <cell r="A670">
            <v>4</v>
          </cell>
          <cell r="B670">
            <v>38021</v>
          </cell>
          <cell r="C670">
            <v>104</v>
          </cell>
          <cell r="D670" t="str">
            <v>Taïp Chí Thanh Tra</v>
          </cell>
          <cell r="E670" t="str">
            <v>945.01.022</v>
          </cell>
          <cell r="F670" t="str">
            <v>Kho Baïc NN Ba Ñình</v>
          </cell>
          <cell r="G670" t="str">
            <v>Haø Noäi</v>
          </cell>
          <cell r="H670" t="str">
            <v>Quaûng caùo treân lòch Taïp Chí Thanh Tra naêm 2004</v>
          </cell>
          <cell r="I670">
            <v>3000000</v>
          </cell>
        </row>
        <row r="671">
          <cell r="A671">
            <v>5</v>
          </cell>
          <cell r="B671">
            <v>38021</v>
          </cell>
          <cell r="C671">
            <v>7</v>
          </cell>
          <cell r="D671" t="str">
            <v>Xí Nghieäp Colusa-Miliket</v>
          </cell>
          <cell r="E671" t="str">
            <v>314.100.00000052</v>
          </cell>
          <cell r="F671" t="str">
            <v>Ñaàu Tö &amp; Phaùt Trieån CN Thuû Ñöùc</v>
          </cell>
          <cell r="G671" t="str">
            <v>Hoà Chí Minh</v>
          </cell>
          <cell r="H671" t="str">
            <v>Traû tieàn mì Colusa</v>
          </cell>
          <cell r="I671">
            <v>53291128</v>
          </cell>
        </row>
        <row r="672">
          <cell r="A672">
            <v>6</v>
          </cell>
          <cell r="B672">
            <v>38021</v>
          </cell>
          <cell r="C672">
            <v>73</v>
          </cell>
          <cell r="D672" t="str">
            <v>Cty. TNHH SX.TM.HMP Myõ Haûo</v>
          </cell>
          <cell r="E672" t="str">
            <v>007.100.002.4148</v>
          </cell>
          <cell r="F672" t="str">
            <v>Ngoaïi Thöông</v>
          </cell>
          <cell r="G672" t="str">
            <v>Hoà Chí Minh</v>
          </cell>
          <cell r="H672" t="str">
            <v>Traû tieàn mua nöôùc röûa cheùn  (TT.CM)</v>
          </cell>
          <cell r="I672">
            <v>48374205</v>
          </cell>
        </row>
        <row r="673">
          <cell r="A673">
            <v>6</v>
          </cell>
          <cell r="B673">
            <v>38022</v>
          </cell>
          <cell r="C673">
            <v>41</v>
          </cell>
          <cell r="D673" t="str">
            <v>Cty Xi Maêng Nghi Sôn</v>
          </cell>
          <cell r="E673" t="str">
            <v>710A.02772</v>
          </cell>
          <cell r="F673" t="str">
            <v>Coâng Thöông CN 9</v>
          </cell>
          <cell r="G673" t="str">
            <v>Hoà Chí Minh</v>
          </cell>
          <cell r="H673" t="str">
            <v>Traû tieàn mua xi maêng 200 taán</v>
          </cell>
          <cell r="I673">
            <v>170000000</v>
          </cell>
        </row>
        <row r="674">
          <cell r="A674">
            <v>7</v>
          </cell>
          <cell r="B674">
            <v>38022</v>
          </cell>
          <cell r="C674">
            <v>98</v>
          </cell>
          <cell r="D674" t="str">
            <v>CTy Lieân Doanh Xi Maêng Haø Tieân II-Caàn Thô</v>
          </cell>
          <cell r="E674" t="str">
            <v>710A.56157</v>
          </cell>
          <cell r="F674" t="str">
            <v>Coâng Thöông</v>
          </cell>
          <cell r="G674" t="str">
            <v>Caàn Thô</v>
          </cell>
          <cell r="H674" t="str">
            <v xml:space="preserve">Traû tieàn mua xi maêng </v>
          </cell>
          <cell r="I674">
            <v>443171000</v>
          </cell>
        </row>
        <row r="675">
          <cell r="A675">
            <v>7</v>
          </cell>
          <cell r="B675">
            <v>38022</v>
          </cell>
          <cell r="C675">
            <v>27</v>
          </cell>
          <cell r="D675" t="str">
            <v>Cty TNHH Quoác Teá Nagarjuna</v>
          </cell>
          <cell r="E675" t="str">
            <v>3586.1</v>
          </cell>
          <cell r="F675" t="str">
            <v>INDOVINA</v>
          </cell>
          <cell r="G675" t="str">
            <v>Hoà Chí Minh</v>
          </cell>
          <cell r="H675" t="str">
            <v>Traû tieàn mua ñöôøng</v>
          </cell>
          <cell r="I675">
            <v>30975000</v>
          </cell>
        </row>
        <row r="676">
          <cell r="A676">
            <v>8</v>
          </cell>
          <cell r="B676">
            <v>38023</v>
          </cell>
          <cell r="C676">
            <v>28</v>
          </cell>
          <cell r="D676" t="str">
            <v>Chi Nhaùnh Cty CP Söõa VN Taïi Caàn Thô</v>
          </cell>
          <cell r="E676" t="str">
            <v>7301.0479K</v>
          </cell>
          <cell r="F676" t="str">
            <v>Ñaàu Tö &amp; Phaùt Trieån</v>
          </cell>
          <cell r="G676" t="str">
            <v>Caàn Thô</v>
          </cell>
          <cell r="H676" t="str">
            <v>Traû tieân mua söõa hoäp caùc loaïi</v>
          </cell>
          <cell r="I676">
            <v>342822269</v>
          </cell>
        </row>
        <row r="677">
          <cell r="A677">
            <v>9</v>
          </cell>
          <cell r="B677">
            <v>38026</v>
          </cell>
          <cell r="C677">
            <v>28</v>
          </cell>
          <cell r="D677" t="str">
            <v>Chi Nhaùnh Cty CP Söõa VN Taïi Caàn Thô</v>
          </cell>
          <cell r="E677" t="str">
            <v>7301.0479K</v>
          </cell>
          <cell r="F677" t="str">
            <v>Ñaàu Tö &amp; Phaùt Trieån</v>
          </cell>
          <cell r="G677" t="str">
            <v>Caàn Thô</v>
          </cell>
          <cell r="H677" t="str">
            <v>Traû tieân mua söõa hoäp caùc loaïi</v>
          </cell>
          <cell r="I677">
            <v>357520601</v>
          </cell>
        </row>
        <row r="678">
          <cell r="A678">
            <v>8</v>
          </cell>
          <cell r="B678">
            <v>38026</v>
          </cell>
          <cell r="C678">
            <v>8</v>
          </cell>
          <cell r="D678" t="str">
            <v>Cty Xi Maêng Haø Tieân II</v>
          </cell>
          <cell r="E678" t="str">
            <v>710A.00091</v>
          </cell>
          <cell r="F678" t="str">
            <v>Coâng Thöông</v>
          </cell>
          <cell r="G678" t="str">
            <v>Kieân Giang</v>
          </cell>
          <cell r="H678" t="str">
            <v>Traû tieàn mua xi maêng 250taán</v>
          </cell>
          <cell r="I678">
            <v>195112500</v>
          </cell>
        </row>
        <row r="679">
          <cell r="A679">
            <v>9</v>
          </cell>
          <cell r="B679">
            <v>38026</v>
          </cell>
          <cell r="C679">
            <v>31</v>
          </cell>
          <cell r="D679" t="str">
            <v>Cty Daàu Aên Golden Hope - Nhaø Beø</v>
          </cell>
          <cell r="E679" t="str">
            <v>710A.06902</v>
          </cell>
          <cell r="F679" t="str">
            <v>Sôû Giao Dòch II CTVN</v>
          </cell>
          <cell r="G679" t="str">
            <v>Hoà Chí Minh</v>
          </cell>
          <cell r="H679" t="str">
            <v>Traû tieàn mua daàu aên TT.TN.BL</v>
          </cell>
          <cell r="I679">
            <v>156856491</v>
          </cell>
        </row>
        <row r="680">
          <cell r="A680">
            <v>10</v>
          </cell>
          <cell r="B680">
            <v>38026</v>
          </cell>
          <cell r="C680">
            <v>73</v>
          </cell>
          <cell r="D680" t="str">
            <v>Cty. TNHH SX.TM.HMP Myõ Haûo</v>
          </cell>
          <cell r="E680" t="str">
            <v>007.100.002.4148</v>
          </cell>
          <cell r="F680" t="str">
            <v>Ngoaïi Thöông</v>
          </cell>
          <cell r="G680" t="str">
            <v>Hoà Chí Minh</v>
          </cell>
          <cell r="H680" t="str">
            <v>Traû tieàn mua nöôùc röûa cheùn  (TT.BL)</v>
          </cell>
          <cell r="I680">
            <v>54458858</v>
          </cell>
        </row>
        <row r="681">
          <cell r="A681">
            <v>11</v>
          </cell>
          <cell r="B681">
            <v>38027</v>
          </cell>
          <cell r="C681">
            <v>1</v>
          </cell>
          <cell r="D681" t="str">
            <v>Nhaø Maùy Thuoác Laù Saøi Goøn</v>
          </cell>
          <cell r="E681" t="str">
            <v>710A.00105</v>
          </cell>
          <cell r="F681" t="str">
            <v>Sôû Giao Dòch II CTVN</v>
          </cell>
          <cell r="G681" t="str">
            <v>Hoà Chí Minh</v>
          </cell>
          <cell r="H681" t="str">
            <v>Traû tieàn mua thuoác laù</v>
          </cell>
          <cell r="I681">
            <v>21735000</v>
          </cell>
        </row>
        <row r="682">
          <cell r="A682">
            <v>10</v>
          </cell>
          <cell r="B682">
            <v>38027</v>
          </cell>
          <cell r="C682">
            <v>31</v>
          </cell>
          <cell r="D682" t="str">
            <v>Cty Daàu Aên Golden Hope - Nhaø Beø</v>
          </cell>
          <cell r="E682" t="str">
            <v>710A.06902</v>
          </cell>
          <cell r="F682" t="str">
            <v>Sôû Giao Dòch II CTVN</v>
          </cell>
          <cell r="G682" t="str">
            <v>Hoà Chí Minh</v>
          </cell>
          <cell r="H682" t="str">
            <v>Traû tieàn mua daàu aên TT.TN.CM</v>
          </cell>
          <cell r="I682">
            <v>92570456</v>
          </cell>
        </row>
        <row r="683">
          <cell r="A683">
            <v>11</v>
          </cell>
          <cell r="B683">
            <v>38028</v>
          </cell>
          <cell r="C683">
            <v>14</v>
          </cell>
          <cell r="D683" t="str">
            <v>Coâng Ty Theùp Mieàn Nam</v>
          </cell>
          <cell r="E683" t="str">
            <v>710A.01611</v>
          </cell>
          <cell r="F683" t="str">
            <v>Coâng Thöông CN I</v>
          </cell>
          <cell r="G683" t="str">
            <v>Hoà Chí Minh</v>
          </cell>
          <cell r="H683" t="str">
            <v xml:space="preserve">Traû tieàn mua haøng cho CN Mieàn Taây C.Ty Theùp Mieàn Nam </v>
          </cell>
          <cell r="I683">
            <v>599025725</v>
          </cell>
        </row>
        <row r="684">
          <cell r="A684">
            <v>12</v>
          </cell>
          <cell r="B684">
            <v>38028</v>
          </cell>
          <cell r="C684">
            <v>73</v>
          </cell>
          <cell r="D684" t="str">
            <v>Cty. TNHH SX.TM.HMP Myõ Haûo</v>
          </cell>
          <cell r="E684" t="str">
            <v>007.100.002.4148</v>
          </cell>
          <cell r="F684" t="str">
            <v>Ngoaïi Thöông</v>
          </cell>
          <cell r="G684" t="str">
            <v>Hoà Chí Minh</v>
          </cell>
          <cell r="H684" t="str">
            <v>Traû tieàn mua nöôùc röûa cheùn  (TT.BL+Hoä Phoøng)</v>
          </cell>
          <cell r="I684">
            <v>76633181</v>
          </cell>
        </row>
        <row r="685">
          <cell r="A685">
            <v>13</v>
          </cell>
          <cell r="B685">
            <v>38030</v>
          </cell>
          <cell r="C685">
            <v>73</v>
          </cell>
          <cell r="D685" t="str">
            <v>Cty. TNHH SX.TM.HMP Myõ Haûo</v>
          </cell>
          <cell r="E685" t="str">
            <v>007.100.002.4148</v>
          </cell>
          <cell r="F685" t="str">
            <v>Ngoaïi Thöông</v>
          </cell>
          <cell r="G685" t="str">
            <v>Hoà Chí Minh</v>
          </cell>
          <cell r="H685" t="str">
            <v>Traû tieàn mua nöôùc röûa cheùn  (TT.BL:64.699.813ñ; TT.CM: 35.648.704ñ)</v>
          </cell>
          <cell r="I685">
            <v>100348517</v>
          </cell>
        </row>
        <row r="686">
          <cell r="A686">
            <v>14</v>
          </cell>
          <cell r="B686">
            <v>38030</v>
          </cell>
          <cell r="C686">
            <v>93</v>
          </cell>
          <cell r="D686" t="str">
            <v>Cty Coå Phaàn Giaáy Vieãn Ñoâng</v>
          </cell>
          <cell r="E686" t="str">
            <v>710A.04479</v>
          </cell>
          <cell r="F686" t="str">
            <v>Coâng Thöông CN 12</v>
          </cell>
          <cell r="G686" t="str">
            <v>Hoà Chí Minh</v>
          </cell>
          <cell r="H686" t="str">
            <v>Traû tieàn mua giaáy Vieãn Ñoâng</v>
          </cell>
          <cell r="I686">
            <v>20232894</v>
          </cell>
        </row>
        <row r="687">
          <cell r="A687">
            <v>12</v>
          </cell>
          <cell r="B687">
            <v>38033</v>
          </cell>
          <cell r="C687">
            <v>8</v>
          </cell>
          <cell r="D687" t="str">
            <v>Cty Xi Maêng Haø Tieân II</v>
          </cell>
          <cell r="E687" t="str">
            <v>710A.00091</v>
          </cell>
          <cell r="F687" t="str">
            <v>Coâng Thöông</v>
          </cell>
          <cell r="G687" t="str">
            <v>Kieân Giang</v>
          </cell>
          <cell r="H687" t="str">
            <v>Traû tieàn mua xi maêng 300taán</v>
          </cell>
          <cell r="I687">
            <v>234135000</v>
          </cell>
        </row>
        <row r="688">
          <cell r="A688">
            <v>13</v>
          </cell>
          <cell r="B688">
            <v>38033</v>
          </cell>
          <cell r="C688">
            <v>5</v>
          </cell>
          <cell r="D688" t="str">
            <v>Cty TNHH TMaïi Thaønh Long</v>
          </cell>
          <cell r="E688" t="str">
            <v>710A.00817</v>
          </cell>
          <cell r="F688" t="str">
            <v>Coâng Thöong CN6</v>
          </cell>
          <cell r="G688" t="str">
            <v>Hoà Chí Minh</v>
          </cell>
          <cell r="H688" t="str">
            <v>Traû tieàn mua boät ngoït</v>
          </cell>
          <cell r="I688">
            <v>236036910</v>
          </cell>
        </row>
        <row r="689">
          <cell r="A689">
            <v>14</v>
          </cell>
          <cell r="B689">
            <v>38033</v>
          </cell>
          <cell r="C689">
            <v>1</v>
          </cell>
          <cell r="D689" t="str">
            <v>Nhaø Maùy Thuoác Laù Saøi Goøn</v>
          </cell>
          <cell r="E689" t="str">
            <v>710A.00105</v>
          </cell>
          <cell r="F689" t="str">
            <v>Sôû Giao Dòch II CTVN</v>
          </cell>
          <cell r="G689" t="str">
            <v>Hoà Chí Minh</v>
          </cell>
          <cell r="H689" t="str">
            <v>Traû tieàn mua thuoác laù</v>
          </cell>
          <cell r="I689">
            <v>231165000</v>
          </cell>
        </row>
        <row r="690">
          <cell r="A690">
            <v>15</v>
          </cell>
          <cell r="B690">
            <v>38033</v>
          </cell>
          <cell r="C690">
            <v>31</v>
          </cell>
          <cell r="D690" t="str">
            <v>Cty Daàu Aên Golden Hope - Nhaø Beø</v>
          </cell>
          <cell r="E690" t="str">
            <v>710A.06902</v>
          </cell>
          <cell r="F690" t="str">
            <v>Sôû Giao Dòch II CTVN</v>
          </cell>
          <cell r="G690" t="str">
            <v>Hoà Chí Minh</v>
          </cell>
          <cell r="H690" t="str">
            <v>Traû tieàn mua daàu aên TT.TN.BL</v>
          </cell>
          <cell r="I690">
            <v>87988309</v>
          </cell>
        </row>
        <row r="691">
          <cell r="A691">
            <v>13</v>
          </cell>
          <cell r="B691">
            <v>38034</v>
          </cell>
          <cell r="C691">
            <v>73</v>
          </cell>
          <cell r="D691" t="str">
            <v>Cty. TNHH SX.TM.HMP Myõ Haûo</v>
          </cell>
          <cell r="E691" t="str">
            <v>007.100.002.4148</v>
          </cell>
          <cell r="F691" t="str">
            <v>Ngoaïi Thöông</v>
          </cell>
          <cell r="G691" t="str">
            <v>Hoà Chí Minh</v>
          </cell>
          <cell r="H691" t="str">
            <v>Traû tieàn mua nöôùc röûa cheùn  (TT.BL)</v>
          </cell>
          <cell r="I691">
            <v>71688137</v>
          </cell>
        </row>
        <row r="692">
          <cell r="A692">
            <v>14</v>
          </cell>
          <cell r="B692">
            <v>38034</v>
          </cell>
          <cell r="C692">
            <v>28</v>
          </cell>
          <cell r="D692" t="str">
            <v>Chi Nhaùnh Cty CP Söõa VN Taïi Caàn Thô</v>
          </cell>
          <cell r="E692" t="str">
            <v>7301.0479K</v>
          </cell>
          <cell r="F692" t="str">
            <v>Ñaàu Tö &amp; Phaùt Trieån</v>
          </cell>
          <cell r="G692" t="str">
            <v>Caàn Thô</v>
          </cell>
          <cell r="H692" t="str">
            <v>Traû tieân mua söõa hoäp caùc loaïi</v>
          </cell>
          <cell r="I692">
            <v>296346336</v>
          </cell>
        </row>
        <row r="693">
          <cell r="A693">
            <v>16</v>
          </cell>
          <cell r="B693">
            <v>38034</v>
          </cell>
          <cell r="C693">
            <v>85</v>
          </cell>
          <cell r="D693" t="str">
            <v>CTy TNHH TM Minh Tuøng</v>
          </cell>
          <cell r="E693" t="str">
            <v>710A.04024</v>
          </cell>
          <cell r="F693" t="str">
            <v>Sôû Giao Dòch II CTVN</v>
          </cell>
          <cell r="G693" t="str">
            <v>Hoà Chí Minh</v>
          </cell>
          <cell r="H693" t="str">
            <v>Traû tieàn mua haøng ñieän maùy</v>
          </cell>
          <cell r="I693">
            <v>49683000</v>
          </cell>
        </row>
        <row r="694">
          <cell r="A694">
            <v>17</v>
          </cell>
          <cell r="B694">
            <v>38034</v>
          </cell>
          <cell r="C694">
            <v>3</v>
          </cell>
          <cell r="D694" t="str">
            <v>Cty Coå Phaàn Boät Giaët Lix</v>
          </cell>
          <cell r="E694" t="str">
            <v>710A.01440</v>
          </cell>
          <cell r="F694" t="str">
            <v>Coâng Thöông CN 14</v>
          </cell>
          <cell r="G694" t="str">
            <v>Hoà Chí Minh</v>
          </cell>
          <cell r="H694" t="str">
            <v>Traû tieàn mua boät giaët</v>
          </cell>
          <cell r="I694">
            <v>240000000</v>
          </cell>
        </row>
        <row r="695">
          <cell r="A695">
            <v>15</v>
          </cell>
          <cell r="B695">
            <v>38034</v>
          </cell>
          <cell r="C695">
            <v>53</v>
          </cell>
          <cell r="D695" t="str">
            <v>CTy CP Thöông Nghieäp Baïc Lieâu</v>
          </cell>
          <cell r="E695" t="str">
            <v>861V.00064</v>
          </cell>
          <cell r="F695" t="str">
            <v xml:space="preserve">Coâng Thöông </v>
          </cell>
          <cell r="G695" t="str">
            <v>Baïc Lieâu</v>
          </cell>
          <cell r="H695" t="str">
            <v>Kyù quyõ baûo laõnh CTy Daàu AÊn Golden HOPE Nhaø Beø 200.000.000x5%</v>
          </cell>
          <cell r="I695">
            <v>10000000</v>
          </cell>
        </row>
        <row r="696">
          <cell r="A696">
            <v>18</v>
          </cell>
          <cell r="B696">
            <v>38034</v>
          </cell>
          <cell r="C696">
            <v>36</v>
          </cell>
          <cell r="D696" t="str">
            <v>XN Xaêng Daàu Daàu Khí Vuõng Taøu</v>
          </cell>
          <cell r="E696" t="str">
            <v>710D.00343</v>
          </cell>
          <cell r="F696" t="str">
            <v>Coâng Thöông</v>
          </cell>
          <cell r="G696" t="str">
            <v>Baø Ròa-Vuõng Taøu</v>
          </cell>
          <cell r="H696" t="str">
            <v xml:space="preserve">Traû tieàn mua xaêng daàu </v>
          </cell>
          <cell r="I696">
            <v>2027000000</v>
          </cell>
        </row>
        <row r="697">
          <cell r="A697">
            <v>16</v>
          </cell>
          <cell r="B697">
            <v>38035</v>
          </cell>
          <cell r="C697">
            <v>25</v>
          </cell>
          <cell r="D697" t="str">
            <v xml:space="preserve"> Thu Baûo Hieåm Xaõ Hoäi Tænh Baïc Lieâu</v>
          </cell>
          <cell r="E697" t="str">
            <v>421401.12</v>
          </cell>
          <cell r="F697" t="str">
            <v>NN &amp; P/T N/Thoân</v>
          </cell>
          <cell r="G697" t="str">
            <v>Baïc Lieâu</v>
          </cell>
          <cell r="H697" t="str">
            <v xml:space="preserve">Noäp BHXH thaùng 01+02/2004 </v>
          </cell>
          <cell r="I697">
            <v>50097036</v>
          </cell>
        </row>
        <row r="698">
          <cell r="A698">
            <v>17</v>
          </cell>
          <cell r="B698">
            <v>38035</v>
          </cell>
          <cell r="C698">
            <v>44</v>
          </cell>
          <cell r="D698" t="str">
            <v>CTy Ñieän Baùo Ñieän Thoaïi Baïc Lieâu</v>
          </cell>
          <cell r="E698" t="str">
            <v>710A.00074</v>
          </cell>
          <cell r="F698" t="str">
            <v xml:space="preserve">Coâng Thöông </v>
          </cell>
          <cell r="G698" t="str">
            <v>Baïc Lieâu</v>
          </cell>
          <cell r="H698" t="str">
            <v>Traû tieàn ñieän thoaïi thaùng 01/2004</v>
          </cell>
          <cell r="I698">
            <v>9159825</v>
          </cell>
        </row>
        <row r="699">
          <cell r="A699">
            <v>19</v>
          </cell>
          <cell r="B699">
            <v>38034</v>
          </cell>
          <cell r="C699">
            <v>10</v>
          </cell>
          <cell r="D699" t="str">
            <v>Cty TNHH Daàu Nhôùt vaø Hoùa Chaát VN</v>
          </cell>
          <cell r="E699" t="str">
            <v>001.004837.041</v>
          </cell>
          <cell r="F699" t="str">
            <v>Hoàng Kong&amp; Thöôïng Haûi</v>
          </cell>
          <cell r="G699" t="str">
            <v>Hoà Chí Minh</v>
          </cell>
          <cell r="H699" t="str">
            <v>Traû tieàn mua nhôùt</v>
          </cell>
          <cell r="I699">
            <v>681165000</v>
          </cell>
        </row>
        <row r="700">
          <cell r="A700">
            <v>18</v>
          </cell>
          <cell r="B700">
            <v>38036</v>
          </cell>
          <cell r="C700">
            <v>8</v>
          </cell>
          <cell r="D700" t="str">
            <v>Cty Xi Maêng Haø Tieân II</v>
          </cell>
          <cell r="E700" t="str">
            <v>710A.00091</v>
          </cell>
          <cell r="F700" t="str">
            <v>Coâng Thöông</v>
          </cell>
          <cell r="G700" t="str">
            <v>Kieân Giang</v>
          </cell>
          <cell r="H700" t="str">
            <v>Traû tieàn mua xi maêng 250taán</v>
          </cell>
          <cell r="I700">
            <v>195038800</v>
          </cell>
        </row>
        <row r="701">
          <cell r="A701">
            <v>19</v>
          </cell>
          <cell r="B701">
            <v>38036</v>
          </cell>
          <cell r="C701">
            <v>27</v>
          </cell>
          <cell r="D701" t="str">
            <v>Cty TNHH Quoác Teá Nagarjuna</v>
          </cell>
          <cell r="E701" t="str">
            <v>3586.1</v>
          </cell>
          <cell r="F701" t="str">
            <v>INDOVINA</v>
          </cell>
          <cell r="G701" t="str">
            <v>Hoà Chí Minh</v>
          </cell>
          <cell r="H701" t="str">
            <v>Traû tieàn mua ñöôøng</v>
          </cell>
          <cell r="I701">
            <v>31010000</v>
          </cell>
        </row>
        <row r="702">
          <cell r="A702">
            <v>20</v>
          </cell>
          <cell r="B702">
            <v>38036</v>
          </cell>
          <cell r="C702">
            <v>73</v>
          </cell>
          <cell r="D702" t="str">
            <v>Cty. TNHH SX.TM.HMP Myõ Haûo</v>
          </cell>
          <cell r="E702" t="str">
            <v>007.100.002.4148</v>
          </cell>
          <cell r="F702" t="str">
            <v>Ngoaïi Thöông</v>
          </cell>
          <cell r="G702" t="str">
            <v>Hoà Chí Minh</v>
          </cell>
          <cell r="H702" t="str">
            <v>Traû tieàn mua nöôùc röûa cheùn  (TT.BL)</v>
          </cell>
          <cell r="I702">
            <v>47170862</v>
          </cell>
        </row>
        <row r="703">
          <cell r="A703">
            <v>18</v>
          </cell>
          <cell r="B703">
            <v>38037</v>
          </cell>
          <cell r="C703">
            <v>73</v>
          </cell>
          <cell r="D703" t="str">
            <v>Cty. TNHH SX.TM.HMP Myõ Haûo</v>
          </cell>
          <cell r="E703" t="str">
            <v>007.100.002.4148</v>
          </cell>
          <cell r="F703" t="str">
            <v>Ngoaïi Thöông</v>
          </cell>
          <cell r="G703" t="str">
            <v>Hoà Chí Minh</v>
          </cell>
          <cell r="H703" t="str">
            <v>Traû tieàn mua nöôùc röûa cheùn  (TT.BL+Hoä Phoøng)</v>
          </cell>
          <cell r="I703">
            <v>57135389</v>
          </cell>
        </row>
        <row r="704">
          <cell r="A704">
            <v>19</v>
          </cell>
          <cell r="B704">
            <v>38037</v>
          </cell>
          <cell r="C704">
            <v>99</v>
          </cell>
          <cell r="D704" t="str">
            <v xml:space="preserve">Löu Thò Myõ Phöôïng (CTyTNHH Taân Thaùi Thònh) </v>
          </cell>
          <cell r="E704" t="str">
            <v>2656329</v>
          </cell>
          <cell r="F704" t="str">
            <v>AÙ Chaâu</v>
          </cell>
          <cell r="G704" t="str">
            <v>Hoà Chí Minh</v>
          </cell>
          <cell r="H704" t="str">
            <v>Traû tieàn mua nöôùc yeán,bí ñao, nöôùc ngoït</v>
          </cell>
          <cell r="I704">
            <v>26848320</v>
          </cell>
        </row>
        <row r="705">
          <cell r="A705">
            <v>21</v>
          </cell>
          <cell r="B705">
            <v>38037</v>
          </cell>
          <cell r="C705">
            <v>98</v>
          </cell>
          <cell r="D705" t="str">
            <v>CTy Lieân Doanh Xi Maêng Haø Tieân II-Caàn Thô</v>
          </cell>
          <cell r="E705" t="str">
            <v>710A.56157</v>
          </cell>
          <cell r="F705" t="str">
            <v>Coâng Thöông</v>
          </cell>
          <cell r="G705" t="str">
            <v>Caàn Thô</v>
          </cell>
          <cell r="H705" t="str">
            <v>Traû tieàn mua xi maêng</v>
          </cell>
          <cell r="I705">
            <v>106150000</v>
          </cell>
        </row>
        <row r="706">
          <cell r="A706">
            <v>22</v>
          </cell>
          <cell r="B706">
            <v>38037</v>
          </cell>
          <cell r="C706">
            <v>5</v>
          </cell>
          <cell r="D706" t="str">
            <v>Cty TNHH TMaïi Thaønh Long</v>
          </cell>
          <cell r="E706" t="str">
            <v>710A.00817</v>
          </cell>
          <cell r="F706" t="str">
            <v>Coâng Thöong CN6</v>
          </cell>
          <cell r="G706" t="str">
            <v>Hoà Chí Minh</v>
          </cell>
          <cell r="H706" t="str">
            <v>Traû tieàn mua boät ngoït</v>
          </cell>
          <cell r="I706">
            <v>269842538</v>
          </cell>
        </row>
        <row r="707">
          <cell r="A707">
            <v>23</v>
          </cell>
          <cell r="B707">
            <v>38037</v>
          </cell>
          <cell r="C707">
            <v>9</v>
          </cell>
          <cell r="D707" t="str">
            <v>Castrol Vieät Nam Ltd</v>
          </cell>
          <cell r="E707" t="str">
            <v>007.1.00.002804.1</v>
          </cell>
          <cell r="F707" t="str">
            <v>Ngoaïi Thöông</v>
          </cell>
          <cell r="G707" t="str">
            <v>Hoà Chí Minh</v>
          </cell>
          <cell r="H707" t="str">
            <v>Traû tieàn mua nhôùt</v>
          </cell>
          <cell r="I707">
            <v>101684015</v>
          </cell>
        </row>
        <row r="708">
          <cell r="A708">
            <v>19</v>
          </cell>
          <cell r="B708">
            <v>38037</v>
          </cell>
          <cell r="C708">
            <v>42</v>
          </cell>
          <cell r="D708" t="str">
            <v>Cty Baûo Hieåm Baïc Lieâu</v>
          </cell>
          <cell r="E708" t="str">
            <v>710A.00063</v>
          </cell>
          <cell r="F708" t="str">
            <v>Coâng Thöông</v>
          </cell>
          <cell r="G708" t="str">
            <v>Baïc Lieâu</v>
          </cell>
          <cell r="H708" t="str">
            <v>Mua baûo hieåm hoûa hoaïn, taøu soâng, xe OÂ toâ  naêm 2004(ñôït 1)</v>
          </cell>
          <cell r="I708">
            <v>19600000</v>
          </cell>
        </row>
        <row r="709">
          <cell r="A709">
            <v>20</v>
          </cell>
          <cell r="B709">
            <v>38040</v>
          </cell>
          <cell r="C709">
            <v>28</v>
          </cell>
          <cell r="D709" t="str">
            <v>Chi Nhaùnh Cty CP Söõa VN Taïi Caàn Thô</v>
          </cell>
          <cell r="E709" t="str">
            <v>7301.0479K</v>
          </cell>
          <cell r="F709" t="str">
            <v>Ñaàu Tö &amp; Phaùt Trieån</v>
          </cell>
          <cell r="G709" t="str">
            <v>Caàn Thô</v>
          </cell>
          <cell r="H709" t="str">
            <v>Traû tieân mua söõa hoäp caùc loaïi</v>
          </cell>
          <cell r="I709">
            <v>254475408</v>
          </cell>
        </row>
        <row r="710">
          <cell r="A710">
            <v>24</v>
          </cell>
          <cell r="B710">
            <v>38040</v>
          </cell>
          <cell r="C710">
            <v>41</v>
          </cell>
          <cell r="D710" t="str">
            <v>Cty Xi Maêng Nghi Sôn</v>
          </cell>
          <cell r="E710" t="str">
            <v>710A.02772</v>
          </cell>
          <cell r="F710" t="str">
            <v>Coâng Thöông CN 9</v>
          </cell>
          <cell r="G710" t="str">
            <v>Hoà Chí Minh</v>
          </cell>
          <cell r="H710" t="str">
            <v>Traû tieàn mua xi maêng 300taán</v>
          </cell>
          <cell r="I710">
            <v>258000000</v>
          </cell>
        </row>
        <row r="711">
          <cell r="A711">
            <v>25</v>
          </cell>
          <cell r="B711">
            <v>38041</v>
          </cell>
          <cell r="C711">
            <v>14</v>
          </cell>
          <cell r="D711" t="str">
            <v>Coâng Ty Theùp Mieàn Nam</v>
          </cell>
          <cell r="E711" t="str">
            <v>710A.01611</v>
          </cell>
          <cell r="F711" t="str">
            <v>Coâng Thöông CN I</v>
          </cell>
          <cell r="G711" t="str">
            <v>Hoà Chí Minh</v>
          </cell>
          <cell r="H711" t="str">
            <v xml:space="preserve">Traû tieàn mua haøng cho CN Mieàn Taây C.Ty Theùp Mieàn Nam </v>
          </cell>
          <cell r="I711">
            <v>300000000</v>
          </cell>
        </row>
        <row r="712">
          <cell r="A712">
            <v>26</v>
          </cell>
          <cell r="B712">
            <v>38042</v>
          </cell>
          <cell r="C712">
            <v>8</v>
          </cell>
          <cell r="D712" t="str">
            <v>Cty Xi Maêng Haø Tieân II</v>
          </cell>
          <cell r="E712" t="str">
            <v>710A.00091</v>
          </cell>
          <cell r="F712" t="str">
            <v>Coâng Thöông</v>
          </cell>
          <cell r="G712" t="str">
            <v>Kieân Giang</v>
          </cell>
          <cell r="H712" t="str">
            <v>Traû tieàn mua xi maêng 100taán</v>
          </cell>
          <cell r="I712">
            <v>78045000</v>
          </cell>
        </row>
        <row r="713">
          <cell r="A713">
            <v>21</v>
          </cell>
          <cell r="B713">
            <v>38042</v>
          </cell>
          <cell r="C713">
            <v>31</v>
          </cell>
          <cell r="D713" t="str">
            <v>Cty Daàu Aên Golden Hope - Nhaø Beø</v>
          </cell>
          <cell r="E713" t="str">
            <v>710A.06902</v>
          </cell>
          <cell r="F713" t="str">
            <v>Sôû Giao Dòch II CTVN</v>
          </cell>
          <cell r="G713" t="str">
            <v>Hoà Chí Minh</v>
          </cell>
          <cell r="H713" t="str">
            <v>Traû tieàn mua daàu xaù</v>
          </cell>
          <cell r="I713">
            <v>12107700</v>
          </cell>
        </row>
        <row r="714">
          <cell r="A714">
            <v>22</v>
          </cell>
          <cell r="B714">
            <v>38042</v>
          </cell>
          <cell r="C714">
            <v>94</v>
          </cell>
          <cell r="D714" t="str">
            <v>CTy TNHH SX Taân AÙ Chaâu</v>
          </cell>
          <cell r="E714" t="str">
            <v>710A.01969</v>
          </cell>
          <cell r="F714" t="str">
            <v>Coâng Thöông CN 9</v>
          </cell>
          <cell r="G714" t="str">
            <v>Hoà Chí Minh</v>
          </cell>
          <cell r="H714" t="str">
            <v>Traû tieàn mua chaùo Bình Tieân</v>
          </cell>
          <cell r="I714">
            <v>5935000</v>
          </cell>
        </row>
        <row r="715">
          <cell r="A715">
            <v>23</v>
          </cell>
          <cell r="B715">
            <v>38042</v>
          </cell>
          <cell r="C715">
            <v>100</v>
          </cell>
          <cell r="D715" t="str">
            <v>CTy TNHH TM &amp; SX Vieät Tuøng</v>
          </cell>
          <cell r="E715" t="str">
            <v>710A.07124</v>
          </cell>
          <cell r="F715" t="str">
            <v>Coâng Thöông CN 12</v>
          </cell>
          <cell r="G715" t="str">
            <v>Hoà Chí Minh</v>
          </cell>
          <cell r="H715" t="str">
            <v>Traû tieàn mua caù hoäp</v>
          </cell>
          <cell r="I715">
            <v>13068800</v>
          </cell>
        </row>
        <row r="716">
          <cell r="A716">
            <v>24</v>
          </cell>
          <cell r="B716">
            <v>38042</v>
          </cell>
          <cell r="C716">
            <v>31</v>
          </cell>
          <cell r="D716" t="str">
            <v>Cty Daàu Aên Golden Hope - Nhaø Beø</v>
          </cell>
          <cell r="E716" t="str">
            <v>710A.06902</v>
          </cell>
          <cell r="F716" t="str">
            <v>Sôû Giao Dòch II CTVN</v>
          </cell>
          <cell r="G716" t="str">
            <v>Hoà Chí Minh</v>
          </cell>
          <cell r="H716" t="str">
            <v>Traû tieàn mua daàu aên (TT.BL: 89.052.612ñ; TT.CM:94.493.564ñ)</v>
          </cell>
          <cell r="I716">
            <v>183546176</v>
          </cell>
        </row>
        <row r="717">
          <cell r="A717">
            <v>25</v>
          </cell>
          <cell r="B717">
            <v>38043</v>
          </cell>
          <cell r="C717">
            <v>28</v>
          </cell>
          <cell r="D717" t="str">
            <v>Chi Nhaùnh Cty CP Söõa VN Taïi Caàn Thô</v>
          </cell>
          <cell r="E717" t="str">
            <v>7301.0479K</v>
          </cell>
          <cell r="F717" t="str">
            <v>Ñaàu Tö &amp; Phaùt Trieån</v>
          </cell>
          <cell r="G717" t="str">
            <v>Caàn Thô</v>
          </cell>
          <cell r="H717" t="str">
            <v>Traû tieân mua söõa hoäp caùc loaïi</v>
          </cell>
          <cell r="I717">
            <v>406825320</v>
          </cell>
        </row>
        <row r="718">
          <cell r="A718">
            <v>27</v>
          </cell>
          <cell r="B718">
            <v>38043</v>
          </cell>
          <cell r="C718">
            <v>36</v>
          </cell>
          <cell r="D718" t="str">
            <v>XN Xaêng Daàu Daàu Khí Vuõng Taøu</v>
          </cell>
          <cell r="E718" t="str">
            <v>710D.00343</v>
          </cell>
          <cell r="F718" t="str">
            <v>Coâng Thöông</v>
          </cell>
          <cell r="G718" t="str">
            <v>Baø Ròa-Vuõng Taøu</v>
          </cell>
          <cell r="H718" t="str">
            <v>Traû tieàn mua xaêng daàu</v>
          </cell>
          <cell r="I718">
            <v>2191000000</v>
          </cell>
        </row>
        <row r="719">
          <cell r="A719">
            <v>28</v>
          </cell>
          <cell r="B719">
            <v>38043</v>
          </cell>
          <cell r="C719">
            <v>14</v>
          </cell>
          <cell r="D719" t="str">
            <v>Coâng Ty Theùp Mieàn Nam</v>
          </cell>
          <cell r="E719" t="str">
            <v>710A.01611</v>
          </cell>
          <cell r="F719" t="str">
            <v>Coâng Thöông CN I</v>
          </cell>
          <cell r="G719" t="str">
            <v>Hoà Chí Minh</v>
          </cell>
          <cell r="H719" t="str">
            <v xml:space="preserve">Traû tieàn mua haøng cho CN Mieàn Taây C.Ty Theùp Mieàn Nam </v>
          </cell>
          <cell r="I719">
            <v>435765540</v>
          </cell>
        </row>
        <row r="720">
          <cell r="A720">
            <v>29</v>
          </cell>
          <cell r="B720">
            <v>38044</v>
          </cell>
          <cell r="C720">
            <v>5</v>
          </cell>
          <cell r="D720" t="str">
            <v>Cty TNHH TMaïi Thaønh Long</v>
          </cell>
          <cell r="E720" t="str">
            <v>710A.00817</v>
          </cell>
          <cell r="F720" t="str">
            <v>Coâng Thöong CN6</v>
          </cell>
          <cell r="G720" t="str">
            <v>Hoà Chí Minh</v>
          </cell>
          <cell r="H720" t="str">
            <v>Traû tieàn mua boät ngoït</v>
          </cell>
          <cell r="I720">
            <v>131540305</v>
          </cell>
        </row>
        <row r="721">
          <cell r="A721">
            <v>30</v>
          </cell>
          <cell r="B721">
            <v>38044</v>
          </cell>
          <cell r="C721">
            <v>8</v>
          </cell>
          <cell r="D721" t="str">
            <v>Cty Xi Maêng Haø Tieân II</v>
          </cell>
          <cell r="E721" t="str">
            <v>710A.00091</v>
          </cell>
          <cell r="F721" t="str">
            <v>Coâng Thöông</v>
          </cell>
          <cell r="G721" t="str">
            <v>Kieân Giang</v>
          </cell>
          <cell r="H721" t="str">
            <v>Traû tieàn mua xi maêng 150taán</v>
          </cell>
          <cell r="I721">
            <v>120120000</v>
          </cell>
        </row>
        <row r="722">
          <cell r="A722">
            <v>31</v>
          </cell>
          <cell r="B722">
            <v>38044</v>
          </cell>
          <cell r="C722">
            <v>1</v>
          </cell>
          <cell r="D722" t="str">
            <v>Nhaø Maùy Thuoác Laù Saøi Goøn</v>
          </cell>
          <cell r="E722" t="str">
            <v>710A.00105</v>
          </cell>
          <cell r="F722" t="str">
            <v>Sôû Giao Dòch II CTVN</v>
          </cell>
          <cell r="G722" t="str">
            <v>Hoà Chí Minh</v>
          </cell>
          <cell r="H722" t="str">
            <v>Traû tieàn mua thuoác laù</v>
          </cell>
          <cell r="I722">
            <v>208560000</v>
          </cell>
        </row>
        <row r="723">
          <cell r="A723">
            <v>26</v>
          </cell>
          <cell r="B723">
            <v>38044</v>
          </cell>
          <cell r="C723">
            <v>73</v>
          </cell>
          <cell r="D723" t="str">
            <v>Cty. TNHH SX.TM.HMP Myõ Haûo</v>
          </cell>
          <cell r="E723" t="str">
            <v>007.100.002.4148</v>
          </cell>
          <cell r="F723" t="str">
            <v>Ngoaïi Thöông</v>
          </cell>
          <cell r="G723" t="str">
            <v>Hoà Chí Minh</v>
          </cell>
          <cell r="H723" t="str">
            <v>Traû tieàn mua nöôùc röûa cheùn  (TT.BL)</v>
          </cell>
          <cell r="I723">
            <v>175590824</v>
          </cell>
        </row>
        <row r="724">
          <cell r="A724">
            <v>27</v>
          </cell>
          <cell r="B724">
            <v>38044</v>
          </cell>
          <cell r="C724">
            <v>66</v>
          </cell>
          <cell r="D724" t="str">
            <v>Cty UNI PRESIDENT</v>
          </cell>
          <cell r="E724" t="str">
            <v>30 98 208</v>
          </cell>
          <cell r="F724" t="str">
            <v>ANZ</v>
          </cell>
          <cell r="G724" t="str">
            <v>Hoà Chí Minh</v>
          </cell>
          <cell r="H724" t="str">
            <v>Traû tieàn mua mì Unif</v>
          </cell>
          <cell r="I724">
            <v>39507450</v>
          </cell>
        </row>
        <row r="725">
          <cell r="A725">
            <v>1</v>
          </cell>
          <cell r="B725">
            <v>38047</v>
          </cell>
          <cell r="C725">
            <v>8</v>
          </cell>
          <cell r="D725" t="str">
            <v>Cty Xi Maêng Haø Tieân II</v>
          </cell>
          <cell r="E725" t="str">
            <v>710A.00091</v>
          </cell>
          <cell r="F725" t="str">
            <v>Coâng Thöông</v>
          </cell>
          <cell r="G725" t="str">
            <v>Kieân Giang</v>
          </cell>
          <cell r="H725" t="str">
            <v>Traû tieàn mua xi maêng 300taán</v>
          </cell>
          <cell r="I725">
            <v>240240000</v>
          </cell>
        </row>
        <row r="726">
          <cell r="A726">
            <v>2</v>
          </cell>
          <cell r="B726">
            <v>38047</v>
          </cell>
          <cell r="C726">
            <v>3</v>
          </cell>
          <cell r="D726" t="str">
            <v>Cty Coå Phaàn Boät Giaët Lix</v>
          </cell>
          <cell r="E726" t="str">
            <v>710A.01440</v>
          </cell>
          <cell r="F726" t="str">
            <v>Coâng Thöông CN 14</v>
          </cell>
          <cell r="G726" t="str">
            <v>Hoà Chí Minh</v>
          </cell>
          <cell r="H726" t="str">
            <v>Traû tieàn mua boät giaët</v>
          </cell>
          <cell r="I726">
            <v>220000000</v>
          </cell>
        </row>
        <row r="727">
          <cell r="A727">
            <v>1</v>
          </cell>
          <cell r="B727">
            <v>38047</v>
          </cell>
          <cell r="C727">
            <v>83</v>
          </cell>
          <cell r="D727" t="str">
            <v>CTy TNHH TM TH Thuaän Taân</v>
          </cell>
          <cell r="E727" t="str">
            <v>007.100.110.1337</v>
          </cell>
          <cell r="F727" t="str">
            <v>Ngoaïi Thöông</v>
          </cell>
          <cell r="G727" t="str">
            <v>Hoà Chí Minh</v>
          </cell>
          <cell r="H727" t="str">
            <v>Traû tieàn mua haøng ñieän maùy</v>
          </cell>
          <cell r="I727">
            <v>33463100</v>
          </cell>
        </row>
        <row r="728">
          <cell r="A728">
            <v>3</v>
          </cell>
          <cell r="B728">
            <v>38049</v>
          </cell>
          <cell r="C728">
            <v>5</v>
          </cell>
          <cell r="D728" t="str">
            <v>Cty TNHH TMaïi Thaønh Long</v>
          </cell>
          <cell r="E728" t="str">
            <v>710A.00817</v>
          </cell>
          <cell r="F728" t="str">
            <v>Coâng Thöong CN6</v>
          </cell>
          <cell r="G728" t="str">
            <v>Hoà Chí Minh</v>
          </cell>
          <cell r="H728" t="str">
            <v>Traû tieàn mua boät ngoït</v>
          </cell>
          <cell r="I728">
            <v>134097615</v>
          </cell>
        </row>
        <row r="729">
          <cell r="A729">
            <v>4</v>
          </cell>
          <cell r="B729">
            <v>38050</v>
          </cell>
          <cell r="C729">
            <v>36</v>
          </cell>
          <cell r="D729" t="str">
            <v>XN Xaêng Daàu Daàu Khí Vuõng Taøu</v>
          </cell>
          <cell r="E729" t="str">
            <v>710D.00343</v>
          </cell>
          <cell r="F729" t="str">
            <v>Coâng Thöông</v>
          </cell>
          <cell r="G729" t="str">
            <v>Baø Ròa-Vuõng Taøu</v>
          </cell>
          <cell r="H729" t="str">
            <v>Traû tieàn mua xaêng daàu</v>
          </cell>
          <cell r="I729">
            <v>2191000000</v>
          </cell>
        </row>
        <row r="730">
          <cell r="A730">
            <v>2</v>
          </cell>
          <cell r="B730">
            <v>38050</v>
          </cell>
          <cell r="C730">
            <v>28</v>
          </cell>
          <cell r="D730" t="str">
            <v>Chi Nhaùnh Cty CP Söõa VN Taïi Caàn Thô</v>
          </cell>
          <cell r="E730" t="str">
            <v>7301.0479K</v>
          </cell>
          <cell r="F730" t="str">
            <v>Ñaàu Tö &amp; Phaùt Trieån</v>
          </cell>
          <cell r="G730" t="str">
            <v>Caàn Thô</v>
          </cell>
          <cell r="H730" t="str">
            <v>Traû tieân mua söõa hoäp caùc loaïi</v>
          </cell>
          <cell r="I730">
            <v>260927357</v>
          </cell>
        </row>
        <row r="731">
          <cell r="A731">
            <v>3</v>
          </cell>
          <cell r="B731">
            <v>38050</v>
          </cell>
          <cell r="C731">
            <v>27</v>
          </cell>
          <cell r="D731" t="str">
            <v>Cty TNHH Quoác Teá Nagarjuna</v>
          </cell>
          <cell r="E731" t="str">
            <v>3586.1</v>
          </cell>
          <cell r="F731" t="str">
            <v>INDOVINA</v>
          </cell>
          <cell r="G731" t="str">
            <v>Hoà Chí Minh</v>
          </cell>
          <cell r="H731" t="str">
            <v>Traû tieàn mua ñöôøng</v>
          </cell>
          <cell r="I731">
            <v>31325000</v>
          </cell>
        </row>
        <row r="732">
          <cell r="A732">
            <v>4</v>
          </cell>
          <cell r="B732">
            <v>38050</v>
          </cell>
          <cell r="C732">
            <v>79</v>
          </cell>
          <cell r="D732" t="str">
            <v>Doanh Nghiệp Tư Nhaân Minh Nghi</v>
          </cell>
          <cell r="E732" t="str">
            <v>540H.00075</v>
          </cell>
          <cell r="F732" t="str">
            <v>T.M.C.P SG Coâng Thöông CN Bình Chaùnh</v>
          </cell>
          <cell r="G732" t="str">
            <v>Hoà Chí Minh</v>
          </cell>
          <cell r="H732" t="str">
            <v>Traû tieàn mua nöôùc ngoït</v>
          </cell>
          <cell r="I732">
            <v>12500400</v>
          </cell>
        </row>
        <row r="733">
          <cell r="A733">
            <v>5</v>
          </cell>
          <cell r="B733">
            <v>38050</v>
          </cell>
          <cell r="C733">
            <v>95</v>
          </cell>
          <cell r="D733" t="str">
            <v>Cty Deät May Thaønh Coâng - CN MieànTaây</v>
          </cell>
          <cell r="E733" t="str">
            <v>73012209E</v>
          </cell>
          <cell r="F733" t="str">
            <v>Ñaàu Tö &amp; Phaùt Trieån</v>
          </cell>
          <cell r="G733" t="str">
            <v>Caàn Thô</v>
          </cell>
          <cell r="H733" t="str">
            <v>Traû tieàn haøng may maëc Thaønh Coâng</v>
          </cell>
          <cell r="I733">
            <v>3865460</v>
          </cell>
        </row>
        <row r="734">
          <cell r="A734">
            <v>6</v>
          </cell>
          <cell r="B734">
            <v>38050</v>
          </cell>
          <cell r="C734">
            <v>99</v>
          </cell>
          <cell r="D734" t="str">
            <v xml:space="preserve">Löu Thò Myõ Phöôïng (CTyTNHH Taân Thaùi Thònh) </v>
          </cell>
          <cell r="E734" t="str">
            <v>2656329</v>
          </cell>
          <cell r="F734" t="str">
            <v>AÙ Chaâu</v>
          </cell>
          <cell r="G734" t="str">
            <v>Hoà Chí Minh</v>
          </cell>
          <cell r="H734" t="str">
            <v>Traû tieàn mua nöôùc yeán</v>
          </cell>
          <cell r="I734">
            <v>35146036</v>
          </cell>
        </row>
        <row r="735">
          <cell r="A735">
            <v>5</v>
          </cell>
          <cell r="B735">
            <v>38051</v>
          </cell>
          <cell r="C735">
            <v>36</v>
          </cell>
          <cell r="D735" t="str">
            <v>XN Xaêng Daàu Daàu Khí Vuõng Taøu</v>
          </cell>
          <cell r="E735" t="str">
            <v>710D.00343</v>
          </cell>
          <cell r="F735" t="str">
            <v>Coâng Thöông</v>
          </cell>
          <cell r="G735" t="str">
            <v>Baø Ròa-Vuõng Taøu</v>
          </cell>
          <cell r="H735" t="str">
            <v>Traû tieàn mua xaêng daàu</v>
          </cell>
          <cell r="I735">
            <v>1843800000</v>
          </cell>
        </row>
        <row r="736">
          <cell r="A736">
            <v>6</v>
          </cell>
          <cell r="B736">
            <v>38051</v>
          </cell>
          <cell r="C736">
            <v>6</v>
          </cell>
          <cell r="D736" t="str">
            <v>BP Petco Ltd</v>
          </cell>
          <cell r="E736" t="str">
            <v>0300007015 DS10450(VND)</v>
          </cell>
          <cell r="F736" t="str">
            <v>Citibank</v>
          </cell>
          <cell r="G736" t="str">
            <v>Hoà Chí Minh</v>
          </cell>
          <cell r="H736" t="str">
            <v>Traû tieàn mua gaz</v>
          </cell>
          <cell r="I736">
            <v>187292003</v>
          </cell>
        </row>
        <row r="737">
          <cell r="A737">
            <v>7</v>
          </cell>
          <cell r="B737">
            <v>38051</v>
          </cell>
          <cell r="C737">
            <v>77</v>
          </cell>
          <cell r="D737" t="str">
            <v>Cty Ñieän &amp; Ñieän Töû SAMSUNG VINA</v>
          </cell>
          <cell r="E737" t="str">
            <v>710A.01109</v>
          </cell>
          <cell r="F737" t="str">
            <v>Coâng Thöông CN 4</v>
          </cell>
          <cell r="G737" t="str">
            <v>Hoà Chí Minh</v>
          </cell>
          <cell r="H737" t="str">
            <v>Traû tieàn mua haøng ñieän maùy</v>
          </cell>
          <cell r="I737">
            <v>26040042</v>
          </cell>
        </row>
        <row r="738">
          <cell r="A738">
            <v>8</v>
          </cell>
          <cell r="B738">
            <v>38051</v>
          </cell>
          <cell r="C738">
            <v>27</v>
          </cell>
          <cell r="D738" t="str">
            <v>Cty TNHH Quoác Teá Nagarjuna</v>
          </cell>
          <cell r="E738" t="str">
            <v>3586.1</v>
          </cell>
          <cell r="F738" t="str">
            <v>INDOVINA</v>
          </cell>
          <cell r="G738" t="str">
            <v>Hoà Chí Minh</v>
          </cell>
          <cell r="H738" t="str">
            <v>Traû tieàn mua ñöôøng</v>
          </cell>
          <cell r="I738">
            <v>62650000</v>
          </cell>
        </row>
        <row r="739">
          <cell r="A739">
            <v>9</v>
          </cell>
          <cell r="B739">
            <v>38051</v>
          </cell>
          <cell r="C739">
            <v>73</v>
          </cell>
          <cell r="D739" t="str">
            <v>Cty. TNHH SX.TM.HMP Myõ Haûo</v>
          </cell>
          <cell r="E739" t="str">
            <v>007.100.002.4148</v>
          </cell>
          <cell r="F739" t="str">
            <v>Ngoaïi Thöông</v>
          </cell>
          <cell r="G739" t="str">
            <v>Hoà Chí Minh</v>
          </cell>
          <cell r="H739" t="str">
            <v>Traû tieàn mua nöôùc röûa cheùn  (TT.BL,Hoä Phoøng)</v>
          </cell>
          <cell r="I739">
            <v>104071335</v>
          </cell>
        </row>
        <row r="740">
          <cell r="A740">
            <v>10</v>
          </cell>
          <cell r="B740">
            <v>38051</v>
          </cell>
          <cell r="C740">
            <v>19</v>
          </cell>
          <cell r="D740" t="str">
            <v>Cty LD Khí Ñoát Saøi Goøn (Elf)</v>
          </cell>
          <cell r="E740" t="str">
            <v>100014851025745</v>
          </cell>
          <cell r="F740" t="str">
            <v>Eximbank</v>
          </cell>
          <cell r="G740" t="str">
            <v>Hoà Chí Minh</v>
          </cell>
          <cell r="H740" t="str">
            <v>Traû tieàn mua gaz</v>
          </cell>
          <cell r="I740">
            <v>29947500</v>
          </cell>
        </row>
        <row r="741">
          <cell r="A741">
            <v>7</v>
          </cell>
          <cell r="B741">
            <v>38054</v>
          </cell>
          <cell r="C741">
            <v>8</v>
          </cell>
          <cell r="D741" t="str">
            <v>Cty Xi Maêng Haø Tieân II</v>
          </cell>
          <cell r="E741" t="str">
            <v>710A.00091</v>
          </cell>
          <cell r="F741" t="str">
            <v>Coâng Thöông</v>
          </cell>
          <cell r="G741" t="str">
            <v>Kieân Giang</v>
          </cell>
          <cell r="H741" t="str">
            <v>Traû tieàn mua xi maêng 250taán</v>
          </cell>
          <cell r="I741">
            <v>195112500</v>
          </cell>
        </row>
        <row r="742">
          <cell r="A742">
            <v>8</v>
          </cell>
          <cell r="B742">
            <v>38054</v>
          </cell>
          <cell r="C742">
            <v>101</v>
          </cell>
          <cell r="D742" t="str">
            <v>Cty TMKT &amp; Ñaàu Tö PETEC</v>
          </cell>
          <cell r="E742" t="str">
            <v>1003227 05 2</v>
          </cell>
          <cell r="F742" t="str">
            <v>Deutsche Bank</v>
          </cell>
          <cell r="G742" t="str">
            <v>Hoà Chí Minh</v>
          </cell>
          <cell r="H742" t="str">
            <v>Traû tieàn mua xaêng daàu (Maõ IBPS 50619012)</v>
          </cell>
          <cell r="I742">
            <v>959000000</v>
          </cell>
        </row>
        <row r="743">
          <cell r="A743">
            <v>9</v>
          </cell>
          <cell r="B743">
            <v>38054</v>
          </cell>
          <cell r="C743">
            <v>1</v>
          </cell>
          <cell r="D743" t="str">
            <v>Nhaø Maùy Thuoác Laù Saøi Goøn</v>
          </cell>
          <cell r="E743" t="str">
            <v>710A.00105</v>
          </cell>
          <cell r="F743" t="str">
            <v>Sôû Giao Dòch II CTVN</v>
          </cell>
          <cell r="G743" t="str">
            <v>Hoà Chí Minh</v>
          </cell>
          <cell r="H743" t="str">
            <v>Traû tieàn mua thuoác laù</v>
          </cell>
          <cell r="I743">
            <v>231000000</v>
          </cell>
        </row>
        <row r="744">
          <cell r="A744">
            <v>10</v>
          </cell>
          <cell r="B744">
            <v>38054</v>
          </cell>
          <cell r="C744">
            <v>36</v>
          </cell>
          <cell r="D744" t="str">
            <v>XN Xaêng Daàu Daàu Khí Vuõng Taøu</v>
          </cell>
          <cell r="E744" t="str">
            <v>710D.00343</v>
          </cell>
          <cell r="F744" t="str">
            <v>Coâng Thöông</v>
          </cell>
          <cell r="G744" t="str">
            <v>Baø Ròa-Vuõng Taøu</v>
          </cell>
          <cell r="H744" t="str">
            <v>Traû tieàn mua xaêng daàu</v>
          </cell>
          <cell r="I744">
            <v>3875000000</v>
          </cell>
        </row>
        <row r="745">
          <cell r="A745">
            <v>11</v>
          </cell>
          <cell r="B745">
            <v>38056</v>
          </cell>
          <cell r="C745">
            <v>8</v>
          </cell>
          <cell r="D745" t="str">
            <v>Cty Xi Maêng Haø Tieân II</v>
          </cell>
          <cell r="E745" t="str">
            <v>710A.00091</v>
          </cell>
          <cell r="F745" t="str">
            <v>Coâng Thöông</v>
          </cell>
          <cell r="G745" t="str">
            <v>Kieân Giang</v>
          </cell>
          <cell r="H745" t="str">
            <v>Traû tieàn mua xi maêng 350taán</v>
          </cell>
          <cell r="I745">
            <v>273157500</v>
          </cell>
        </row>
        <row r="746">
          <cell r="A746">
            <v>12</v>
          </cell>
          <cell r="B746">
            <v>38056</v>
          </cell>
          <cell r="C746">
            <v>41</v>
          </cell>
          <cell r="D746" t="str">
            <v>Cty Xi Maêng Nghi Sôn</v>
          </cell>
          <cell r="E746" t="str">
            <v>710A.02772</v>
          </cell>
          <cell r="F746" t="str">
            <v>Coâng Thöông CN 9</v>
          </cell>
          <cell r="G746" t="str">
            <v>Hoà Chí Minh</v>
          </cell>
          <cell r="H746" t="str">
            <v>Traû tieàn mua xi maêng 400taán</v>
          </cell>
          <cell r="I746">
            <v>340000000</v>
          </cell>
        </row>
        <row r="747">
          <cell r="A747">
            <v>11</v>
          </cell>
          <cell r="B747">
            <v>38056</v>
          </cell>
          <cell r="C747">
            <v>73</v>
          </cell>
          <cell r="D747" t="str">
            <v>Cty. TNHH SX.TM.HMP Myõ Haûo</v>
          </cell>
          <cell r="E747" t="str">
            <v>007.100.002.4148</v>
          </cell>
          <cell r="F747" t="str">
            <v>Ngoaïi Thöông</v>
          </cell>
          <cell r="G747" t="str">
            <v>Hoà Chí Minh</v>
          </cell>
          <cell r="H747" t="str">
            <v>Traû tieàn mua nöôùc röûa cheùn  (TT.BL)</v>
          </cell>
          <cell r="I747">
            <v>30895737</v>
          </cell>
        </row>
        <row r="748">
          <cell r="A748">
            <v>13</v>
          </cell>
          <cell r="B748">
            <v>38057</v>
          </cell>
          <cell r="C748">
            <v>5</v>
          </cell>
          <cell r="D748" t="str">
            <v>Cty TNHH TMaïi Thaønh Long</v>
          </cell>
          <cell r="E748" t="str">
            <v>710A.00817</v>
          </cell>
          <cell r="F748" t="str">
            <v>Coâng Thöong CN6</v>
          </cell>
          <cell r="G748" t="str">
            <v>Hoà Chí Minh</v>
          </cell>
          <cell r="H748" t="str">
            <v>Traû tieàn mua boät ngoït</v>
          </cell>
          <cell r="I748">
            <v>437206103</v>
          </cell>
        </row>
        <row r="749">
          <cell r="A749">
            <v>14</v>
          </cell>
          <cell r="B749">
            <v>38057</v>
          </cell>
          <cell r="C749">
            <v>14</v>
          </cell>
          <cell r="D749" t="str">
            <v>Coâng Ty Theùp Mieàn Nam</v>
          </cell>
          <cell r="E749" t="str">
            <v>710A.01611</v>
          </cell>
          <cell r="F749" t="str">
            <v>Coâng Thöông CN I</v>
          </cell>
          <cell r="G749" t="str">
            <v>Hoà Chí Minh</v>
          </cell>
          <cell r="H749" t="str">
            <v xml:space="preserve">Traû tieàn mua haøng cho CN Mieàn Taây C.Ty Theùp Mieàn Nam </v>
          </cell>
          <cell r="I749">
            <v>300000000</v>
          </cell>
        </row>
        <row r="750">
          <cell r="A750">
            <v>12</v>
          </cell>
          <cell r="B750">
            <v>38057</v>
          </cell>
          <cell r="C750">
            <v>28</v>
          </cell>
          <cell r="D750" t="str">
            <v>Chi Nhaùnh Cty CP Söõa VN Taïi Caàn Thô</v>
          </cell>
          <cell r="E750" t="str">
            <v>7301.0479K</v>
          </cell>
          <cell r="F750" t="str">
            <v>Ñaàu Tö &amp; Phaùt Trieån</v>
          </cell>
          <cell r="G750" t="str">
            <v>Caàn Thô</v>
          </cell>
          <cell r="H750" t="str">
            <v>Traû tieân mua söõa hoäp caùc loaïi</v>
          </cell>
          <cell r="I750">
            <v>385778155</v>
          </cell>
        </row>
        <row r="751">
          <cell r="A751">
            <v>13</v>
          </cell>
          <cell r="B751">
            <v>38058</v>
          </cell>
          <cell r="C751">
            <v>73</v>
          </cell>
          <cell r="D751" t="str">
            <v>Cty. TNHH SX.TM.HMP Myõ Haûo</v>
          </cell>
          <cell r="E751" t="str">
            <v>007.100.002.4148</v>
          </cell>
          <cell r="F751" t="str">
            <v>Ngoaïi Thöông</v>
          </cell>
          <cell r="G751" t="str">
            <v>Hoà Chí Minh</v>
          </cell>
          <cell r="H751" t="str">
            <v>Traû tieàn mua nöôùc röûa cheùn  (TT.CM)</v>
          </cell>
          <cell r="I751">
            <v>53499317</v>
          </cell>
        </row>
        <row r="752">
          <cell r="A752">
            <v>14</v>
          </cell>
          <cell r="B752">
            <v>38058</v>
          </cell>
          <cell r="C752">
            <v>66</v>
          </cell>
          <cell r="D752" t="str">
            <v>Cty UNI PRESIDENT</v>
          </cell>
          <cell r="E752" t="str">
            <v>30 98 208</v>
          </cell>
          <cell r="F752" t="str">
            <v>ANZ</v>
          </cell>
          <cell r="G752" t="str">
            <v>Hoà Chí Minh</v>
          </cell>
          <cell r="H752" t="str">
            <v>Traû tieàn mua mì Unif</v>
          </cell>
          <cell r="I752">
            <v>38418540</v>
          </cell>
        </row>
        <row r="753">
          <cell r="A753">
            <v>15</v>
          </cell>
          <cell r="B753">
            <v>38058</v>
          </cell>
          <cell r="C753">
            <v>93</v>
          </cell>
          <cell r="D753" t="str">
            <v>Cty Coå Phaàn Giaáy Vieãn Ñoâng</v>
          </cell>
          <cell r="E753" t="str">
            <v>710A.04479</v>
          </cell>
          <cell r="F753" t="str">
            <v>Coâng Thöông CN 12</v>
          </cell>
          <cell r="G753" t="str">
            <v>Hoà Chí Minh</v>
          </cell>
          <cell r="H753" t="str">
            <v>Traû tieàn mua giaáy Vieãn Ñoâng</v>
          </cell>
          <cell r="I753">
            <v>21766371</v>
          </cell>
        </row>
        <row r="754">
          <cell r="A754">
            <v>15</v>
          </cell>
          <cell r="B754">
            <v>38061</v>
          </cell>
          <cell r="C754">
            <v>8</v>
          </cell>
          <cell r="D754" t="str">
            <v>Cty Xi Maêng Haø Tieân II</v>
          </cell>
          <cell r="E754" t="str">
            <v>710A.00091</v>
          </cell>
          <cell r="F754" t="str">
            <v>Coâng Thöông</v>
          </cell>
          <cell r="G754" t="str">
            <v>Kieân Giang</v>
          </cell>
          <cell r="H754" t="str">
            <v>Traû tieàn mua xi maêng 150taán</v>
          </cell>
          <cell r="I754">
            <v>118296350</v>
          </cell>
        </row>
        <row r="755">
          <cell r="A755">
            <v>16</v>
          </cell>
          <cell r="B755">
            <v>38062</v>
          </cell>
          <cell r="C755">
            <v>98</v>
          </cell>
          <cell r="D755" t="str">
            <v>CTy Lieân Doanh Xi Maêng Haø Tieân II-Caàn Thô</v>
          </cell>
          <cell r="E755" t="str">
            <v>710A.56157</v>
          </cell>
          <cell r="F755" t="str">
            <v>Coâng Thöông</v>
          </cell>
          <cell r="G755" t="str">
            <v>Caàn Thô</v>
          </cell>
          <cell r="H755" t="str">
            <v xml:space="preserve">Traû tieàn mua xi maêng </v>
          </cell>
          <cell r="I755">
            <v>347560000</v>
          </cell>
        </row>
        <row r="756">
          <cell r="A756">
            <v>16</v>
          </cell>
          <cell r="B756">
            <v>38062</v>
          </cell>
          <cell r="C756">
            <v>28</v>
          </cell>
          <cell r="D756" t="str">
            <v>Chi Nhaùnh Cty CP Söõa VN Taïi Caàn Thô</v>
          </cell>
          <cell r="E756" t="str">
            <v>7301.0479K</v>
          </cell>
          <cell r="F756" t="str">
            <v>Ñaàu Tö &amp; Phaùt Trieån</v>
          </cell>
          <cell r="G756" t="str">
            <v>Caàn Thô</v>
          </cell>
          <cell r="H756" t="str">
            <v>Traû tieân mua söõa hoäp caùc loaïi</v>
          </cell>
          <cell r="I756">
            <v>350000000</v>
          </cell>
        </row>
        <row r="757">
          <cell r="A757">
            <v>17</v>
          </cell>
          <cell r="B757">
            <v>38062</v>
          </cell>
          <cell r="C757">
            <v>31</v>
          </cell>
          <cell r="D757" t="str">
            <v>Cty Daàu Aên Golden Hope - Nhaø Beø</v>
          </cell>
          <cell r="E757" t="str">
            <v>710A.06902</v>
          </cell>
          <cell r="F757" t="str">
            <v>Sôû Giao Dòch II CTVN</v>
          </cell>
          <cell r="G757" t="str">
            <v>Hoà Chí Minh</v>
          </cell>
          <cell r="H757" t="str">
            <v>Traû tieàn mua daàu xa: 36.323.100ñù+daàu chai(TT.BL: 82.425.839ñ)</v>
          </cell>
          <cell r="I757">
            <v>118748939</v>
          </cell>
        </row>
        <row r="758">
          <cell r="A758">
            <v>18</v>
          </cell>
          <cell r="B758">
            <v>38062</v>
          </cell>
          <cell r="C758">
            <v>25</v>
          </cell>
          <cell r="D758" t="str">
            <v xml:space="preserve"> Thu Baûo Hieåm Xaõ Hoäi Tænh Baïc Lieâu</v>
          </cell>
          <cell r="E758" t="str">
            <v>421401.12</v>
          </cell>
          <cell r="F758" t="str">
            <v>NN &amp; P/T N/Thoân</v>
          </cell>
          <cell r="G758" t="str">
            <v>Baïc Lieâu</v>
          </cell>
          <cell r="H758" t="str">
            <v xml:space="preserve">Noäp BHXH thaùng 3/2004 </v>
          </cell>
          <cell r="I758">
            <v>24446884</v>
          </cell>
        </row>
        <row r="759">
          <cell r="A759">
            <v>17</v>
          </cell>
          <cell r="B759">
            <v>38062</v>
          </cell>
          <cell r="C759">
            <v>36</v>
          </cell>
          <cell r="D759" t="str">
            <v>XN Xaêng Daàu Daàu Khí Vuõng Taøu</v>
          </cell>
          <cell r="E759" t="str">
            <v>710D.00343</v>
          </cell>
          <cell r="F759" t="str">
            <v>Coâng Thöông</v>
          </cell>
          <cell r="G759" t="str">
            <v>Baø Ròa-Vuõng Taøu</v>
          </cell>
          <cell r="H759" t="str">
            <v>Traû tieàn mua xaêng daàu</v>
          </cell>
          <cell r="I759">
            <v>2245000000</v>
          </cell>
        </row>
        <row r="760">
          <cell r="A760">
            <v>18</v>
          </cell>
          <cell r="B760">
            <v>38062</v>
          </cell>
          <cell r="C760">
            <v>8</v>
          </cell>
          <cell r="D760" t="str">
            <v>Cty Xi Maêng Haø Tieân II</v>
          </cell>
          <cell r="E760" t="str">
            <v>710A.00091</v>
          </cell>
          <cell r="F760" t="str">
            <v>Coâng Thöông</v>
          </cell>
          <cell r="G760" t="str">
            <v>Kieân Giang</v>
          </cell>
          <cell r="H760" t="str">
            <v>Traû tieàn mua xi maêng 150taán</v>
          </cell>
          <cell r="I760">
            <v>117067500</v>
          </cell>
        </row>
        <row r="761">
          <cell r="A761">
            <v>19</v>
          </cell>
          <cell r="B761">
            <v>38047</v>
          </cell>
          <cell r="C761">
            <v>73</v>
          </cell>
          <cell r="D761" t="str">
            <v>Cty. TNHH SX.TM.HMP Myõ Haûo</v>
          </cell>
          <cell r="E761" t="str">
            <v>007.100.002.4148</v>
          </cell>
          <cell r="F761" t="str">
            <v>Ngoaïi Thöông</v>
          </cell>
          <cell r="G761" t="str">
            <v>Hoà Chí Minh</v>
          </cell>
          <cell r="H761" t="str">
            <v>Traû tieàn mua nöôùc röûa cheùn  (TT.BL)</v>
          </cell>
          <cell r="I761">
            <v>47398375</v>
          </cell>
        </row>
        <row r="762">
          <cell r="A762">
            <v>20</v>
          </cell>
          <cell r="B762">
            <v>38063</v>
          </cell>
          <cell r="C762">
            <v>27</v>
          </cell>
          <cell r="D762" t="str">
            <v>Cty TNHH Quoác Teá Nagarjuna</v>
          </cell>
          <cell r="E762" t="str">
            <v>3586.1</v>
          </cell>
          <cell r="F762" t="str">
            <v>INDOVINA</v>
          </cell>
          <cell r="G762" t="str">
            <v>Hoà Chí Minh</v>
          </cell>
          <cell r="H762" t="str">
            <v>Traû tieàn mua ñöôøng</v>
          </cell>
          <cell r="I762">
            <v>102375000</v>
          </cell>
        </row>
        <row r="763">
          <cell r="A763">
            <v>21</v>
          </cell>
          <cell r="B763">
            <v>38063</v>
          </cell>
          <cell r="C763">
            <v>31</v>
          </cell>
          <cell r="D763" t="str">
            <v>Cty Daàu Aên Golden Hope - Nhaø Beø</v>
          </cell>
          <cell r="E763" t="str">
            <v>710A.06902</v>
          </cell>
          <cell r="F763" t="str">
            <v>Sôû Giao Dòch II CTVN</v>
          </cell>
          <cell r="G763" t="str">
            <v>Hoà Chí Minh</v>
          </cell>
          <cell r="H763" t="str">
            <v>Traû tieàn mua daàu Marvela(TT.BL)</v>
          </cell>
          <cell r="I763">
            <v>65206944</v>
          </cell>
        </row>
        <row r="764">
          <cell r="A764">
            <v>22</v>
          </cell>
          <cell r="B764">
            <v>38063</v>
          </cell>
          <cell r="C764">
            <v>44</v>
          </cell>
          <cell r="D764" t="str">
            <v>CTy Ñieän Baùo Ñieän Thoaïi Baïc Lieâu</v>
          </cell>
          <cell r="E764" t="str">
            <v>710A.00074</v>
          </cell>
          <cell r="F764" t="str">
            <v xml:space="preserve">Coâng Thöông </v>
          </cell>
          <cell r="G764" t="str">
            <v>Baïc Lieâu</v>
          </cell>
          <cell r="H764" t="str">
            <v>Traû tieàn ñieän thoaïi thaùng 02/2004</v>
          </cell>
          <cell r="I764">
            <v>10499291</v>
          </cell>
        </row>
        <row r="765">
          <cell r="A765">
            <v>19</v>
          </cell>
          <cell r="B765">
            <v>38064</v>
          </cell>
          <cell r="C765">
            <v>5</v>
          </cell>
          <cell r="D765" t="str">
            <v>Cty TNHH TMaïi Thaønh Long</v>
          </cell>
          <cell r="E765" t="str">
            <v>710A.00817</v>
          </cell>
          <cell r="F765" t="str">
            <v>Coâng Thöong CN6</v>
          </cell>
          <cell r="G765" t="str">
            <v>Hoà Chí Minh</v>
          </cell>
          <cell r="H765" t="str">
            <v>Traû tieàn mua boät ngoït</v>
          </cell>
          <cell r="I765">
            <v>149977234</v>
          </cell>
        </row>
        <row r="766">
          <cell r="A766">
            <v>20</v>
          </cell>
          <cell r="B766">
            <v>38064</v>
          </cell>
          <cell r="C766">
            <v>9</v>
          </cell>
          <cell r="D766" t="str">
            <v>Castrol Vieät Nam Ltd</v>
          </cell>
          <cell r="E766" t="str">
            <v>007.1.00.002804.1</v>
          </cell>
          <cell r="F766" t="str">
            <v>Ngoaïi Thöông</v>
          </cell>
          <cell r="G766" t="str">
            <v>Hoà Chí Minh</v>
          </cell>
          <cell r="H766" t="str">
            <v>Traû tieàn mua nhôùt</v>
          </cell>
          <cell r="I766">
            <v>129500229</v>
          </cell>
        </row>
        <row r="767">
          <cell r="A767">
            <v>21</v>
          </cell>
          <cell r="B767">
            <v>38065</v>
          </cell>
          <cell r="C767">
            <v>36</v>
          </cell>
          <cell r="D767" t="str">
            <v>XN Xaêng Daàu Daàu Khí Vuõng Taøu</v>
          </cell>
          <cell r="E767" t="str">
            <v>710D.00343</v>
          </cell>
          <cell r="F767" t="str">
            <v>Coâng Thöông</v>
          </cell>
          <cell r="G767" t="str">
            <v>Baø Ròa-Vuõng Taøu</v>
          </cell>
          <cell r="H767" t="str">
            <v>Traû tieàn mua xaêng daàu</v>
          </cell>
          <cell r="I767">
            <v>3875000000</v>
          </cell>
        </row>
        <row r="768">
          <cell r="A768">
            <v>22</v>
          </cell>
          <cell r="B768">
            <v>38065</v>
          </cell>
          <cell r="C768">
            <v>28</v>
          </cell>
          <cell r="D768" t="str">
            <v>Chi Nhaùnh Cty CP Söõa VN Taïi Caàn Thô</v>
          </cell>
          <cell r="E768" t="str">
            <v>7301.0479K</v>
          </cell>
          <cell r="F768" t="str">
            <v>Ñaàu Tö &amp; Phaùt Trieån</v>
          </cell>
          <cell r="G768" t="str">
            <v>Caàn Thô</v>
          </cell>
          <cell r="H768" t="str">
            <v>Traû tieân mua söõa hoäp caùc loaïi</v>
          </cell>
          <cell r="I768">
            <v>210000000</v>
          </cell>
        </row>
        <row r="769">
          <cell r="A769">
            <v>23</v>
          </cell>
          <cell r="B769">
            <v>38065</v>
          </cell>
          <cell r="C769">
            <v>99</v>
          </cell>
          <cell r="D769" t="str">
            <v xml:space="preserve">Löu Thò Myõ Phöôïng (CTyTNHH Taân Thaùi Thònh) </v>
          </cell>
          <cell r="E769" t="str">
            <v>2656329</v>
          </cell>
          <cell r="F769" t="str">
            <v>AÙ Chaâu</v>
          </cell>
          <cell r="G769" t="str">
            <v>Hoà Chí Minh</v>
          </cell>
          <cell r="H769" t="str">
            <v>Traû tieàn mua nöôùc bí ñao</v>
          </cell>
          <cell r="I769">
            <v>17096541</v>
          </cell>
        </row>
        <row r="770">
          <cell r="A770">
            <v>22</v>
          </cell>
          <cell r="B770">
            <v>38065</v>
          </cell>
          <cell r="C770">
            <v>8</v>
          </cell>
          <cell r="D770" t="str">
            <v>Cty Xi Maêng Haø Tieân II</v>
          </cell>
          <cell r="E770" t="str">
            <v>710A.00091</v>
          </cell>
          <cell r="F770" t="str">
            <v>Coâng Thöông</v>
          </cell>
          <cell r="G770" t="str">
            <v>Kieân Giang</v>
          </cell>
          <cell r="H770" t="str">
            <v>Traû tieàn mua xi maêng 150taán</v>
          </cell>
          <cell r="I770">
            <v>118068200</v>
          </cell>
        </row>
        <row r="771">
          <cell r="A771">
            <v>23</v>
          </cell>
          <cell r="B771">
            <v>38068</v>
          </cell>
          <cell r="C771">
            <v>8</v>
          </cell>
          <cell r="D771" t="str">
            <v>Cty Xi Maêng Haø Tieân II</v>
          </cell>
          <cell r="E771" t="str">
            <v>710A.00091</v>
          </cell>
          <cell r="F771" t="str">
            <v>Coâng Thöông</v>
          </cell>
          <cell r="G771" t="str">
            <v>Kieân Giang</v>
          </cell>
          <cell r="H771" t="str">
            <v>Traû tieàn mua xi maêng 150taán</v>
          </cell>
          <cell r="I771">
            <v>118552500</v>
          </cell>
        </row>
        <row r="772">
          <cell r="A772">
            <v>24</v>
          </cell>
          <cell r="B772">
            <v>38068</v>
          </cell>
          <cell r="C772">
            <v>3</v>
          </cell>
          <cell r="D772" t="str">
            <v>Cty Coå Phaàn Boät Giaët Lix</v>
          </cell>
          <cell r="E772" t="str">
            <v>710A.01440</v>
          </cell>
          <cell r="F772" t="str">
            <v>Coâng Thöông CN 14</v>
          </cell>
          <cell r="G772" t="str">
            <v>Hoà Chí Minh</v>
          </cell>
          <cell r="H772" t="str">
            <v>Traû tieàn boät giaët</v>
          </cell>
          <cell r="I772">
            <v>210000000</v>
          </cell>
        </row>
        <row r="773">
          <cell r="A773">
            <v>24</v>
          </cell>
          <cell r="B773">
            <v>38068</v>
          </cell>
          <cell r="C773">
            <v>28</v>
          </cell>
          <cell r="D773" t="str">
            <v>Chi Nhaùnh Cty CP Söõa VN Taïi Caàn Thô</v>
          </cell>
          <cell r="E773" t="str">
            <v>7301.0479K</v>
          </cell>
          <cell r="F773" t="str">
            <v>Ñaàu Tö &amp; Phaùt Trieån</v>
          </cell>
          <cell r="G773" t="str">
            <v>Caàn Thô</v>
          </cell>
          <cell r="H773" t="str">
            <v>Traû tieân mua söõa hoäp caùc loaïi</v>
          </cell>
          <cell r="I773">
            <v>310000000</v>
          </cell>
        </row>
        <row r="774">
          <cell r="A774">
            <v>25</v>
          </cell>
          <cell r="B774">
            <v>38068</v>
          </cell>
          <cell r="C774">
            <v>99</v>
          </cell>
          <cell r="D774" t="str">
            <v xml:space="preserve">Löu Thò Myõ Phöôïng (CTyTNHH Taân Thaùi Thònh) </v>
          </cell>
          <cell r="E774" t="str">
            <v>2656329</v>
          </cell>
          <cell r="F774" t="str">
            <v>AÙ Chaâu</v>
          </cell>
          <cell r="G774" t="str">
            <v>Hoà Chí Minh</v>
          </cell>
          <cell r="H774" t="str">
            <v>Traû tieàn mua nöôùc bí ñao</v>
          </cell>
          <cell r="I774">
            <v>7071818</v>
          </cell>
        </row>
        <row r="775">
          <cell r="A775">
            <v>26</v>
          </cell>
          <cell r="B775">
            <v>38068</v>
          </cell>
          <cell r="C775">
            <v>31</v>
          </cell>
          <cell r="D775" t="str">
            <v>Cty Daàu Aên Golden Hope - Nhaø Beø</v>
          </cell>
          <cell r="E775" t="str">
            <v>710A.06902</v>
          </cell>
          <cell r="F775" t="str">
            <v>Sôû Giao Dòch II CTVN</v>
          </cell>
          <cell r="G775" t="str">
            <v>Hoà Chí Minh</v>
          </cell>
          <cell r="H775" t="str">
            <v>Traû tieàn mua daàu Marvela(TT.CM)</v>
          </cell>
          <cell r="I775">
            <v>82978588</v>
          </cell>
        </row>
        <row r="776">
          <cell r="A776">
            <v>27</v>
          </cell>
          <cell r="B776">
            <v>38068</v>
          </cell>
          <cell r="C776">
            <v>73</v>
          </cell>
          <cell r="D776" t="str">
            <v>Cty. TNHH SX.TM.HMP Myõ Haûo</v>
          </cell>
          <cell r="E776" t="str">
            <v>007.100.002.4148</v>
          </cell>
          <cell r="F776" t="str">
            <v>Ngoaïi Thöông</v>
          </cell>
          <cell r="G776" t="str">
            <v>Hoà Chí Minh</v>
          </cell>
          <cell r="H776" t="str">
            <v>Traû tieàn mua nöôùc röûa cheùn  (TT.CM)</v>
          </cell>
          <cell r="I776">
            <v>56169418</v>
          </cell>
        </row>
        <row r="777">
          <cell r="A777">
            <v>25</v>
          </cell>
          <cell r="B777">
            <v>38068</v>
          </cell>
          <cell r="C777">
            <v>36</v>
          </cell>
          <cell r="D777" t="str">
            <v>XN Xaêng Daàu Daàu Khí Vuõng Taøu</v>
          </cell>
          <cell r="E777" t="str">
            <v>710D.00343</v>
          </cell>
          <cell r="F777" t="str">
            <v>Coâng Thöông</v>
          </cell>
          <cell r="G777" t="str">
            <v>Baø Ròa-Vuõng Taøu</v>
          </cell>
          <cell r="H777" t="str">
            <v>Traû tieàn mua xaêng daàu</v>
          </cell>
          <cell r="I777">
            <v>3992000000</v>
          </cell>
        </row>
        <row r="778">
          <cell r="A778">
            <v>24</v>
          </cell>
          <cell r="B778">
            <v>38068</v>
          </cell>
          <cell r="C778">
            <v>3</v>
          </cell>
          <cell r="D778" t="str">
            <v>Cty Coå Phaàn Boät Giaët Lix</v>
          </cell>
          <cell r="E778" t="str">
            <v>710A.01440</v>
          </cell>
          <cell r="F778" t="str">
            <v>Coâng Thöông CN 14</v>
          </cell>
          <cell r="G778" t="str">
            <v>Hoà Chí Minh</v>
          </cell>
          <cell r="H778" t="str">
            <v>Traû tieàn boät giaët</v>
          </cell>
          <cell r="I778">
            <v>210000000</v>
          </cell>
        </row>
        <row r="779">
          <cell r="A779">
            <v>26</v>
          </cell>
          <cell r="B779">
            <v>38068</v>
          </cell>
          <cell r="C779">
            <v>1</v>
          </cell>
          <cell r="D779" t="str">
            <v>Nhaø Maùy Thuoác Laù Saøi Goøn</v>
          </cell>
          <cell r="E779" t="str">
            <v>710A.00105</v>
          </cell>
          <cell r="F779" t="str">
            <v>Sôû Giao Dòch II CTVN</v>
          </cell>
          <cell r="G779" t="str">
            <v>Hoà Chí Minh</v>
          </cell>
          <cell r="H779" t="str">
            <v>Traû tieàn mua thuoác laù</v>
          </cell>
          <cell r="I779">
            <v>253682000</v>
          </cell>
        </row>
        <row r="780">
          <cell r="A780">
            <v>27</v>
          </cell>
          <cell r="B780">
            <v>38068</v>
          </cell>
          <cell r="C780">
            <v>14</v>
          </cell>
          <cell r="D780" t="str">
            <v>Coâng Ty Theùp Mieàn Nam</v>
          </cell>
          <cell r="E780" t="str">
            <v>710A.01611</v>
          </cell>
          <cell r="F780" t="str">
            <v>Coâng Thöông CN I</v>
          </cell>
          <cell r="G780" t="str">
            <v>Hoà Chí Minh</v>
          </cell>
          <cell r="H780" t="str">
            <v xml:space="preserve">Traû tieàn mua haøng cho CN Mieàn Taây C.Ty Theùp Mieàn Nam </v>
          </cell>
          <cell r="I780">
            <v>300000000</v>
          </cell>
        </row>
        <row r="781">
          <cell r="A781">
            <v>28</v>
          </cell>
          <cell r="B781">
            <v>38069</v>
          </cell>
          <cell r="C781">
            <v>5</v>
          </cell>
          <cell r="D781" t="str">
            <v>Cty TNHH TMaïi Thaønh Long</v>
          </cell>
          <cell r="E781" t="str">
            <v>710A.00817</v>
          </cell>
          <cell r="F781" t="str">
            <v>Coâng Thöong CN6</v>
          </cell>
          <cell r="G781" t="str">
            <v>Hoà Chí Minh</v>
          </cell>
          <cell r="H781" t="str">
            <v>Traû tieàn mua boät ngoït</v>
          </cell>
          <cell r="I781">
            <v>100467263</v>
          </cell>
        </row>
        <row r="782">
          <cell r="A782">
            <v>29</v>
          </cell>
          <cell r="B782">
            <v>38069</v>
          </cell>
          <cell r="C782">
            <v>105</v>
          </cell>
          <cell r="D782" t="str">
            <v>XN Kinh Doanh Thöông Maïi-CTy Kho Vaän Mieàn Nam</v>
          </cell>
          <cell r="E782" t="str">
            <v>710A.00036</v>
          </cell>
          <cell r="F782" t="str">
            <v>Coâng Thöông CN 4</v>
          </cell>
          <cell r="G782" t="str">
            <v>Hoà Chí Minh</v>
          </cell>
          <cell r="H782" t="str">
            <v xml:space="preserve">Traû tieàn mua nhôùt </v>
          </cell>
          <cell r="I782">
            <v>92700000</v>
          </cell>
        </row>
        <row r="783">
          <cell r="A783">
            <v>28</v>
          </cell>
          <cell r="B783">
            <v>38069</v>
          </cell>
          <cell r="C783">
            <v>5</v>
          </cell>
          <cell r="D783" t="str">
            <v>Cty TNHH TMaïi Thaønh Long</v>
          </cell>
          <cell r="E783" t="str">
            <v>710A.00817</v>
          </cell>
          <cell r="F783" t="str">
            <v>Coâng Thöong CN6</v>
          </cell>
          <cell r="G783" t="str">
            <v>Hoà Chí Minh</v>
          </cell>
          <cell r="H783" t="str">
            <v>Traû tieàn mua boät ngoït</v>
          </cell>
          <cell r="I783">
            <v>100467263</v>
          </cell>
        </row>
        <row r="784">
          <cell r="A784">
            <v>28</v>
          </cell>
          <cell r="B784">
            <v>38070</v>
          </cell>
          <cell r="C784">
            <v>106</v>
          </cell>
          <cell r="D784" t="str">
            <v>CTy Phaàn meàm vaø Truyeàn thoâng  VASC</v>
          </cell>
          <cell r="E784" t="str">
            <v>10201 00000 31808</v>
          </cell>
          <cell r="F784" t="str">
            <v>Sôû Giao Dòch I CTVN</v>
          </cell>
          <cell r="G784" t="str">
            <v>Haø Noäi</v>
          </cell>
          <cell r="H784" t="str">
            <v>Traûtieàn phí dòch vuï Vietlaw-teân truy caäp baotranquan</v>
          </cell>
          <cell r="I784">
            <v>376200</v>
          </cell>
        </row>
        <row r="785">
          <cell r="A785">
            <v>29</v>
          </cell>
          <cell r="B785">
            <v>38070</v>
          </cell>
          <cell r="C785">
            <v>28</v>
          </cell>
          <cell r="D785" t="str">
            <v>Chi Nhaùnh Cty CP Söõa VN Taïi Caàn Thô</v>
          </cell>
          <cell r="E785" t="str">
            <v>7301.0479K</v>
          </cell>
          <cell r="F785" t="str">
            <v>Ñaàu Tö &amp; Phaùt Trieån</v>
          </cell>
          <cell r="G785" t="str">
            <v>Caàn Thô</v>
          </cell>
          <cell r="H785" t="str">
            <v>Traû tieân mua söõa hoäp caùc loaïi</v>
          </cell>
          <cell r="I785">
            <v>650000000</v>
          </cell>
        </row>
        <row r="786">
          <cell r="A786">
            <v>30</v>
          </cell>
          <cell r="B786">
            <v>38070</v>
          </cell>
          <cell r="C786">
            <v>9</v>
          </cell>
          <cell r="D786" t="str">
            <v>Castrol Vieät Nam Ltd</v>
          </cell>
          <cell r="E786" t="str">
            <v>007.1.00.002804.1</v>
          </cell>
          <cell r="F786" t="str">
            <v>Ngoaïi Thöông</v>
          </cell>
          <cell r="G786" t="str">
            <v>Hoà Chí Minh</v>
          </cell>
          <cell r="H786" t="str">
            <v>Traû tieàn mua nhôùt Castrol</v>
          </cell>
          <cell r="I786">
            <v>197835059</v>
          </cell>
        </row>
        <row r="787">
          <cell r="A787">
            <v>30</v>
          </cell>
          <cell r="B787">
            <v>38071</v>
          </cell>
          <cell r="C787">
            <v>21</v>
          </cell>
          <cell r="D787" t="str">
            <v>Cty Coå Phaàn Vaät Tö  Haäu Giang</v>
          </cell>
          <cell r="E787" t="str">
            <v>710A.00040</v>
          </cell>
          <cell r="F787" t="str">
            <v>Coâng Thöông</v>
          </cell>
          <cell r="G787" t="str">
            <v>Caàn Thô</v>
          </cell>
          <cell r="H787" t="str">
            <v>Traû tieàn mua gaz</v>
          </cell>
          <cell r="I787">
            <v>49423001</v>
          </cell>
        </row>
        <row r="788">
          <cell r="A788">
            <v>31</v>
          </cell>
          <cell r="B788">
            <v>38072</v>
          </cell>
          <cell r="C788">
            <v>73</v>
          </cell>
          <cell r="D788" t="str">
            <v>Cty. TNHH SX.TM.HMP Myõ Haûo</v>
          </cell>
          <cell r="E788" t="str">
            <v>007.100.002.4148</v>
          </cell>
          <cell r="F788" t="str">
            <v>Ngoaïi Thöông</v>
          </cell>
          <cell r="G788" t="str">
            <v>Hoà Chí Minh</v>
          </cell>
          <cell r="H788" t="str">
            <v>Traû tieàn mua nöôùc röûa cheùn  (TT.BL)</v>
          </cell>
          <cell r="I788">
            <v>40821017</v>
          </cell>
        </row>
        <row r="789">
          <cell r="A789">
            <v>32</v>
          </cell>
          <cell r="B789">
            <v>38072</v>
          </cell>
          <cell r="C789">
            <v>66</v>
          </cell>
          <cell r="D789" t="str">
            <v>Cty UNI PRESIDENT</v>
          </cell>
          <cell r="E789" t="str">
            <v>30 98 208</v>
          </cell>
          <cell r="F789" t="str">
            <v>ANZ</v>
          </cell>
          <cell r="G789" t="str">
            <v>Hoà Chí Minh</v>
          </cell>
          <cell r="H789" t="str">
            <v>Traû tieàn mua mì Unif</v>
          </cell>
          <cell r="I789">
            <v>38418513</v>
          </cell>
        </row>
        <row r="790">
          <cell r="A790">
            <v>31</v>
          </cell>
          <cell r="B790">
            <v>38072</v>
          </cell>
          <cell r="C790">
            <v>5</v>
          </cell>
          <cell r="D790" t="str">
            <v>Cty TNHH TMaïi Thaønh Long</v>
          </cell>
          <cell r="E790" t="str">
            <v>710A.00817</v>
          </cell>
          <cell r="F790" t="str">
            <v>Coâng Thöong CN6</v>
          </cell>
          <cell r="G790" t="str">
            <v>Hoà Chí Minh</v>
          </cell>
          <cell r="H790" t="str">
            <v>Traû tieàn mua boät ngoït</v>
          </cell>
          <cell r="I790">
            <v>188894906</v>
          </cell>
        </row>
        <row r="791">
          <cell r="A791">
            <v>32</v>
          </cell>
          <cell r="B791">
            <v>38072</v>
          </cell>
          <cell r="C791">
            <v>22</v>
          </cell>
          <cell r="D791" t="str">
            <v>Cty Deät Long An</v>
          </cell>
          <cell r="E791" t="str">
            <v>710A.10001</v>
          </cell>
          <cell r="F791" t="str">
            <v>Coâng Thöông</v>
          </cell>
          <cell r="G791" t="str">
            <v>Long An</v>
          </cell>
          <cell r="H791" t="str">
            <v>Haøng deät Long An</v>
          </cell>
          <cell r="I791">
            <v>9413270</v>
          </cell>
        </row>
        <row r="792">
          <cell r="A792">
            <v>33</v>
          </cell>
          <cell r="B792">
            <v>38072</v>
          </cell>
          <cell r="C792">
            <v>8</v>
          </cell>
          <cell r="D792" t="str">
            <v>Cty Xi Maêng Haø Tieân II</v>
          </cell>
          <cell r="E792" t="str">
            <v>710A.00091</v>
          </cell>
          <cell r="F792" t="str">
            <v>Coâng Thöông</v>
          </cell>
          <cell r="G792" t="str">
            <v>Kieân Giang</v>
          </cell>
          <cell r="H792" t="str">
            <v>Traû tieàn mua xi maêng 150taán</v>
          </cell>
          <cell r="I792">
            <v>118552500</v>
          </cell>
        </row>
        <row r="793">
          <cell r="A793">
            <v>34</v>
          </cell>
          <cell r="B793">
            <v>38075</v>
          </cell>
          <cell r="C793">
            <v>8</v>
          </cell>
          <cell r="D793" t="str">
            <v>Cty Xi Maêng Haø Tieân II</v>
          </cell>
          <cell r="E793" t="str">
            <v>710A.00091</v>
          </cell>
          <cell r="F793" t="str">
            <v>Coâng Thöông</v>
          </cell>
          <cell r="G793" t="str">
            <v>Kieân Giang</v>
          </cell>
          <cell r="H793" t="str">
            <v>Traû tieàn mua xi maêng 150taán</v>
          </cell>
          <cell r="I793">
            <v>112269700</v>
          </cell>
        </row>
        <row r="794">
          <cell r="A794">
            <v>35</v>
          </cell>
          <cell r="B794">
            <v>38075</v>
          </cell>
          <cell r="C794">
            <v>7</v>
          </cell>
          <cell r="D794" t="str">
            <v>Xí Nghieäp Colusa-Miliket</v>
          </cell>
          <cell r="E794" t="str">
            <v>314.100.00000052</v>
          </cell>
          <cell r="F794" t="str">
            <v>Ñaàu Tö &amp; Phaùt Trieån CN Thuû Ñöùc</v>
          </cell>
          <cell r="G794" t="str">
            <v>Hoà Chí Minh</v>
          </cell>
          <cell r="H794" t="str">
            <v>Traû tieàn mì Colusa</v>
          </cell>
          <cell r="I794">
            <v>113554883</v>
          </cell>
        </row>
        <row r="795">
          <cell r="A795">
            <v>35</v>
          </cell>
          <cell r="B795">
            <v>38075</v>
          </cell>
          <cell r="C795">
            <v>93</v>
          </cell>
          <cell r="D795" t="str">
            <v>Cty Coå Phaàn Giaáy Vieãn Ñoâng</v>
          </cell>
          <cell r="E795" t="str">
            <v>710A.04479</v>
          </cell>
          <cell r="F795" t="str">
            <v>Coâng Thöông CN 12</v>
          </cell>
          <cell r="G795" t="str">
            <v>Hoà Chí Minh</v>
          </cell>
          <cell r="H795" t="str">
            <v>Traû tieàn mua giaáy Vieãn Ñoâng</v>
          </cell>
          <cell r="I795">
            <v>22631120</v>
          </cell>
        </row>
        <row r="796">
          <cell r="A796">
            <v>32</v>
          </cell>
          <cell r="B796">
            <v>38075</v>
          </cell>
          <cell r="C796">
            <v>31</v>
          </cell>
          <cell r="D796" t="str">
            <v>Cty Daàu Aên Golden Hope - Nhaø Beø</v>
          </cell>
          <cell r="E796" t="str">
            <v>710A.06902</v>
          </cell>
          <cell r="F796" t="str">
            <v>Sôû Giao Dòch II CTVN</v>
          </cell>
          <cell r="G796" t="str">
            <v>Hoà Chí Minh</v>
          </cell>
          <cell r="H796" t="str">
            <v>Traû tieàn mua daàu Marvela(TT.CM)</v>
          </cell>
          <cell r="I796">
            <v>93013844</v>
          </cell>
        </row>
        <row r="797">
          <cell r="A797">
            <v>33</v>
          </cell>
          <cell r="B797">
            <v>38076</v>
          </cell>
          <cell r="C797">
            <v>28</v>
          </cell>
          <cell r="D797" t="str">
            <v>Chi Nhaùnh Cty CP Söõa VN Taïi Caàn Thô</v>
          </cell>
          <cell r="E797" t="str">
            <v>7301.0479K</v>
          </cell>
          <cell r="F797" t="str">
            <v>Ñaàu Tö &amp; Phaùt Trieån</v>
          </cell>
          <cell r="G797" t="str">
            <v>Caàn Thô</v>
          </cell>
          <cell r="H797" t="str">
            <v>Traû tieân mua söõa hoäp caùc loaïi</v>
          </cell>
          <cell r="I797">
            <v>220000000</v>
          </cell>
        </row>
        <row r="798">
          <cell r="A798">
            <v>34</v>
          </cell>
          <cell r="B798">
            <v>38076</v>
          </cell>
          <cell r="C798">
            <v>90</v>
          </cell>
          <cell r="D798" t="str">
            <v>CN CTy. CP Ñöôøng Bieân Hoøa taïi Caàn Thô</v>
          </cell>
          <cell r="E798" t="str">
            <v>710A.80253</v>
          </cell>
          <cell r="F798" t="str">
            <v>Coâng Thöông</v>
          </cell>
          <cell r="G798" t="str">
            <v>Caàn Thô</v>
          </cell>
          <cell r="H798" t="str">
            <v>Traû tieàn mua ñöôøng BH</v>
          </cell>
          <cell r="I798">
            <v>35674931</v>
          </cell>
        </row>
        <row r="799">
          <cell r="A799">
            <v>35</v>
          </cell>
          <cell r="B799">
            <v>38076</v>
          </cell>
          <cell r="C799">
            <v>27</v>
          </cell>
          <cell r="D799" t="str">
            <v>Cty TNHH Quoác Teá Nagarjuna</v>
          </cell>
          <cell r="E799" t="str">
            <v>3586.1</v>
          </cell>
          <cell r="F799" t="str">
            <v>INDOVINA</v>
          </cell>
          <cell r="G799" t="str">
            <v>Hoà Chí Minh</v>
          </cell>
          <cell r="H799" t="str">
            <v>Traû tieàn mua ñöôøng</v>
          </cell>
          <cell r="I799">
            <v>37450000</v>
          </cell>
        </row>
        <row r="800">
          <cell r="A800">
            <v>36</v>
          </cell>
          <cell r="B800">
            <v>38076</v>
          </cell>
          <cell r="C800">
            <v>36</v>
          </cell>
          <cell r="D800" t="str">
            <v>XN Xaêng Daàu Daàu Khí Vuõng Taøu</v>
          </cell>
          <cell r="E800" t="str">
            <v>710D.00343</v>
          </cell>
          <cell r="F800" t="str">
            <v>Coâng Thöông</v>
          </cell>
          <cell r="G800" t="str">
            <v>Baø Ròa-Vuõng Taøu</v>
          </cell>
          <cell r="H800" t="str">
            <v>Traû tieàn mua xaêng daàu</v>
          </cell>
          <cell r="I800">
            <v>5543000000</v>
          </cell>
        </row>
        <row r="801">
          <cell r="A801">
            <v>37</v>
          </cell>
          <cell r="B801">
            <v>38077</v>
          </cell>
          <cell r="C801">
            <v>41</v>
          </cell>
          <cell r="D801" t="str">
            <v>Cty Xi Maêng Nghi Sôn</v>
          </cell>
          <cell r="E801" t="str">
            <v>710A.02772</v>
          </cell>
          <cell r="F801" t="str">
            <v>Coâng Thöông CN 9</v>
          </cell>
          <cell r="G801" t="str">
            <v>Hoà Chí Minh</v>
          </cell>
          <cell r="H801" t="str">
            <v>Traû tieàn mua xi maêng 400taán</v>
          </cell>
          <cell r="I801">
            <v>340000000</v>
          </cell>
        </row>
        <row r="802">
          <cell r="A802">
            <v>38</v>
          </cell>
          <cell r="B802">
            <v>38077</v>
          </cell>
          <cell r="C802">
            <v>14</v>
          </cell>
          <cell r="D802" t="str">
            <v>Coâng Ty Theùp Mieàn Nam</v>
          </cell>
          <cell r="E802" t="str">
            <v>710A.01611</v>
          </cell>
          <cell r="F802" t="str">
            <v>Coâng Thöông CN I</v>
          </cell>
          <cell r="G802" t="str">
            <v>Hoà Chí Minh</v>
          </cell>
          <cell r="H802" t="str">
            <v xml:space="preserve">Traû tieàn mua haøng cho CN Mieàn Taây C.Ty Theùp Mieàn Nam </v>
          </cell>
          <cell r="I802">
            <v>220000000</v>
          </cell>
        </row>
        <row r="803">
          <cell r="A803">
            <v>36</v>
          </cell>
          <cell r="B803">
            <v>38077</v>
          </cell>
          <cell r="C803">
            <v>19</v>
          </cell>
          <cell r="D803" t="str">
            <v>Cty LD Khí Ñoát Saøi Goøn (Elf)</v>
          </cell>
          <cell r="E803" t="str">
            <v>100014851025745</v>
          </cell>
          <cell r="F803" t="str">
            <v>Eximbank</v>
          </cell>
          <cell r="G803" t="str">
            <v>Hoà Chí Minh</v>
          </cell>
          <cell r="H803" t="str">
            <v>Traû tieàn mua gaz</v>
          </cell>
          <cell r="I803">
            <v>28850000</v>
          </cell>
        </row>
        <row r="804">
          <cell r="A804">
            <v>39</v>
          </cell>
          <cell r="B804">
            <v>38077</v>
          </cell>
          <cell r="C804">
            <v>98</v>
          </cell>
          <cell r="D804" t="str">
            <v>CTy Lieân Doanh Xi Maêng Haø Tieân II-Caàn Thô</v>
          </cell>
          <cell r="E804" t="str">
            <v>710A.56157</v>
          </cell>
          <cell r="F804" t="str">
            <v>Coâng Thöông</v>
          </cell>
          <cell r="G804" t="str">
            <v>Caàn Thô</v>
          </cell>
          <cell r="H804" t="str">
            <v xml:space="preserve">Traû tieàn mua xi maêng </v>
          </cell>
          <cell r="I804">
            <v>200000000</v>
          </cell>
        </row>
        <row r="805">
          <cell r="A805">
            <v>40</v>
          </cell>
          <cell r="B805">
            <v>38077</v>
          </cell>
          <cell r="C805">
            <v>3</v>
          </cell>
          <cell r="D805" t="str">
            <v>Cty Coå Phaàn Boät Giaët Lix</v>
          </cell>
          <cell r="E805" t="str">
            <v>710A.01440</v>
          </cell>
          <cell r="F805" t="str">
            <v>Coâng Thöông CN 14</v>
          </cell>
          <cell r="G805" t="str">
            <v>Hoà Chí Minh</v>
          </cell>
          <cell r="H805" t="str">
            <v>Traû tieàn mua boät giaët</v>
          </cell>
          <cell r="I805">
            <v>265000000</v>
          </cell>
        </row>
        <row r="806">
          <cell r="A806">
            <v>1</v>
          </cell>
          <cell r="B806">
            <v>38078</v>
          </cell>
          <cell r="C806">
            <v>8</v>
          </cell>
          <cell r="D806" t="str">
            <v>Cty Xi Maêng Haø Tieân II</v>
          </cell>
          <cell r="E806" t="str">
            <v>710A.00091</v>
          </cell>
          <cell r="F806" t="str">
            <v>Coâng Thöông</v>
          </cell>
          <cell r="G806" t="str">
            <v>Kieân Giang</v>
          </cell>
          <cell r="H806" t="str">
            <v>Traû tieàn mua xi maêng 300taán</v>
          </cell>
          <cell r="I806">
            <v>243210000</v>
          </cell>
        </row>
        <row r="807">
          <cell r="A807">
            <v>2</v>
          </cell>
          <cell r="B807">
            <v>38079</v>
          </cell>
          <cell r="C807">
            <v>36</v>
          </cell>
          <cell r="D807" t="str">
            <v>XN Xaêng Daàu Daàu Khí Vuõng Taøu</v>
          </cell>
          <cell r="E807" t="str">
            <v>710D.00343</v>
          </cell>
          <cell r="F807" t="str">
            <v>Coâng Thöông</v>
          </cell>
          <cell r="G807" t="str">
            <v>Baø Ròa-Vuõng Taøu</v>
          </cell>
          <cell r="H807" t="str">
            <v>Traû tieàn mua xaêng daàu</v>
          </cell>
          <cell r="I807">
            <v>4035000000</v>
          </cell>
        </row>
        <row r="808">
          <cell r="A808">
            <v>3</v>
          </cell>
          <cell r="B808">
            <v>38079</v>
          </cell>
          <cell r="C808">
            <v>5</v>
          </cell>
          <cell r="D808" t="str">
            <v>Cty TNHH TMaïi Thaønh Long</v>
          </cell>
          <cell r="E808" t="str">
            <v>710A.00817</v>
          </cell>
          <cell r="F808" t="str">
            <v>Coâng Thöong CN6</v>
          </cell>
          <cell r="G808" t="str">
            <v>Hoà Chí Minh</v>
          </cell>
          <cell r="H808" t="str">
            <v>Traû tieàn mua boät ngoït</v>
          </cell>
          <cell r="I808">
            <v>348733961</v>
          </cell>
        </row>
        <row r="809">
          <cell r="A809">
            <v>1</v>
          </cell>
          <cell r="B809">
            <v>38079</v>
          </cell>
          <cell r="C809">
            <v>86</v>
          </cell>
          <cell r="D809" t="str">
            <v xml:space="preserve"> Baûo Minh Baïc Lieâu</v>
          </cell>
          <cell r="E809" t="str">
            <v>4211.30.00.48.0030</v>
          </cell>
          <cell r="F809" t="str">
            <v>Phöông Ñoâng</v>
          </cell>
          <cell r="G809" t="str">
            <v>Baïc Lieâu</v>
          </cell>
          <cell r="H809" t="str">
            <v>Traû tieàn mua Baûo Hieåm  Baûo Minh ñôït 2</v>
          </cell>
          <cell r="I809">
            <v>15635200</v>
          </cell>
        </row>
        <row r="810">
          <cell r="A810">
            <v>2</v>
          </cell>
          <cell r="B810">
            <v>38079</v>
          </cell>
          <cell r="C810">
            <v>51</v>
          </cell>
          <cell r="D810" t="str">
            <v xml:space="preserve">Trung Taâm Thoâng Tin Thöông Maïi </v>
          </cell>
          <cell r="E810" t="str">
            <v>0.021.000.000.518</v>
          </cell>
          <cell r="F810" t="str">
            <v xml:space="preserve">Ngoaïi Thöông </v>
          </cell>
          <cell r="G810" t="str">
            <v>Haø Noâi</v>
          </cell>
          <cell r="H810" t="str">
            <v>Traû tieàn giôùi thieäu thoâng tin treân baùo TT.Thoâng Tin.TMaïi</v>
          </cell>
          <cell r="I810">
            <v>2500000</v>
          </cell>
        </row>
        <row r="811">
          <cell r="A811">
            <v>4</v>
          </cell>
          <cell r="B811">
            <v>38082</v>
          </cell>
          <cell r="C811">
            <v>17</v>
          </cell>
          <cell r="D811" t="str">
            <v>Cty Daàu Khí -TP/HCM (Saøi Goøn Petro)</v>
          </cell>
          <cell r="E811" t="str">
            <v>007.1.00.000661.6</v>
          </cell>
          <cell r="F811" t="str">
            <v>Ngoaïi Thöông</v>
          </cell>
          <cell r="G811" t="str">
            <v>Hoà Chí Minh</v>
          </cell>
          <cell r="H811" t="str">
            <v>Traû tieàn mua xaêng daàu</v>
          </cell>
          <cell r="I811">
            <v>565000000</v>
          </cell>
        </row>
        <row r="812">
          <cell r="A812">
            <v>3</v>
          </cell>
          <cell r="B812">
            <v>38082</v>
          </cell>
          <cell r="C812">
            <v>28</v>
          </cell>
          <cell r="D812" t="str">
            <v>Chi Nhaùnh Cty CP Söõa VN Taïi Caàn Thô</v>
          </cell>
          <cell r="E812" t="str">
            <v>7301.0479K</v>
          </cell>
          <cell r="F812" t="str">
            <v>Ñaàu Tö &amp; Phaùt Trieån</v>
          </cell>
          <cell r="G812" t="str">
            <v>Caàn Thô</v>
          </cell>
          <cell r="H812" t="str">
            <v>Traû tieân mua söõa hoäp caùc loaïi</v>
          </cell>
          <cell r="I812">
            <v>300000000</v>
          </cell>
        </row>
        <row r="813">
          <cell r="A813">
            <v>5</v>
          </cell>
          <cell r="B813">
            <v>38083</v>
          </cell>
          <cell r="C813">
            <v>98</v>
          </cell>
          <cell r="D813" t="str">
            <v>CTy Lieân Doanh Xi Maêng Haø Tieân II-Caàn Thô</v>
          </cell>
          <cell r="E813" t="str">
            <v>710A.56157</v>
          </cell>
          <cell r="F813" t="str">
            <v>Coâng Thöông</v>
          </cell>
          <cell r="G813" t="str">
            <v>Caàn Thô</v>
          </cell>
          <cell r="H813" t="str">
            <v xml:space="preserve">Traû tieàn mua xi maêng </v>
          </cell>
          <cell r="I813">
            <v>240000000</v>
          </cell>
        </row>
        <row r="814">
          <cell r="A814">
            <v>6</v>
          </cell>
          <cell r="B814">
            <v>38083</v>
          </cell>
          <cell r="C814">
            <v>1</v>
          </cell>
          <cell r="D814" t="str">
            <v>Nhaø Maùy Thuoác Laù Saøi Goøn</v>
          </cell>
          <cell r="E814" t="str">
            <v>710A.00105</v>
          </cell>
          <cell r="F814" t="str">
            <v>Sôû Giao Dòch II CTVN</v>
          </cell>
          <cell r="G814" t="str">
            <v>Hoà Chí Minh</v>
          </cell>
          <cell r="H814" t="str">
            <v>Traû tieàn mua thuoác laù</v>
          </cell>
          <cell r="I814">
            <v>182820000</v>
          </cell>
        </row>
        <row r="815">
          <cell r="A815">
            <v>7</v>
          </cell>
          <cell r="B815">
            <v>38083</v>
          </cell>
          <cell r="C815">
            <v>100</v>
          </cell>
          <cell r="D815" t="str">
            <v>CTy TNHH TM &amp; SX Vieät Tuøng</v>
          </cell>
          <cell r="E815" t="str">
            <v>710A.07124</v>
          </cell>
          <cell r="F815" t="str">
            <v>Coâng Thöông CN 12</v>
          </cell>
          <cell r="G815" t="str">
            <v>Hoà Chí Minh</v>
          </cell>
          <cell r="H815" t="str">
            <v>Traû tieàn mua caù moøi</v>
          </cell>
          <cell r="I815">
            <v>32000000</v>
          </cell>
        </row>
        <row r="816">
          <cell r="A816">
            <v>8</v>
          </cell>
          <cell r="B816">
            <v>38084</v>
          </cell>
          <cell r="C816">
            <v>8</v>
          </cell>
          <cell r="D816" t="str">
            <v>Cty Xi Maêng Haø Tieân II</v>
          </cell>
          <cell r="E816" t="str">
            <v>710A.00091</v>
          </cell>
          <cell r="F816" t="str">
            <v>Coâng Thöông</v>
          </cell>
          <cell r="G816" t="str">
            <v>Kieân Giang</v>
          </cell>
          <cell r="H816" t="str">
            <v>Traû tieàn mua xi maêng 150taán</v>
          </cell>
          <cell r="I816">
            <v>121605000</v>
          </cell>
        </row>
        <row r="817">
          <cell r="A817">
            <v>9</v>
          </cell>
          <cell r="B817">
            <v>38084</v>
          </cell>
          <cell r="C817">
            <v>27</v>
          </cell>
          <cell r="D817" t="str">
            <v>Cty TNHH Quoác Teá Nagarjuna</v>
          </cell>
          <cell r="E817" t="str">
            <v>3586.1</v>
          </cell>
          <cell r="F817" t="str">
            <v>INDOVINA</v>
          </cell>
          <cell r="G817" t="str">
            <v>Hoà Chí Minh</v>
          </cell>
          <cell r="H817" t="str">
            <v>Traû tieàn mua ñöôøng</v>
          </cell>
          <cell r="I817">
            <v>76300000</v>
          </cell>
        </row>
        <row r="818">
          <cell r="A818">
            <v>4</v>
          </cell>
          <cell r="B818">
            <v>38084</v>
          </cell>
          <cell r="C818">
            <v>47</v>
          </cell>
          <cell r="D818" t="str">
            <v>CTy Baûo Hieåm Baïc Lieâu</v>
          </cell>
          <cell r="E818" t="str">
            <v>431101.0100006</v>
          </cell>
          <cell r="F818" t="str">
            <v>NN&amp;PTNT</v>
          </cell>
          <cell r="G818" t="str">
            <v>Baïc Lieâu</v>
          </cell>
          <cell r="H818" t="str">
            <v>Mua Baûo hieåm tai naïn cho  CB-CNC naêm 2004</v>
          </cell>
          <cell r="I818">
            <v>4564000</v>
          </cell>
        </row>
        <row r="819">
          <cell r="A819">
            <v>5</v>
          </cell>
          <cell r="B819">
            <v>38084</v>
          </cell>
          <cell r="C819">
            <v>99</v>
          </cell>
          <cell r="D819" t="str">
            <v xml:space="preserve">Löu Thò Myõ Phöôïng (CTyTNHH Taân Thaùi Thònh) </v>
          </cell>
          <cell r="E819" t="str">
            <v>2656329</v>
          </cell>
          <cell r="F819" t="str">
            <v>AÙ Chaâu</v>
          </cell>
          <cell r="G819" t="str">
            <v>Hoà Chí Minh</v>
          </cell>
          <cell r="H819" t="str">
            <v>Traû tieàn mua nöôùc yeán</v>
          </cell>
          <cell r="I819">
            <v>25428355</v>
          </cell>
        </row>
        <row r="820">
          <cell r="A820">
            <v>6</v>
          </cell>
          <cell r="B820">
            <v>38084</v>
          </cell>
          <cell r="C820">
            <v>44</v>
          </cell>
          <cell r="D820" t="str">
            <v>CTy Ñieän Baùo Ñieän Thoaïi Baïc Lieâu</v>
          </cell>
          <cell r="E820" t="str">
            <v>710A.00074</v>
          </cell>
          <cell r="F820" t="str">
            <v xml:space="preserve">Coâng Thöông </v>
          </cell>
          <cell r="G820" t="str">
            <v>Baïc Lieâu</v>
          </cell>
          <cell r="H820" t="str">
            <v>Traû tieàn ñieän thoaïi thaùng 03/2004</v>
          </cell>
          <cell r="I820">
            <v>10070130</v>
          </cell>
        </row>
        <row r="821">
          <cell r="A821">
            <v>7</v>
          </cell>
          <cell r="B821">
            <v>38085</v>
          </cell>
          <cell r="C821">
            <v>31</v>
          </cell>
          <cell r="D821" t="str">
            <v>Cty Daàu Aên Golden Hope - Nhaø Beø</v>
          </cell>
          <cell r="E821" t="str">
            <v>710A.06902</v>
          </cell>
          <cell r="F821" t="str">
            <v>Sôû Giao Dòch II CTVN</v>
          </cell>
          <cell r="G821" t="str">
            <v>Hoà Chí Minh</v>
          </cell>
          <cell r="H821" t="str">
            <v>Traû tieàn mua daàu Marvela</v>
          </cell>
          <cell r="I821">
            <v>78868398</v>
          </cell>
        </row>
        <row r="822">
          <cell r="A822">
            <v>8</v>
          </cell>
          <cell r="B822">
            <v>38086</v>
          </cell>
          <cell r="C822">
            <v>31</v>
          </cell>
          <cell r="D822" t="str">
            <v>Cty Daàu Aên Golden Hope - Nhaø Beø</v>
          </cell>
          <cell r="E822" t="str">
            <v>710A.06902</v>
          </cell>
          <cell r="F822" t="str">
            <v>Sôû Giao Dòch II CTVN</v>
          </cell>
          <cell r="G822" t="str">
            <v>Hoà Chí Minh</v>
          </cell>
          <cell r="H822" t="str">
            <v>Traû tieàn mua daàu Marvela(TT.TN.Hoä Phoøng )</v>
          </cell>
          <cell r="I822">
            <v>93376096</v>
          </cell>
        </row>
        <row r="823">
          <cell r="A823">
            <v>10</v>
          </cell>
          <cell r="B823">
            <v>38086</v>
          </cell>
          <cell r="C823">
            <v>8</v>
          </cell>
          <cell r="D823" t="str">
            <v>Cty Xi Maêng Haø Tieân II</v>
          </cell>
          <cell r="E823" t="str">
            <v>710A.00091</v>
          </cell>
          <cell r="F823" t="str">
            <v>Coâng Thöông</v>
          </cell>
          <cell r="G823" t="str">
            <v>Kieân Giang</v>
          </cell>
          <cell r="H823" t="str">
            <v>Traû tieàn mua xi maêng 100taán</v>
          </cell>
          <cell r="I823">
            <v>81070000</v>
          </cell>
        </row>
        <row r="824">
          <cell r="A824">
            <v>11</v>
          </cell>
          <cell r="B824">
            <v>38086</v>
          </cell>
          <cell r="C824">
            <v>36</v>
          </cell>
          <cell r="D824" t="str">
            <v>XN Xaêng Daàu Daàu Khí Vuõng Taøu</v>
          </cell>
          <cell r="E824" t="str">
            <v>710D.00343</v>
          </cell>
          <cell r="F824" t="str">
            <v>Coâng Thöông</v>
          </cell>
          <cell r="G824" t="str">
            <v>Baø Ròa-Vuõng Taøu</v>
          </cell>
          <cell r="H824" t="str">
            <v>Traû tieàn mua xaêng daàu</v>
          </cell>
          <cell r="I824">
            <v>5543000000</v>
          </cell>
        </row>
        <row r="825">
          <cell r="A825">
            <v>12</v>
          </cell>
          <cell r="B825">
            <v>38086</v>
          </cell>
          <cell r="C825">
            <v>14</v>
          </cell>
          <cell r="D825" t="str">
            <v>Coâng Ty Theùp Mieàn Nam</v>
          </cell>
          <cell r="E825" t="str">
            <v>710A.01611</v>
          </cell>
          <cell r="F825" t="str">
            <v>Coâng Thöông CN I</v>
          </cell>
          <cell r="G825" t="str">
            <v>Hoà Chí Minh</v>
          </cell>
          <cell r="H825" t="str">
            <v xml:space="preserve">Traû tieàn mua haøng cho CN Mieàn Taây C.Ty Theùp Mieàn Nam </v>
          </cell>
          <cell r="I825">
            <v>300000000</v>
          </cell>
        </row>
        <row r="826">
          <cell r="A826">
            <v>13</v>
          </cell>
          <cell r="B826">
            <v>38086</v>
          </cell>
          <cell r="C826">
            <v>10</v>
          </cell>
          <cell r="D826" t="str">
            <v>Cty TNHH Daàu Nhôùt vaø Hoùa Chaát VN</v>
          </cell>
          <cell r="E826" t="str">
            <v>001.004837.041</v>
          </cell>
          <cell r="F826" t="str">
            <v>Hoàng Kong&amp; Thöôïng Haûi</v>
          </cell>
          <cell r="G826" t="str">
            <v>Hoà Chí Minh</v>
          </cell>
          <cell r="H826" t="str">
            <v>Traû tieàn mua nhôùt</v>
          </cell>
          <cell r="I826">
            <v>340000000</v>
          </cell>
        </row>
        <row r="827">
          <cell r="A827">
            <v>9</v>
          </cell>
          <cell r="B827">
            <v>38089</v>
          </cell>
          <cell r="C827">
            <v>31</v>
          </cell>
          <cell r="D827" t="str">
            <v>Cty Daàu Aên Golden Hope - Nhaø Beø</v>
          </cell>
          <cell r="E827" t="str">
            <v>710A.06902</v>
          </cell>
          <cell r="F827" t="str">
            <v>Sôû Giao Dòch II CTVN</v>
          </cell>
          <cell r="G827" t="str">
            <v>Hoà Chí Minh</v>
          </cell>
          <cell r="H827" t="str">
            <v>Traû tieàn mua daàu Marvela(TT.TN.BL )</v>
          </cell>
          <cell r="I827">
            <v>90753819</v>
          </cell>
        </row>
        <row r="828">
          <cell r="A828">
            <v>10</v>
          </cell>
          <cell r="B828">
            <v>38089</v>
          </cell>
          <cell r="C828">
            <v>73</v>
          </cell>
          <cell r="D828" t="str">
            <v>Cty. TNHH SX.TM.HMP Myõ Haûo</v>
          </cell>
          <cell r="E828" t="str">
            <v>007.100.002.4148</v>
          </cell>
          <cell r="F828" t="str">
            <v>Ngoaïi Thöông</v>
          </cell>
          <cell r="G828" t="str">
            <v>Hoà Chí Minh</v>
          </cell>
          <cell r="H828" t="str">
            <v>Traû tieàn mua nöôùc röûa cheùn  (TT.BL:73.233.006ñ; TT.CM: 41.210.941ñ)</v>
          </cell>
          <cell r="I828">
            <v>114443947</v>
          </cell>
        </row>
        <row r="829">
          <cell r="A829">
            <v>11</v>
          </cell>
          <cell r="B829">
            <v>38089</v>
          </cell>
          <cell r="C829">
            <v>28</v>
          </cell>
          <cell r="D829" t="str">
            <v>Chi Nhaùnh Cty CP Söõa VN Taïi Caàn Thô</v>
          </cell>
          <cell r="E829" t="str">
            <v>7301.0479K</v>
          </cell>
          <cell r="F829" t="str">
            <v>Ñaàu Tö &amp; Phaùt Trieån</v>
          </cell>
          <cell r="G829" t="str">
            <v>Caàn Thô</v>
          </cell>
          <cell r="H829" t="str">
            <v>Traû tieân mua söõa hoäp caùc loaïi</v>
          </cell>
          <cell r="I829">
            <v>220000000</v>
          </cell>
        </row>
        <row r="830">
          <cell r="A830">
            <v>12</v>
          </cell>
          <cell r="B830">
            <v>38089</v>
          </cell>
          <cell r="C830">
            <v>85</v>
          </cell>
          <cell r="D830" t="str">
            <v>CTy TNHH TM Minh Tuøng</v>
          </cell>
          <cell r="E830" t="str">
            <v>710A.04024</v>
          </cell>
          <cell r="F830" t="str">
            <v>Sôû Giao Dòch II CTVN</v>
          </cell>
          <cell r="G830" t="str">
            <v>Hoà Chí Minh</v>
          </cell>
          <cell r="H830" t="str">
            <v>Haøng ñieän maùy</v>
          </cell>
          <cell r="I830">
            <v>23545000</v>
          </cell>
        </row>
        <row r="831">
          <cell r="A831">
            <v>12</v>
          </cell>
          <cell r="B831">
            <v>38089</v>
          </cell>
          <cell r="C831">
            <v>95</v>
          </cell>
          <cell r="D831" t="str">
            <v>Cty Deät May Thaønh Coâng - CN MieànTaây</v>
          </cell>
          <cell r="E831" t="str">
            <v>73012209E</v>
          </cell>
          <cell r="F831" t="str">
            <v>Ñaàu Tö &amp; Phaùt Trieån</v>
          </cell>
          <cell r="G831" t="str">
            <v>Caàn Thô</v>
          </cell>
          <cell r="H831" t="str">
            <v>Haøng may maëc Thaønh Coâng</v>
          </cell>
          <cell r="I831">
            <v>4845765</v>
          </cell>
        </row>
        <row r="832">
          <cell r="A832">
            <v>13</v>
          </cell>
          <cell r="B832">
            <v>38089</v>
          </cell>
          <cell r="C832">
            <v>85</v>
          </cell>
          <cell r="D832" t="str">
            <v>CTy TNHH TM Minh Tuøng</v>
          </cell>
          <cell r="E832" t="str">
            <v>710A.04024</v>
          </cell>
          <cell r="F832" t="str">
            <v>Sôû Giao Dòch II CTVN</v>
          </cell>
          <cell r="G832" t="str">
            <v>Hoà Chí Minh</v>
          </cell>
          <cell r="H832" t="str">
            <v>Haøng ñieän maùy</v>
          </cell>
          <cell r="I832">
            <v>23545000</v>
          </cell>
        </row>
        <row r="833">
          <cell r="A833">
            <v>14</v>
          </cell>
          <cell r="B833">
            <v>38089</v>
          </cell>
          <cell r="C833">
            <v>105</v>
          </cell>
          <cell r="D833" t="str">
            <v>XN Kinh Doanh Thöông Maïi-CTy Kho Vaän Mieàn Nam</v>
          </cell>
          <cell r="E833" t="str">
            <v>710A.00036</v>
          </cell>
          <cell r="F833" t="str">
            <v>Coâng Thöông CN 4</v>
          </cell>
          <cell r="G833" t="str">
            <v>Hoà Chí Minh</v>
          </cell>
          <cell r="H833" t="str">
            <v>Traû tieàn mua nhôùt</v>
          </cell>
          <cell r="I833">
            <v>156540000</v>
          </cell>
        </row>
        <row r="834">
          <cell r="A834">
            <v>15</v>
          </cell>
          <cell r="B834">
            <v>38090</v>
          </cell>
          <cell r="C834">
            <v>8</v>
          </cell>
          <cell r="D834" t="str">
            <v>Cty Xi Maêng Haø Tieân II</v>
          </cell>
          <cell r="E834" t="str">
            <v>710A.00091</v>
          </cell>
          <cell r="F834" t="str">
            <v>Coâng Thöông</v>
          </cell>
          <cell r="G834" t="str">
            <v>Kieân Giang</v>
          </cell>
          <cell r="H834" t="str">
            <v>Traû tieàn mua xi maêng 250taán</v>
          </cell>
          <cell r="I834">
            <v>202675000</v>
          </cell>
        </row>
        <row r="835">
          <cell r="A835">
            <v>16</v>
          </cell>
          <cell r="B835">
            <v>38091</v>
          </cell>
          <cell r="C835">
            <v>5</v>
          </cell>
          <cell r="D835" t="str">
            <v>Cty TNHH TMaïi Thaønh Long</v>
          </cell>
          <cell r="E835" t="str">
            <v>710A.00817</v>
          </cell>
          <cell r="F835" t="str">
            <v>Coâng Thöong CN6</v>
          </cell>
          <cell r="G835" t="str">
            <v>Hoà Chí Minh</v>
          </cell>
          <cell r="H835" t="str">
            <v>Traû tieàn mua boät ngoït</v>
          </cell>
          <cell r="I835">
            <v>268891496</v>
          </cell>
        </row>
        <row r="836">
          <cell r="A836">
            <v>17</v>
          </cell>
          <cell r="B836">
            <v>38091</v>
          </cell>
          <cell r="C836">
            <v>1</v>
          </cell>
          <cell r="D836" t="str">
            <v>Nhaø Maùy Thuoác Laù Saøi Goøn</v>
          </cell>
          <cell r="E836" t="str">
            <v>710A.00105</v>
          </cell>
          <cell r="F836" t="str">
            <v>Sôû Giao Dòch II CTVN</v>
          </cell>
          <cell r="G836" t="str">
            <v>Hoà Chí Minh</v>
          </cell>
          <cell r="H836" t="str">
            <v>Traû tieàn mua thuoáv laù</v>
          </cell>
          <cell r="I836">
            <v>144760000</v>
          </cell>
        </row>
        <row r="837">
          <cell r="A837">
            <v>18</v>
          </cell>
          <cell r="B837">
            <v>38091</v>
          </cell>
          <cell r="C837">
            <v>14</v>
          </cell>
          <cell r="D837" t="str">
            <v>Coâng Ty Theùp Mieàn Nam</v>
          </cell>
          <cell r="E837" t="str">
            <v>710A.01611</v>
          </cell>
          <cell r="F837" t="str">
            <v>Coâng Thöông CN I</v>
          </cell>
          <cell r="G837" t="str">
            <v>Hoà Chí Minh</v>
          </cell>
          <cell r="H837" t="str">
            <v xml:space="preserve">Traû tieàn mua haøng cho CN Mieàn Taây C.Ty Theùp Mieàn Nam </v>
          </cell>
          <cell r="I837">
            <v>300000000</v>
          </cell>
        </row>
        <row r="838">
          <cell r="A838">
            <v>13</v>
          </cell>
          <cell r="B838">
            <v>38091</v>
          </cell>
          <cell r="C838">
            <v>28</v>
          </cell>
          <cell r="D838" t="str">
            <v>Chi Nhaùnh Cty CP Söõa VN Taïi Caàn Thô</v>
          </cell>
          <cell r="E838" t="str">
            <v>7301.0479K</v>
          </cell>
          <cell r="F838" t="str">
            <v>Ñaàu Tö &amp; Phaùt Trieån</v>
          </cell>
          <cell r="G838" t="str">
            <v>Caàn Thô</v>
          </cell>
          <cell r="H838" t="str">
            <v>Traû tieân mua söõa hoäp caùc loaïi</v>
          </cell>
          <cell r="I838">
            <v>305000000</v>
          </cell>
        </row>
        <row r="839">
          <cell r="A839">
            <v>14</v>
          </cell>
          <cell r="B839">
            <v>38091</v>
          </cell>
          <cell r="C839">
            <v>73</v>
          </cell>
          <cell r="D839" t="str">
            <v>Cty. TNHH SX.TM.HMP Myõ Haûo</v>
          </cell>
          <cell r="E839" t="str">
            <v>007.100.002.4148</v>
          </cell>
          <cell r="F839" t="str">
            <v>Ngoaïi Thöông</v>
          </cell>
          <cell r="G839" t="str">
            <v>Hoà Chí Minh</v>
          </cell>
          <cell r="H839" t="str">
            <v>Traû tieàn mua nöôùc röûa cheùn  (TT.BL)</v>
          </cell>
          <cell r="I839">
            <v>47949200</v>
          </cell>
        </row>
        <row r="840">
          <cell r="A840">
            <v>19</v>
          </cell>
          <cell r="B840">
            <v>38092</v>
          </cell>
          <cell r="C840">
            <v>36</v>
          </cell>
          <cell r="D840" t="str">
            <v>XN Xaêng Daàu Daàu Khí Vuõng Taøu</v>
          </cell>
          <cell r="E840" t="str">
            <v>710D.00343</v>
          </cell>
          <cell r="F840" t="str">
            <v>Coâng Thöông</v>
          </cell>
          <cell r="G840" t="str">
            <v>Baø Ròa-Vuõng Taøu</v>
          </cell>
          <cell r="H840" t="str">
            <v>Traû tieàn mua xaêng daàu</v>
          </cell>
          <cell r="I840">
            <v>2031000000</v>
          </cell>
        </row>
        <row r="841">
          <cell r="A841">
            <v>15</v>
          </cell>
          <cell r="B841">
            <v>38092</v>
          </cell>
          <cell r="C841">
            <v>66</v>
          </cell>
          <cell r="D841" t="str">
            <v>Cty UNI PRESIDENT</v>
          </cell>
          <cell r="E841" t="str">
            <v>30 98 208</v>
          </cell>
          <cell r="F841" t="str">
            <v>ANZ</v>
          </cell>
          <cell r="G841" t="str">
            <v>Hoà Chí Minh</v>
          </cell>
          <cell r="H841" t="str">
            <v>Traû tieàn mua mì Unif</v>
          </cell>
          <cell r="I841">
            <v>38682450</v>
          </cell>
        </row>
        <row r="842">
          <cell r="A842">
            <v>16</v>
          </cell>
          <cell r="B842">
            <v>38092</v>
          </cell>
          <cell r="C842">
            <v>73</v>
          </cell>
          <cell r="D842" t="str">
            <v>Cty. TNHH SX.TM.HMP Myõ Haûo</v>
          </cell>
          <cell r="E842" t="str">
            <v>007.100.002.4148</v>
          </cell>
          <cell r="F842" t="str">
            <v>Ngoaïi Thöông</v>
          </cell>
          <cell r="G842" t="str">
            <v>Hoà Chí Minh</v>
          </cell>
          <cell r="H842" t="str">
            <v>Traû tieàn mua nöôùc röûa cheùn  (TT.BL)</v>
          </cell>
          <cell r="I842">
            <v>40323938</v>
          </cell>
        </row>
        <row r="843">
          <cell r="A843">
            <v>17</v>
          </cell>
          <cell r="B843">
            <v>38093</v>
          </cell>
          <cell r="C843">
            <v>8</v>
          </cell>
          <cell r="D843" t="str">
            <v>Cty Xi Maêng Haø Tieân II</v>
          </cell>
          <cell r="E843" t="str">
            <v>710A.00091</v>
          </cell>
          <cell r="F843" t="str">
            <v>Coâng Thöông</v>
          </cell>
          <cell r="G843" t="str">
            <v>Kieân Giang</v>
          </cell>
          <cell r="H843" t="str">
            <v>Traû tieàn mua xi maêng 100taán</v>
          </cell>
          <cell r="I843">
            <v>81070000</v>
          </cell>
        </row>
        <row r="844">
          <cell r="A844">
            <v>18</v>
          </cell>
          <cell r="B844">
            <v>38096</v>
          </cell>
          <cell r="C844">
            <v>28</v>
          </cell>
          <cell r="D844" t="str">
            <v>Chi Nhaùnh Cty CP Söõa VN Taïi Caàn Thô</v>
          </cell>
          <cell r="E844" t="str">
            <v>7301.0479K</v>
          </cell>
          <cell r="F844" t="str">
            <v>Ñaàu Tö &amp; Phaùt Trieån</v>
          </cell>
          <cell r="G844" t="str">
            <v>Caàn Thô</v>
          </cell>
          <cell r="H844" t="str">
            <v>Traû tieân mua söõa hoäp caùc loaïi</v>
          </cell>
          <cell r="I844">
            <v>240000000</v>
          </cell>
        </row>
        <row r="845">
          <cell r="A845">
            <v>19</v>
          </cell>
          <cell r="B845">
            <v>38096</v>
          </cell>
          <cell r="C845">
            <v>27</v>
          </cell>
          <cell r="D845" t="str">
            <v>Cty TNHH Quoác Teá Nagarjuna</v>
          </cell>
          <cell r="E845" t="str">
            <v>3586.1</v>
          </cell>
          <cell r="F845" t="str">
            <v>INDOVINA</v>
          </cell>
          <cell r="G845" t="str">
            <v>Hoà Chí Minh</v>
          </cell>
          <cell r="H845" t="str">
            <v>Traû tieàn mua ñöôøng</v>
          </cell>
          <cell r="I845">
            <v>38150000</v>
          </cell>
        </row>
        <row r="846">
          <cell r="A846">
            <v>20</v>
          </cell>
          <cell r="B846">
            <v>38097</v>
          </cell>
          <cell r="C846">
            <v>3</v>
          </cell>
          <cell r="D846" t="str">
            <v>Cty Coå Phaàn Boät Giaët Lix</v>
          </cell>
          <cell r="E846" t="str">
            <v>710A.01440</v>
          </cell>
          <cell r="F846" t="str">
            <v>Coâng Thöông CN 14</v>
          </cell>
          <cell r="G846" t="str">
            <v>Hoà Chí Minh</v>
          </cell>
          <cell r="H846" t="str">
            <v>Traû tieàn mua boät giaët</v>
          </cell>
          <cell r="I846">
            <v>200000000</v>
          </cell>
        </row>
        <row r="847">
          <cell r="A847">
            <v>21</v>
          </cell>
          <cell r="B847">
            <v>38097</v>
          </cell>
          <cell r="C847">
            <v>14</v>
          </cell>
          <cell r="D847" t="str">
            <v>Coâng Ty Theùp Mieàn Nam</v>
          </cell>
          <cell r="E847" t="str">
            <v>710A.01611</v>
          </cell>
          <cell r="F847" t="str">
            <v>Coâng Thöông CN I</v>
          </cell>
          <cell r="G847" t="str">
            <v>Hoà Chí Minh</v>
          </cell>
          <cell r="H847" t="str">
            <v xml:space="preserve">Traû tieàn mua haøng cho CN Mieàn Taây C.Ty Theùp Mieàn Nam </v>
          </cell>
          <cell r="I847">
            <v>220000000</v>
          </cell>
        </row>
        <row r="848">
          <cell r="A848">
            <v>20</v>
          </cell>
          <cell r="B848">
            <v>38098</v>
          </cell>
          <cell r="C848">
            <v>31</v>
          </cell>
          <cell r="D848" t="str">
            <v>Cty Daàu Aên Golden Hope - Nhaø Beø</v>
          </cell>
          <cell r="E848" t="str">
            <v>710A.06902</v>
          </cell>
          <cell r="F848" t="str">
            <v>Sôû Giao Dòch II CTVN</v>
          </cell>
          <cell r="G848" t="str">
            <v>Hoà Chí Minh</v>
          </cell>
          <cell r="H848" t="str">
            <v>Traû tieàn mua daàu aên (TT.TN.BL: 94.795.228ñ, TT.TN.CM: 73.654.240ñ)</v>
          </cell>
          <cell r="I848">
            <v>168449468</v>
          </cell>
        </row>
        <row r="849">
          <cell r="A849">
            <v>21</v>
          </cell>
          <cell r="B849">
            <v>38098</v>
          </cell>
          <cell r="C849">
            <v>73</v>
          </cell>
          <cell r="D849" t="str">
            <v>Cty. TNHH SX.TM.HMP Myõ Haûo</v>
          </cell>
          <cell r="E849" t="str">
            <v>007.100.002.4148</v>
          </cell>
          <cell r="F849" t="str">
            <v>Ngoaïi Thöông</v>
          </cell>
          <cell r="G849" t="str">
            <v>Hoà Chí Minh</v>
          </cell>
          <cell r="H849" t="str">
            <v>Traû tieàn mua nöôùc röûa cheùn  (TT.BL)</v>
          </cell>
          <cell r="I849">
            <v>29415573</v>
          </cell>
        </row>
        <row r="850">
          <cell r="A850">
            <v>22</v>
          </cell>
          <cell r="B850">
            <v>38098</v>
          </cell>
          <cell r="C850">
            <v>36</v>
          </cell>
          <cell r="D850" t="str">
            <v>XN Xaêng Daàu Daàu Khí Vuõng Taøu</v>
          </cell>
          <cell r="E850" t="str">
            <v>710D.00343</v>
          </cell>
          <cell r="F850" t="str">
            <v>Coâng Thöông</v>
          </cell>
          <cell r="G850" t="str">
            <v>Baø Ròa-Vuõng Taøu</v>
          </cell>
          <cell r="H850" t="str">
            <v>Traû tieàn mua xaêng daàu</v>
          </cell>
          <cell r="I850">
            <v>2191500000</v>
          </cell>
        </row>
        <row r="851">
          <cell r="A851">
            <v>23</v>
          </cell>
          <cell r="B851">
            <v>38098</v>
          </cell>
          <cell r="C851">
            <v>41</v>
          </cell>
          <cell r="D851" t="str">
            <v>Cty Xi Maêng Nghi Sôn</v>
          </cell>
          <cell r="E851" t="str">
            <v>710A.02772</v>
          </cell>
          <cell r="F851" t="str">
            <v>Coâng Thöông CN 9</v>
          </cell>
          <cell r="G851" t="str">
            <v>Hoà Chí Minh</v>
          </cell>
          <cell r="H851" t="str">
            <v>Traû tieàn mua xi maêng 400taán</v>
          </cell>
          <cell r="I851">
            <v>340000000</v>
          </cell>
        </row>
        <row r="852">
          <cell r="A852">
            <v>25</v>
          </cell>
          <cell r="B852">
            <v>38099</v>
          </cell>
          <cell r="C852">
            <v>36</v>
          </cell>
          <cell r="D852" t="str">
            <v>XN Xaêng Daàu Daàu Khí Vuõng Taøu</v>
          </cell>
          <cell r="E852" t="str">
            <v>710D.00343</v>
          </cell>
          <cell r="F852" t="str">
            <v>Coâng Thöông</v>
          </cell>
          <cell r="G852" t="str">
            <v>Baø Ròa-Vuõng Taøu</v>
          </cell>
          <cell r="H852" t="str">
            <v>Traû tieàn mua xaêng daàu</v>
          </cell>
          <cell r="I852">
            <v>2191000000</v>
          </cell>
        </row>
        <row r="853">
          <cell r="A853">
            <v>26</v>
          </cell>
          <cell r="B853">
            <v>38100</v>
          </cell>
          <cell r="C853">
            <v>17</v>
          </cell>
          <cell r="D853" t="str">
            <v>Cty Daàu Khí -TP/HCM (Saøi Goøn Petro)</v>
          </cell>
          <cell r="E853" t="str">
            <v>007.1.00.000661.6</v>
          </cell>
          <cell r="F853" t="str">
            <v>Ngoaïi Thöông</v>
          </cell>
          <cell r="G853" t="str">
            <v>Hoà Chí Minh</v>
          </cell>
          <cell r="H853" t="str">
            <v>Traû tieàn mua xaêng daàu</v>
          </cell>
          <cell r="I853">
            <v>4000000000</v>
          </cell>
        </row>
        <row r="854">
          <cell r="A854">
            <v>22</v>
          </cell>
          <cell r="B854">
            <v>38100</v>
          </cell>
          <cell r="C854">
            <v>28</v>
          </cell>
          <cell r="D854" t="str">
            <v>Chi Nhaùnh Cty CP Söõa VN Taïi Caàn Thô</v>
          </cell>
          <cell r="E854" t="str">
            <v>7301.0479K</v>
          </cell>
          <cell r="F854" t="str">
            <v>Ñaàu Tö &amp; Phaùt Trieån</v>
          </cell>
          <cell r="G854" t="str">
            <v>Caàn Thô</v>
          </cell>
          <cell r="H854" t="str">
            <v>Traû tieân mua söõa hoäp caùc loaïi</v>
          </cell>
          <cell r="I854">
            <v>340000000</v>
          </cell>
        </row>
        <row r="855">
          <cell r="A855">
            <v>23</v>
          </cell>
          <cell r="B855">
            <v>38100</v>
          </cell>
          <cell r="C855">
            <v>73</v>
          </cell>
          <cell r="D855" t="str">
            <v>Cty. TNHH SX.TM.HMP Myõ Haûo</v>
          </cell>
          <cell r="E855" t="str">
            <v>007.100.002.4148</v>
          </cell>
          <cell r="F855" t="str">
            <v>Ngoaïi Thöông</v>
          </cell>
          <cell r="G855" t="str">
            <v>Hoà Chí Minh</v>
          </cell>
          <cell r="H855" t="str">
            <v>Traû tieàn mua nöôùc röûa cheùn  (TT.BL)</v>
          </cell>
          <cell r="I855">
            <v>32978579</v>
          </cell>
        </row>
        <row r="856">
          <cell r="A856">
            <v>27</v>
          </cell>
          <cell r="B856">
            <v>38100</v>
          </cell>
          <cell r="C856">
            <v>1</v>
          </cell>
          <cell r="D856" t="str">
            <v>Nhaø Maùy Thuoác Laù Saøi Goøn</v>
          </cell>
          <cell r="E856" t="str">
            <v>710A.00105</v>
          </cell>
          <cell r="F856" t="str">
            <v>Sôû Giao Dòch II CTVN</v>
          </cell>
          <cell r="G856" t="str">
            <v>Hoà Chí Minh</v>
          </cell>
          <cell r="H856" t="str">
            <v>Traû tieàn mua thuoác laù</v>
          </cell>
          <cell r="I856">
            <v>98428000</v>
          </cell>
        </row>
        <row r="857">
          <cell r="A857">
            <v>28</v>
          </cell>
          <cell r="B857">
            <v>38100</v>
          </cell>
          <cell r="C857">
            <v>5</v>
          </cell>
          <cell r="D857" t="str">
            <v>Cty TNHH TMaïi Thaønh Long</v>
          </cell>
          <cell r="E857" t="str">
            <v>710A.00817</v>
          </cell>
          <cell r="F857" t="str">
            <v>Coâng Thöong CN6</v>
          </cell>
          <cell r="G857" t="str">
            <v>Hoà Chí Minh</v>
          </cell>
          <cell r="H857" t="str">
            <v>Traû tieàn mua boät ngoït</v>
          </cell>
          <cell r="I857">
            <v>202921017</v>
          </cell>
        </row>
        <row r="858">
          <cell r="A858">
            <v>29</v>
          </cell>
          <cell r="B858">
            <v>38103</v>
          </cell>
          <cell r="C858">
            <v>41</v>
          </cell>
          <cell r="D858" t="str">
            <v>Cty Xi Maêng Nghi Sôn</v>
          </cell>
          <cell r="E858" t="str">
            <v>710A.02772</v>
          </cell>
          <cell r="F858" t="str">
            <v>Coâng Thöông CN 9</v>
          </cell>
          <cell r="G858" t="str">
            <v>Hoà Chí Minh</v>
          </cell>
          <cell r="H858" t="str">
            <v>Traû tieàn mua xi maêng 300taán</v>
          </cell>
          <cell r="I858">
            <v>255000000</v>
          </cell>
        </row>
        <row r="859">
          <cell r="A859">
            <v>30</v>
          </cell>
          <cell r="B859">
            <v>38103</v>
          </cell>
          <cell r="C859">
            <v>105</v>
          </cell>
          <cell r="D859" t="str">
            <v>XN Kinh Doanh Thöông Maïi-CTy Kho Vaän Mieàn Nam</v>
          </cell>
          <cell r="E859" t="str">
            <v>710A.00036</v>
          </cell>
          <cell r="F859" t="str">
            <v>Coâng Thöông CN 4</v>
          </cell>
          <cell r="G859" t="str">
            <v>Hoà Chí Minh</v>
          </cell>
          <cell r="H859" t="str">
            <v>Traû tieàn mua nhôùt</v>
          </cell>
          <cell r="I859">
            <v>200000000</v>
          </cell>
        </row>
        <row r="860">
          <cell r="A860">
            <v>31</v>
          </cell>
          <cell r="B860">
            <v>38103</v>
          </cell>
          <cell r="C860">
            <v>10</v>
          </cell>
          <cell r="D860" t="str">
            <v>Cty TNHH Daàu Nhôùt vaø Hoùa Chaát VN</v>
          </cell>
          <cell r="E860" t="str">
            <v>001.004837.041</v>
          </cell>
          <cell r="F860" t="str">
            <v>Hoàng Kong&amp; Thöôïng Haûi</v>
          </cell>
          <cell r="G860" t="str">
            <v>Hoà Chí Minh</v>
          </cell>
          <cell r="H860" t="str">
            <v>Traû tieàn mua nhôùtVilube</v>
          </cell>
          <cell r="I860">
            <v>207800000</v>
          </cell>
        </row>
        <row r="861">
          <cell r="A861">
            <v>24</v>
          </cell>
          <cell r="B861">
            <v>38103</v>
          </cell>
          <cell r="C861">
            <v>28</v>
          </cell>
          <cell r="D861" t="str">
            <v>Chi Nhaùnh Cty CP Söõa VN Taïi Caàn Thô</v>
          </cell>
          <cell r="E861" t="str">
            <v>7301.0479K</v>
          </cell>
          <cell r="F861" t="str">
            <v>Ñaàu Tö &amp; Phaùt Trieån</v>
          </cell>
          <cell r="G861" t="str">
            <v>Caàn Thô</v>
          </cell>
          <cell r="H861" t="str">
            <v>Traû tieân mua söõa hoäp caùc loaïi</v>
          </cell>
          <cell r="I861">
            <v>350195472</v>
          </cell>
        </row>
        <row r="862">
          <cell r="A862">
            <v>32</v>
          </cell>
          <cell r="B862">
            <v>38103</v>
          </cell>
          <cell r="C862">
            <v>22</v>
          </cell>
          <cell r="D862" t="str">
            <v>Cty Deät Long An</v>
          </cell>
          <cell r="E862" t="str">
            <v>710A.10001</v>
          </cell>
          <cell r="F862" t="str">
            <v>Coâng Thöông</v>
          </cell>
          <cell r="G862" t="str">
            <v>Long An</v>
          </cell>
          <cell r="H862" t="str">
            <v>Traû tieàn mua vaûi Long An</v>
          </cell>
          <cell r="I862">
            <v>8689232</v>
          </cell>
        </row>
        <row r="863">
          <cell r="A863">
            <v>33</v>
          </cell>
          <cell r="B863">
            <v>38103</v>
          </cell>
          <cell r="C863">
            <v>94</v>
          </cell>
          <cell r="D863" t="str">
            <v>CTy TNHH SX Taân AÙ Chaâu</v>
          </cell>
          <cell r="E863" t="str">
            <v>710A.01969</v>
          </cell>
          <cell r="F863" t="str">
            <v>Coâng Thöông CN 9</v>
          </cell>
          <cell r="G863" t="str">
            <v>Hoà Chí Minh</v>
          </cell>
          <cell r="H863" t="str">
            <v>Traû tieàn mua chaùo Bình Tieân</v>
          </cell>
          <cell r="I863">
            <v>5936000</v>
          </cell>
        </row>
        <row r="864">
          <cell r="A864">
            <v>32</v>
          </cell>
          <cell r="B864">
            <v>38103</v>
          </cell>
          <cell r="C864">
            <v>22</v>
          </cell>
          <cell r="D864" t="str">
            <v>Cty Deät Long An</v>
          </cell>
          <cell r="E864" t="str">
            <v>710A.10001</v>
          </cell>
          <cell r="F864" t="str">
            <v>Coâng Thöông</v>
          </cell>
          <cell r="G864" t="str">
            <v>Long An</v>
          </cell>
          <cell r="H864" t="str">
            <v>Traû tieàn mua vaûi Long An</v>
          </cell>
          <cell r="I864">
            <v>8689232</v>
          </cell>
        </row>
        <row r="865">
          <cell r="A865">
            <v>25</v>
          </cell>
          <cell r="B865">
            <v>38104</v>
          </cell>
          <cell r="C865">
            <v>99</v>
          </cell>
          <cell r="D865" t="str">
            <v xml:space="preserve">Löu Thò Myõ Phöôïng (CTyTNHH Taân Thaùi Thònh) </v>
          </cell>
          <cell r="E865" t="str">
            <v>2656329</v>
          </cell>
          <cell r="F865" t="str">
            <v>AÙ Chaâu</v>
          </cell>
          <cell r="G865" t="str">
            <v>Hoà Chí Minh</v>
          </cell>
          <cell r="H865" t="str">
            <v>Traû tieàn mua nöôùc yeán</v>
          </cell>
          <cell r="I865">
            <v>40196401</v>
          </cell>
        </row>
        <row r="866">
          <cell r="A866">
            <v>26</v>
          </cell>
          <cell r="B866">
            <v>38104</v>
          </cell>
          <cell r="C866">
            <v>31</v>
          </cell>
          <cell r="D866" t="str">
            <v>Cty Daàu Aên Golden Hope - Nhaø Beø</v>
          </cell>
          <cell r="E866" t="str">
            <v>710A.06902</v>
          </cell>
          <cell r="F866" t="str">
            <v>Sôû Giao Dòch II CTVN</v>
          </cell>
          <cell r="G866" t="str">
            <v>Hoà Chí Minh</v>
          </cell>
          <cell r="H866" t="str">
            <v>Traû tieàn mua daàu chai TT.BL:71.309.348ñ; TT.CM:93.156.725ñ; daàu xaù: 38.804.760ñ</v>
          </cell>
          <cell r="I866">
            <v>203270833</v>
          </cell>
        </row>
        <row r="867">
          <cell r="A867">
            <v>27</v>
          </cell>
          <cell r="B867">
            <v>38105</v>
          </cell>
          <cell r="C867">
            <v>25</v>
          </cell>
          <cell r="D867" t="str">
            <v xml:space="preserve"> Thu Baûo Hieåm Xaõ Hoäi Tænh Baïc Lieâu</v>
          </cell>
          <cell r="E867" t="str">
            <v>421401.12</v>
          </cell>
          <cell r="F867" t="str">
            <v>NN &amp; P/T N/Thoân</v>
          </cell>
          <cell r="G867" t="str">
            <v>Baïc Lieâu</v>
          </cell>
          <cell r="H867" t="str">
            <v xml:space="preserve">Noäp BHXH,BHYT thaùng 4/2004 </v>
          </cell>
          <cell r="I867">
            <v>24375520</v>
          </cell>
        </row>
        <row r="868">
          <cell r="A868">
            <v>28</v>
          </cell>
          <cell r="B868">
            <v>38105</v>
          </cell>
          <cell r="C868">
            <v>66</v>
          </cell>
          <cell r="D868" t="str">
            <v>Cty UNI PRESIDENT</v>
          </cell>
          <cell r="E868" t="str">
            <v>30 98 208</v>
          </cell>
          <cell r="F868" t="str">
            <v>ANZ</v>
          </cell>
          <cell r="G868" t="str">
            <v>Hoà Chí Minh</v>
          </cell>
          <cell r="H868" t="str">
            <v>Traû tieàn mua mì Unif</v>
          </cell>
          <cell r="I868">
            <v>39490887</v>
          </cell>
        </row>
        <row r="869">
          <cell r="A869">
            <v>29</v>
          </cell>
          <cell r="B869">
            <v>38105</v>
          </cell>
          <cell r="C869">
            <v>31</v>
          </cell>
          <cell r="D869" t="str">
            <v>Cty Daàu Aên Golden Hope - Nhaø Beø</v>
          </cell>
          <cell r="E869" t="str">
            <v>710A.06902</v>
          </cell>
          <cell r="F869" t="str">
            <v>Sôû Giao Dòch II CTVN</v>
          </cell>
          <cell r="G869" t="str">
            <v>Hoà Chí Minh</v>
          </cell>
          <cell r="H869" t="str">
            <v xml:space="preserve">Traû tieàn mua daàu aên TT.TN.BL </v>
          </cell>
          <cell r="I869">
            <v>75860100</v>
          </cell>
        </row>
        <row r="870">
          <cell r="A870">
            <v>34</v>
          </cell>
          <cell r="B870">
            <v>38105</v>
          </cell>
          <cell r="C870">
            <v>21</v>
          </cell>
          <cell r="D870" t="str">
            <v>Cty Coå Phaàn Vaät Tö  Haäu Giang</v>
          </cell>
          <cell r="E870" t="str">
            <v>710A.00040</v>
          </cell>
          <cell r="F870" t="str">
            <v>Coâng Thöông</v>
          </cell>
          <cell r="G870" t="str">
            <v>Caàn Thô</v>
          </cell>
          <cell r="H870" t="str">
            <v>Traû tieàn mua gas</v>
          </cell>
          <cell r="I870">
            <v>70812000</v>
          </cell>
        </row>
        <row r="871">
          <cell r="A871">
            <v>35</v>
          </cell>
          <cell r="B871">
            <v>38105</v>
          </cell>
          <cell r="C871">
            <v>46</v>
          </cell>
          <cell r="D871" t="str">
            <v>CTy MIWON VIETNAM</v>
          </cell>
          <cell r="E871" t="str">
            <v>710A.00183</v>
          </cell>
          <cell r="F871" t="str">
            <v xml:space="preserve">Coâng Thöông </v>
          </cell>
          <cell r="G871" t="str">
            <v>Phuù Thoï</v>
          </cell>
          <cell r="H871" t="str">
            <v>Traû tieàn mua boät ngoït</v>
          </cell>
          <cell r="I871">
            <v>96285688</v>
          </cell>
        </row>
        <row r="872">
          <cell r="A872">
            <v>9</v>
          </cell>
          <cell r="B872">
            <v>38117</v>
          </cell>
          <cell r="C872">
            <v>8</v>
          </cell>
          <cell r="D872" t="str">
            <v>Cty Xi Maêng Haø Tieân II</v>
          </cell>
          <cell r="E872" t="str">
            <v>710A.00091</v>
          </cell>
          <cell r="F872" t="str">
            <v>Coâng Thöông</v>
          </cell>
          <cell r="G872" t="str">
            <v>Kieân Giang</v>
          </cell>
          <cell r="H872" t="str">
            <v>Traû tieàn mua xi maêng 200taán</v>
          </cell>
          <cell r="I872">
            <v>162360000</v>
          </cell>
        </row>
        <row r="873">
          <cell r="A873">
            <v>10</v>
          </cell>
          <cell r="B873">
            <v>38117</v>
          </cell>
          <cell r="C873">
            <v>5</v>
          </cell>
          <cell r="D873" t="str">
            <v>Cty TNHH TMaïi Thaønh Long</v>
          </cell>
          <cell r="E873" t="str">
            <v>710A.00817</v>
          </cell>
          <cell r="F873" t="str">
            <v>Coâng Thöong CN6</v>
          </cell>
          <cell r="G873" t="str">
            <v>Hoà Chí Minh</v>
          </cell>
          <cell r="H873" t="str">
            <v>Traû tieàn mua boät ngoït</v>
          </cell>
          <cell r="I873">
            <v>203918174</v>
          </cell>
        </row>
        <row r="874">
          <cell r="A874">
            <v>11</v>
          </cell>
          <cell r="B874">
            <v>38118</v>
          </cell>
          <cell r="C874">
            <v>14</v>
          </cell>
          <cell r="D874" t="str">
            <v>Coâng Ty Theùp Mieàn Nam</v>
          </cell>
          <cell r="E874" t="str">
            <v>710A.01611</v>
          </cell>
          <cell r="F874" t="str">
            <v>Coâng Thöông CN I</v>
          </cell>
          <cell r="G874" t="str">
            <v>Hoà Chí Minh</v>
          </cell>
          <cell r="H874" t="str">
            <v xml:space="preserve">Traû tieàn mua haøng cho CN Mieàn Taây C.Ty Theùp Mieàn Nam </v>
          </cell>
          <cell r="I874">
            <v>200000000</v>
          </cell>
        </row>
        <row r="875">
          <cell r="A875">
            <v>12</v>
          </cell>
          <cell r="B875">
            <v>38118</v>
          </cell>
          <cell r="C875">
            <v>3</v>
          </cell>
          <cell r="D875" t="str">
            <v>Cty Coå Phaàn Boät Giaët Lix</v>
          </cell>
          <cell r="E875" t="str">
            <v>710A.01440</v>
          </cell>
          <cell r="F875" t="str">
            <v>Coâng Thöông CN 14</v>
          </cell>
          <cell r="G875" t="str">
            <v>Hoà Chí Minh</v>
          </cell>
          <cell r="H875" t="str">
            <v>Traû tieàn mua boät giaët</v>
          </cell>
          <cell r="I875">
            <v>200000000</v>
          </cell>
        </row>
        <row r="876">
          <cell r="A876">
            <v>13</v>
          </cell>
          <cell r="B876">
            <v>38119</v>
          </cell>
          <cell r="C876">
            <v>36</v>
          </cell>
          <cell r="D876" t="str">
            <v>XN Xaêng Daàu Daàu Khí Vuõng Taøu</v>
          </cell>
          <cell r="E876" t="str">
            <v>710D.00343</v>
          </cell>
          <cell r="F876" t="str">
            <v>Coâng Thöông</v>
          </cell>
          <cell r="G876" t="str">
            <v>Baø Ròa-Vuõng Taøu</v>
          </cell>
          <cell r="H876" t="str">
            <v>Traû tieàn mua xaêng daàu</v>
          </cell>
          <cell r="I876">
            <v>2031100000</v>
          </cell>
        </row>
        <row r="877">
          <cell r="A877">
            <v>14</v>
          </cell>
          <cell r="B877">
            <v>38119</v>
          </cell>
          <cell r="C877">
            <v>98</v>
          </cell>
          <cell r="D877" t="str">
            <v>CTy Lieân Doanh Xi Maêng Haø Tieân II-Caàn Thô</v>
          </cell>
          <cell r="E877" t="str">
            <v>710A.56157</v>
          </cell>
          <cell r="F877" t="str">
            <v>Coâng Thöông</v>
          </cell>
          <cell r="G877" t="str">
            <v>Caàn Thô</v>
          </cell>
          <cell r="H877" t="str">
            <v>Traû tieàn mua xi maêng 192taán</v>
          </cell>
          <cell r="I877">
            <v>158610000</v>
          </cell>
        </row>
        <row r="878">
          <cell r="A878">
            <v>5</v>
          </cell>
          <cell r="B878">
            <v>38119</v>
          </cell>
          <cell r="C878">
            <v>28</v>
          </cell>
          <cell r="D878" t="str">
            <v>Chi Nhaùnh Cty CP Söõa VN Taïi Caàn Thô</v>
          </cell>
          <cell r="E878" t="str">
            <v>7301.0479K</v>
          </cell>
          <cell r="F878" t="str">
            <v>Ñaàu Tö &amp; Phaùt Trieån</v>
          </cell>
          <cell r="G878" t="str">
            <v>Caàn Thô</v>
          </cell>
          <cell r="H878" t="str">
            <v>Traû tieân mua söõa hoäp caùc loaïi</v>
          </cell>
          <cell r="I878">
            <v>350000000</v>
          </cell>
        </row>
        <row r="879">
          <cell r="A879">
            <v>6</v>
          </cell>
          <cell r="B879">
            <v>38119</v>
          </cell>
          <cell r="C879">
            <v>44</v>
          </cell>
          <cell r="D879" t="str">
            <v>CTy Ñieän Baùo Ñieän Thoaïi Baïc Lieâu</v>
          </cell>
          <cell r="E879" t="str">
            <v>710A.00074</v>
          </cell>
          <cell r="F879" t="str">
            <v xml:space="preserve">Coâng Thöông </v>
          </cell>
          <cell r="G879" t="str">
            <v>Baïc Lieâu</v>
          </cell>
          <cell r="H879" t="str">
            <v>Traû tieàn ñieän thoaïi thaùng 04/2004</v>
          </cell>
          <cell r="I879">
            <v>8122320</v>
          </cell>
        </row>
        <row r="880">
          <cell r="A880">
            <v>15</v>
          </cell>
          <cell r="B880">
            <v>38119</v>
          </cell>
          <cell r="C880">
            <v>41</v>
          </cell>
          <cell r="D880" t="str">
            <v>Cty Xi Maêng Nghi Sôn</v>
          </cell>
          <cell r="E880" t="str">
            <v>710A.02772</v>
          </cell>
          <cell r="F880" t="str">
            <v>Coâng Thöông CN 9</v>
          </cell>
          <cell r="G880" t="str">
            <v>Hoà Chí Minh</v>
          </cell>
          <cell r="H880" t="str">
            <v>Traû tieàn mua xi maêng 450taán</v>
          </cell>
          <cell r="I880">
            <v>382500000</v>
          </cell>
        </row>
        <row r="881">
          <cell r="A881">
            <v>16</v>
          </cell>
          <cell r="B881">
            <v>38120</v>
          </cell>
          <cell r="C881">
            <v>98</v>
          </cell>
          <cell r="D881" t="str">
            <v>CTy Lieân Doanh Xi Maêng Haø Tieân II-Caàn Thô</v>
          </cell>
          <cell r="E881" t="str">
            <v>710A.56157</v>
          </cell>
          <cell r="F881" t="str">
            <v>Coâng Thöông</v>
          </cell>
          <cell r="G881" t="str">
            <v>Caàn Thô</v>
          </cell>
          <cell r="H881" t="str">
            <v>Traû tieàn mua xi maêng 170taán</v>
          </cell>
          <cell r="I881">
            <v>134460000</v>
          </cell>
        </row>
        <row r="882">
          <cell r="A882">
            <v>17</v>
          </cell>
          <cell r="B882">
            <v>38120</v>
          </cell>
          <cell r="C882">
            <v>27</v>
          </cell>
          <cell r="D882" t="str">
            <v>Cty TNHH Quoác Teá Nagarjuna</v>
          </cell>
          <cell r="E882" t="str">
            <v>3586.1</v>
          </cell>
          <cell r="F882" t="str">
            <v>INDOVINA</v>
          </cell>
          <cell r="G882" t="str">
            <v>Hoà Chí Minh</v>
          </cell>
          <cell r="H882" t="str">
            <v>Traû tieàn mua ñöôøng</v>
          </cell>
          <cell r="I882">
            <v>79450000</v>
          </cell>
        </row>
        <row r="883">
          <cell r="A883">
            <v>18</v>
          </cell>
          <cell r="B883">
            <v>38120</v>
          </cell>
          <cell r="C883">
            <v>93</v>
          </cell>
          <cell r="D883" t="str">
            <v>Cty Coå Phaàn Giaáy Vieãn Ñoâng</v>
          </cell>
          <cell r="E883" t="str">
            <v>710A.04479</v>
          </cell>
          <cell r="F883" t="str">
            <v>Coâng Thöông CN 12</v>
          </cell>
          <cell r="G883" t="str">
            <v>Hoà Chí Minh</v>
          </cell>
          <cell r="H883" t="str">
            <v>Traû tieàn mua giaáy Vieãn Ñoâng</v>
          </cell>
          <cell r="I883">
            <v>20744906</v>
          </cell>
        </row>
        <row r="884">
          <cell r="A884">
            <v>19</v>
          </cell>
          <cell r="B884">
            <v>38120</v>
          </cell>
          <cell r="C884">
            <v>8</v>
          </cell>
          <cell r="D884" t="str">
            <v>Cty Xi Maêng Haø Tieân II</v>
          </cell>
          <cell r="E884" t="str">
            <v>710A.00091</v>
          </cell>
          <cell r="F884" t="str">
            <v>Coâng Thöông</v>
          </cell>
          <cell r="G884" t="str">
            <v>Kieân Giang</v>
          </cell>
          <cell r="H884" t="str">
            <v>Traû tieàn mua xi maêng 200taán</v>
          </cell>
          <cell r="I884">
            <v>158070000</v>
          </cell>
        </row>
        <row r="885">
          <cell r="A885">
            <v>7</v>
          </cell>
          <cell r="B885">
            <v>38124</v>
          </cell>
          <cell r="C885">
            <v>1</v>
          </cell>
          <cell r="D885" t="str">
            <v>Nhaø Maùy Thuoác Laù Saøi Goøn</v>
          </cell>
          <cell r="E885" t="str">
            <v>710A.00105</v>
          </cell>
          <cell r="F885" t="str">
            <v>Sôû Giao Dòch II CTVN</v>
          </cell>
          <cell r="G885" t="str">
            <v>Hoà Chí Minh</v>
          </cell>
          <cell r="H885" t="str">
            <v>Traû tieàn mua thuoác laù</v>
          </cell>
          <cell r="I885">
            <v>175230000</v>
          </cell>
        </row>
        <row r="886">
          <cell r="A886">
            <v>20</v>
          </cell>
          <cell r="B886">
            <v>38125</v>
          </cell>
          <cell r="C886">
            <v>14</v>
          </cell>
          <cell r="D886" t="str">
            <v>Coâng Ty Theùp Mieàn Nam</v>
          </cell>
          <cell r="E886" t="str">
            <v>710A.01611</v>
          </cell>
          <cell r="F886" t="str">
            <v>Coâng Thöông CN I</v>
          </cell>
          <cell r="G886" t="str">
            <v>Hoà Chí Minh</v>
          </cell>
          <cell r="H886" t="str">
            <v xml:space="preserve">Traû tieàn mua haøng cho CN Mieàn Taây C.Ty Theùp Mieàn Nam </v>
          </cell>
          <cell r="I886">
            <v>200000000</v>
          </cell>
        </row>
        <row r="887">
          <cell r="A887">
            <v>21</v>
          </cell>
          <cell r="B887">
            <v>38125</v>
          </cell>
          <cell r="C887">
            <v>41</v>
          </cell>
          <cell r="D887" t="str">
            <v>Cty Xi Maêng Nghi Sôn</v>
          </cell>
          <cell r="E887" t="str">
            <v>710A.02772</v>
          </cell>
          <cell r="F887" t="str">
            <v>Coâng Thöông CN 9</v>
          </cell>
          <cell r="G887" t="str">
            <v>Hoà Chí Minh</v>
          </cell>
          <cell r="H887" t="str">
            <v>Traû tieàn mua xi maêng 300taán</v>
          </cell>
          <cell r="I887">
            <v>255000000</v>
          </cell>
        </row>
        <row r="888">
          <cell r="A888">
            <v>22</v>
          </cell>
          <cell r="B888">
            <v>38125</v>
          </cell>
          <cell r="C888">
            <v>5</v>
          </cell>
          <cell r="D888" t="str">
            <v>Cty TNHH TMaïi Thaønh Long</v>
          </cell>
          <cell r="E888" t="str">
            <v>710A.00817</v>
          </cell>
          <cell r="F888" t="str">
            <v>Coâng Thöong CN6</v>
          </cell>
          <cell r="G888" t="str">
            <v>Hoà Chí Minh</v>
          </cell>
          <cell r="H888" t="str">
            <v>Traû tieàn mua boät ngoït</v>
          </cell>
          <cell r="I888">
            <v>419573135</v>
          </cell>
        </row>
        <row r="889">
          <cell r="A889">
            <v>23</v>
          </cell>
          <cell r="B889">
            <v>38126</v>
          </cell>
          <cell r="C889">
            <v>8</v>
          </cell>
          <cell r="D889" t="str">
            <v>Cty Xi Maêng Haø Tieân II</v>
          </cell>
          <cell r="E889" t="str">
            <v>710A.00091</v>
          </cell>
          <cell r="F889" t="str">
            <v>Coâng Thöông</v>
          </cell>
          <cell r="G889" t="str">
            <v>Kieân Giang</v>
          </cell>
          <cell r="H889" t="str">
            <v>Traû tieàn mua xi maêng 200taán</v>
          </cell>
          <cell r="I889">
            <v>158070000</v>
          </cell>
        </row>
        <row r="890">
          <cell r="A890">
            <v>24</v>
          </cell>
          <cell r="B890">
            <v>38126</v>
          </cell>
          <cell r="C890">
            <v>77</v>
          </cell>
          <cell r="D890" t="str">
            <v>Cty Ñieän &amp; Ñieän Töû SAMSUNG VINA</v>
          </cell>
          <cell r="E890" t="str">
            <v>710A.01109</v>
          </cell>
          <cell r="F890" t="str">
            <v>Coâng Thöông CN 4</v>
          </cell>
          <cell r="G890" t="str">
            <v>Hoà Chí Minh</v>
          </cell>
          <cell r="H890" t="str">
            <v>Haøng ñieän maùy</v>
          </cell>
          <cell r="I890">
            <v>39822322</v>
          </cell>
        </row>
        <row r="891">
          <cell r="A891">
            <v>8</v>
          </cell>
          <cell r="B891">
            <v>38126</v>
          </cell>
          <cell r="C891">
            <v>31</v>
          </cell>
          <cell r="D891" t="str">
            <v>Cty Daàu Aên Golden Hope - Nhaø Beø</v>
          </cell>
          <cell r="E891" t="str">
            <v>710A.06902</v>
          </cell>
          <cell r="F891" t="str">
            <v>Sôû Giao Dòch II CTVN</v>
          </cell>
          <cell r="G891" t="str">
            <v>Hoà Chí Minh</v>
          </cell>
          <cell r="H891" t="str">
            <v xml:space="preserve">Traû tieàn mua daàu aên TT.TN.CM </v>
          </cell>
          <cell r="I891">
            <v>97254961</v>
          </cell>
        </row>
        <row r="892">
          <cell r="A892">
            <v>13</v>
          </cell>
          <cell r="B892">
            <v>38369</v>
          </cell>
          <cell r="C892">
            <v>28</v>
          </cell>
          <cell r="D892" t="str">
            <v>Chi Nhaùnh Cty CP Söõa VN Taïi Caàn Thô</v>
          </cell>
          <cell r="E892" t="str">
            <v>7301.0479K</v>
          </cell>
          <cell r="F892" t="str">
            <v>Ñaàu Tö &amp; Phaùt Trieån</v>
          </cell>
          <cell r="G892" t="str">
            <v>Caàn Thô</v>
          </cell>
          <cell r="H892" t="str">
            <v>Traû tieân mua söõa hoäp caùc loaïi</v>
          </cell>
          <cell r="I892">
            <v>104000000</v>
          </cell>
        </row>
        <row r="893">
          <cell r="A893">
            <v>14</v>
          </cell>
          <cell r="B893">
            <v>38369</v>
          </cell>
          <cell r="C893">
            <v>9</v>
          </cell>
          <cell r="D893" t="str">
            <v>Castrol Vieät Nam Ltd</v>
          </cell>
          <cell r="E893" t="str">
            <v>007.1.00.002804.1</v>
          </cell>
          <cell r="F893" t="str">
            <v>Ngoaïi Thöông</v>
          </cell>
          <cell r="G893" t="str">
            <v>Hoà Chí Minh</v>
          </cell>
          <cell r="H893" t="str">
            <v>Traû tieàn mua nhôùt Castrol</v>
          </cell>
          <cell r="I893">
            <v>111937764</v>
          </cell>
        </row>
        <row r="894">
          <cell r="A894">
            <v>13</v>
          </cell>
          <cell r="B894">
            <v>38369</v>
          </cell>
          <cell r="C894">
            <v>28</v>
          </cell>
          <cell r="D894" t="str">
            <v>Chi Nhaùnh Cty CP Söõa VN Taïi Caàn Thô</v>
          </cell>
          <cell r="E894" t="str">
            <v>7301.0479K</v>
          </cell>
          <cell r="F894" t="str">
            <v>Ñaàu Tö &amp; Phaùt Trieån</v>
          </cell>
          <cell r="G894" t="str">
            <v>Caàn Thô</v>
          </cell>
          <cell r="H894" t="str">
            <v>Traû tieân mua söõa hoäp caùc loaïi</v>
          </cell>
          <cell r="I894">
            <v>104000000</v>
          </cell>
        </row>
        <row r="895">
          <cell r="A895">
            <v>32</v>
          </cell>
          <cell r="B895">
            <v>38369</v>
          </cell>
          <cell r="C895">
            <v>8</v>
          </cell>
          <cell r="D895" t="str">
            <v>Cty Xi Maêng Haø Tieân II</v>
          </cell>
          <cell r="E895" t="str">
            <v>710A.00091</v>
          </cell>
          <cell r="F895" t="str">
            <v>Coâng Thöông</v>
          </cell>
          <cell r="G895" t="str">
            <v>Kieân Giang</v>
          </cell>
          <cell r="H895" t="str">
            <v>Traû tieàn mua xi maêng 205taán</v>
          </cell>
          <cell r="I895">
            <v>160649500</v>
          </cell>
        </row>
        <row r="896">
          <cell r="A896">
            <v>33</v>
          </cell>
          <cell r="B896">
            <v>38369</v>
          </cell>
          <cell r="C896">
            <v>105</v>
          </cell>
          <cell r="D896" t="str">
            <v>XN Kinh Doanh Thöông Maïi-CTy Kho Vaän Mieàn Nam</v>
          </cell>
          <cell r="E896" t="str">
            <v>710A.00036</v>
          </cell>
          <cell r="F896" t="str">
            <v>Coâng Thöông CN 4</v>
          </cell>
          <cell r="G896" t="str">
            <v>Hoà Chí Minh</v>
          </cell>
          <cell r="H896" t="str">
            <v>Traû tieàn mua nhôùt</v>
          </cell>
          <cell r="I896">
            <v>304875000</v>
          </cell>
        </row>
        <row r="897">
          <cell r="A897">
            <v>15</v>
          </cell>
          <cell r="B897">
            <v>38369</v>
          </cell>
          <cell r="C897">
            <v>28</v>
          </cell>
          <cell r="D897" t="str">
            <v>Chi Nhaùnh Cty CP Söõa VN Taïi Caàn Thô</v>
          </cell>
          <cell r="E897" t="str">
            <v>7301.0479K</v>
          </cell>
          <cell r="F897" t="str">
            <v>Ñaàu Tö &amp; Phaùt Trieån</v>
          </cell>
          <cell r="G897" t="str">
            <v>Caàn Thô</v>
          </cell>
          <cell r="H897" t="str">
            <v>Traû tieân mua söõa hoäp caùc loaïi</v>
          </cell>
          <cell r="I897">
            <v>150000000</v>
          </cell>
        </row>
        <row r="898">
          <cell r="A898">
            <v>34</v>
          </cell>
          <cell r="B898">
            <v>38369</v>
          </cell>
          <cell r="C898">
            <v>5</v>
          </cell>
          <cell r="D898" t="str">
            <v>Cty TNHH TMaïi Thaønh Long</v>
          </cell>
          <cell r="E898" t="str">
            <v>710A.00817</v>
          </cell>
          <cell r="F898" t="str">
            <v>Coâng Thöong CN6</v>
          </cell>
          <cell r="G898" t="str">
            <v>Hoà Chí Minh</v>
          </cell>
          <cell r="H898" t="str">
            <v>Traû tieàn mua boät ngoït</v>
          </cell>
          <cell r="I898">
            <v>274663778</v>
          </cell>
        </row>
        <row r="899">
          <cell r="A899">
            <v>35</v>
          </cell>
          <cell r="B899">
            <v>38370</v>
          </cell>
          <cell r="C899">
            <v>1</v>
          </cell>
          <cell r="D899" t="str">
            <v>Nhaø Maùy Thuoác Laù Saøi Goøn</v>
          </cell>
          <cell r="E899" t="str">
            <v>710A.00105</v>
          </cell>
          <cell r="F899" t="str">
            <v>Sôû Giao Dòch II CTVN</v>
          </cell>
          <cell r="G899" t="str">
            <v>Hoà Chí Minh</v>
          </cell>
          <cell r="H899" t="str">
            <v>Traû tieàn mua thuoác laù</v>
          </cell>
          <cell r="I899">
            <v>132000000</v>
          </cell>
        </row>
        <row r="900">
          <cell r="A900">
            <v>16</v>
          </cell>
          <cell r="B900">
            <v>38371</v>
          </cell>
          <cell r="C900">
            <v>9</v>
          </cell>
          <cell r="D900" t="str">
            <v>Castrol Vieät Nam Ltd</v>
          </cell>
          <cell r="E900" t="str">
            <v>007.1.00.002804.1</v>
          </cell>
          <cell r="F900" t="str">
            <v>Ngoaïi Thöông</v>
          </cell>
          <cell r="G900" t="str">
            <v>Hoà Chí Minh</v>
          </cell>
          <cell r="H900" t="str">
            <v>Traû tieàn mua nhôùt Castrol</v>
          </cell>
          <cell r="I900">
            <v>50551776</v>
          </cell>
        </row>
        <row r="901">
          <cell r="A901">
            <v>37</v>
          </cell>
          <cell r="B901">
            <v>38371</v>
          </cell>
          <cell r="C901">
            <v>4</v>
          </cell>
          <cell r="D901" t="str">
            <v>Cty TMKT &amp; Ñaàu Tö PETEC</v>
          </cell>
          <cell r="E901" t="str">
            <v>710A.09566</v>
          </cell>
          <cell r="F901" t="str">
            <v>Sôû Giao Dòch II  CTVN</v>
          </cell>
          <cell r="G901" t="str">
            <v>Hoà Chí Minh</v>
          </cell>
          <cell r="H901" t="str">
            <v>Traû tieàn mua xaêng daàu</v>
          </cell>
          <cell r="I901">
            <v>2087700000</v>
          </cell>
        </row>
        <row r="902">
          <cell r="A902">
            <v>38</v>
          </cell>
          <cell r="B902">
            <v>38371</v>
          </cell>
          <cell r="C902">
            <v>31</v>
          </cell>
          <cell r="D902" t="str">
            <v>Cty Daàu Aên Golden Hope - Nhaø Beø</v>
          </cell>
          <cell r="E902" t="str">
            <v>710A.06902</v>
          </cell>
          <cell r="F902" t="str">
            <v>Sôû Giao Dòch II CTVN</v>
          </cell>
          <cell r="G902" t="str">
            <v>Hoà Chí Minh</v>
          </cell>
          <cell r="H902" t="str">
            <v xml:space="preserve">Traû tieàn mua daàu aên TT.TN.CM </v>
          </cell>
          <cell r="I902">
            <v>161255684</v>
          </cell>
        </row>
        <row r="903">
          <cell r="A903">
            <v>37</v>
          </cell>
          <cell r="B903">
            <v>38371</v>
          </cell>
          <cell r="C903">
            <v>36</v>
          </cell>
          <cell r="D903" t="str">
            <v>XN Xaêng Daàu Daàu Khí Vuõng Taøu</v>
          </cell>
          <cell r="E903" t="str">
            <v>710D.00343</v>
          </cell>
          <cell r="F903" t="str">
            <v>Coâng Thöông</v>
          </cell>
          <cell r="G903" t="str">
            <v>Baø Ròa-Vuõng Taøu</v>
          </cell>
          <cell r="H903" t="str">
            <v>Traû tieàn mua xaêng daàu</v>
          </cell>
          <cell r="I903">
            <v>2087700000</v>
          </cell>
        </row>
        <row r="904">
          <cell r="A904">
            <v>17</v>
          </cell>
          <cell r="B904">
            <v>38371</v>
          </cell>
          <cell r="C904">
            <v>28</v>
          </cell>
          <cell r="D904" t="str">
            <v>Chi Nhaùnh Cty CP Söõa VN Taïi Caàn Thô</v>
          </cell>
          <cell r="E904" t="str">
            <v>7301.0479K</v>
          </cell>
          <cell r="F904" t="str">
            <v>Ñaàu Tö &amp; Phaùt Trieån</v>
          </cell>
          <cell r="G904" t="str">
            <v>Caàn Thô</v>
          </cell>
          <cell r="H904" t="str">
            <v>Traû tieân mua söõa hoäp caùc loaïi</v>
          </cell>
          <cell r="I904">
            <v>100000000</v>
          </cell>
        </row>
        <row r="905">
          <cell r="A905">
            <v>38</v>
          </cell>
          <cell r="B905">
            <v>38372</v>
          </cell>
          <cell r="C905">
            <v>17</v>
          </cell>
          <cell r="D905" t="str">
            <v>Cty Daàu Khí -TP/HCM (Saøi Goøn Petro)</v>
          </cell>
          <cell r="E905" t="str">
            <v>007.1.00.000661.6</v>
          </cell>
          <cell r="F905" t="str">
            <v>Ngoaïi Thöông</v>
          </cell>
          <cell r="G905" t="str">
            <v>Hoà Chí Minh</v>
          </cell>
          <cell r="H905" t="str">
            <v>Traû tieàn mua xaêng daàu</v>
          </cell>
          <cell r="I905">
            <v>648245000</v>
          </cell>
        </row>
        <row r="906">
          <cell r="A906">
            <v>18</v>
          </cell>
          <cell r="B906">
            <v>38372</v>
          </cell>
          <cell r="C906">
            <v>28</v>
          </cell>
          <cell r="D906" t="str">
            <v>Chi Nhaùnh Cty CP Söõa VN Taïi Caàn Thô</v>
          </cell>
          <cell r="E906" t="str">
            <v>7301.0479K</v>
          </cell>
          <cell r="F906" t="str">
            <v>Ñaàu Tö &amp; Phaùt Trieån</v>
          </cell>
          <cell r="G906" t="str">
            <v>Caàn Thô</v>
          </cell>
          <cell r="H906" t="str">
            <v>Traû tieân mua söõa hoäp caùc loaïi</v>
          </cell>
          <cell r="I906">
            <v>250000000</v>
          </cell>
        </row>
        <row r="907">
          <cell r="A907">
            <v>39</v>
          </cell>
          <cell r="B907">
            <v>38373</v>
          </cell>
          <cell r="C907">
            <v>14</v>
          </cell>
          <cell r="D907" t="str">
            <v>Coâng Ty Theùp Mieàn Nam</v>
          </cell>
          <cell r="E907" t="str">
            <v>710A.01611</v>
          </cell>
          <cell r="F907" t="str">
            <v>Coâng Thöông CN I</v>
          </cell>
          <cell r="G907" t="str">
            <v>Hoà Chí Minh</v>
          </cell>
          <cell r="H907" t="str">
            <v xml:space="preserve">Traû tieàn mua haøng cho CN Mieàn Taây C.Ty Theùp Mieàn Nam </v>
          </cell>
          <cell r="I907">
            <v>150000000</v>
          </cell>
        </row>
        <row r="908">
          <cell r="A908">
            <v>19</v>
          </cell>
          <cell r="B908">
            <v>38373</v>
          </cell>
          <cell r="C908">
            <v>28</v>
          </cell>
          <cell r="D908" t="str">
            <v>Chi Nhaùnh Cty CP Söõa VN Taïi Caàn Thô</v>
          </cell>
          <cell r="E908" t="str">
            <v>7301.0479K</v>
          </cell>
          <cell r="F908" t="str">
            <v>Ñaàu Tö &amp; Phaùt Trieån</v>
          </cell>
          <cell r="G908" t="str">
            <v>Caàn Thô</v>
          </cell>
          <cell r="H908" t="str">
            <v>Traû tieân mua söõa hoäp caùc loaïi</v>
          </cell>
          <cell r="I908">
            <v>130000000</v>
          </cell>
        </row>
        <row r="909">
          <cell r="A909">
            <v>40</v>
          </cell>
          <cell r="B909">
            <v>38376</v>
          </cell>
          <cell r="C909">
            <v>4</v>
          </cell>
          <cell r="D909" t="str">
            <v>Cty TMKT &amp; Ñaàu Tö PETEC</v>
          </cell>
          <cell r="E909" t="str">
            <v>710A.09566</v>
          </cell>
          <cell r="F909" t="str">
            <v>Sôû Giao Dòch II  CTVN</v>
          </cell>
          <cell r="G909" t="str">
            <v>Hoà Chí Minh</v>
          </cell>
          <cell r="H909" t="str">
            <v>Traû tieàn mua xaêng daàu</v>
          </cell>
          <cell r="I909">
            <v>2202500000</v>
          </cell>
        </row>
        <row r="910">
          <cell r="A910">
            <v>20</v>
          </cell>
          <cell r="B910">
            <v>38376</v>
          </cell>
          <cell r="C910">
            <v>28</v>
          </cell>
          <cell r="D910" t="str">
            <v>Chi Nhaùnh Cty CP Söõa VN Taïi Caàn Thô</v>
          </cell>
          <cell r="E910" t="str">
            <v>7301.0479K</v>
          </cell>
          <cell r="F910" t="str">
            <v>Ñaàu Tö &amp; Phaùt Trieån</v>
          </cell>
          <cell r="G910" t="str">
            <v>Caàn Thô</v>
          </cell>
          <cell r="H910" t="str">
            <v>Traû tieân mua söõa hoäp caùc loaïi</v>
          </cell>
          <cell r="I910">
            <v>100000000</v>
          </cell>
        </row>
        <row r="911">
          <cell r="A911">
            <v>21</v>
          </cell>
          <cell r="B911">
            <v>38376</v>
          </cell>
          <cell r="C911">
            <v>28</v>
          </cell>
          <cell r="D911" t="str">
            <v>Chi Nhaùnh Cty CP Söõa VN Taïi Caàn Thô</v>
          </cell>
          <cell r="E911" t="str">
            <v>7301.0479K</v>
          </cell>
          <cell r="F911" t="str">
            <v>Ñaàu Tö &amp; Phaùt Trieån</v>
          </cell>
          <cell r="G911" t="str">
            <v>Caàn Thô</v>
          </cell>
          <cell r="H911" t="str">
            <v>Traû tieân mua söõa hoäp caùc loaïi</v>
          </cell>
          <cell r="I911">
            <v>140000000</v>
          </cell>
        </row>
        <row r="912">
          <cell r="A912">
            <v>22</v>
          </cell>
          <cell r="B912">
            <v>38376</v>
          </cell>
          <cell r="C912">
            <v>25</v>
          </cell>
          <cell r="D912" t="str">
            <v xml:space="preserve"> Thu Baûo Hieåm Xaõ Hoäi Tænh Baïc Lieâu</v>
          </cell>
          <cell r="E912" t="str">
            <v>421401.12</v>
          </cell>
          <cell r="F912" t="str">
            <v>NN &amp; P/T N/Thoân</v>
          </cell>
          <cell r="G912" t="str">
            <v>Baïc Lieâu</v>
          </cell>
          <cell r="H912" t="str">
            <v>Noäp BHXH,BHYT thaùng 01/05</v>
          </cell>
          <cell r="I912">
            <v>16742367</v>
          </cell>
        </row>
        <row r="913">
          <cell r="A913">
            <v>41</v>
          </cell>
          <cell r="B913">
            <v>38376</v>
          </cell>
          <cell r="C913">
            <v>5</v>
          </cell>
          <cell r="D913" t="str">
            <v>Cty TNHH TMaïi Thaønh Long</v>
          </cell>
          <cell r="E913" t="str">
            <v>710A.00817</v>
          </cell>
          <cell r="F913" t="str">
            <v>Coâng Thöong CN6</v>
          </cell>
          <cell r="G913" t="str">
            <v>Hoà Chí Minh</v>
          </cell>
          <cell r="H913" t="str">
            <v>Traû tieàn mua boät ngoït</v>
          </cell>
          <cell r="I913">
            <v>337619744</v>
          </cell>
        </row>
        <row r="914">
          <cell r="A914">
            <v>42</v>
          </cell>
          <cell r="B914">
            <v>38376</v>
          </cell>
          <cell r="C914">
            <v>3</v>
          </cell>
          <cell r="D914" t="str">
            <v>Cty Coå Phaàn Boät Giaët Lix</v>
          </cell>
          <cell r="E914" t="str">
            <v>710A.01440</v>
          </cell>
          <cell r="F914" t="str">
            <v>Coâng Thöông CN 14</v>
          </cell>
          <cell r="G914" t="str">
            <v>Hoà Chí Minh</v>
          </cell>
          <cell r="H914" t="str">
            <v>Traû tieàn mua boät giaët</v>
          </cell>
          <cell r="I914">
            <v>400000000</v>
          </cell>
        </row>
        <row r="915">
          <cell r="A915">
            <v>43</v>
          </cell>
          <cell r="B915">
            <v>38376</v>
          </cell>
          <cell r="C915">
            <v>8</v>
          </cell>
          <cell r="D915" t="str">
            <v>Cty Xi Maêng Haø Tieân II</v>
          </cell>
          <cell r="E915" t="str">
            <v>710A.00091</v>
          </cell>
          <cell r="F915" t="str">
            <v>Coâng Thöông</v>
          </cell>
          <cell r="G915" t="str">
            <v>Kieân Giang</v>
          </cell>
          <cell r="H915" t="str">
            <v>Traû tieàn mua xi maêng 120taán</v>
          </cell>
          <cell r="I915">
            <v>96228000</v>
          </cell>
        </row>
        <row r="916">
          <cell r="A916">
            <v>44</v>
          </cell>
          <cell r="B916">
            <v>38377</v>
          </cell>
          <cell r="C916">
            <v>4</v>
          </cell>
          <cell r="D916" t="str">
            <v>Cty TMKT &amp; Ñaàu Tö PETEC</v>
          </cell>
          <cell r="E916" t="str">
            <v>710A.09566</v>
          </cell>
          <cell r="F916" t="str">
            <v>Sôû Giao Dòch II  CTVN</v>
          </cell>
          <cell r="G916" t="str">
            <v>Hoà Chí Minh</v>
          </cell>
          <cell r="H916" t="str">
            <v>Traû tieàn mua xaêng daàu</v>
          </cell>
          <cell r="I916">
            <v>1924500000</v>
          </cell>
        </row>
        <row r="917">
          <cell r="A917">
            <v>23</v>
          </cell>
          <cell r="B917">
            <v>38377</v>
          </cell>
          <cell r="C917">
            <v>28</v>
          </cell>
          <cell r="D917" t="str">
            <v>Chi Nhaùnh Cty CP Söõa VN Taïi Caàn Thô</v>
          </cell>
          <cell r="E917" t="str">
            <v>7301.0479K</v>
          </cell>
          <cell r="F917" t="str">
            <v>Ñaàu Tö &amp; Phaùt Trieån</v>
          </cell>
          <cell r="G917" t="str">
            <v>Caàn Thô</v>
          </cell>
          <cell r="H917" t="str">
            <v>Traû tieân mua söõa hoäp caùc loaïi</v>
          </cell>
          <cell r="I917">
            <v>110000000</v>
          </cell>
        </row>
        <row r="918">
          <cell r="A918">
            <v>45</v>
          </cell>
          <cell r="B918">
            <v>38378</v>
          </cell>
          <cell r="C918">
            <v>4</v>
          </cell>
          <cell r="D918" t="str">
            <v>Cty TMKT &amp; Ñaàu Tö PETEC</v>
          </cell>
          <cell r="E918" t="str">
            <v>710A.09566</v>
          </cell>
          <cell r="F918" t="str">
            <v>Sôû Giao Dòch II  CTVN</v>
          </cell>
          <cell r="G918" t="str">
            <v>Hoà Chí Minh</v>
          </cell>
          <cell r="H918" t="str">
            <v>Traû tieàn mua xaêng daàu</v>
          </cell>
          <cell r="I918">
            <v>535600000</v>
          </cell>
        </row>
        <row r="919">
          <cell r="A919">
            <v>46</v>
          </cell>
          <cell r="B919">
            <v>38378</v>
          </cell>
          <cell r="C919">
            <v>31</v>
          </cell>
          <cell r="D919" t="str">
            <v>Cty Daàu Aên Golden Hope - Nhaø Beø</v>
          </cell>
          <cell r="E919" t="str">
            <v>710A.06902</v>
          </cell>
          <cell r="F919" t="str">
            <v>Sôû Giao Dòch II CTVN</v>
          </cell>
          <cell r="G919" t="str">
            <v>Hoà Chí Minh</v>
          </cell>
          <cell r="H919" t="str">
            <v xml:space="preserve">Traû tieàn mua daàu aên TT.TN.CM </v>
          </cell>
          <cell r="I919">
            <v>70641780</v>
          </cell>
        </row>
        <row r="920">
          <cell r="A920">
            <v>47</v>
          </cell>
          <cell r="B920">
            <v>38378</v>
          </cell>
          <cell r="C920">
            <v>10</v>
          </cell>
          <cell r="D920" t="str">
            <v>Cty TNHH Daàu Nhôùt vaø Hoùa Chaát VN</v>
          </cell>
          <cell r="E920" t="str">
            <v>001.004837.041</v>
          </cell>
          <cell r="F920" t="str">
            <v>Hoàng Kong&amp; Thöôïng Haûi</v>
          </cell>
          <cell r="G920" t="str">
            <v>Hoà Chí Minh</v>
          </cell>
          <cell r="H920" t="str">
            <v>Traû tieàn mua nhôùt</v>
          </cell>
          <cell r="I920">
            <v>212542493</v>
          </cell>
        </row>
        <row r="921">
          <cell r="A921">
            <v>24</v>
          </cell>
          <cell r="B921">
            <v>38378</v>
          </cell>
          <cell r="C921">
            <v>28</v>
          </cell>
          <cell r="D921" t="str">
            <v>Chi Nhaùnh Cty CP Söõa VN Taïi Caàn Thô</v>
          </cell>
          <cell r="E921" t="str">
            <v>7301.0479K</v>
          </cell>
          <cell r="F921" t="str">
            <v>Ñaàu Tö &amp; Phaùt Trieån</v>
          </cell>
          <cell r="G921" t="str">
            <v>Caàn Thô</v>
          </cell>
          <cell r="H921" t="str">
            <v>Traû tieân mua söõa hoäp caùc loaïi</v>
          </cell>
          <cell r="I921">
            <v>100000000</v>
          </cell>
        </row>
        <row r="922">
          <cell r="A922">
            <v>25</v>
          </cell>
          <cell r="B922">
            <v>38378</v>
          </cell>
          <cell r="C922">
            <v>27</v>
          </cell>
          <cell r="D922" t="str">
            <v>Cty TNHH Quoác Teá Nagarjuna</v>
          </cell>
          <cell r="E922" t="str">
            <v>3586.1</v>
          </cell>
          <cell r="F922" t="str">
            <v>INDOVINA</v>
          </cell>
          <cell r="G922" t="str">
            <v>Hoà Chí Minh</v>
          </cell>
          <cell r="H922" t="str">
            <v>Traû tieàn mua ñöôøng</v>
          </cell>
          <cell r="I922">
            <v>29750000</v>
          </cell>
        </row>
        <row r="923">
          <cell r="A923">
            <v>48</v>
          </cell>
          <cell r="B923">
            <v>38378</v>
          </cell>
          <cell r="C923">
            <v>1</v>
          </cell>
          <cell r="D923" t="str">
            <v>Nhaø Maùy Thuoác Laù Saøi Goøn</v>
          </cell>
          <cell r="E923" t="str">
            <v>710A.00105</v>
          </cell>
          <cell r="F923" t="str">
            <v>Sôû Giao Dòch II CTVN</v>
          </cell>
          <cell r="G923" t="str">
            <v>Hoà Chí Minh</v>
          </cell>
          <cell r="H923" t="str">
            <v>Traû tieàn mua thuoác laù</v>
          </cell>
          <cell r="I923">
            <v>110275000</v>
          </cell>
        </row>
        <row r="924">
          <cell r="A924">
            <v>49</v>
          </cell>
          <cell r="B924">
            <v>38378</v>
          </cell>
          <cell r="C924">
            <v>8</v>
          </cell>
          <cell r="D924" t="str">
            <v>Cty Xi Maêng Haø Tieân II</v>
          </cell>
          <cell r="E924" t="str">
            <v>710A.00091</v>
          </cell>
          <cell r="F924" t="str">
            <v>Coâng Thöông</v>
          </cell>
          <cell r="G924" t="str">
            <v>Kieân Giang</v>
          </cell>
          <cell r="H924" t="str">
            <v>Traû tieàn mua xi maêng 100taán</v>
          </cell>
          <cell r="I924">
            <v>80190000</v>
          </cell>
        </row>
        <row r="925">
          <cell r="A925">
            <v>50</v>
          </cell>
          <cell r="B925">
            <v>38378</v>
          </cell>
          <cell r="C925">
            <v>36</v>
          </cell>
          <cell r="D925" t="str">
            <v>XN Xaêng Daàu Daàu Khí Vuõng Taøu</v>
          </cell>
          <cell r="E925" t="str">
            <v>710D.00343</v>
          </cell>
          <cell r="F925" t="str">
            <v>Coâng Thöông</v>
          </cell>
          <cell r="G925" t="str">
            <v>Baø Ròa-Vuõng Taøu</v>
          </cell>
          <cell r="H925" t="str">
            <v>Traû tieàn mua xaêng daàu</v>
          </cell>
          <cell r="I925">
            <v>2726500000</v>
          </cell>
        </row>
        <row r="926">
          <cell r="A926">
            <v>26</v>
          </cell>
          <cell r="B926">
            <v>38379</v>
          </cell>
          <cell r="C926">
            <v>83</v>
          </cell>
          <cell r="D926" t="str">
            <v>CTy TNHH TM TH Thuaän Taân</v>
          </cell>
          <cell r="E926" t="str">
            <v>007.100.110.1337</v>
          </cell>
          <cell r="F926" t="str">
            <v>Ngoaïi Thöông</v>
          </cell>
          <cell r="G926" t="str">
            <v>Hoà Chí Minh</v>
          </cell>
          <cell r="H926" t="str">
            <v>Traû tieàn mua Tivi</v>
          </cell>
          <cell r="I926">
            <v>21040250</v>
          </cell>
        </row>
        <row r="927">
          <cell r="A927">
            <v>51</v>
          </cell>
          <cell r="B927">
            <v>38379</v>
          </cell>
          <cell r="C927">
            <v>4</v>
          </cell>
          <cell r="D927" t="str">
            <v>Cty TMKT &amp; Ñaàu Tö PETEC</v>
          </cell>
          <cell r="E927" t="str">
            <v>710A.09566</v>
          </cell>
          <cell r="F927" t="str">
            <v>Sôû Giao Dòch II  CTVN</v>
          </cell>
          <cell r="G927" t="str">
            <v>Hoà Chí Minh</v>
          </cell>
          <cell r="H927" t="str">
            <v>Traû tieàn mua xaêng daàu</v>
          </cell>
          <cell r="I927">
            <v>1748000000</v>
          </cell>
        </row>
        <row r="928">
          <cell r="A928">
            <v>27</v>
          </cell>
          <cell r="B928">
            <v>38379</v>
          </cell>
          <cell r="C928">
            <v>28</v>
          </cell>
          <cell r="D928" t="str">
            <v>Chi Nhaùnh Cty CP Söõa VN Taïi Caàn Thô</v>
          </cell>
          <cell r="E928" t="str">
            <v>7301.0479K</v>
          </cell>
          <cell r="F928" t="str">
            <v>Ñaàu Tö &amp; Phaùt Trieån</v>
          </cell>
          <cell r="G928" t="str">
            <v>Caàn Thô</v>
          </cell>
          <cell r="H928" t="str">
            <v>Traû tieân mua söõa hoäp caùc loaïi</v>
          </cell>
          <cell r="I928">
            <v>170000000</v>
          </cell>
        </row>
        <row r="929">
          <cell r="A929">
            <v>28</v>
          </cell>
          <cell r="B929">
            <v>38380</v>
          </cell>
          <cell r="C929">
            <v>27</v>
          </cell>
          <cell r="D929" t="str">
            <v>Cty TNHH Quoác Teá Nagarjuna</v>
          </cell>
          <cell r="E929" t="str">
            <v>3586.1</v>
          </cell>
          <cell r="F929" t="str">
            <v>INDOVINA</v>
          </cell>
          <cell r="G929" t="str">
            <v>Hoà Chí Minh</v>
          </cell>
          <cell r="H929" t="str">
            <v>Traû tieàn mua ñöôøng</v>
          </cell>
          <cell r="I929">
            <v>41650000</v>
          </cell>
        </row>
        <row r="930">
          <cell r="A930">
            <v>52</v>
          </cell>
          <cell r="B930">
            <v>38380</v>
          </cell>
          <cell r="C930">
            <v>21</v>
          </cell>
          <cell r="D930" t="str">
            <v>Cty Coå Phaàn Vaät Tö  Haäu Giang</v>
          </cell>
          <cell r="E930" t="str">
            <v>710A.00040</v>
          </cell>
          <cell r="F930" t="str">
            <v>Coâng Thöông</v>
          </cell>
          <cell r="G930" t="str">
            <v>Caàn Thô</v>
          </cell>
          <cell r="H930" t="str">
            <v>Traû tieàn mua gas</v>
          </cell>
          <cell r="I930">
            <v>69315004</v>
          </cell>
        </row>
        <row r="931">
          <cell r="A931">
            <v>53</v>
          </cell>
          <cell r="B931">
            <v>38380</v>
          </cell>
          <cell r="C931">
            <v>8</v>
          </cell>
          <cell r="D931" t="str">
            <v>Cty Xi Maêng Haø Tieân II</v>
          </cell>
          <cell r="E931" t="str">
            <v>710A.00091</v>
          </cell>
          <cell r="F931" t="str">
            <v>Coâng Thöông</v>
          </cell>
          <cell r="G931" t="str">
            <v>Kieân Giang</v>
          </cell>
          <cell r="H931" t="str">
            <v>Traû tieàn mua xi maêng 120taán</v>
          </cell>
          <cell r="I931">
            <v>96228000</v>
          </cell>
        </row>
        <row r="932">
          <cell r="A932">
            <v>54</v>
          </cell>
          <cell r="B932">
            <v>38380</v>
          </cell>
          <cell r="C932">
            <v>14</v>
          </cell>
          <cell r="D932" t="str">
            <v>Coâng Ty Theùp Mieàn Nam</v>
          </cell>
          <cell r="E932" t="str">
            <v>710A.01611</v>
          </cell>
          <cell r="F932" t="str">
            <v>Coâng Thöông CN I</v>
          </cell>
          <cell r="G932" t="str">
            <v>Hoà Chí Minh</v>
          </cell>
          <cell r="H932" t="str">
            <v xml:space="preserve">Traû tieàn mua haøng cho CN Mieàn Taây C.Ty Theùp Mieàn Nam </v>
          </cell>
          <cell r="I932">
            <v>50000000</v>
          </cell>
        </row>
        <row r="933">
          <cell r="A933">
            <v>29</v>
          </cell>
          <cell r="B933">
            <v>38380</v>
          </cell>
          <cell r="C933">
            <v>28</v>
          </cell>
          <cell r="D933" t="str">
            <v>Chi Nhaùnh Cty CP Söõa VN Taïi Caàn Thô</v>
          </cell>
          <cell r="E933" t="str">
            <v>7301.0479K</v>
          </cell>
          <cell r="F933" t="str">
            <v>Ñaàu Tö &amp; Phaùt Trieån</v>
          </cell>
          <cell r="G933" t="str">
            <v>Caàn Thô</v>
          </cell>
          <cell r="H933" t="str">
            <v>Traû tieân mua söõa hoäp caùc loaïi</v>
          </cell>
          <cell r="I933">
            <v>180000000</v>
          </cell>
        </row>
        <row r="934">
          <cell r="A934">
            <v>30</v>
          </cell>
          <cell r="B934">
            <v>38383</v>
          </cell>
          <cell r="C934">
            <v>7</v>
          </cell>
          <cell r="D934" t="str">
            <v>Xí Nghieäp Colusa-Miliket</v>
          </cell>
          <cell r="E934" t="str">
            <v>314.100.00000052</v>
          </cell>
          <cell r="F934" t="str">
            <v>Ñaàu Tö &amp; Phaùt Trieån CN Thuû Ñöùc</v>
          </cell>
          <cell r="G934" t="str">
            <v>Hoà Chí Minh</v>
          </cell>
          <cell r="H934" t="str">
            <v>Traû tieàn mua mì Colusa</v>
          </cell>
          <cell r="I934">
            <v>128613111</v>
          </cell>
        </row>
        <row r="935">
          <cell r="A935">
            <v>55</v>
          </cell>
          <cell r="B935">
            <v>38383</v>
          </cell>
          <cell r="C935">
            <v>36</v>
          </cell>
          <cell r="D935" t="str">
            <v>XN Xaêng Daàu Daàu Khí Vuõng Taøu</v>
          </cell>
          <cell r="E935" t="str">
            <v>710D.00343</v>
          </cell>
          <cell r="F935" t="str">
            <v>Coâng Thöông</v>
          </cell>
          <cell r="G935" t="str">
            <v>Baø Ròa-Vuõng Taøu</v>
          </cell>
          <cell r="H935" t="str">
            <v>Traû tieàn mua xaêng daàu</v>
          </cell>
          <cell r="I935">
            <v>2819000000</v>
          </cell>
        </row>
        <row r="936">
          <cell r="A936">
            <v>56</v>
          </cell>
          <cell r="B936">
            <v>38383</v>
          </cell>
          <cell r="C936">
            <v>14</v>
          </cell>
          <cell r="D936" t="str">
            <v>Coâng Ty Theùp Mieàn Nam</v>
          </cell>
          <cell r="E936" t="str">
            <v>710A.01611</v>
          </cell>
          <cell r="F936" t="str">
            <v>Coâng Thöông CN I</v>
          </cell>
          <cell r="G936" t="str">
            <v>Hoà Chí Minh</v>
          </cell>
          <cell r="H936" t="str">
            <v xml:space="preserve">Traû tieàn mua haøng cho CN Mieàn Taây C.Ty Theùp Mieàn Nam </v>
          </cell>
          <cell r="I936">
            <v>120000000</v>
          </cell>
        </row>
        <row r="937">
          <cell r="A937">
            <v>57</v>
          </cell>
          <cell r="B937">
            <v>38383</v>
          </cell>
          <cell r="C937">
            <v>46</v>
          </cell>
          <cell r="D937" t="str">
            <v>CTy MIWON VIETNAM</v>
          </cell>
          <cell r="E937" t="str">
            <v>710A.00183</v>
          </cell>
          <cell r="F937" t="str">
            <v xml:space="preserve">Coâng Thöông </v>
          </cell>
          <cell r="G937" t="str">
            <v>Phuù Thoï</v>
          </cell>
          <cell r="H937" t="str">
            <v>Traû tieàn mua boät ngoït</v>
          </cell>
          <cell r="I937">
            <v>94920889</v>
          </cell>
        </row>
        <row r="938">
          <cell r="A938">
            <v>31</v>
          </cell>
          <cell r="B938">
            <v>38383</v>
          </cell>
          <cell r="C938">
            <v>28</v>
          </cell>
          <cell r="D938" t="str">
            <v>Chi Nhaùnh Cty CP Söõa VN Taïi Caàn Thô</v>
          </cell>
          <cell r="E938" t="str">
            <v>7301.0479K</v>
          </cell>
          <cell r="F938" t="str">
            <v>Ñaàu Tö &amp; Phaùt Trieån</v>
          </cell>
          <cell r="G938" t="str">
            <v>Caàn Thô</v>
          </cell>
          <cell r="H938" t="str">
            <v>Traû tieân mua söõa hoäp caùc loaïi</v>
          </cell>
          <cell r="I938">
            <v>309000000</v>
          </cell>
        </row>
        <row r="939">
          <cell r="A939">
            <v>1</v>
          </cell>
          <cell r="B939">
            <v>38384</v>
          </cell>
          <cell r="C939">
            <v>5</v>
          </cell>
          <cell r="D939" t="str">
            <v>Cty TNHH TMaïi Thaønh Long</v>
          </cell>
          <cell r="E939" t="str">
            <v>710A.00817</v>
          </cell>
          <cell r="F939" t="str">
            <v>Coâng Thöong CN6</v>
          </cell>
          <cell r="G939" t="str">
            <v>Hoà Chí Minh</v>
          </cell>
          <cell r="H939" t="str">
            <v>Traû tieàn mua boät ngoït</v>
          </cell>
          <cell r="I939">
            <v>412614162</v>
          </cell>
        </row>
        <row r="940">
          <cell r="A940">
            <v>2</v>
          </cell>
          <cell r="B940">
            <v>38384</v>
          </cell>
          <cell r="C940">
            <v>4</v>
          </cell>
          <cell r="D940" t="str">
            <v>Cty TMKT &amp; Ñaàu Tö PETEC</v>
          </cell>
          <cell r="E940" t="str">
            <v>710A.09566</v>
          </cell>
          <cell r="F940" t="str">
            <v>Sôû Giao Dòch II  CTVN</v>
          </cell>
          <cell r="G940" t="str">
            <v>Hoà Chí Minh</v>
          </cell>
          <cell r="H940" t="str">
            <v>Traû tieàn mua xaêng daàu</v>
          </cell>
          <cell r="I940">
            <v>1932000000</v>
          </cell>
        </row>
        <row r="941">
          <cell r="A941">
            <v>3</v>
          </cell>
          <cell r="B941">
            <v>38384</v>
          </cell>
          <cell r="C941">
            <v>17</v>
          </cell>
          <cell r="D941" t="str">
            <v>Cty Daàu Khí -TP/HCM (Saøi Goøn Petro)</v>
          </cell>
          <cell r="E941" t="str">
            <v>007.1.00.000661.6</v>
          </cell>
          <cell r="F941" t="str">
            <v>Ngoaïi Thöông</v>
          </cell>
          <cell r="G941" t="str">
            <v>Hoà Chí Minh</v>
          </cell>
          <cell r="H941" t="str">
            <v>Traû tieàn mua xaêng daàu</v>
          </cell>
          <cell r="I941">
            <v>781560000</v>
          </cell>
        </row>
        <row r="942">
          <cell r="A942">
            <v>4</v>
          </cell>
          <cell r="B942">
            <v>38384</v>
          </cell>
          <cell r="C942">
            <v>1</v>
          </cell>
          <cell r="D942" t="str">
            <v>Nhaø Maùy Thuoác Laù Saøi Goøn</v>
          </cell>
          <cell r="E942" t="str">
            <v>710A.00105</v>
          </cell>
          <cell r="F942" t="str">
            <v>Sôû Giao Dòch II CTVN</v>
          </cell>
          <cell r="G942" t="str">
            <v>Hoà Chí Minh</v>
          </cell>
          <cell r="H942" t="str">
            <v>Traû tieàn mua thuoác laù</v>
          </cell>
          <cell r="I942">
            <v>162525000</v>
          </cell>
        </row>
        <row r="943">
          <cell r="A943">
            <v>5</v>
          </cell>
          <cell r="B943">
            <v>38384</v>
          </cell>
          <cell r="C943">
            <v>27</v>
          </cell>
          <cell r="D943" t="str">
            <v>Cty TNHH Quoác Teá Nagarjuna</v>
          </cell>
          <cell r="E943" t="str">
            <v>3586.1</v>
          </cell>
          <cell r="F943" t="str">
            <v>INDOVINA</v>
          </cell>
          <cell r="G943" t="str">
            <v>Hoà Chí Minh</v>
          </cell>
          <cell r="H943" t="str">
            <v>Traû tieàn mua ñöôøng</v>
          </cell>
          <cell r="I943">
            <v>42000000</v>
          </cell>
        </row>
        <row r="944">
          <cell r="A944">
            <v>6</v>
          </cell>
          <cell r="B944">
            <v>38386</v>
          </cell>
          <cell r="C944">
            <v>4</v>
          </cell>
          <cell r="D944" t="str">
            <v>Cty TMKT &amp; Ñaàu Tö PETEC</v>
          </cell>
          <cell r="E944" t="str">
            <v>710A.09566</v>
          </cell>
          <cell r="F944" t="str">
            <v>Sôû Giao Dòch II  CTVN</v>
          </cell>
          <cell r="G944" t="str">
            <v>Hoà Chí Minh</v>
          </cell>
          <cell r="H944" t="str">
            <v>Traû tieàn mua xaêng daàu</v>
          </cell>
          <cell r="I944">
            <v>3583500000</v>
          </cell>
        </row>
        <row r="945">
          <cell r="A945">
            <v>1</v>
          </cell>
          <cell r="B945">
            <v>38386</v>
          </cell>
          <cell r="C945">
            <v>9</v>
          </cell>
          <cell r="D945" t="str">
            <v>Castrol Vieät Nam Ltd</v>
          </cell>
          <cell r="E945" t="str">
            <v>007.1.00.002804.1</v>
          </cell>
          <cell r="F945" t="str">
            <v>Ngoaïi Thöông</v>
          </cell>
          <cell r="G945" t="str">
            <v>Hoà Chí Minh</v>
          </cell>
          <cell r="H945" t="str">
            <v>Traû tieàn mua nhôùt</v>
          </cell>
          <cell r="I945">
            <v>59889548</v>
          </cell>
        </row>
        <row r="946">
          <cell r="A946">
            <v>2</v>
          </cell>
          <cell r="B946">
            <v>38387</v>
          </cell>
          <cell r="C946">
            <v>83</v>
          </cell>
          <cell r="D946" t="str">
            <v>CTy TNHH TM TH Thuaän Taân</v>
          </cell>
          <cell r="E946" t="str">
            <v>007.100.110.1337</v>
          </cell>
          <cell r="F946" t="str">
            <v>Ngoaïi Thöông</v>
          </cell>
          <cell r="G946" t="str">
            <v>Hoà Chí Minh</v>
          </cell>
          <cell r="H946" t="str">
            <v>Traû tieàn mua Tivi</v>
          </cell>
          <cell r="I946">
            <v>28648950</v>
          </cell>
        </row>
        <row r="947">
          <cell r="A947">
            <v>7</v>
          </cell>
          <cell r="B947">
            <v>38387</v>
          </cell>
          <cell r="C947">
            <v>14</v>
          </cell>
          <cell r="D947" t="str">
            <v>Coâng Ty Theùp Mieàn Nam</v>
          </cell>
          <cell r="E947" t="str">
            <v>710A.01611</v>
          </cell>
          <cell r="F947" t="str">
            <v>Coâng Thöông CN I</v>
          </cell>
          <cell r="G947" t="str">
            <v>Hoà Chí Minh</v>
          </cell>
          <cell r="H947" t="str">
            <v xml:space="preserve">Traû tieàn mua haøng cho CN Mieàn Taây C.Ty Theùp Mieàn Nam </v>
          </cell>
          <cell r="I947">
            <v>200000000</v>
          </cell>
        </row>
        <row r="948">
          <cell r="A948">
            <v>8</v>
          </cell>
          <cell r="B948">
            <v>38387</v>
          </cell>
          <cell r="C948">
            <v>41</v>
          </cell>
          <cell r="D948" t="str">
            <v>Cty Xi Maêng Nghi Sôn</v>
          </cell>
          <cell r="E948" t="str">
            <v>710A.02772</v>
          </cell>
          <cell r="F948" t="str">
            <v>Coâng Thöông CN 9</v>
          </cell>
          <cell r="G948" t="str">
            <v>Hoà Chí Minh</v>
          </cell>
          <cell r="H948" t="str">
            <v xml:space="preserve">Traû tieàn mua xi maêng </v>
          </cell>
          <cell r="I948">
            <v>33291275</v>
          </cell>
        </row>
        <row r="949">
          <cell r="A949">
            <v>9</v>
          </cell>
          <cell r="B949">
            <v>38387</v>
          </cell>
          <cell r="C949">
            <v>98</v>
          </cell>
          <cell r="D949" t="str">
            <v>CTy Lieân Doanh Xi Maêng Haø Tieân II-Caàn Thô</v>
          </cell>
          <cell r="E949" t="str">
            <v>710A.56157</v>
          </cell>
          <cell r="F949" t="str">
            <v>Coâng Thöông</v>
          </cell>
          <cell r="G949" t="str">
            <v>Caàn Thô</v>
          </cell>
          <cell r="H949" t="str">
            <v xml:space="preserve">Traû tieàn mua xi maêng </v>
          </cell>
          <cell r="I949">
            <v>396410000</v>
          </cell>
        </row>
        <row r="950">
          <cell r="A950">
            <v>10</v>
          </cell>
          <cell r="B950">
            <v>38387</v>
          </cell>
          <cell r="C950">
            <v>85</v>
          </cell>
          <cell r="D950" t="str">
            <v>CTy TNHH TM Minh Tuøng</v>
          </cell>
          <cell r="E950" t="str">
            <v>710A.04024</v>
          </cell>
          <cell r="F950" t="str">
            <v>Sôû Giao Dòch II CTVN</v>
          </cell>
          <cell r="G950" t="str">
            <v>Hoà Chí Minh</v>
          </cell>
          <cell r="H950" t="str">
            <v>Traû tieàn mua tuû laïnh</v>
          </cell>
          <cell r="I950">
            <v>11295000</v>
          </cell>
        </row>
        <row r="951">
          <cell r="A951">
            <v>11</v>
          </cell>
          <cell r="B951">
            <v>38390</v>
          </cell>
          <cell r="C951">
            <v>85</v>
          </cell>
          <cell r="D951" t="str">
            <v>CTy TNHH TM Minh Tuøng</v>
          </cell>
          <cell r="E951" t="str">
            <v>710A.04024</v>
          </cell>
          <cell r="F951" t="str">
            <v>Sôû Giao Dòch II CTVN</v>
          </cell>
          <cell r="G951" t="str">
            <v>Hoà Chí Minh</v>
          </cell>
          <cell r="H951" t="str">
            <v>Traû tieàn mua tuû laïnh</v>
          </cell>
          <cell r="I951">
            <v>10503000</v>
          </cell>
        </row>
        <row r="952">
          <cell r="A952">
            <v>12</v>
          </cell>
          <cell r="B952">
            <v>38390</v>
          </cell>
          <cell r="C952">
            <v>77</v>
          </cell>
          <cell r="D952" t="str">
            <v>Cty Ñieän &amp; Ñieän Töû SAMSUNG VINA</v>
          </cell>
          <cell r="E952" t="str">
            <v>710A.01109</v>
          </cell>
          <cell r="F952" t="str">
            <v>Coâng Thöông CN 4</v>
          </cell>
          <cell r="G952" t="str">
            <v>Hoà Chí Minh</v>
          </cell>
          <cell r="H952" t="str">
            <v>Traû tieàn mua tivi</v>
          </cell>
          <cell r="I952">
            <v>31150701</v>
          </cell>
        </row>
        <row r="953">
          <cell r="A953">
            <v>13</v>
          </cell>
          <cell r="B953">
            <v>38390</v>
          </cell>
          <cell r="C953">
            <v>14</v>
          </cell>
          <cell r="D953" t="str">
            <v>Coâng Ty Theùp Mieàn Nam</v>
          </cell>
          <cell r="E953" t="str">
            <v>710A.01611</v>
          </cell>
          <cell r="F953" t="str">
            <v>Coâng Thöông CN I</v>
          </cell>
          <cell r="G953" t="str">
            <v>Hoà Chí Minh</v>
          </cell>
          <cell r="H953" t="str">
            <v xml:space="preserve">Traû tieàn mua haøng cho CN Mieàn Taây C.Ty Theùp Mieàn Nam </v>
          </cell>
          <cell r="I953">
            <v>120000000</v>
          </cell>
        </row>
        <row r="954">
          <cell r="A954">
            <v>14</v>
          </cell>
          <cell r="B954">
            <v>38390</v>
          </cell>
          <cell r="C954">
            <v>31</v>
          </cell>
          <cell r="D954" t="str">
            <v>Cty Daàu Aên Golden Hope - Nhaø Beø</v>
          </cell>
          <cell r="E954" t="str">
            <v>710A.06902</v>
          </cell>
          <cell r="F954" t="str">
            <v>Sôû Giao Dòch II CTVN</v>
          </cell>
          <cell r="G954" t="str">
            <v>Hoà Chí Minh</v>
          </cell>
          <cell r="H954" t="str">
            <v xml:space="preserve">Traû tieàn mua daàu aên TT.TN.CM </v>
          </cell>
          <cell r="I954">
            <v>48860873</v>
          </cell>
        </row>
        <row r="955">
          <cell r="A955">
            <v>3</v>
          </cell>
          <cell r="B955">
            <v>38390</v>
          </cell>
          <cell r="C955">
            <v>28</v>
          </cell>
          <cell r="D955" t="str">
            <v>Chi Nhaùnh Cty CP Söõa VN Taïi Caàn Thô</v>
          </cell>
          <cell r="E955" t="str">
            <v>7301.0479K</v>
          </cell>
          <cell r="F955" t="str">
            <v>Ñaàu Tö &amp; Phaùt Trieån</v>
          </cell>
          <cell r="G955" t="str">
            <v>Caàn Thô</v>
          </cell>
          <cell r="H955" t="str">
            <v>Traû tieân mua söõa hoäp caùc loaïi</v>
          </cell>
          <cell r="I955">
            <v>86446632</v>
          </cell>
        </row>
        <row r="956">
          <cell r="A956">
            <v>4</v>
          </cell>
          <cell r="B956">
            <v>38390</v>
          </cell>
          <cell r="C956">
            <v>53</v>
          </cell>
          <cell r="D956" t="str">
            <v>CTy CP Thöông Nghieäp Baïc Lieâu</v>
          </cell>
          <cell r="E956" t="str">
            <v>861V.00064</v>
          </cell>
          <cell r="F956" t="str">
            <v xml:space="preserve">Coâng Thöông </v>
          </cell>
          <cell r="G956" t="str">
            <v>Baïc Lieâu</v>
          </cell>
          <cell r="H956" t="str">
            <v>Kyù quyõ baûo laõnh Vinamilk 600.000.000x5%</v>
          </cell>
          <cell r="I956">
            <v>30000000</v>
          </cell>
        </row>
        <row r="957">
          <cell r="A957">
            <v>5</v>
          </cell>
          <cell r="B957">
            <v>38397</v>
          </cell>
          <cell r="C957">
            <v>86</v>
          </cell>
          <cell r="D957" t="str">
            <v xml:space="preserve"> Baûo Minh Baïc Lieâu</v>
          </cell>
          <cell r="E957" t="str">
            <v>4211.30.00.48.0030</v>
          </cell>
          <cell r="F957" t="str">
            <v>Phöông Ñoâng</v>
          </cell>
          <cell r="G957" t="str">
            <v>Baïc Lieâu</v>
          </cell>
          <cell r="H957" t="str">
            <v>Mua BH Baûo Minh Tsaûn+taøu+xe naêm 2005(chuyeån 50%)</v>
          </cell>
          <cell r="I957">
            <v>17808000</v>
          </cell>
        </row>
        <row r="958">
          <cell r="A958">
            <v>15</v>
          </cell>
          <cell r="B958">
            <v>38397</v>
          </cell>
          <cell r="C958">
            <v>4</v>
          </cell>
          <cell r="D958" t="str">
            <v>Cty TMKT &amp; Ñaàu Tö PETEC</v>
          </cell>
          <cell r="E958" t="str">
            <v>710A.09566</v>
          </cell>
          <cell r="F958" t="str">
            <v>Sôû Giao Dòch II  CTVN</v>
          </cell>
          <cell r="G958" t="str">
            <v>Hoà Chí Minh</v>
          </cell>
          <cell r="H958" t="str">
            <v>Traû tieàn mua xaêng daàu</v>
          </cell>
          <cell r="I958">
            <v>2162000000</v>
          </cell>
        </row>
        <row r="959">
          <cell r="A959">
            <v>16</v>
          </cell>
          <cell r="B959">
            <v>38397</v>
          </cell>
          <cell r="C959">
            <v>36</v>
          </cell>
          <cell r="D959" t="str">
            <v>XN Xaêng Daàu Daàu Khí Vuõng Taøu</v>
          </cell>
          <cell r="E959" t="str">
            <v>710D.00343</v>
          </cell>
          <cell r="F959" t="str">
            <v>Coâng Thöông</v>
          </cell>
          <cell r="G959" t="str">
            <v>Baø Ròa-Vuõng Taøu</v>
          </cell>
          <cell r="H959" t="str">
            <v>Traû tieàn mua xaêng daàu</v>
          </cell>
          <cell r="I959">
            <v>2764500000</v>
          </cell>
        </row>
        <row r="960">
          <cell r="A960">
            <v>17</v>
          </cell>
          <cell r="B960">
            <v>38397</v>
          </cell>
          <cell r="C960">
            <v>8</v>
          </cell>
          <cell r="D960" t="str">
            <v>Cty Xi Maêng Haø Tieân II</v>
          </cell>
          <cell r="E960" t="str">
            <v>710A.00091</v>
          </cell>
          <cell r="F960" t="str">
            <v>Coâng Thöông</v>
          </cell>
          <cell r="G960" t="str">
            <v>Kieân Giang</v>
          </cell>
          <cell r="H960" t="str">
            <v>Traû tieàn mua xi maêng 215taán</v>
          </cell>
          <cell r="I960">
            <v>174300500</v>
          </cell>
        </row>
        <row r="961">
          <cell r="A961">
            <v>18</v>
          </cell>
          <cell r="B961">
            <v>38397</v>
          </cell>
          <cell r="C961">
            <v>105</v>
          </cell>
          <cell r="D961" t="str">
            <v>XN Kinh Doanh Thöông Maïi-CTy Kho Vaän Mieàn Nam</v>
          </cell>
          <cell r="E961" t="str">
            <v>710A.00036</v>
          </cell>
          <cell r="F961" t="str">
            <v>Coâng Thöông CN 4</v>
          </cell>
          <cell r="G961" t="str">
            <v>Hoà Chí Minh</v>
          </cell>
          <cell r="H961" t="str">
            <v>Traû tieàn mua nhôùt</v>
          </cell>
          <cell r="I961">
            <v>83500000</v>
          </cell>
        </row>
        <row r="962">
          <cell r="A962">
            <v>6</v>
          </cell>
          <cell r="B962">
            <v>38397</v>
          </cell>
          <cell r="C962">
            <v>10</v>
          </cell>
          <cell r="D962" t="str">
            <v>Cty TNHH Daàu Nhôùt vaø Hoùa Chaát VN</v>
          </cell>
          <cell r="E962" t="str">
            <v>001.004837.041</v>
          </cell>
          <cell r="F962" t="str">
            <v>Hoàng Kong&amp; Thöôïng Haûi</v>
          </cell>
          <cell r="G962" t="str">
            <v>Hoà Chí Minh</v>
          </cell>
          <cell r="H962" t="str">
            <v>Traû tieàn mua nhôùt</v>
          </cell>
          <cell r="I962">
            <v>58787982</v>
          </cell>
        </row>
        <row r="963">
          <cell r="A963">
            <v>5</v>
          </cell>
          <cell r="B963">
            <v>38397</v>
          </cell>
          <cell r="C963">
            <v>86</v>
          </cell>
          <cell r="D963" t="str">
            <v xml:space="preserve"> Baûo Minh Baïc Lieâu</v>
          </cell>
          <cell r="E963" t="str">
            <v>4211.30.00.48.0030</v>
          </cell>
          <cell r="F963" t="str">
            <v>Phöông Ñoâng</v>
          </cell>
          <cell r="G963" t="str">
            <v>Baïc Lieâu</v>
          </cell>
          <cell r="H963" t="str">
            <v>Mua BH Baûo Minh Tsaûn+taøu+xe naêm 2005(chuyeån 50%)</v>
          </cell>
          <cell r="I963">
            <v>17808000</v>
          </cell>
        </row>
        <row r="964">
          <cell r="A964">
            <v>19</v>
          </cell>
          <cell r="B964">
            <v>38397</v>
          </cell>
          <cell r="C964">
            <v>31</v>
          </cell>
          <cell r="D964" t="str">
            <v>Cty Daàu Aên Golden Hope - Nhaø Beø</v>
          </cell>
          <cell r="E964" t="str">
            <v>710A.06902</v>
          </cell>
          <cell r="F964" t="str">
            <v>Sôû Giao Dòch II CTVN</v>
          </cell>
          <cell r="G964" t="str">
            <v>Hoà Chí Minh</v>
          </cell>
          <cell r="H964" t="str">
            <v xml:space="preserve">Traû tieàn mua daàu aên </v>
          </cell>
          <cell r="I964">
            <v>320000000</v>
          </cell>
        </row>
        <row r="965">
          <cell r="A965">
            <v>20</v>
          </cell>
          <cell r="B965">
            <v>38397</v>
          </cell>
          <cell r="C965">
            <v>36</v>
          </cell>
          <cell r="D965" t="str">
            <v>XN Xaêng Daàu Daàu Khí Vuõng Taøu</v>
          </cell>
          <cell r="E965" t="str">
            <v>710D.00343</v>
          </cell>
          <cell r="F965" t="str">
            <v>Coâng Thöông</v>
          </cell>
          <cell r="G965" t="str">
            <v>Baø Ròa-Vuõng Taøu</v>
          </cell>
          <cell r="H965" t="str">
            <v>Traû tieàn mua xaêng daàu</v>
          </cell>
          <cell r="I965">
            <v>1301100000</v>
          </cell>
        </row>
        <row r="966">
          <cell r="A966">
            <v>7</v>
          </cell>
          <cell r="B966">
            <v>38397</v>
          </cell>
          <cell r="C966">
            <v>28</v>
          </cell>
          <cell r="D966" t="str">
            <v>Chi Nhaùnh Cty CP Söõa VN Taïi Caàn Thô</v>
          </cell>
          <cell r="E966" t="str">
            <v>7301.0479K</v>
          </cell>
          <cell r="F966" t="str">
            <v>Ñaàu Tö &amp; Phaùt Trieån</v>
          </cell>
          <cell r="G966" t="str">
            <v>Caàn Thô</v>
          </cell>
          <cell r="H966" t="str">
            <v>Traû tieân mua söõa hoäp caùc loaïi</v>
          </cell>
          <cell r="I966">
            <v>130000000</v>
          </cell>
        </row>
        <row r="967">
          <cell r="A967">
            <v>21</v>
          </cell>
          <cell r="B967">
            <v>38398</v>
          </cell>
          <cell r="C967">
            <v>1</v>
          </cell>
          <cell r="D967" t="str">
            <v>Nhaø Maùy Thuoác Laù Saøi Goøn</v>
          </cell>
          <cell r="E967" t="str">
            <v>710A.00105</v>
          </cell>
          <cell r="F967" t="str">
            <v>Sôû Giao Dòch II CTVN</v>
          </cell>
          <cell r="G967" t="str">
            <v>Hoà Chí Minh</v>
          </cell>
          <cell r="H967" t="str">
            <v>Traû tieàn mua thuoác laù</v>
          </cell>
          <cell r="I967">
            <v>132000000</v>
          </cell>
        </row>
        <row r="968">
          <cell r="A968">
            <v>8</v>
          </cell>
          <cell r="B968">
            <v>38398</v>
          </cell>
          <cell r="C968">
            <v>28</v>
          </cell>
          <cell r="D968" t="str">
            <v>Chi Nhaùnh Cty CP Söõa VN Taïi Caàn Thô</v>
          </cell>
          <cell r="E968" t="str">
            <v>7301.0479K</v>
          </cell>
          <cell r="F968" t="str">
            <v>Ñaàu Tö &amp; Phaùt Trieån</v>
          </cell>
          <cell r="G968" t="str">
            <v>Caàn Thô</v>
          </cell>
          <cell r="H968" t="str">
            <v>Traû tieân mua söõa hoäp caùc loaïi</v>
          </cell>
          <cell r="I968">
            <v>200000000</v>
          </cell>
        </row>
        <row r="969">
          <cell r="A969">
            <v>22</v>
          </cell>
          <cell r="B969">
            <v>38399</v>
          </cell>
          <cell r="C969">
            <v>36</v>
          </cell>
          <cell r="D969" t="str">
            <v>XN Xaêng Daàu Daàu Khí Vuõng Taøu</v>
          </cell>
          <cell r="E969" t="str">
            <v>710D.00343</v>
          </cell>
          <cell r="F969" t="str">
            <v>Coâng Thöông</v>
          </cell>
          <cell r="G969" t="str">
            <v>Baø Ròa-Vuõng Taøu</v>
          </cell>
          <cell r="H969" t="str">
            <v>Traû tieàn mua xaêng daàu</v>
          </cell>
          <cell r="I969">
            <v>2527000000</v>
          </cell>
        </row>
        <row r="970">
          <cell r="A970">
            <v>23</v>
          </cell>
          <cell r="B970">
            <v>38399</v>
          </cell>
          <cell r="C970">
            <v>4</v>
          </cell>
          <cell r="D970" t="str">
            <v>Cty TMKT &amp; Ñaàu Tö PETEC</v>
          </cell>
          <cell r="E970" t="str">
            <v>710A.09566</v>
          </cell>
          <cell r="F970" t="str">
            <v>Sôû Giao Dòch II  CTVN</v>
          </cell>
          <cell r="G970" t="str">
            <v>Hoà Chí Minh</v>
          </cell>
          <cell r="H970" t="str">
            <v>Traû tieàn mua xaêng daàu</v>
          </cell>
          <cell r="I970">
            <v>1739000000</v>
          </cell>
        </row>
        <row r="971">
          <cell r="A971">
            <v>9</v>
          </cell>
          <cell r="B971">
            <v>38400</v>
          </cell>
          <cell r="C971">
            <v>44</v>
          </cell>
          <cell r="D971" t="str">
            <v>CTy Ñieän Baùo Ñieän Thoaïi Baïc Lieâu</v>
          </cell>
          <cell r="E971" t="str">
            <v>710A.00074</v>
          </cell>
          <cell r="F971" t="str">
            <v xml:space="preserve">Coâng Thöông </v>
          </cell>
          <cell r="G971" t="str">
            <v>Baïc Lieâu</v>
          </cell>
          <cell r="H971" t="str">
            <v>Traû tieàn ñieän thoaïi thaùng 01/2004</v>
          </cell>
          <cell r="I971">
            <v>7338559</v>
          </cell>
        </row>
        <row r="972">
          <cell r="A972">
            <v>24</v>
          </cell>
          <cell r="B972">
            <v>38400</v>
          </cell>
          <cell r="C972">
            <v>8</v>
          </cell>
          <cell r="D972" t="str">
            <v>Cty Xi Maêng Haø Tieân II</v>
          </cell>
          <cell r="E972" t="str">
            <v>710A.00091</v>
          </cell>
          <cell r="F972" t="str">
            <v>Coâng Thöông</v>
          </cell>
          <cell r="G972" t="str">
            <v>Kieân Giang</v>
          </cell>
          <cell r="H972" t="str">
            <v>Traû tieàn mua xi maêng 205taán</v>
          </cell>
          <cell r="I972">
            <v>166193500</v>
          </cell>
        </row>
        <row r="973">
          <cell r="A973">
            <v>10</v>
          </cell>
          <cell r="B973">
            <v>38400</v>
          </cell>
          <cell r="C973">
            <v>28</v>
          </cell>
          <cell r="D973" t="str">
            <v>Chi Nhaùnh Cty CP Söõa VN Taïi Caàn Thô</v>
          </cell>
          <cell r="E973" t="str">
            <v>7301.0479K</v>
          </cell>
          <cell r="F973" t="str">
            <v>Ñaàu Tö &amp; Phaùt Trieån</v>
          </cell>
          <cell r="G973" t="str">
            <v>Caàn Thô</v>
          </cell>
          <cell r="H973" t="str">
            <v>Traû tieân mua söõa hoäp caùc loaïi</v>
          </cell>
          <cell r="I973">
            <v>200000000</v>
          </cell>
        </row>
        <row r="974">
          <cell r="A974">
            <v>11</v>
          </cell>
          <cell r="B974">
            <v>38400</v>
          </cell>
          <cell r="C974">
            <v>25</v>
          </cell>
          <cell r="D974" t="str">
            <v xml:space="preserve"> Thu Baûo Hieåm Xaõ Hoäi Tænh Baïc Lieâu</v>
          </cell>
          <cell r="E974" t="str">
            <v>421401.12</v>
          </cell>
          <cell r="F974" t="str">
            <v>NN &amp; P/T N/Thoân</v>
          </cell>
          <cell r="G974" t="str">
            <v>Baïc Lieâu</v>
          </cell>
          <cell r="H974" t="str">
            <v>Noäp BHXH,BHYT thaùng 02/05</v>
          </cell>
          <cell r="I974">
            <v>16677668</v>
          </cell>
        </row>
        <row r="975">
          <cell r="A975">
            <v>25</v>
          </cell>
          <cell r="B975">
            <v>38400</v>
          </cell>
          <cell r="C975">
            <v>3</v>
          </cell>
          <cell r="D975" t="str">
            <v>Cty Coå Phaàn Boät Giaët Lix</v>
          </cell>
          <cell r="E975" t="str">
            <v>710A.01440</v>
          </cell>
          <cell r="F975" t="str">
            <v>Coâng Thöông CN 14</v>
          </cell>
          <cell r="G975" t="str">
            <v>Hoà Chí Minh</v>
          </cell>
          <cell r="H975" t="str">
            <v>Traû tieàn mua boät giaët</v>
          </cell>
          <cell r="I975">
            <v>300000000</v>
          </cell>
        </row>
        <row r="976">
          <cell r="A976">
            <v>26</v>
          </cell>
          <cell r="B976">
            <v>38400</v>
          </cell>
          <cell r="C976">
            <v>105</v>
          </cell>
          <cell r="D976" t="str">
            <v>XN Kinh Doanh Thöông Maïi-CTy Kho Vaän Mieàn Nam</v>
          </cell>
          <cell r="E976" t="str">
            <v>710A.00036</v>
          </cell>
          <cell r="F976" t="str">
            <v>Coâng Thöông CN 4</v>
          </cell>
          <cell r="G976" t="str">
            <v>Hoà Chí Minh</v>
          </cell>
          <cell r="H976" t="str">
            <v>Traû tieàn mua nhôùt</v>
          </cell>
          <cell r="I976">
            <v>115950000</v>
          </cell>
        </row>
        <row r="977">
          <cell r="A977">
            <v>27</v>
          </cell>
          <cell r="B977">
            <v>38400</v>
          </cell>
          <cell r="C977">
            <v>4</v>
          </cell>
          <cell r="D977" t="str">
            <v>Cty TMKT &amp; Ñaàu Tö PETEC</v>
          </cell>
          <cell r="E977" t="str">
            <v>710A.09566</v>
          </cell>
          <cell r="F977" t="str">
            <v>Sôû Giao Dòch II  CTVN</v>
          </cell>
          <cell r="G977" t="str">
            <v>Hoà Chí Minh</v>
          </cell>
          <cell r="H977" t="str">
            <v>Traû tieàn mua xaêng daàu</v>
          </cell>
          <cell r="I977">
            <v>1886000000</v>
          </cell>
        </row>
        <row r="978">
          <cell r="A978">
            <v>28</v>
          </cell>
          <cell r="B978">
            <v>38401</v>
          </cell>
          <cell r="C978">
            <v>5</v>
          </cell>
          <cell r="D978" t="str">
            <v>Cty TNHH TMaïi Thaønh Long</v>
          </cell>
          <cell r="E978" t="str">
            <v>710A.00817</v>
          </cell>
          <cell r="F978" t="str">
            <v>Coâng Thöong CN6</v>
          </cell>
          <cell r="G978" t="str">
            <v>Hoà Chí Minh</v>
          </cell>
          <cell r="H978" t="str">
            <v>Traû tieàn mua boät ngoït</v>
          </cell>
          <cell r="I978">
            <v>315523951</v>
          </cell>
        </row>
        <row r="979">
          <cell r="A979">
            <v>29</v>
          </cell>
          <cell r="B979">
            <v>38401</v>
          </cell>
          <cell r="C979">
            <v>28</v>
          </cell>
          <cell r="D979" t="str">
            <v>Chi Nhaùnh Cty CP Söõa VN Taïi Caàn Thô</v>
          </cell>
          <cell r="E979" t="str">
            <v>7301.0479K</v>
          </cell>
          <cell r="F979" t="str">
            <v>Ñaàu Tö &amp; Phaùt Trieån</v>
          </cell>
          <cell r="G979" t="str">
            <v>Caàn Thô</v>
          </cell>
          <cell r="H979" t="str">
            <v>Traû tieân mua söõa hoäp caùc loaïi</v>
          </cell>
          <cell r="I979">
            <v>200000000</v>
          </cell>
        </row>
        <row r="980">
          <cell r="A980">
            <v>30</v>
          </cell>
          <cell r="B980">
            <v>38401</v>
          </cell>
          <cell r="C980">
            <v>14</v>
          </cell>
          <cell r="D980" t="str">
            <v>Coâng Ty Theùp Mieàn Nam</v>
          </cell>
          <cell r="E980" t="str">
            <v>710A.01611</v>
          </cell>
          <cell r="F980" t="str">
            <v>Coâng Thöông CN I</v>
          </cell>
          <cell r="G980" t="str">
            <v>Hoà Chí Minh</v>
          </cell>
          <cell r="H980" t="str">
            <v xml:space="preserve">Traû tieàn mua haøng cho CN Mieàn Taây C.Ty Theùp Mieàn Nam </v>
          </cell>
          <cell r="I980">
            <v>120000000</v>
          </cell>
        </row>
        <row r="981">
          <cell r="A981">
            <v>12</v>
          </cell>
          <cell r="B981">
            <v>38401</v>
          </cell>
          <cell r="C981">
            <v>19</v>
          </cell>
          <cell r="D981" t="str">
            <v>Cty LD Khí Ñoát Saøi Goøn (Elf)</v>
          </cell>
          <cell r="E981" t="str">
            <v>100014851025745</v>
          </cell>
          <cell r="F981" t="str">
            <v>Eximbank</v>
          </cell>
          <cell r="G981" t="str">
            <v>Hoà Chí Minh</v>
          </cell>
          <cell r="H981" t="str">
            <v>Traû tieàn mua gas</v>
          </cell>
          <cell r="I981">
            <v>72333250</v>
          </cell>
        </row>
        <row r="982">
          <cell r="A982">
            <v>31</v>
          </cell>
          <cell r="B982">
            <v>38404</v>
          </cell>
          <cell r="C982">
            <v>41</v>
          </cell>
          <cell r="D982" t="str">
            <v>Cty Xi Maêng Nghi Sôn</v>
          </cell>
          <cell r="E982" t="str">
            <v>710A.02772</v>
          </cell>
          <cell r="F982" t="str">
            <v>Coâng Thöông CN 9</v>
          </cell>
          <cell r="G982" t="str">
            <v>Hoà Chí Minh</v>
          </cell>
          <cell r="H982" t="str">
            <v xml:space="preserve">Traû tieàn mua xi maêng </v>
          </cell>
          <cell r="I982">
            <v>83600000</v>
          </cell>
        </row>
        <row r="983">
          <cell r="A983">
            <v>32</v>
          </cell>
          <cell r="B983">
            <v>38404</v>
          </cell>
          <cell r="C983">
            <v>14</v>
          </cell>
          <cell r="D983" t="str">
            <v>Coâng Ty Theùp Mieàn Nam</v>
          </cell>
          <cell r="E983" t="str">
            <v>710A.01611</v>
          </cell>
          <cell r="F983" t="str">
            <v>Coâng Thöông CN I</v>
          </cell>
          <cell r="G983" t="str">
            <v>Hoà Chí Minh</v>
          </cell>
          <cell r="H983" t="str">
            <v xml:space="preserve">Traû tieàn mua haøng cho CN Mieàn Taây C.Ty Theùp Mieàn Nam </v>
          </cell>
          <cell r="I983">
            <v>300000000</v>
          </cell>
        </row>
        <row r="984">
          <cell r="A984">
            <v>13</v>
          </cell>
          <cell r="B984">
            <v>38404</v>
          </cell>
          <cell r="C984">
            <v>10</v>
          </cell>
          <cell r="D984" t="str">
            <v>Cty TNHH Daàu Nhôùt vaø Hoùa Chaát VN</v>
          </cell>
          <cell r="E984" t="str">
            <v>001.004837.041</v>
          </cell>
          <cell r="F984" t="str">
            <v>Hoàng Kong&amp; Thöôïng Haûi</v>
          </cell>
          <cell r="G984" t="str">
            <v>Hoà Chí Minh</v>
          </cell>
          <cell r="H984" t="str">
            <v>Traû tieàn mua nhôùt</v>
          </cell>
          <cell r="I984">
            <v>226712151</v>
          </cell>
        </row>
        <row r="985">
          <cell r="A985">
            <v>14</v>
          </cell>
          <cell r="B985">
            <v>38404</v>
          </cell>
          <cell r="C985">
            <v>28</v>
          </cell>
          <cell r="D985" t="str">
            <v>Chi Nhaùnh Cty CP Söõa VN Taïi Caàn Thô</v>
          </cell>
          <cell r="E985" t="str">
            <v>7301.0479K</v>
          </cell>
          <cell r="F985" t="str">
            <v>Ñaàu Tö &amp; Phaùt Trieån</v>
          </cell>
          <cell r="G985" t="str">
            <v>Caàn Thô</v>
          </cell>
          <cell r="H985" t="str">
            <v>Traû tieân mua söõa hoäp caùc loaïi</v>
          </cell>
          <cell r="I985">
            <v>256000000</v>
          </cell>
        </row>
        <row r="986">
          <cell r="A986">
            <v>33</v>
          </cell>
          <cell r="B986">
            <v>38405</v>
          </cell>
          <cell r="C986">
            <v>8</v>
          </cell>
          <cell r="D986" t="str">
            <v>Cty Xi Maêng Haø Tieân II</v>
          </cell>
          <cell r="E986" t="str">
            <v>710A.00091</v>
          </cell>
          <cell r="F986" t="str">
            <v>Coâng Thöông</v>
          </cell>
          <cell r="G986" t="str">
            <v>Kieân Giang</v>
          </cell>
          <cell r="H986" t="str">
            <v>Traû tieàn mua xi maêng 135taán</v>
          </cell>
          <cell r="I986">
            <v>109444500</v>
          </cell>
        </row>
        <row r="987">
          <cell r="A987">
            <v>15</v>
          </cell>
          <cell r="B987">
            <v>38405</v>
          </cell>
          <cell r="C987">
            <v>28</v>
          </cell>
          <cell r="D987" t="str">
            <v>Chi Nhaùnh Cty CP Söõa VN Taïi Caàn Thô</v>
          </cell>
          <cell r="E987" t="str">
            <v>7301.0479K</v>
          </cell>
          <cell r="F987" t="str">
            <v>Ñaàu Tö &amp; Phaùt Trieån</v>
          </cell>
          <cell r="G987" t="str">
            <v>Caàn Thô</v>
          </cell>
          <cell r="H987" t="str">
            <v>Traû tieân mua söõa hoäp caùc loaïi</v>
          </cell>
          <cell r="I987">
            <v>640000000</v>
          </cell>
        </row>
        <row r="988">
          <cell r="A988">
            <v>16</v>
          </cell>
          <cell r="B988">
            <v>38405</v>
          </cell>
          <cell r="C988">
            <v>27</v>
          </cell>
          <cell r="D988" t="str">
            <v>Cty TNHH Quoác Teá Nagarjuna</v>
          </cell>
          <cell r="E988" t="str">
            <v>3586.1</v>
          </cell>
          <cell r="F988" t="str">
            <v>INDOVINA</v>
          </cell>
          <cell r="G988" t="str">
            <v>Hoà Chí Minh</v>
          </cell>
          <cell r="H988" t="str">
            <v>Traû tieàn mua ñöôøng</v>
          </cell>
          <cell r="I988">
            <v>140175000</v>
          </cell>
        </row>
        <row r="989">
          <cell r="A989">
            <v>34</v>
          </cell>
          <cell r="B989">
            <v>38406</v>
          </cell>
          <cell r="C989">
            <v>4</v>
          </cell>
          <cell r="D989" t="str">
            <v>Cty TMKT &amp; Ñaàu Tö PETEC</v>
          </cell>
          <cell r="E989" t="str">
            <v>710A.09566</v>
          </cell>
          <cell r="F989" t="str">
            <v>Sôû Giao Dòch II  CTVN</v>
          </cell>
          <cell r="G989" t="str">
            <v>Hoà Chí Minh</v>
          </cell>
          <cell r="H989" t="str">
            <v>Traû tieàn mua xaêng daàu</v>
          </cell>
          <cell r="I989">
            <v>1932000000</v>
          </cell>
        </row>
        <row r="990">
          <cell r="A990">
            <v>35</v>
          </cell>
          <cell r="B990">
            <v>38406</v>
          </cell>
          <cell r="C990">
            <v>17</v>
          </cell>
          <cell r="D990" t="str">
            <v>Cty Daàu Khí -TP/HCM (Saøi Goøn Petro)</v>
          </cell>
          <cell r="E990" t="str">
            <v>007.1.00.000661.6</v>
          </cell>
          <cell r="F990" t="str">
            <v>Ngoaïi Thöông</v>
          </cell>
          <cell r="G990" t="str">
            <v>Hoà Chí Minh</v>
          </cell>
          <cell r="H990" t="str">
            <v>Traû tieàn mua xaêng daàu</v>
          </cell>
          <cell r="I990">
            <v>649000000</v>
          </cell>
        </row>
        <row r="991">
          <cell r="A991">
            <v>36</v>
          </cell>
          <cell r="B991">
            <v>38406</v>
          </cell>
          <cell r="C991">
            <v>14</v>
          </cell>
          <cell r="D991" t="str">
            <v>Coâng Ty Theùp Mieàn Nam</v>
          </cell>
          <cell r="E991" t="str">
            <v>710A.01611</v>
          </cell>
          <cell r="F991" t="str">
            <v>Coâng Thöông CN I</v>
          </cell>
          <cell r="G991" t="str">
            <v>Hoà Chí Minh</v>
          </cell>
          <cell r="H991" t="str">
            <v xml:space="preserve">Traû tieàn mua haøng cho CN Mieàn Taây C.Ty Theùp Mieàn Nam </v>
          </cell>
          <cell r="I991">
            <v>300000000</v>
          </cell>
        </row>
        <row r="992">
          <cell r="A992">
            <v>37</v>
          </cell>
          <cell r="B992">
            <v>38408</v>
          </cell>
          <cell r="C992">
            <v>8</v>
          </cell>
          <cell r="D992" t="str">
            <v>Cty Xi Maêng Haø Tieân II</v>
          </cell>
          <cell r="E992" t="str">
            <v>710A.00091</v>
          </cell>
          <cell r="F992" t="str">
            <v>Coâng Thöông</v>
          </cell>
          <cell r="G992" t="str">
            <v>Kieân Giang</v>
          </cell>
          <cell r="H992" t="str">
            <v>Traû tieàn mua xi maêng 150taán</v>
          </cell>
          <cell r="I992">
            <v>119278500</v>
          </cell>
        </row>
        <row r="993">
          <cell r="A993">
            <v>38</v>
          </cell>
          <cell r="B993">
            <v>38408</v>
          </cell>
          <cell r="C993">
            <v>21</v>
          </cell>
          <cell r="D993" t="str">
            <v>Cty Coå Phaàn Vaät Tö  Haäu Giang</v>
          </cell>
          <cell r="E993" t="str">
            <v>710A.00040</v>
          </cell>
          <cell r="F993" t="str">
            <v>Coâng Thöông</v>
          </cell>
          <cell r="G993" t="str">
            <v>Caàn Thô</v>
          </cell>
          <cell r="H993" t="str">
            <v>Traû tieàn mua gas</v>
          </cell>
          <cell r="I993">
            <v>80036500</v>
          </cell>
        </row>
        <row r="994">
          <cell r="A994">
            <v>39</v>
          </cell>
          <cell r="B994">
            <v>38408</v>
          </cell>
          <cell r="C994">
            <v>105</v>
          </cell>
          <cell r="D994" t="str">
            <v>XN Kinh Doanh Thöông Maïi-CTy Kho Vaän Mieàn Nam</v>
          </cell>
          <cell r="E994" t="str">
            <v>710A.00036</v>
          </cell>
          <cell r="F994" t="str">
            <v>Coâng Thöông CN 4</v>
          </cell>
          <cell r="G994" t="str">
            <v>Hoà Chí Minh</v>
          </cell>
          <cell r="H994" t="str">
            <v>Traû tieàn mua nhôùt</v>
          </cell>
          <cell r="I994">
            <v>92250000</v>
          </cell>
        </row>
        <row r="995">
          <cell r="A995">
            <v>40</v>
          </cell>
          <cell r="B995">
            <v>38411</v>
          </cell>
          <cell r="C995">
            <v>8</v>
          </cell>
          <cell r="D995" t="str">
            <v>Cty Xi Maêng Haø Tieân II</v>
          </cell>
          <cell r="E995" t="str">
            <v>710A.00091</v>
          </cell>
          <cell r="F995" t="str">
            <v>Coâng Thöông</v>
          </cell>
          <cell r="G995" t="str">
            <v>Kieân Giang</v>
          </cell>
          <cell r="H995" t="str">
            <v>Traû tieàn mua xi maêng 70taán</v>
          </cell>
          <cell r="I995">
            <v>56749000</v>
          </cell>
        </row>
        <row r="996">
          <cell r="A996">
            <v>41</v>
          </cell>
          <cell r="B996">
            <v>38411</v>
          </cell>
          <cell r="C996">
            <v>14</v>
          </cell>
          <cell r="D996" t="str">
            <v>Coâng Ty Theùp Mieàn Nam</v>
          </cell>
          <cell r="E996" t="str">
            <v>710A.01611</v>
          </cell>
          <cell r="F996" t="str">
            <v>Coâng Thöông CN I</v>
          </cell>
          <cell r="G996" t="str">
            <v>Hoà Chí Minh</v>
          </cell>
          <cell r="H996" t="str">
            <v xml:space="preserve">Traû tieàn mua haøng cho CN Mieàn Taây C.Ty Theùp Mieàn Nam </v>
          </cell>
          <cell r="I996">
            <v>300000000</v>
          </cell>
        </row>
        <row r="997">
          <cell r="A997">
            <v>42</v>
          </cell>
          <cell r="B997">
            <v>38411</v>
          </cell>
          <cell r="C997">
            <v>5</v>
          </cell>
          <cell r="D997" t="str">
            <v>Cty TNHH TMaïi Thaønh Long</v>
          </cell>
          <cell r="E997" t="str">
            <v>710A.00817</v>
          </cell>
          <cell r="F997" t="str">
            <v>Coâng Thöong CN6</v>
          </cell>
          <cell r="G997" t="str">
            <v>Hoà Chí Minh</v>
          </cell>
          <cell r="H997" t="str">
            <v>Traû tieàn mua boät ngoït</v>
          </cell>
          <cell r="I997">
            <v>165810260</v>
          </cell>
        </row>
        <row r="998">
          <cell r="A998">
            <v>43</v>
          </cell>
          <cell r="B998">
            <v>38411</v>
          </cell>
          <cell r="C998">
            <v>41</v>
          </cell>
          <cell r="D998" t="str">
            <v>Cty Xi Maêng Nghi Sôn</v>
          </cell>
          <cell r="E998" t="str">
            <v>710A.02772</v>
          </cell>
          <cell r="F998" t="str">
            <v>Coâng Thöông CN 9</v>
          </cell>
          <cell r="G998" t="str">
            <v>Hoà Chí Minh</v>
          </cell>
          <cell r="H998" t="str">
            <v xml:space="preserve">Traû tieàn mua xi maêng </v>
          </cell>
          <cell r="I998">
            <v>167200000</v>
          </cell>
        </row>
        <row r="999">
          <cell r="A999">
            <v>44</v>
          </cell>
          <cell r="B999">
            <v>38411</v>
          </cell>
          <cell r="C999">
            <v>36</v>
          </cell>
          <cell r="D999" t="str">
            <v>XN Xaêng Daàu Daàu Khí Vuõng Taøu</v>
          </cell>
          <cell r="E999" t="str">
            <v>710D.00343</v>
          </cell>
          <cell r="F999" t="str">
            <v>Coâng Thöông</v>
          </cell>
          <cell r="G999" t="str">
            <v>Baø Ròa-Vuõng Taøu</v>
          </cell>
          <cell r="H999" t="str">
            <v>Traû tieàn mua xaêng daàu</v>
          </cell>
          <cell r="I999">
            <v>5090000000</v>
          </cell>
        </row>
        <row r="1000">
          <cell r="A1000">
            <v>17</v>
          </cell>
          <cell r="B1000">
            <v>38411</v>
          </cell>
          <cell r="C1000">
            <v>28</v>
          </cell>
          <cell r="D1000" t="str">
            <v>Chi Nhaùnh Cty CP Söõa VN Taïi Caàn Thô</v>
          </cell>
          <cell r="E1000" t="str">
            <v>7301.0479K</v>
          </cell>
          <cell r="F1000" t="str">
            <v>Ñaàu Tö &amp; Phaùt Trieån</v>
          </cell>
          <cell r="G1000" t="str">
            <v>Caàn Thô</v>
          </cell>
          <cell r="H1000" t="str">
            <v>Traû tieân mua söõa hoäp caùc loaïi</v>
          </cell>
          <cell r="I1000">
            <v>1058000000</v>
          </cell>
        </row>
        <row r="1001">
          <cell r="A1001">
            <v>18</v>
          </cell>
          <cell r="B1001">
            <v>38411</v>
          </cell>
          <cell r="C1001">
            <v>7</v>
          </cell>
          <cell r="D1001" t="str">
            <v>Xí Nghieäp Colusa-Miliket</v>
          </cell>
          <cell r="E1001" t="str">
            <v>314.100.00000052</v>
          </cell>
          <cell r="F1001" t="str">
            <v>Ñaàu Tö &amp; Phaùt Trieån CN Thuû Ñöùc</v>
          </cell>
          <cell r="G1001" t="str">
            <v>Hoà Chí Minh</v>
          </cell>
          <cell r="H1001" t="str">
            <v>Traû tieàn mua mì Colusa</v>
          </cell>
          <cell r="I1001">
            <v>33729300</v>
          </cell>
        </row>
        <row r="1002">
          <cell r="A1002">
            <v>45</v>
          </cell>
          <cell r="B1002">
            <v>38411</v>
          </cell>
          <cell r="C1002">
            <v>4</v>
          </cell>
          <cell r="D1002" t="str">
            <v>Cty TMKT &amp; Ñaàu Tö PETEC</v>
          </cell>
          <cell r="E1002" t="str">
            <v>710A.09566</v>
          </cell>
          <cell r="F1002" t="str">
            <v>Sôû Giao Dòch II  CTVN</v>
          </cell>
          <cell r="G1002" t="str">
            <v>Hoà Chí Minh</v>
          </cell>
          <cell r="H1002" t="str">
            <v>Traû tieàn mua xaêng daàu</v>
          </cell>
          <cell r="I1002">
            <v>4132000000</v>
          </cell>
        </row>
        <row r="1003">
          <cell r="A1003">
            <v>46</v>
          </cell>
          <cell r="B1003">
            <v>38411</v>
          </cell>
          <cell r="C1003">
            <v>1</v>
          </cell>
          <cell r="D1003" t="str">
            <v>Nhaø Maùy Thuoác Laù Saøi Goøn</v>
          </cell>
          <cell r="E1003" t="str">
            <v>710A.00105</v>
          </cell>
          <cell r="F1003" t="str">
            <v>Sôû Giao Dòch II CTVN</v>
          </cell>
          <cell r="G1003" t="str">
            <v>Hoà Chí Minh</v>
          </cell>
          <cell r="H1003" t="str">
            <v>Traû tieàn mua thuoác laù</v>
          </cell>
          <cell r="I1003">
            <v>142175000</v>
          </cell>
        </row>
        <row r="1004">
          <cell r="A1004">
            <v>47</v>
          </cell>
          <cell r="B1004">
            <v>38411</v>
          </cell>
          <cell r="C1004">
            <v>12</v>
          </cell>
          <cell r="D1004" t="str">
            <v>Cty Miwon Vieät Nam</v>
          </cell>
          <cell r="E1004" t="str">
            <v>710A.00183</v>
          </cell>
          <cell r="F1004" t="str">
            <v>Coâng Thöông</v>
          </cell>
          <cell r="G1004" t="str">
            <v>Phuù Thoï</v>
          </cell>
          <cell r="H1004" t="str">
            <v>Traû tieàn mua boät ngoït</v>
          </cell>
          <cell r="I1004">
            <v>134513117</v>
          </cell>
        </row>
        <row r="1005">
          <cell r="A1005">
            <v>48</v>
          </cell>
          <cell r="B1005">
            <v>38411</v>
          </cell>
          <cell r="C1005">
            <v>31</v>
          </cell>
          <cell r="D1005" t="str">
            <v>Cty Daàu Aên Golden Hope - Nhaø Beø</v>
          </cell>
          <cell r="E1005" t="str">
            <v>710A.06902</v>
          </cell>
          <cell r="F1005" t="str">
            <v>Sôû Giao Dòch II CTVN</v>
          </cell>
          <cell r="G1005" t="str">
            <v>Hoà Chí Minh</v>
          </cell>
          <cell r="H1005" t="str">
            <v>Traû tieàn mua daàu xaù (Traïm Caàn Thô)</v>
          </cell>
          <cell r="I1005">
            <v>50782875</v>
          </cell>
        </row>
        <row r="1006">
          <cell r="A1006">
            <v>1</v>
          </cell>
          <cell r="B1006">
            <v>38412</v>
          </cell>
          <cell r="C1006">
            <v>8</v>
          </cell>
          <cell r="D1006" t="str">
            <v>Cty Xi Maêng Haø Tieân II</v>
          </cell>
          <cell r="E1006" t="str">
            <v>710A.00091</v>
          </cell>
          <cell r="F1006" t="str">
            <v>Coâng Thöông</v>
          </cell>
          <cell r="G1006" t="str">
            <v>Kieân Giang</v>
          </cell>
          <cell r="H1006" t="str">
            <v>Traû tieàn mua xi maêng 117taán</v>
          </cell>
          <cell r="I1006">
            <v>94851900</v>
          </cell>
        </row>
        <row r="1007">
          <cell r="A1007">
            <v>2</v>
          </cell>
          <cell r="B1007">
            <v>38412</v>
          </cell>
          <cell r="C1007">
            <v>4</v>
          </cell>
          <cell r="D1007" t="str">
            <v>Cty TMKT &amp; Ñaàu Tö PETEC</v>
          </cell>
          <cell r="E1007" t="str">
            <v>710A.09566</v>
          </cell>
          <cell r="F1007" t="str">
            <v>Sôû Giao Dòch II  CTVN</v>
          </cell>
          <cell r="G1007" t="str">
            <v>Hoà Chí Minh</v>
          </cell>
          <cell r="H1007" t="str">
            <v>Traû tieàn mua xaêng daàu</v>
          </cell>
          <cell r="I1007">
            <v>538000000</v>
          </cell>
        </row>
        <row r="1008">
          <cell r="A1008">
            <v>3</v>
          </cell>
          <cell r="B1008">
            <v>38413</v>
          </cell>
          <cell r="C1008">
            <v>4</v>
          </cell>
          <cell r="D1008" t="str">
            <v>Cty TMKT &amp; Ñaàu Tö PETEC</v>
          </cell>
          <cell r="E1008" t="str">
            <v>710A.09566</v>
          </cell>
          <cell r="F1008" t="str">
            <v>Sôû Giao Dòch II  CTVN</v>
          </cell>
          <cell r="G1008" t="str">
            <v>Hoà Chí Minh</v>
          </cell>
          <cell r="H1008" t="str">
            <v>Traû tieàn mua xaêng daàu</v>
          </cell>
          <cell r="I1008">
            <v>1881000000</v>
          </cell>
        </row>
        <row r="1009">
          <cell r="A1009">
            <v>4</v>
          </cell>
          <cell r="B1009">
            <v>38413</v>
          </cell>
          <cell r="C1009">
            <v>14</v>
          </cell>
          <cell r="D1009" t="str">
            <v>Coâng Ty Theùp Mieàn Nam</v>
          </cell>
          <cell r="E1009" t="str">
            <v>710A.01611</v>
          </cell>
          <cell r="F1009" t="str">
            <v>Coâng Thöông CN I</v>
          </cell>
          <cell r="G1009" t="str">
            <v>Hoà Chí Minh</v>
          </cell>
          <cell r="H1009" t="str">
            <v xml:space="preserve">Traû tieàn mua haøng cho CN Mieàn Taây C.Ty Theùp Mieàn Nam </v>
          </cell>
          <cell r="I1009">
            <v>120000000</v>
          </cell>
        </row>
        <row r="1010">
          <cell r="A1010">
            <v>5</v>
          </cell>
          <cell r="B1010">
            <v>38413</v>
          </cell>
          <cell r="C1010">
            <v>3</v>
          </cell>
          <cell r="D1010" t="str">
            <v>Cty Coå Phaàn Boät Giaët Lix</v>
          </cell>
          <cell r="E1010" t="str">
            <v>710A.01440</v>
          </cell>
          <cell r="F1010" t="str">
            <v>Coâng Thöông CN 14</v>
          </cell>
          <cell r="G1010" t="str">
            <v>Hoà Chí Minh</v>
          </cell>
          <cell r="H1010" t="str">
            <v>Traû tieàn mua boät giaët</v>
          </cell>
          <cell r="I1010">
            <v>320000000</v>
          </cell>
        </row>
        <row r="1011">
          <cell r="A1011">
            <v>6</v>
          </cell>
          <cell r="B1011">
            <v>38414</v>
          </cell>
          <cell r="C1011">
            <v>3</v>
          </cell>
          <cell r="D1011" t="str">
            <v>Cty Coå Phaàn Boät Giaët Lix</v>
          </cell>
          <cell r="E1011" t="str">
            <v>710A.01440</v>
          </cell>
          <cell r="F1011" t="str">
            <v>Coâng Thöông CN 14</v>
          </cell>
          <cell r="G1011" t="str">
            <v>Hoà Chí Minh</v>
          </cell>
          <cell r="H1011" t="str">
            <v>Traû tieàn mua boät giaët</v>
          </cell>
          <cell r="I1011">
            <v>150000000</v>
          </cell>
        </row>
        <row r="1012">
          <cell r="A1012">
            <v>7</v>
          </cell>
          <cell r="B1012">
            <v>38414</v>
          </cell>
          <cell r="C1012">
            <v>8</v>
          </cell>
          <cell r="D1012" t="str">
            <v>Cty Xi Maêng Haø Tieân II</v>
          </cell>
          <cell r="E1012" t="str">
            <v>710A.00091</v>
          </cell>
          <cell r="F1012" t="str">
            <v>Coâng Thöông</v>
          </cell>
          <cell r="G1012" t="str">
            <v>Kieân Giang</v>
          </cell>
          <cell r="H1012" t="str">
            <v>Traû tieàn mua xi maêng 120taán</v>
          </cell>
          <cell r="I1012">
            <v>97053000</v>
          </cell>
        </row>
        <row r="1013">
          <cell r="A1013">
            <v>8</v>
          </cell>
          <cell r="B1013">
            <v>38414</v>
          </cell>
          <cell r="C1013">
            <v>31</v>
          </cell>
          <cell r="D1013" t="str">
            <v>Cty Daàu Aên Golden Hope - Nhaø Beø</v>
          </cell>
          <cell r="E1013" t="str">
            <v>710A.06902</v>
          </cell>
          <cell r="F1013" t="str">
            <v>Sôû Giao Dòch II CTVN</v>
          </cell>
          <cell r="G1013" t="str">
            <v>Hoà Chí Minh</v>
          </cell>
          <cell r="H1013" t="str">
            <v>Traû tieàn mua daàu aên</v>
          </cell>
          <cell r="I1013">
            <v>95705602</v>
          </cell>
        </row>
        <row r="1014">
          <cell r="A1014">
            <v>9</v>
          </cell>
          <cell r="B1014">
            <v>38414</v>
          </cell>
          <cell r="C1014">
            <v>36</v>
          </cell>
          <cell r="D1014" t="str">
            <v>XN Xaêng Daàu Daàu Khí Vuõng Taøu</v>
          </cell>
          <cell r="E1014" t="str">
            <v>710D.00343</v>
          </cell>
          <cell r="F1014" t="str">
            <v>Coâng Thöông</v>
          </cell>
          <cell r="G1014" t="str">
            <v>Baø Ròa-Vuõng Taøu</v>
          </cell>
          <cell r="H1014" t="str">
            <v>Traû tieàn mua xaêng daàu</v>
          </cell>
          <cell r="I1014">
            <v>2831600000</v>
          </cell>
        </row>
        <row r="1015">
          <cell r="A1015">
            <v>10</v>
          </cell>
          <cell r="B1015">
            <v>38414</v>
          </cell>
          <cell r="C1015">
            <v>5</v>
          </cell>
          <cell r="D1015" t="str">
            <v>Cty TNHH TMaïi Thaønh Long</v>
          </cell>
          <cell r="E1015" t="str">
            <v>710A.00817</v>
          </cell>
          <cell r="F1015" t="str">
            <v>Coâng Thöong CN6</v>
          </cell>
          <cell r="G1015" t="str">
            <v>Hoà Chí Minh</v>
          </cell>
          <cell r="H1015" t="str">
            <v>Traû tieàn mua boät ngoït</v>
          </cell>
          <cell r="I1015">
            <v>422521818</v>
          </cell>
        </row>
        <row r="1016">
          <cell r="A1016">
            <v>1</v>
          </cell>
          <cell r="B1016">
            <v>38414</v>
          </cell>
          <cell r="C1016">
            <v>53</v>
          </cell>
          <cell r="D1016" t="str">
            <v>CTy CP Thöông Nghieäp Baïc Lieâu</v>
          </cell>
          <cell r="E1016" t="str">
            <v>861V.00064</v>
          </cell>
          <cell r="F1016" t="str">
            <v xml:space="preserve">Coâng Thöông </v>
          </cell>
          <cell r="G1016" t="str">
            <v>Baïc Lieâu</v>
          </cell>
          <cell r="H1016" t="str">
            <v>Kyù quyõ baûo laõnh Vinamilk 390.000.000x5%</v>
          </cell>
          <cell r="I1016">
            <v>19500000</v>
          </cell>
        </row>
        <row r="1017">
          <cell r="A1017">
            <v>11</v>
          </cell>
          <cell r="B1017">
            <v>38415</v>
          </cell>
          <cell r="C1017">
            <v>4</v>
          </cell>
          <cell r="D1017" t="str">
            <v>Cty TMKT &amp; Ñaàu Tö PETEC</v>
          </cell>
          <cell r="E1017" t="str">
            <v>710A.09566</v>
          </cell>
          <cell r="F1017" t="str">
            <v>Sôû Giao Dòch II  CTVN</v>
          </cell>
          <cell r="G1017" t="str">
            <v>Hoà Chí Minh</v>
          </cell>
          <cell r="H1017" t="str">
            <v>Traû tieàn mua xaêng daàu</v>
          </cell>
          <cell r="I1017">
            <v>1932000000</v>
          </cell>
        </row>
        <row r="1018">
          <cell r="A1018">
            <v>12</v>
          </cell>
          <cell r="B1018">
            <v>38415</v>
          </cell>
          <cell r="C1018">
            <v>8</v>
          </cell>
          <cell r="D1018" t="str">
            <v>Cty Xi Maêng Haø Tieân II</v>
          </cell>
          <cell r="E1018" t="str">
            <v>710A.00091</v>
          </cell>
          <cell r="F1018" t="str">
            <v>Coâng Thöông</v>
          </cell>
          <cell r="G1018" t="str">
            <v>Kieân Giang</v>
          </cell>
          <cell r="H1018" t="str">
            <v>Traû tieàn mua xi maêng 265taán</v>
          </cell>
          <cell r="I1018">
            <v>214835500</v>
          </cell>
        </row>
        <row r="1019">
          <cell r="A1019">
            <v>13</v>
          </cell>
          <cell r="B1019">
            <v>38415</v>
          </cell>
          <cell r="C1019">
            <v>98</v>
          </cell>
          <cell r="D1019" t="str">
            <v>CTy Lieân Doanh Xi Maêng Haø Tieân II-Caàn Thô</v>
          </cell>
          <cell r="E1019" t="str">
            <v>710A.56157</v>
          </cell>
          <cell r="F1019" t="str">
            <v>Coâng Thöông</v>
          </cell>
          <cell r="G1019" t="str">
            <v>Caàn Thô</v>
          </cell>
          <cell r="H1019" t="str">
            <v xml:space="preserve">Traû tieàn mua xi maêng </v>
          </cell>
          <cell r="I1019">
            <v>419060000</v>
          </cell>
        </row>
        <row r="1020">
          <cell r="A1020">
            <v>14</v>
          </cell>
          <cell r="B1020">
            <v>38415</v>
          </cell>
          <cell r="C1020">
            <v>31</v>
          </cell>
          <cell r="D1020" t="str">
            <v>Cty Daàu Aên Golden Hope - Nhaø Beø</v>
          </cell>
          <cell r="E1020" t="str">
            <v>710A.06902</v>
          </cell>
          <cell r="F1020" t="str">
            <v>Sôû Giao Dòch II CTVN</v>
          </cell>
          <cell r="G1020" t="str">
            <v>Hoà Chí Minh</v>
          </cell>
          <cell r="H1020" t="str">
            <v>Traû tieàn mua daàu aên</v>
          </cell>
          <cell r="I1020">
            <v>71356711</v>
          </cell>
        </row>
        <row r="1021">
          <cell r="A1021">
            <v>15</v>
          </cell>
          <cell r="B1021">
            <v>38418</v>
          </cell>
          <cell r="C1021">
            <v>36</v>
          </cell>
          <cell r="D1021" t="str">
            <v>XN Xaêng Daàu Daàu Khí Vuõng Taøu</v>
          </cell>
          <cell r="E1021" t="str">
            <v>710D.00343</v>
          </cell>
          <cell r="F1021" t="str">
            <v>Coâng Thöông</v>
          </cell>
          <cell r="G1021" t="str">
            <v>Baø Ròa-Vuõng Taøu</v>
          </cell>
          <cell r="H1021" t="str">
            <v>Traû tieàn mua xaêng daàu</v>
          </cell>
          <cell r="I1021">
            <v>2776800000</v>
          </cell>
        </row>
        <row r="1022">
          <cell r="A1022">
            <v>16</v>
          </cell>
          <cell r="B1022">
            <v>38419</v>
          </cell>
          <cell r="C1022">
            <v>14</v>
          </cell>
          <cell r="D1022" t="str">
            <v>Coâng Ty Theùp Mieàn Nam</v>
          </cell>
          <cell r="E1022" t="str">
            <v>710A.01611</v>
          </cell>
          <cell r="F1022" t="str">
            <v>Coâng Thöông CN I</v>
          </cell>
          <cell r="G1022" t="str">
            <v>Hoà Chí Minh</v>
          </cell>
          <cell r="H1022" t="str">
            <v xml:space="preserve">Traû tieàn mua haøng cho CN Mieàn Taây C.Ty Theùp Mieàn Nam </v>
          </cell>
          <cell r="I1022">
            <v>120000000</v>
          </cell>
        </row>
        <row r="1023">
          <cell r="A1023">
            <v>17</v>
          </cell>
          <cell r="B1023">
            <v>38419</v>
          </cell>
          <cell r="C1023">
            <v>41</v>
          </cell>
          <cell r="D1023" t="str">
            <v>Cty Xi Maêng Nghi Sôn</v>
          </cell>
          <cell r="E1023" t="str">
            <v>710A.02772</v>
          </cell>
          <cell r="F1023" t="str">
            <v>Coâng Thöông CN 9</v>
          </cell>
          <cell r="G1023" t="str">
            <v>Hoà Chí Minh</v>
          </cell>
          <cell r="H1023" t="str">
            <v xml:space="preserve">Traû tieàn mua xi maêng </v>
          </cell>
          <cell r="I1023">
            <v>352000000</v>
          </cell>
        </row>
        <row r="1024">
          <cell r="A1024">
            <v>2</v>
          </cell>
          <cell r="B1024">
            <v>38419</v>
          </cell>
          <cell r="C1024">
            <v>10</v>
          </cell>
          <cell r="D1024" t="str">
            <v>Cty TNHH Daàu Nhôùt vaø Hoùa Chaát VN</v>
          </cell>
          <cell r="E1024" t="str">
            <v>001.004837.041</v>
          </cell>
          <cell r="F1024" t="str">
            <v>Hoàng Kong&amp; Thöôïng Haûi</v>
          </cell>
          <cell r="G1024" t="str">
            <v>Hoà Chí Minh</v>
          </cell>
          <cell r="H1024" t="str">
            <v>Traû tieàn mua nhôùt</v>
          </cell>
          <cell r="I1024">
            <v>123825090</v>
          </cell>
        </row>
        <row r="1025">
          <cell r="A1025">
            <v>3</v>
          </cell>
          <cell r="B1025">
            <v>38419</v>
          </cell>
          <cell r="C1025">
            <v>53</v>
          </cell>
          <cell r="D1025" t="str">
            <v>CTy CP Thöông Nghieäp Baïc Lieâu</v>
          </cell>
          <cell r="E1025" t="str">
            <v>861V.00064</v>
          </cell>
          <cell r="F1025" t="str">
            <v xml:space="preserve">Coâng Thöông </v>
          </cell>
          <cell r="G1025" t="str">
            <v>Baïc Lieâu</v>
          </cell>
          <cell r="H1025" t="str">
            <v>Kyù quyõ baûo laõnh Vinamilk 990.000.000x5%</v>
          </cell>
          <cell r="I1025">
            <v>49500000</v>
          </cell>
        </row>
        <row r="1026">
          <cell r="A1026">
            <v>4</v>
          </cell>
          <cell r="B1026">
            <v>38419</v>
          </cell>
          <cell r="C1026">
            <v>44</v>
          </cell>
          <cell r="D1026" t="str">
            <v>CTy Ñieän Baùo Ñieän Thoaïi Baïc Lieâu</v>
          </cell>
          <cell r="E1026" t="str">
            <v>710A.00074</v>
          </cell>
          <cell r="F1026" t="str">
            <v xml:space="preserve">Coâng Thöông </v>
          </cell>
          <cell r="G1026" t="str">
            <v>Baïc Lieâu</v>
          </cell>
          <cell r="H1026" t="str">
            <v>Traû tieàn ñieän thoaïi thaùng 02/2005</v>
          </cell>
          <cell r="I1026">
            <v>5970730</v>
          </cell>
        </row>
        <row r="1027">
          <cell r="A1027">
            <v>18</v>
          </cell>
          <cell r="B1027">
            <v>38420</v>
          </cell>
          <cell r="C1027">
            <v>17</v>
          </cell>
          <cell r="D1027" t="str">
            <v>Cty Daàu Khí -TP/HCM (Saøi Goøn Petro)</v>
          </cell>
          <cell r="E1027" t="str">
            <v>007.1.00.000661.6</v>
          </cell>
          <cell r="F1027" t="str">
            <v>Ngoaïi Thöông</v>
          </cell>
          <cell r="G1027" t="str">
            <v>Hoà Chí Minh</v>
          </cell>
          <cell r="H1027" t="str">
            <v>Traû tieàn mua xaêng daàu</v>
          </cell>
          <cell r="I1027">
            <v>652000000</v>
          </cell>
        </row>
        <row r="1028">
          <cell r="A1028">
            <v>19</v>
          </cell>
          <cell r="B1028">
            <v>38420</v>
          </cell>
          <cell r="C1028">
            <v>8</v>
          </cell>
          <cell r="D1028" t="str">
            <v>Cty Xi Maêng Haø Tieân II</v>
          </cell>
          <cell r="E1028" t="str">
            <v>710A.00091</v>
          </cell>
          <cell r="F1028" t="str">
            <v>Coâng Thöông</v>
          </cell>
          <cell r="G1028" t="str">
            <v>Kieân Giang</v>
          </cell>
          <cell r="H1028" t="str">
            <v>Traû tieàn mua xi maêng 50taán</v>
          </cell>
          <cell r="I1028">
            <v>40535000</v>
          </cell>
        </row>
        <row r="1029">
          <cell r="A1029">
            <v>20</v>
          </cell>
          <cell r="B1029">
            <v>38420</v>
          </cell>
          <cell r="C1029">
            <v>5</v>
          </cell>
          <cell r="D1029" t="str">
            <v>Cty TNHH TMaïi Thaønh Long</v>
          </cell>
          <cell r="E1029" t="str">
            <v>710A.00817</v>
          </cell>
          <cell r="F1029" t="str">
            <v>Coâng Thöong CN6</v>
          </cell>
          <cell r="G1029" t="str">
            <v>Hoà Chí Minh</v>
          </cell>
          <cell r="H1029" t="str">
            <v>Traû tieàn mua boät ngoït</v>
          </cell>
          <cell r="I1029">
            <v>164468480</v>
          </cell>
        </row>
        <row r="1030">
          <cell r="A1030">
            <v>21</v>
          </cell>
          <cell r="B1030">
            <v>38420</v>
          </cell>
          <cell r="C1030">
            <v>4</v>
          </cell>
          <cell r="D1030" t="str">
            <v>Cty TMKT &amp; Ñaàu Tö PETEC</v>
          </cell>
          <cell r="E1030" t="str">
            <v>710A.09566</v>
          </cell>
          <cell r="F1030" t="str">
            <v>Sôû Giao Dòch II  CTVN</v>
          </cell>
          <cell r="G1030" t="str">
            <v>Hoà Chí Minh</v>
          </cell>
          <cell r="H1030" t="str">
            <v>Traû tieàn mua xaêng daàu</v>
          </cell>
          <cell r="I1030">
            <v>1886000000</v>
          </cell>
        </row>
        <row r="1031">
          <cell r="A1031">
            <v>22</v>
          </cell>
          <cell r="B1031">
            <v>38420</v>
          </cell>
          <cell r="C1031">
            <v>93</v>
          </cell>
          <cell r="D1031" t="str">
            <v>Cty Coå Phaàn Giaáy Vieãn Ñoâng</v>
          </cell>
          <cell r="E1031" t="str">
            <v>710A.04479</v>
          </cell>
          <cell r="F1031" t="str">
            <v>Coâng Thöông CN 12</v>
          </cell>
          <cell r="G1031" t="str">
            <v>Hoà Chí Minh</v>
          </cell>
          <cell r="H1031" t="str">
            <v>Traû tieàn mua giaáy Vieãn Ñoâng</v>
          </cell>
          <cell r="I1031">
            <v>15023778</v>
          </cell>
        </row>
        <row r="1032">
          <cell r="A1032">
            <v>23</v>
          </cell>
          <cell r="B1032">
            <v>38421</v>
          </cell>
          <cell r="C1032">
            <v>1</v>
          </cell>
          <cell r="D1032" t="str">
            <v>Nhaø Maùy Thuoác Laù Saøi Goøn</v>
          </cell>
          <cell r="E1032" t="str">
            <v>710A.00105</v>
          </cell>
          <cell r="F1032" t="str">
            <v>Sôû Giao Dòch II CTVN</v>
          </cell>
          <cell r="G1032" t="str">
            <v>Hoà Chí Minh</v>
          </cell>
          <cell r="H1032" t="str">
            <v>Traû tieàn mua thuoác laù</v>
          </cell>
          <cell r="I1032">
            <v>152350000</v>
          </cell>
        </row>
        <row r="1033">
          <cell r="A1033">
            <v>24</v>
          </cell>
          <cell r="B1033">
            <v>38421</v>
          </cell>
          <cell r="C1033">
            <v>8</v>
          </cell>
          <cell r="D1033" t="str">
            <v>Cty Xi Maêng Haø Tieân II</v>
          </cell>
          <cell r="E1033" t="str">
            <v>710A.00091</v>
          </cell>
          <cell r="F1033" t="str">
            <v>Coâng Thöông</v>
          </cell>
          <cell r="G1033" t="str">
            <v>Kieân Giang</v>
          </cell>
          <cell r="H1033" t="str">
            <v>Traû tieàn mua xi maêng 130taán</v>
          </cell>
          <cell r="I1033">
            <v>105391000</v>
          </cell>
        </row>
        <row r="1034">
          <cell r="A1034">
            <v>5</v>
          </cell>
          <cell r="B1034">
            <v>38421</v>
          </cell>
          <cell r="C1034">
            <v>10</v>
          </cell>
          <cell r="D1034" t="str">
            <v>Cty TNHH Daàu Nhôùt vaø Hoùa Chaát VN</v>
          </cell>
          <cell r="E1034" t="str">
            <v>001.004837.041</v>
          </cell>
          <cell r="F1034" t="str">
            <v>Hoàng Kong&amp; Thöôïng Haûi</v>
          </cell>
          <cell r="G1034" t="str">
            <v>Hoà Chí Minh</v>
          </cell>
          <cell r="H1034" t="str">
            <v>Traû tieàn mua nhôùt</v>
          </cell>
          <cell r="I1034">
            <v>58810260</v>
          </cell>
        </row>
        <row r="1035">
          <cell r="A1035">
            <v>6</v>
          </cell>
          <cell r="B1035">
            <v>38421</v>
          </cell>
          <cell r="C1035">
            <v>27</v>
          </cell>
          <cell r="D1035" t="str">
            <v>Cty TNHH Quoác Teá Nagarjuna</v>
          </cell>
          <cell r="E1035" t="str">
            <v>3586.1</v>
          </cell>
          <cell r="F1035" t="str">
            <v>INDOVINA</v>
          </cell>
          <cell r="G1035" t="str">
            <v>Hoà Chí Minh</v>
          </cell>
          <cell r="H1035" t="str">
            <v>Traû tieàn mua ñöôøng</v>
          </cell>
          <cell r="I1035">
            <v>46550000</v>
          </cell>
        </row>
        <row r="1036">
          <cell r="A1036">
            <v>7</v>
          </cell>
          <cell r="B1036">
            <v>38422</v>
          </cell>
          <cell r="C1036">
            <v>28</v>
          </cell>
          <cell r="D1036" t="str">
            <v>Chi Nhaùnh Cty CP Söõa VN Taïi Caàn Thô</v>
          </cell>
          <cell r="E1036" t="str">
            <v>7301.0479K</v>
          </cell>
          <cell r="F1036" t="str">
            <v>Ñaàu Tö &amp; Phaùt Trieån</v>
          </cell>
          <cell r="G1036" t="str">
            <v>Caàn Thô</v>
          </cell>
          <cell r="H1036" t="str">
            <v>Traû tieân mua söõa hoäp caùc loaïi</v>
          </cell>
          <cell r="I1036">
            <v>54000000</v>
          </cell>
        </row>
        <row r="1037">
          <cell r="A1037">
            <v>25</v>
          </cell>
          <cell r="B1037">
            <v>38422</v>
          </cell>
          <cell r="C1037">
            <v>4</v>
          </cell>
          <cell r="D1037" t="str">
            <v>Cty TMKT &amp; Ñaàu Tö PETEC</v>
          </cell>
          <cell r="E1037" t="str">
            <v>710A.09566</v>
          </cell>
          <cell r="F1037" t="str">
            <v>Sôû Giao Dòch II  CTVN</v>
          </cell>
          <cell r="G1037" t="str">
            <v>Hoà Chí Minh</v>
          </cell>
          <cell r="H1037" t="str">
            <v>Traû tieàn mua xaêng daàu</v>
          </cell>
          <cell r="I1037">
            <v>2202000000</v>
          </cell>
        </row>
        <row r="1038">
          <cell r="A1038">
            <v>26</v>
          </cell>
          <cell r="B1038">
            <v>38422</v>
          </cell>
          <cell r="C1038">
            <v>14</v>
          </cell>
          <cell r="D1038" t="str">
            <v>Coâng Ty Theùp Mieàn Nam</v>
          </cell>
          <cell r="E1038" t="str">
            <v>710A.01611</v>
          </cell>
          <cell r="F1038" t="str">
            <v>Coâng Thöông CN I</v>
          </cell>
          <cell r="G1038" t="str">
            <v>Hoà Chí Minh</v>
          </cell>
          <cell r="H1038" t="str">
            <v xml:space="preserve">Traû tieàn mua haøng cho CN Mieàn Taây C.Ty Theùp Mieàn Nam </v>
          </cell>
          <cell r="I1038">
            <v>200000000</v>
          </cell>
        </row>
        <row r="1039">
          <cell r="A1039">
            <v>8</v>
          </cell>
          <cell r="B1039">
            <v>38425</v>
          </cell>
          <cell r="C1039">
            <v>28</v>
          </cell>
          <cell r="D1039" t="str">
            <v>Chi Nhaùnh Cty CP Söõa VN Taïi Caàn Thô</v>
          </cell>
          <cell r="E1039" t="str">
            <v>7301.0479K</v>
          </cell>
          <cell r="F1039" t="str">
            <v>Ñaàu Tö &amp; Phaùt Trieån</v>
          </cell>
          <cell r="G1039" t="str">
            <v>Caàn Thô</v>
          </cell>
          <cell r="H1039" t="str">
            <v>Traû tieàn mua söõa hoäp caùc loaïi</v>
          </cell>
          <cell r="I1039">
            <v>202000000</v>
          </cell>
        </row>
        <row r="1040">
          <cell r="A1040">
            <v>27</v>
          </cell>
          <cell r="B1040">
            <v>38425</v>
          </cell>
          <cell r="C1040">
            <v>4</v>
          </cell>
          <cell r="D1040" t="str">
            <v>Cty TMKT &amp; Ñaàu Tö PETEC</v>
          </cell>
          <cell r="E1040" t="str">
            <v>710A.09566</v>
          </cell>
          <cell r="F1040" t="str">
            <v>Sôû Giao Dòch II  CTVN</v>
          </cell>
          <cell r="G1040" t="str">
            <v>Hoà Chí Minh</v>
          </cell>
          <cell r="H1040" t="str">
            <v>Traû tieàn mua xaêng daàu</v>
          </cell>
          <cell r="I1040">
            <v>1748000000</v>
          </cell>
        </row>
        <row r="1041">
          <cell r="A1041">
            <v>28</v>
          </cell>
          <cell r="B1041">
            <v>38425</v>
          </cell>
          <cell r="C1041">
            <v>17</v>
          </cell>
          <cell r="D1041" t="str">
            <v>Cty Daàu Khí -TP/HCM (Saøi Goøn Petro)</v>
          </cell>
          <cell r="E1041" t="str">
            <v>007.1.00.000661.6</v>
          </cell>
          <cell r="F1041" t="str">
            <v>Ngoaïi Thöông</v>
          </cell>
          <cell r="G1041" t="str">
            <v>Hoà Chí Minh</v>
          </cell>
          <cell r="H1041" t="str">
            <v>Traû tieàn mua xaêng daàu</v>
          </cell>
          <cell r="I1041">
            <v>688090000</v>
          </cell>
        </row>
        <row r="1042">
          <cell r="A1042">
            <v>29</v>
          </cell>
          <cell r="B1042">
            <v>38425</v>
          </cell>
          <cell r="C1042">
            <v>14</v>
          </cell>
          <cell r="D1042" t="str">
            <v>Coâng Ty Theùp Mieàn Nam</v>
          </cell>
          <cell r="E1042" t="str">
            <v>710A.01611</v>
          </cell>
          <cell r="F1042" t="str">
            <v>Coâng Thöông CN I</v>
          </cell>
          <cell r="G1042" t="str">
            <v>Hoà Chí Minh</v>
          </cell>
          <cell r="H1042" t="str">
            <v xml:space="preserve">Traû tieàn mua haøng cho CN Mieàn Taây C.Ty Theùp Mieàn Nam </v>
          </cell>
          <cell r="I1042">
            <v>200000000</v>
          </cell>
        </row>
        <row r="1043">
          <cell r="A1043">
            <v>30</v>
          </cell>
          <cell r="B1043">
            <v>38425</v>
          </cell>
          <cell r="C1043">
            <v>8</v>
          </cell>
          <cell r="D1043" t="str">
            <v>Cty Xi Maêng Haø Tieân II</v>
          </cell>
          <cell r="E1043" t="str">
            <v>710A.00091</v>
          </cell>
          <cell r="F1043" t="str">
            <v>Coâng Thöông</v>
          </cell>
          <cell r="G1043" t="str">
            <v>Kieân Giang</v>
          </cell>
          <cell r="H1043" t="str">
            <v>Traû tieàn mua xi maêng 135taán</v>
          </cell>
          <cell r="I1043">
            <v>109444500</v>
          </cell>
        </row>
        <row r="1044">
          <cell r="A1044">
            <v>31</v>
          </cell>
          <cell r="B1044">
            <v>38425</v>
          </cell>
          <cell r="C1044">
            <v>41</v>
          </cell>
          <cell r="D1044" t="str">
            <v>Cty Xi Maêng Nghi Sôn</v>
          </cell>
          <cell r="E1044" t="str">
            <v>710A.02772</v>
          </cell>
          <cell r="F1044" t="str">
            <v>Coâng Thöông CN 9</v>
          </cell>
          <cell r="G1044" t="str">
            <v>Hoà Chí Minh</v>
          </cell>
          <cell r="H1044" t="str">
            <v xml:space="preserve">Traû tieàn mua xi maêng </v>
          </cell>
          <cell r="I1044">
            <v>83600000</v>
          </cell>
        </row>
        <row r="1045">
          <cell r="A1045">
            <v>32</v>
          </cell>
          <cell r="B1045">
            <v>38425</v>
          </cell>
          <cell r="C1045">
            <v>31</v>
          </cell>
          <cell r="D1045" t="str">
            <v>Cty Daàu Aên Golden Hope - Nhaø Beø</v>
          </cell>
          <cell r="E1045" t="str">
            <v>710A.06902</v>
          </cell>
          <cell r="F1045" t="str">
            <v>Sôû Giao Dòch II CTVN</v>
          </cell>
          <cell r="G1045" t="str">
            <v>Hoà Chí Minh</v>
          </cell>
          <cell r="H1045" t="str">
            <v>Traû tieàn mua daàu aên</v>
          </cell>
          <cell r="I1045">
            <v>70000000</v>
          </cell>
        </row>
        <row r="1046">
          <cell r="A1046">
            <v>33</v>
          </cell>
          <cell r="B1046">
            <v>38426</v>
          </cell>
          <cell r="C1046">
            <v>4</v>
          </cell>
          <cell r="D1046" t="str">
            <v>Cty TMKT &amp; Ñaàu Tö PETEC</v>
          </cell>
          <cell r="E1046" t="str">
            <v>710A.09566</v>
          </cell>
          <cell r="F1046" t="str">
            <v>Sôû Giao Dòch II  CTVN</v>
          </cell>
          <cell r="G1046" t="str">
            <v>Hoà Chí Minh</v>
          </cell>
          <cell r="H1046" t="str">
            <v>Traû tieàn mua xaêng daàu</v>
          </cell>
          <cell r="I1046">
            <v>1748000000</v>
          </cell>
        </row>
        <row r="1047">
          <cell r="A1047">
            <v>34</v>
          </cell>
          <cell r="B1047">
            <v>38426</v>
          </cell>
          <cell r="C1047">
            <v>31</v>
          </cell>
          <cell r="D1047" t="str">
            <v>Cty Daàu Aên Golden Hope - Nhaø Beø</v>
          </cell>
          <cell r="E1047" t="str">
            <v>710A.06902</v>
          </cell>
          <cell r="F1047" t="str">
            <v>Sôû Giao Dòch II CTVN</v>
          </cell>
          <cell r="G1047" t="str">
            <v>Hoà Chí Minh</v>
          </cell>
          <cell r="H1047" t="str">
            <v>Traû tieàn mua daàu aên</v>
          </cell>
          <cell r="I1047">
            <v>80000000</v>
          </cell>
        </row>
        <row r="1048">
          <cell r="A1048">
            <v>9</v>
          </cell>
          <cell r="B1048">
            <v>38426</v>
          </cell>
          <cell r="C1048">
            <v>28</v>
          </cell>
          <cell r="D1048" t="str">
            <v>Chi Nhaùnh Cty CP Söõa VN Taïi Caàn Thô</v>
          </cell>
          <cell r="E1048" t="str">
            <v>7301.0479K</v>
          </cell>
          <cell r="F1048" t="str">
            <v>Ñaàu Tö &amp; Phaùt Trieån</v>
          </cell>
          <cell r="G1048" t="str">
            <v>Caàn Thô</v>
          </cell>
          <cell r="H1048" t="str">
            <v>Traû tieân mua söõa hoäp caùc loaïi</v>
          </cell>
          <cell r="I1048">
            <v>825000000</v>
          </cell>
        </row>
        <row r="1049">
          <cell r="A1049">
            <v>35</v>
          </cell>
          <cell r="B1049">
            <v>38427</v>
          </cell>
          <cell r="C1049">
            <v>14</v>
          </cell>
          <cell r="D1049" t="str">
            <v>Coâng Ty Theùp Mieàn Nam</v>
          </cell>
          <cell r="E1049" t="str">
            <v>710A.01611</v>
          </cell>
          <cell r="F1049" t="str">
            <v>Coâng Thöông CN I</v>
          </cell>
          <cell r="G1049" t="str">
            <v>Hoà Chí Minh</v>
          </cell>
          <cell r="H1049" t="str">
            <v xml:space="preserve">Traû tieàn mua haøng cho CN Mieàn Taây C.Ty Theùp Mieàn Nam </v>
          </cell>
          <cell r="I1049">
            <v>120000000</v>
          </cell>
        </row>
        <row r="1050">
          <cell r="A1050">
            <v>36</v>
          </cell>
          <cell r="B1050">
            <v>38427</v>
          </cell>
          <cell r="C1050">
            <v>8</v>
          </cell>
          <cell r="D1050" t="str">
            <v>Cty Xi Maêng Haø Tieân II</v>
          </cell>
          <cell r="E1050" t="str">
            <v>710A.00091</v>
          </cell>
          <cell r="F1050" t="str">
            <v>Coâng Thöông</v>
          </cell>
          <cell r="G1050" t="str">
            <v>Kieân Giang</v>
          </cell>
          <cell r="H1050" t="str">
            <v>Traû tieàn mua xi maêng 150taán</v>
          </cell>
          <cell r="I1050">
            <v>121605000</v>
          </cell>
        </row>
        <row r="1051">
          <cell r="A1051">
            <v>10</v>
          </cell>
          <cell r="B1051">
            <v>38428</v>
          </cell>
          <cell r="C1051">
            <v>28</v>
          </cell>
          <cell r="D1051" t="str">
            <v>Chi Nhaùnh Cty CP Söõa VN Taïi Caàn Thô</v>
          </cell>
          <cell r="E1051" t="str">
            <v>7301.0479K</v>
          </cell>
          <cell r="F1051" t="str">
            <v>Ñaàu Tö &amp; Phaùt Trieån</v>
          </cell>
          <cell r="G1051" t="str">
            <v>Caàn Thô</v>
          </cell>
          <cell r="H1051" t="str">
            <v>Traû tieàn mua söõa hoäp caùc loaïi</v>
          </cell>
          <cell r="I1051">
            <v>700000000</v>
          </cell>
        </row>
        <row r="1052">
          <cell r="A1052">
            <v>37</v>
          </cell>
          <cell r="B1052">
            <v>38429</v>
          </cell>
          <cell r="C1052">
            <v>8</v>
          </cell>
          <cell r="D1052" t="str">
            <v>Cty Xi Maêng Haø Tieân II</v>
          </cell>
          <cell r="E1052" t="str">
            <v>710A.00091</v>
          </cell>
          <cell r="F1052" t="str">
            <v>Coâng Thöông</v>
          </cell>
          <cell r="G1052" t="str">
            <v>Kieân Giang</v>
          </cell>
          <cell r="H1052" t="str">
            <v>Traû tieàn mua xi maêng 65taán</v>
          </cell>
          <cell r="I1052">
            <v>52695500</v>
          </cell>
        </row>
        <row r="1053">
          <cell r="A1053">
            <v>38</v>
          </cell>
          <cell r="B1053">
            <v>38429</v>
          </cell>
          <cell r="C1053">
            <v>3</v>
          </cell>
          <cell r="D1053" t="str">
            <v>Cty Coå Phaàn Boät Giaët Lix</v>
          </cell>
          <cell r="E1053" t="str">
            <v>710A.01440</v>
          </cell>
          <cell r="F1053" t="str">
            <v>Coâng Thöông CN 14</v>
          </cell>
          <cell r="G1053" t="str">
            <v>Hoà Chí Minh</v>
          </cell>
          <cell r="H1053" t="str">
            <v>Traû tieàn mua boät giaët</v>
          </cell>
          <cell r="I1053">
            <v>330000000</v>
          </cell>
        </row>
        <row r="1054">
          <cell r="A1054">
            <v>39</v>
          </cell>
          <cell r="B1054">
            <v>38429</v>
          </cell>
          <cell r="C1054">
            <v>4</v>
          </cell>
          <cell r="D1054" t="str">
            <v>Cty TMKT &amp; Ñaàu Tö PETEC</v>
          </cell>
          <cell r="E1054" t="str">
            <v>710A.09566</v>
          </cell>
          <cell r="F1054" t="str">
            <v>Sôû Giao Dòch II  CTVN</v>
          </cell>
          <cell r="G1054" t="str">
            <v>Hoà Chí Minh</v>
          </cell>
          <cell r="H1054" t="str">
            <v>Traû tieàn mua xaêng daàu</v>
          </cell>
          <cell r="I1054">
            <v>1886000000</v>
          </cell>
        </row>
        <row r="1055">
          <cell r="A1055">
            <v>11</v>
          </cell>
          <cell r="B1055">
            <v>38429</v>
          </cell>
          <cell r="C1055">
            <v>25</v>
          </cell>
          <cell r="D1055" t="str">
            <v xml:space="preserve"> Thu Baûo Hieåm Xaõ Hoäi Tænh Baïc Lieâu</v>
          </cell>
          <cell r="E1055" t="str">
            <v>421401.12</v>
          </cell>
          <cell r="F1055" t="str">
            <v>NN &amp; P/T N/Thoân</v>
          </cell>
          <cell r="G1055" t="str">
            <v>Baïc Lieâu</v>
          </cell>
          <cell r="H1055" t="str">
            <v>Noäp BHXH,BHYT thaùng 03/05</v>
          </cell>
          <cell r="I1055">
            <v>16712352</v>
          </cell>
        </row>
        <row r="1056">
          <cell r="A1056">
            <v>40</v>
          </cell>
          <cell r="B1056">
            <v>38429</v>
          </cell>
          <cell r="C1056">
            <v>14</v>
          </cell>
          <cell r="D1056" t="str">
            <v>Coâng Ty Theùp Mieàn Nam</v>
          </cell>
          <cell r="E1056" t="str">
            <v>710A.01611</v>
          </cell>
          <cell r="F1056" t="str">
            <v>Coâng Thöông CN I</v>
          </cell>
          <cell r="G1056" t="str">
            <v>Hoà Chí Minh</v>
          </cell>
          <cell r="H1056" t="str">
            <v xml:space="preserve">Traû tieàn mua haøng cho CN Mieàn Taây C.Ty Theùp Mieàn Nam </v>
          </cell>
          <cell r="I1056">
            <v>120000000</v>
          </cell>
        </row>
        <row r="1057">
          <cell r="A1057">
            <v>41</v>
          </cell>
          <cell r="B1057">
            <v>38432</v>
          </cell>
          <cell r="C1057">
            <v>8</v>
          </cell>
          <cell r="D1057" t="str">
            <v>Cty Xi Maêng Haø Tieân II</v>
          </cell>
          <cell r="E1057" t="str">
            <v>710A.00091</v>
          </cell>
          <cell r="F1057" t="str">
            <v>Coâng Thöông</v>
          </cell>
          <cell r="G1057" t="str">
            <v>Kieân Giang</v>
          </cell>
          <cell r="H1057" t="str">
            <v>Traû tieàn mua xi maêng 235taán</v>
          </cell>
          <cell r="I1057">
            <v>190514500</v>
          </cell>
        </row>
        <row r="1058">
          <cell r="A1058">
            <v>42</v>
          </cell>
          <cell r="B1058">
            <v>38432</v>
          </cell>
          <cell r="C1058">
            <v>9</v>
          </cell>
          <cell r="D1058" t="str">
            <v>Castrol Vieät Nam Ltd</v>
          </cell>
          <cell r="E1058" t="str">
            <v>007.1.00.002804.1</v>
          </cell>
          <cell r="F1058" t="str">
            <v>Ngoaïi Thöông</v>
          </cell>
          <cell r="G1058" t="str">
            <v>Hoà Chí Minh</v>
          </cell>
          <cell r="H1058" t="str">
            <v>Trả tiền mua nhớt</v>
          </cell>
          <cell r="I1058">
            <v>64071491</v>
          </cell>
        </row>
        <row r="1059">
          <cell r="A1059">
            <v>43</v>
          </cell>
          <cell r="B1059">
            <v>38432</v>
          </cell>
          <cell r="C1059">
            <v>36</v>
          </cell>
          <cell r="D1059" t="str">
            <v>XN Xaêng Daàu Daàu Khí Vuõng Taøu</v>
          </cell>
          <cell r="E1059" t="str">
            <v>710D.00343</v>
          </cell>
          <cell r="F1059" t="str">
            <v>Coâng Thöông</v>
          </cell>
          <cell r="G1059" t="str">
            <v>Baø Ròa-Vuõng Taøu</v>
          </cell>
          <cell r="H1059" t="str">
            <v>Traû tieàn mua xaêng daàu</v>
          </cell>
          <cell r="I1059">
            <v>2567400000</v>
          </cell>
        </row>
        <row r="1060">
          <cell r="A1060">
            <v>44</v>
          </cell>
          <cell r="B1060">
            <v>38432</v>
          </cell>
          <cell r="C1060">
            <v>28</v>
          </cell>
          <cell r="D1060" t="str">
            <v>Chi Nhaùnh Cty CP Söõa VN Taïi Caàn Thô</v>
          </cell>
          <cell r="E1060" t="str">
            <v>7301.0479K</v>
          </cell>
          <cell r="F1060" t="str">
            <v>Ñaàu Tö &amp; Phaùt Trieån</v>
          </cell>
          <cell r="G1060" t="str">
            <v>Caàn Thô</v>
          </cell>
          <cell r="H1060" t="str">
            <v>Traû tieàn mua söõa hoäp caùc loaïi</v>
          </cell>
          <cell r="I1060">
            <v>1770000000</v>
          </cell>
        </row>
        <row r="1061">
          <cell r="A1061">
            <v>45</v>
          </cell>
          <cell r="B1061">
            <v>38432</v>
          </cell>
          <cell r="C1061">
            <v>31</v>
          </cell>
          <cell r="D1061" t="str">
            <v>Cty Daàu Aên Golden Hope - Nhaø Beø</v>
          </cell>
          <cell r="E1061" t="str">
            <v>710A.06902</v>
          </cell>
          <cell r="F1061" t="str">
            <v>Sôû Giao Dòch II CTVN</v>
          </cell>
          <cell r="G1061" t="str">
            <v>Hoà Chí Minh</v>
          </cell>
          <cell r="H1061" t="str">
            <v>Traû tieàn mua daàu aên</v>
          </cell>
          <cell r="I1061">
            <v>150000000</v>
          </cell>
        </row>
        <row r="1062">
          <cell r="A1062">
            <v>46</v>
          </cell>
          <cell r="B1062">
            <v>38432</v>
          </cell>
          <cell r="C1062">
            <v>14</v>
          </cell>
          <cell r="D1062" t="str">
            <v>Coâng Ty Theùp Mieàn Nam</v>
          </cell>
          <cell r="E1062" t="str">
            <v>710A.01611</v>
          </cell>
          <cell r="F1062" t="str">
            <v>Coâng Thöông CN I</v>
          </cell>
          <cell r="G1062" t="str">
            <v>Hoà Chí Minh</v>
          </cell>
          <cell r="H1062" t="str">
            <v xml:space="preserve">Traû tieàn mua haøng cho CN Mieàn Taây C.Ty Theùp Mieàn Nam </v>
          </cell>
          <cell r="I1062">
            <v>200000000</v>
          </cell>
        </row>
        <row r="1063">
          <cell r="A1063">
            <v>47</v>
          </cell>
          <cell r="B1063">
            <v>38433</v>
          </cell>
          <cell r="C1063">
            <v>41</v>
          </cell>
          <cell r="D1063" t="str">
            <v>Cty Xi Maêng Nghi Sôn</v>
          </cell>
          <cell r="E1063" t="str">
            <v>710A.02772</v>
          </cell>
          <cell r="F1063" t="str">
            <v>Coâng Thöông CN 9</v>
          </cell>
          <cell r="G1063" t="str">
            <v>Hoà Chí Minh</v>
          </cell>
          <cell r="H1063" t="str">
            <v xml:space="preserve">Traû tieàn mua xi maêng </v>
          </cell>
          <cell r="I1063">
            <v>55673338</v>
          </cell>
        </row>
        <row r="1064">
          <cell r="A1064">
            <v>48</v>
          </cell>
          <cell r="B1064">
            <v>38433</v>
          </cell>
          <cell r="C1064">
            <v>5</v>
          </cell>
          <cell r="D1064" t="str">
            <v>Cty TNHH TMaïi Thaønh Long</v>
          </cell>
          <cell r="E1064" t="str">
            <v>710A.00817</v>
          </cell>
          <cell r="F1064" t="str">
            <v>Coâng Thöong CN6</v>
          </cell>
          <cell r="G1064" t="str">
            <v>Hoà Chí Minh</v>
          </cell>
          <cell r="H1064" t="str">
            <v>Traû tieàn mua boät ngoït</v>
          </cell>
          <cell r="I1064">
            <v>447899535</v>
          </cell>
        </row>
        <row r="1065">
          <cell r="A1065">
            <v>49</v>
          </cell>
          <cell r="B1065">
            <v>38433</v>
          </cell>
          <cell r="C1065">
            <v>105</v>
          </cell>
          <cell r="D1065" t="str">
            <v>XN Kinh Doanh Thöông Maïi-CTy Kho Vaän Mieàn Nam</v>
          </cell>
          <cell r="E1065" t="str">
            <v>710A.00036</v>
          </cell>
          <cell r="F1065" t="str">
            <v>Coâng Thöông CN 4</v>
          </cell>
          <cell r="G1065" t="str">
            <v>Hoà Chí Minh</v>
          </cell>
          <cell r="H1065" t="str">
            <v>Traû tieàn mua nhôùt</v>
          </cell>
          <cell r="I1065">
            <v>164050000</v>
          </cell>
        </row>
        <row r="1066">
          <cell r="D1066">
            <v>0</v>
          </cell>
          <cell r="E1066">
            <v>0</v>
          </cell>
          <cell r="F1066">
            <v>0</v>
          </cell>
          <cell r="G1066">
            <v>0</v>
          </cell>
        </row>
        <row r="1067">
          <cell r="D1067">
            <v>0</v>
          </cell>
          <cell r="E1067">
            <v>0</v>
          </cell>
          <cell r="F1067">
            <v>0</v>
          </cell>
          <cell r="G1067">
            <v>0</v>
          </cell>
        </row>
        <row r="1068">
          <cell r="D1068">
            <v>0</v>
          </cell>
          <cell r="E1068">
            <v>0</v>
          </cell>
          <cell r="F1068">
            <v>0</v>
          </cell>
          <cell r="G1068">
            <v>0</v>
          </cell>
        </row>
        <row r="1069">
          <cell r="D1069">
            <v>0</v>
          </cell>
          <cell r="E1069">
            <v>0</v>
          </cell>
          <cell r="F1069">
            <v>0</v>
          </cell>
          <cell r="G1069">
            <v>0</v>
          </cell>
        </row>
        <row r="1070">
          <cell r="D1070">
            <v>0</v>
          </cell>
          <cell r="E1070">
            <v>0</v>
          </cell>
          <cell r="F1070">
            <v>0</v>
          </cell>
          <cell r="G1070">
            <v>0</v>
          </cell>
        </row>
        <row r="1071">
          <cell r="D1071">
            <v>0</v>
          </cell>
          <cell r="E1071">
            <v>0</v>
          </cell>
          <cell r="F1071">
            <v>0</v>
          </cell>
          <cell r="G1071">
            <v>0</v>
          </cell>
        </row>
        <row r="1072">
          <cell r="D1072">
            <v>0</v>
          </cell>
          <cell r="E1072">
            <v>0</v>
          </cell>
          <cell r="F1072">
            <v>0</v>
          </cell>
          <cell r="G1072">
            <v>0</v>
          </cell>
        </row>
        <row r="1073">
          <cell r="D1073">
            <v>0</v>
          </cell>
          <cell r="E1073">
            <v>0</v>
          </cell>
          <cell r="F1073">
            <v>0</v>
          </cell>
          <cell r="G1073">
            <v>0</v>
          </cell>
        </row>
        <row r="1074">
          <cell r="D1074">
            <v>0</v>
          </cell>
          <cell r="E1074">
            <v>0</v>
          </cell>
          <cell r="F1074">
            <v>0</v>
          </cell>
          <cell r="G1074">
            <v>0</v>
          </cell>
        </row>
        <row r="1075">
          <cell r="D1075">
            <v>0</v>
          </cell>
          <cell r="E1075">
            <v>0</v>
          </cell>
          <cell r="F1075">
            <v>0</v>
          </cell>
          <cell r="G1075">
            <v>0</v>
          </cell>
        </row>
        <row r="1076">
          <cell r="D1076">
            <v>0</v>
          </cell>
          <cell r="E1076">
            <v>0</v>
          </cell>
          <cell r="F1076">
            <v>0</v>
          </cell>
          <cell r="G1076">
            <v>0</v>
          </cell>
        </row>
        <row r="1077">
          <cell r="D1077">
            <v>0</v>
          </cell>
          <cell r="E1077">
            <v>0</v>
          </cell>
          <cell r="F1077">
            <v>0</v>
          </cell>
          <cell r="G1077">
            <v>0</v>
          </cell>
        </row>
        <row r="1078">
          <cell r="D1078">
            <v>0</v>
          </cell>
          <cell r="E1078">
            <v>0</v>
          </cell>
          <cell r="F1078">
            <v>0</v>
          </cell>
          <cell r="G1078">
            <v>0</v>
          </cell>
        </row>
        <row r="1079">
          <cell r="D1079">
            <v>0</v>
          </cell>
          <cell r="E1079">
            <v>0</v>
          </cell>
          <cell r="F1079">
            <v>0</v>
          </cell>
          <cell r="G1079">
            <v>0</v>
          </cell>
        </row>
        <row r="1080">
          <cell r="D1080">
            <v>0</v>
          </cell>
          <cell r="E1080">
            <v>0</v>
          </cell>
          <cell r="F1080">
            <v>0</v>
          </cell>
          <cell r="G1080">
            <v>0</v>
          </cell>
        </row>
        <row r="1081">
          <cell r="D1081">
            <v>0</v>
          </cell>
          <cell r="E1081">
            <v>0</v>
          </cell>
          <cell r="F1081">
            <v>0</v>
          </cell>
          <cell r="G1081">
            <v>0</v>
          </cell>
        </row>
        <row r="1082">
          <cell r="D1082">
            <v>0</v>
          </cell>
          <cell r="E1082">
            <v>0</v>
          </cell>
          <cell r="F1082">
            <v>0</v>
          </cell>
          <cell r="G1082">
            <v>0</v>
          </cell>
        </row>
        <row r="1083">
          <cell r="D1083">
            <v>0</v>
          </cell>
          <cell r="E1083">
            <v>0</v>
          </cell>
          <cell r="F1083">
            <v>0</v>
          </cell>
          <cell r="G1083">
            <v>0</v>
          </cell>
        </row>
        <row r="1084">
          <cell r="D1084">
            <v>0</v>
          </cell>
          <cell r="E1084">
            <v>0</v>
          </cell>
          <cell r="F1084">
            <v>0</v>
          </cell>
          <cell r="G1084">
            <v>0</v>
          </cell>
        </row>
        <row r="1085">
          <cell r="D1085">
            <v>0</v>
          </cell>
          <cell r="E1085">
            <v>0</v>
          </cell>
          <cell r="F1085">
            <v>0</v>
          </cell>
          <cell r="G1085">
            <v>0</v>
          </cell>
        </row>
        <row r="1086">
          <cell r="D1086">
            <v>0</v>
          </cell>
          <cell r="E1086">
            <v>0</v>
          </cell>
          <cell r="F1086">
            <v>0</v>
          </cell>
          <cell r="G1086">
            <v>0</v>
          </cell>
        </row>
        <row r="1087">
          <cell r="D1087">
            <v>0</v>
          </cell>
          <cell r="E1087">
            <v>0</v>
          </cell>
          <cell r="F1087">
            <v>0</v>
          </cell>
          <cell r="G1087">
            <v>0</v>
          </cell>
        </row>
        <row r="1088">
          <cell r="D1088">
            <v>0</v>
          </cell>
          <cell r="E1088">
            <v>0</v>
          </cell>
          <cell r="F1088">
            <v>0</v>
          </cell>
          <cell r="G1088">
            <v>0</v>
          </cell>
        </row>
        <row r="1089">
          <cell r="D1089">
            <v>0</v>
          </cell>
          <cell r="E1089">
            <v>0</v>
          </cell>
          <cell r="F1089">
            <v>0</v>
          </cell>
          <cell r="G1089">
            <v>0</v>
          </cell>
        </row>
        <row r="1090">
          <cell r="D1090">
            <v>0</v>
          </cell>
          <cell r="E1090">
            <v>0</v>
          </cell>
          <cell r="F1090">
            <v>0</v>
          </cell>
          <cell r="G1090">
            <v>0</v>
          </cell>
        </row>
        <row r="1091">
          <cell r="D1091">
            <v>0</v>
          </cell>
          <cell r="E1091">
            <v>0</v>
          </cell>
          <cell r="F1091">
            <v>0</v>
          </cell>
          <cell r="G1091">
            <v>0</v>
          </cell>
        </row>
        <row r="1092">
          <cell r="D1092">
            <v>0</v>
          </cell>
          <cell r="E1092">
            <v>0</v>
          </cell>
          <cell r="F1092">
            <v>0</v>
          </cell>
          <cell r="G1092">
            <v>0</v>
          </cell>
        </row>
        <row r="1093">
          <cell r="D1093">
            <v>0</v>
          </cell>
          <cell r="E1093">
            <v>0</v>
          </cell>
          <cell r="F1093">
            <v>0</v>
          </cell>
          <cell r="G1093">
            <v>0</v>
          </cell>
        </row>
        <row r="1094">
          <cell r="D1094">
            <v>0</v>
          </cell>
          <cell r="E1094">
            <v>0</v>
          </cell>
          <cell r="F1094">
            <v>0</v>
          </cell>
          <cell r="G1094">
            <v>0</v>
          </cell>
        </row>
        <row r="1095">
          <cell r="D1095">
            <v>0</v>
          </cell>
          <cell r="E1095">
            <v>0</v>
          </cell>
          <cell r="F1095">
            <v>0</v>
          </cell>
          <cell r="G1095">
            <v>0</v>
          </cell>
        </row>
        <row r="1096">
          <cell r="D1096">
            <v>0</v>
          </cell>
          <cell r="E1096">
            <v>0</v>
          </cell>
          <cell r="F1096">
            <v>0</v>
          </cell>
          <cell r="G1096">
            <v>0</v>
          </cell>
        </row>
        <row r="1097">
          <cell r="D1097">
            <v>0</v>
          </cell>
          <cell r="E1097">
            <v>0</v>
          </cell>
          <cell r="F1097">
            <v>0</v>
          </cell>
          <cell r="G1097">
            <v>0</v>
          </cell>
        </row>
        <row r="1098">
          <cell r="D1098">
            <v>0</v>
          </cell>
          <cell r="E1098">
            <v>0</v>
          </cell>
          <cell r="F1098">
            <v>0</v>
          </cell>
          <cell r="G1098">
            <v>0</v>
          </cell>
        </row>
        <row r="1099">
          <cell r="D1099">
            <v>0</v>
          </cell>
          <cell r="E1099">
            <v>0</v>
          </cell>
          <cell r="F1099">
            <v>0</v>
          </cell>
          <cell r="G1099">
            <v>0</v>
          </cell>
        </row>
        <row r="1100">
          <cell r="D1100">
            <v>0</v>
          </cell>
          <cell r="E1100">
            <v>0</v>
          </cell>
          <cell r="F1100">
            <v>0</v>
          </cell>
          <cell r="G1100">
            <v>0</v>
          </cell>
        </row>
        <row r="1101">
          <cell r="D1101">
            <v>0</v>
          </cell>
          <cell r="E1101">
            <v>0</v>
          </cell>
          <cell r="F1101">
            <v>0</v>
          </cell>
          <cell r="G1101">
            <v>0</v>
          </cell>
        </row>
        <row r="1102">
          <cell r="D1102">
            <v>0</v>
          </cell>
          <cell r="E1102">
            <v>0</v>
          </cell>
          <cell r="F1102">
            <v>0</v>
          </cell>
          <cell r="G1102">
            <v>0</v>
          </cell>
        </row>
        <row r="1103">
          <cell r="D1103">
            <v>0</v>
          </cell>
          <cell r="E1103">
            <v>0</v>
          </cell>
          <cell r="F1103">
            <v>0</v>
          </cell>
          <cell r="G1103">
            <v>0</v>
          </cell>
        </row>
        <row r="1104">
          <cell r="D1104">
            <v>0</v>
          </cell>
          <cell r="E1104">
            <v>0</v>
          </cell>
          <cell r="F1104">
            <v>0</v>
          </cell>
          <cell r="G1104">
            <v>0</v>
          </cell>
        </row>
        <row r="1105">
          <cell r="D1105">
            <v>0</v>
          </cell>
          <cell r="E1105">
            <v>0</v>
          </cell>
          <cell r="F1105">
            <v>0</v>
          </cell>
          <cell r="G1105">
            <v>0</v>
          </cell>
        </row>
        <row r="1106">
          <cell r="D1106">
            <v>0</v>
          </cell>
          <cell r="E1106">
            <v>0</v>
          </cell>
          <cell r="F1106">
            <v>0</v>
          </cell>
          <cell r="G1106">
            <v>0</v>
          </cell>
        </row>
        <row r="1107">
          <cell r="D1107">
            <v>0</v>
          </cell>
          <cell r="E1107">
            <v>0</v>
          </cell>
          <cell r="F1107">
            <v>0</v>
          </cell>
          <cell r="G1107">
            <v>0</v>
          </cell>
        </row>
        <row r="1108">
          <cell r="D1108">
            <v>0</v>
          </cell>
          <cell r="E1108">
            <v>0</v>
          </cell>
          <cell r="F1108">
            <v>0</v>
          </cell>
          <cell r="G1108">
            <v>0</v>
          </cell>
        </row>
        <row r="1109">
          <cell r="D1109">
            <v>0</v>
          </cell>
          <cell r="E1109">
            <v>0</v>
          </cell>
          <cell r="F1109">
            <v>0</v>
          </cell>
          <cell r="G1109">
            <v>0</v>
          </cell>
        </row>
        <row r="1110">
          <cell r="D1110">
            <v>0</v>
          </cell>
          <cell r="E1110">
            <v>0</v>
          </cell>
          <cell r="F1110">
            <v>0</v>
          </cell>
          <cell r="G1110">
            <v>0</v>
          </cell>
        </row>
        <row r="1111">
          <cell r="D1111">
            <v>0</v>
          </cell>
          <cell r="E1111">
            <v>0</v>
          </cell>
          <cell r="F1111">
            <v>0</v>
          </cell>
          <cell r="G1111">
            <v>0</v>
          </cell>
        </row>
        <row r="1112">
          <cell r="D1112">
            <v>0</v>
          </cell>
          <cell r="E1112">
            <v>0</v>
          </cell>
          <cell r="F1112">
            <v>0</v>
          </cell>
          <cell r="G1112">
            <v>0</v>
          </cell>
        </row>
        <row r="1113">
          <cell r="D1113">
            <v>0</v>
          </cell>
          <cell r="E1113">
            <v>0</v>
          </cell>
          <cell r="F1113">
            <v>0</v>
          </cell>
          <cell r="G1113">
            <v>0</v>
          </cell>
        </row>
        <row r="1114">
          <cell r="D1114">
            <v>0</v>
          </cell>
          <cell r="E1114">
            <v>0</v>
          </cell>
          <cell r="F1114">
            <v>0</v>
          </cell>
          <cell r="G1114">
            <v>0</v>
          </cell>
        </row>
        <row r="1115">
          <cell r="D1115">
            <v>0</v>
          </cell>
          <cell r="E1115">
            <v>0</v>
          </cell>
          <cell r="F1115">
            <v>0</v>
          </cell>
          <cell r="G1115">
            <v>0</v>
          </cell>
        </row>
        <row r="1116">
          <cell r="D1116">
            <v>0</v>
          </cell>
          <cell r="E1116">
            <v>0</v>
          </cell>
          <cell r="F1116">
            <v>0</v>
          </cell>
          <cell r="G1116">
            <v>0</v>
          </cell>
        </row>
        <row r="1117">
          <cell r="D1117">
            <v>0</v>
          </cell>
          <cell r="E1117">
            <v>0</v>
          </cell>
          <cell r="F1117">
            <v>0</v>
          </cell>
          <cell r="G1117">
            <v>0</v>
          </cell>
        </row>
        <row r="1118">
          <cell r="D1118">
            <v>0</v>
          </cell>
          <cell r="E1118">
            <v>0</v>
          </cell>
          <cell r="F1118">
            <v>0</v>
          </cell>
          <cell r="G1118">
            <v>0</v>
          </cell>
        </row>
        <row r="1119">
          <cell r="D1119">
            <v>0</v>
          </cell>
          <cell r="E1119">
            <v>0</v>
          </cell>
          <cell r="F1119">
            <v>0</v>
          </cell>
          <cell r="G1119">
            <v>0</v>
          </cell>
        </row>
        <row r="1120">
          <cell r="D1120">
            <v>0</v>
          </cell>
          <cell r="E1120">
            <v>0</v>
          </cell>
          <cell r="F1120">
            <v>0</v>
          </cell>
          <cell r="G1120">
            <v>0</v>
          </cell>
        </row>
        <row r="1121">
          <cell r="D1121">
            <v>0</v>
          </cell>
          <cell r="E1121">
            <v>0</v>
          </cell>
          <cell r="F1121">
            <v>0</v>
          </cell>
          <cell r="G1121">
            <v>0</v>
          </cell>
        </row>
        <row r="1122">
          <cell r="D1122">
            <v>0</v>
          </cell>
          <cell r="E1122">
            <v>0</v>
          </cell>
          <cell r="F1122">
            <v>0</v>
          </cell>
          <cell r="G1122">
            <v>0</v>
          </cell>
        </row>
        <row r="1123">
          <cell r="D1123">
            <v>0</v>
          </cell>
          <cell r="E1123">
            <v>0</v>
          </cell>
          <cell r="F1123">
            <v>0</v>
          </cell>
          <cell r="G1123">
            <v>0</v>
          </cell>
        </row>
        <row r="1124">
          <cell r="D1124">
            <v>0</v>
          </cell>
          <cell r="E1124">
            <v>0</v>
          </cell>
          <cell r="F1124">
            <v>0</v>
          </cell>
          <cell r="G1124">
            <v>0</v>
          </cell>
        </row>
        <row r="1125">
          <cell r="D1125">
            <v>0</v>
          </cell>
          <cell r="E1125">
            <v>0</v>
          </cell>
          <cell r="F1125">
            <v>0</v>
          </cell>
          <cell r="G1125">
            <v>0</v>
          </cell>
        </row>
        <row r="1126">
          <cell r="D1126">
            <v>0</v>
          </cell>
          <cell r="E1126">
            <v>0</v>
          </cell>
          <cell r="F1126">
            <v>0</v>
          </cell>
          <cell r="G1126">
            <v>0</v>
          </cell>
        </row>
        <row r="1127">
          <cell r="D1127">
            <v>0</v>
          </cell>
          <cell r="E1127">
            <v>0</v>
          </cell>
          <cell r="F1127">
            <v>0</v>
          </cell>
          <cell r="G1127">
            <v>0</v>
          </cell>
        </row>
        <row r="1128">
          <cell r="D1128">
            <v>0</v>
          </cell>
          <cell r="E1128">
            <v>0</v>
          </cell>
          <cell r="F1128">
            <v>0</v>
          </cell>
          <cell r="G1128">
            <v>0</v>
          </cell>
        </row>
        <row r="1129">
          <cell r="D1129">
            <v>0</v>
          </cell>
          <cell r="E1129">
            <v>0</v>
          </cell>
          <cell r="F1129">
            <v>0</v>
          </cell>
          <cell r="G1129">
            <v>0</v>
          </cell>
        </row>
        <row r="1130">
          <cell r="D1130">
            <v>0</v>
          </cell>
          <cell r="E1130">
            <v>0</v>
          </cell>
          <cell r="F1130">
            <v>0</v>
          </cell>
          <cell r="G1130">
            <v>0</v>
          </cell>
        </row>
        <row r="1131">
          <cell r="D1131">
            <v>0</v>
          </cell>
          <cell r="E1131">
            <v>0</v>
          </cell>
          <cell r="F1131">
            <v>0</v>
          </cell>
          <cell r="G1131">
            <v>0</v>
          </cell>
        </row>
        <row r="1132">
          <cell r="D1132">
            <v>0</v>
          </cell>
          <cell r="E1132">
            <v>0</v>
          </cell>
          <cell r="F1132">
            <v>0</v>
          </cell>
          <cell r="G1132">
            <v>0</v>
          </cell>
        </row>
        <row r="1133">
          <cell r="D1133">
            <v>0</v>
          </cell>
          <cell r="E1133">
            <v>0</v>
          </cell>
          <cell r="F1133">
            <v>0</v>
          </cell>
          <cell r="G1133">
            <v>0</v>
          </cell>
        </row>
        <row r="1134">
          <cell r="D1134">
            <v>0</v>
          </cell>
          <cell r="E1134">
            <v>0</v>
          </cell>
          <cell r="F1134">
            <v>0</v>
          </cell>
          <cell r="G1134">
            <v>0</v>
          </cell>
        </row>
        <row r="1135">
          <cell r="D1135">
            <v>0</v>
          </cell>
          <cell r="E1135">
            <v>0</v>
          </cell>
          <cell r="F1135">
            <v>0</v>
          </cell>
          <cell r="G1135">
            <v>0</v>
          </cell>
        </row>
        <row r="1136">
          <cell r="D1136">
            <v>0</v>
          </cell>
          <cell r="E1136">
            <v>0</v>
          </cell>
          <cell r="F1136">
            <v>0</v>
          </cell>
          <cell r="G1136">
            <v>0</v>
          </cell>
        </row>
        <row r="1137">
          <cell r="D1137">
            <v>0</v>
          </cell>
          <cell r="E1137">
            <v>0</v>
          </cell>
          <cell r="F1137">
            <v>0</v>
          </cell>
          <cell r="G1137">
            <v>0</v>
          </cell>
        </row>
        <row r="1138">
          <cell r="D1138">
            <v>0</v>
          </cell>
          <cell r="E1138">
            <v>0</v>
          </cell>
          <cell r="F1138">
            <v>0</v>
          </cell>
          <cell r="G1138">
            <v>0</v>
          </cell>
        </row>
        <row r="1139">
          <cell r="D1139">
            <v>0</v>
          </cell>
          <cell r="E1139">
            <v>0</v>
          </cell>
          <cell r="F1139">
            <v>0</v>
          </cell>
          <cell r="G1139">
            <v>0</v>
          </cell>
        </row>
        <row r="1140">
          <cell r="D1140">
            <v>0</v>
          </cell>
          <cell r="E1140">
            <v>0</v>
          </cell>
          <cell r="F1140">
            <v>0</v>
          </cell>
          <cell r="G1140">
            <v>0</v>
          </cell>
        </row>
        <row r="1141">
          <cell r="D1141">
            <v>0</v>
          </cell>
          <cell r="E1141">
            <v>0</v>
          </cell>
          <cell r="F1141">
            <v>0</v>
          </cell>
          <cell r="G1141">
            <v>0</v>
          </cell>
        </row>
        <row r="1142">
          <cell r="D1142">
            <v>0</v>
          </cell>
          <cell r="E1142">
            <v>0</v>
          </cell>
          <cell r="F1142">
            <v>0</v>
          </cell>
          <cell r="G1142">
            <v>0</v>
          </cell>
        </row>
        <row r="1143">
          <cell r="D1143">
            <v>0</v>
          </cell>
          <cell r="E1143">
            <v>0</v>
          </cell>
          <cell r="F1143">
            <v>0</v>
          </cell>
          <cell r="G1143">
            <v>0</v>
          </cell>
        </row>
        <row r="1144">
          <cell r="D1144">
            <v>0</v>
          </cell>
          <cell r="E1144">
            <v>0</v>
          </cell>
          <cell r="F1144">
            <v>0</v>
          </cell>
          <cell r="G1144">
            <v>0</v>
          </cell>
        </row>
        <row r="1145">
          <cell r="D1145">
            <v>0</v>
          </cell>
          <cell r="E1145">
            <v>0</v>
          </cell>
          <cell r="F1145">
            <v>0</v>
          </cell>
          <cell r="G1145">
            <v>0</v>
          </cell>
        </row>
        <row r="1146">
          <cell r="D1146">
            <v>0</v>
          </cell>
          <cell r="E1146">
            <v>0</v>
          </cell>
          <cell r="F1146">
            <v>0</v>
          </cell>
          <cell r="G1146">
            <v>0</v>
          </cell>
        </row>
        <row r="1147">
          <cell r="D1147">
            <v>0</v>
          </cell>
          <cell r="E1147">
            <v>0</v>
          </cell>
          <cell r="F1147">
            <v>0</v>
          </cell>
          <cell r="G1147">
            <v>0</v>
          </cell>
        </row>
        <row r="1148">
          <cell r="D1148">
            <v>0</v>
          </cell>
          <cell r="E1148">
            <v>0</v>
          </cell>
          <cell r="F1148">
            <v>0</v>
          </cell>
          <cell r="G1148">
            <v>0</v>
          </cell>
        </row>
        <row r="1149">
          <cell r="D1149">
            <v>0</v>
          </cell>
          <cell r="E1149">
            <v>0</v>
          </cell>
          <cell r="F1149">
            <v>0</v>
          </cell>
          <cell r="G1149">
            <v>0</v>
          </cell>
        </row>
        <row r="1150">
          <cell r="D1150">
            <v>0</v>
          </cell>
          <cell r="E1150">
            <v>0</v>
          </cell>
          <cell r="F1150">
            <v>0</v>
          </cell>
          <cell r="G1150">
            <v>0</v>
          </cell>
        </row>
        <row r="1151">
          <cell r="D1151">
            <v>0</v>
          </cell>
          <cell r="E1151">
            <v>0</v>
          </cell>
          <cell r="F1151">
            <v>0</v>
          </cell>
          <cell r="G1151">
            <v>0</v>
          </cell>
        </row>
        <row r="1152">
          <cell r="D1152">
            <v>0</v>
          </cell>
          <cell r="E1152">
            <v>0</v>
          </cell>
          <cell r="F1152">
            <v>0</v>
          </cell>
          <cell r="G1152">
            <v>0</v>
          </cell>
        </row>
        <row r="1153">
          <cell r="D1153">
            <v>0</v>
          </cell>
          <cell r="E1153">
            <v>0</v>
          </cell>
          <cell r="F1153">
            <v>0</v>
          </cell>
          <cell r="G1153">
            <v>0</v>
          </cell>
        </row>
        <row r="1154">
          <cell r="D1154">
            <v>0</v>
          </cell>
          <cell r="E1154">
            <v>0</v>
          </cell>
          <cell r="F1154">
            <v>0</v>
          </cell>
          <cell r="G1154">
            <v>0</v>
          </cell>
        </row>
        <row r="1155">
          <cell r="D1155">
            <v>0</v>
          </cell>
          <cell r="E1155">
            <v>0</v>
          </cell>
          <cell r="F1155">
            <v>0</v>
          </cell>
          <cell r="G1155">
            <v>0</v>
          </cell>
        </row>
        <row r="1156">
          <cell r="D1156">
            <v>0</v>
          </cell>
          <cell r="E1156">
            <v>0</v>
          </cell>
          <cell r="F1156">
            <v>0</v>
          </cell>
          <cell r="G1156">
            <v>0</v>
          </cell>
        </row>
        <row r="1157">
          <cell r="D1157">
            <v>0</v>
          </cell>
          <cell r="E1157">
            <v>0</v>
          </cell>
          <cell r="F1157">
            <v>0</v>
          </cell>
          <cell r="G1157">
            <v>0</v>
          </cell>
        </row>
        <row r="1158">
          <cell r="D1158">
            <v>0</v>
          </cell>
          <cell r="E1158">
            <v>0</v>
          </cell>
          <cell r="F1158">
            <v>0</v>
          </cell>
          <cell r="G1158">
            <v>0</v>
          </cell>
        </row>
        <row r="1159">
          <cell r="D1159">
            <v>0</v>
          </cell>
          <cell r="E1159">
            <v>0</v>
          </cell>
          <cell r="F1159">
            <v>0</v>
          </cell>
          <cell r="G1159">
            <v>0</v>
          </cell>
        </row>
        <row r="1160">
          <cell r="D1160">
            <v>0</v>
          </cell>
          <cell r="E1160">
            <v>0</v>
          </cell>
          <cell r="F1160">
            <v>0</v>
          </cell>
          <cell r="G1160">
            <v>0</v>
          </cell>
        </row>
        <row r="1161">
          <cell r="D1161">
            <v>0</v>
          </cell>
          <cell r="E1161">
            <v>0</v>
          </cell>
          <cell r="F1161">
            <v>0</v>
          </cell>
          <cell r="G1161">
            <v>0</v>
          </cell>
        </row>
        <row r="1162">
          <cell r="D1162">
            <v>0</v>
          </cell>
          <cell r="E1162">
            <v>0</v>
          </cell>
          <cell r="F1162">
            <v>0</v>
          </cell>
          <cell r="G1162">
            <v>0</v>
          </cell>
        </row>
        <row r="1163">
          <cell r="D1163">
            <v>0</v>
          </cell>
          <cell r="E1163">
            <v>0</v>
          </cell>
          <cell r="F1163">
            <v>0</v>
          </cell>
          <cell r="G1163">
            <v>0</v>
          </cell>
        </row>
        <row r="1164">
          <cell r="D1164">
            <v>0</v>
          </cell>
          <cell r="E1164">
            <v>0</v>
          </cell>
          <cell r="F1164">
            <v>0</v>
          </cell>
          <cell r="G1164">
            <v>0</v>
          </cell>
        </row>
        <row r="1165">
          <cell r="D1165">
            <v>0</v>
          </cell>
          <cell r="E1165">
            <v>0</v>
          </cell>
          <cell r="F1165">
            <v>0</v>
          </cell>
          <cell r="G1165">
            <v>0</v>
          </cell>
        </row>
        <row r="1166">
          <cell r="D1166">
            <v>0</v>
          </cell>
          <cell r="E1166">
            <v>0</v>
          </cell>
          <cell r="F1166">
            <v>0</v>
          </cell>
          <cell r="G1166">
            <v>0</v>
          </cell>
        </row>
        <row r="1167">
          <cell r="D1167">
            <v>0</v>
          </cell>
          <cell r="E1167">
            <v>0</v>
          </cell>
          <cell r="F1167">
            <v>0</v>
          </cell>
          <cell r="G1167">
            <v>0</v>
          </cell>
        </row>
        <row r="1168">
          <cell r="D1168">
            <v>0</v>
          </cell>
          <cell r="E1168">
            <v>0</v>
          </cell>
          <cell r="F1168">
            <v>0</v>
          </cell>
          <cell r="G1168">
            <v>0</v>
          </cell>
        </row>
        <row r="1169">
          <cell r="D1169">
            <v>0</v>
          </cell>
          <cell r="E1169">
            <v>0</v>
          </cell>
          <cell r="F1169">
            <v>0</v>
          </cell>
          <cell r="G1169">
            <v>0</v>
          </cell>
        </row>
        <row r="1170">
          <cell r="D1170">
            <v>0</v>
          </cell>
          <cell r="E1170">
            <v>0</v>
          </cell>
          <cell r="F1170">
            <v>0</v>
          </cell>
          <cell r="G1170">
            <v>0</v>
          </cell>
        </row>
        <row r="1171">
          <cell r="D1171">
            <v>0</v>
          </cell>
          <cell r="E1171">
            <v>0</v>
          </cell>
          <cell r="F1171">
            <v>0</v>
          </cell>
          <cell r="G1171">
            <v>0</v>
          </cell>
        </row>
        <row r="1172">
          <cell r="D1172">
            <v>0</v>
          </cell>
          <cell r="E1172">
            <v>0</v>
          </cell>
          <cell r="F1172">
            <v>0</v>
          </cell>
          <cell r="G1172">
            <v>0</v>
          </cell>
        </row>
        <row r="1173">
          <cell r="D1173">
            <v>0</v>
          </cell>
          <cell r="E1173">
            <v>0</v>
          </cell>
          <cell r="F1173">
            <v>0</v>
          </cell>
          <cell r="G1173">
            <v>0</v>
          </cell>
        </row>
        <row r="1174">
          <cell r="D1174">
            <v>0</v>
          </cell>
          <cell r="E1174">
            <v>0</v>
          </cell>
          <cell r="F1174">
            <v>0</v>
          </cell>
          <cell r="G1174">
            <v>0</v>
          </cell>
        </row>
        <row r="1175">
          <cell r="D1175">
            <v>0</v>
          </cell>
          <cell r="E1175">
            <v>0</v>
          </cell>
          <cell r="F1175">
            <v>0</v>
          </cell>
          <cell r="G1175">
            <v>0</v>
          </cell>
        </row>
        <row r="1176">
          <cell r="D1176">
            <v>0</v>
          </cell>
          <cell r="E1176">
            <v>0</v>
          </cell>
          <cell r="F1176">
            <v>0</v>
          </cell>
          <cell r="G1176">
            <v>0</v>
          </cell>
        </row>
        <row r="1177">
          <cell r="D1177">
            <v>0</v>
          </cell>
          <cell r="E1177">
            <v>0</v>
          </cell>
          <cell r="F1177">
            <v>0</v>
          </cell>
          <cell r="G1177">
            <v>0</v>
          </cell>
        </row>
        <row r="1178">
          <cell r="D1178">
            <v>0</v>
          </cell>
          <cell r="E1178">
            <v>0</v>
          </cell>
          <cell r="F1178">
            <v>0</v>
          </cell>
          <cell r="G1178">
            <v>0</v>
          </cell>
        </row>
        <row r="1179">
          <cell r="D1179">
            <v>0</v>
          </cell>
          <cell r="E1179">
            <v>0</v>
          </cell>
          <cell r="F1179">
            <v>0</v>
          </cell>
          <cell r="G1179">
            <v>0</v>
          </cell>
        </row>
        <row r="1180">
          <cell r="D1180">
            <v>0</v>
          </cell>
          <cell r="E1180">
            <v>0</v>
          </cell>
          <cell r="F1180">
            <v>0</v>
          </cell>
          <cell r="G1180">
            <v>0</v>
          </cell>
        </row>
        <row r="1181">
          <cell r="D1181">
            <v>0</v>
          </cell>
          <cell r="E1181">
            <v>0</v>
          </cell>
          <cell r="F1181">
            <v>0</v>
          </cell>
          <cell r="G1181">
            <v>0</v>
          </cell>
        </row>
        <row r="1182">
          <cell r="D1182">
            <v>0</v>
          </cell>
          <cell r="E1182">
            <v>0</v>
          </cell>
          <cell r="F1182">
            <v>0</v>
          </cell>
          <cell r="G1182">
            <v>0</v>
          </cell>
        </row>
        <row r="1183">
          <cell r="D1183">
            <v>0</v>
          </cell>
          <cell r="E1183">
            <v>0</v>
          </cell>
          <cell r="F1183">
            <v>0</v>
          </cell>
          <cell r="G1183">
            <v>0</v>
          </cell>
        </row>
        <row r="1184">
          <cell r="D1184">
            <v>0</v>
          </cell>
          <cell r="E1184">
            <v>0</v>
          </cell>
          <cell r="F1184">
            <v>0</v>
          </cell>
          <cell r="G1184">
            <v>0</v>
          </cell>
        </row>
        <row r="1185">
          <cell r="D1185">
            <v>0</v>
          </cell>
          <cell r="E1185">
            <v>0</v>
          </cell>
          <cell r="F1185">
            <v>0</v>
          </cell>
          <cell r="G1185">
            <v>0</v>
          </cell>
        </row>
        <row r="1186">
          <cell r="D1186">
            <v>0</v>
          </cell>
          <cell r="E1186">
            <v>0</v>
          </cell>
          <cell r="F1186">
            <v>0</v>
          </cell>
          <cell r="G1186">
            <v>0</v>
          </cell>
        </row>
        <row r="1187">
          <cell r="D1187">
            <v>0</v>
          </cell>
          <cell r="E1187">
            <v>0</v>
          </cell>
          <cell r="F1187">
            <v>0</v>
          </cell>
          <cell r="G1187">
            <v>0</v>
          </cell>
        </row>
        <row r="1188">
          <cell r="D1188">
            <v>0</v>
          </cell>
          <cell r="E1188">
            <v>0</v>
          </cell>
          <cell r="F1188">
            <v>0</v>
          </cell>
          <cell r="G1188">
            <v>0</v>
          </cell>
        </row>
        <row r="1189">
          <cell r="D1189">
            <v>0</v>
          </cell>
          <cell r="E1189">
            <v>0</v>
          </cell>
          <cell r="F1189">
            <v>0</v>
          </cell>
          <cell r="G1189">
            <v>0</v>
          </cell>
        </row>
        <row r="1190">
          <cell r="D1190">
            <v>0</v>
          </cell>
          <cell r="E1190">
            <v>0</v>
          </cell>
          <cell r="F1190">
            <v>0</v>
          </cell>
          <cell r="G1190">
            <v>0</v>
          </cell>
        </row>
        <row r="1191">
          <cell r="D1191">
            <v>0</v>
          </cell>
          <cell r="E1191">
            <v>0</v>
          </cell>
          <cell r="F1191">
            <v>0</v>
          </cell>
          <cell r="G1191">
            <v>0</v>
          </cell>
        </row>
        <row r="1192">
          <cell r="D1192">
            <v>0</v>
          </cell>
          <cell r="E1192">
            <v>0</v>
          </cell>
          <cell r="F1192">
            <v>0</v>
          </cell>
          <cell r="G1192">
            <v>0</v>
          </cell>
        </row>
        <row r="1193">
          <cell r="D1193">
            <v>0</v>
          </cell>
          <cell r="E1193">
            <v>0</v>
          </cell>
          <cell r="F1193">
            <v>0</v>
          </cell>
          <cell r="G1193">
            <v>0</v>
          </cell>
        </row>
        <row r="1194">
          <cell r="D1194">
            <v>0</v>
          </cell>
          <cell r="E1194">
            <v>0</v>
          </cell>
          <cell r="F1194">
            <v>0</v>
          </cell>
          <cell r="G1194">
            <v>0</v>
          </cell>
        </row>
        <row r="1195">
          <cell r="D1195">
            <v>0</v>
          </cell>
          <cell r="E1195">
            <v>0</v>
          </cell>
          <cell r="F1195">
            <v>0</v>
          </cell>
          <cell r="G1195">
            <v>0</v>
          </cell>
        </row>
        <row r="1196">
          <cell r="D1196">
            <v>0</v>
          </cell>
          <cell r="E1196">
            <v>0</v>
          </cell>
          <cell r="F1196">
            <v>0</v>
          </cell>
          <cell r="G1196">
            <v>0</v>
          </cell>
        </row>
        <row r="1197">
          <cell r="D1197">
            <v>0</v>
          </cell>
          <cell r="E1197">
            <v>0</v>
          </cell>
          <cell r="F1197">
            <v>0</v>
          </cell>
          <cell r="G1197">
            <v>0</v>
          </cell>
        </row>
        <row r="1198">
          <cell r="D1198">
            <v>0</v>
          </cell>
          <cell r="E1198">
            <v>0</v>
          </cell>
          <cell r="F1198">
            <v>0</v>
          </cell>
          <cell r="G1198">
            <v>0</v>
          </cell>
        </row>
        <row r="1199">
          <cell r="D1199">
            <v>0</v>
          </cell>
          <cell r="E1199">
            <v>0</v>
          </cell>
          <cell r="F1199">
            <v>0</v>
          </cell>
          <cell r="G1199">
            <v>0</v>
          </cell>
        </row>
        <row r="1200">
          <cell r="D1200">
            <v>0</v>
          </cell>
          <cell r="E1200">
            <v>0</v>
          </cell>
          <cell r="F1200">
            <v>0</v>
          </cell>
          <cell r="G1200">
            <v>0</v>
          </cell>
        </row>
        <row r="1201">
          <cell r="D1201">
            <v>0</v>
          </cell>
          <cell r="E1201">
            <v>0</v>
          </cell>
          <cell r="F1201">
            <v>0</v>
          </cell>
          <cell r="G1201">
            <v>0</v>
          </cell>
        </row>
        <row r="1202">
          <cell r="D1202">
            <v>0</v>
          </cell>
          <cell r="E1202">
            <v>0</v>
          </cell>
          <cell r="F1202">
            <v>0</v>
          </cell>
          <cell r="G1202">
            <v>0</v>
          </cell>
        </row>
        <row r="1203">
          <cell r="D1203">
            <v>0</v>
          </cell>
          <cell r="E1203">
            <v>0</v>
          </cell>
          <cell r="F1203">
            <v>0</v>
          </cell>
          <cell r="G1203">
            <v>0</v>
          </cell>
        </row>
        <row r="1204">
          <cell r="D1204">
            <v>0</v>
          </cell>
          <cell r="E1204">
            <v>0</v>
          </cell>
          <cell r="F1204">
            <v>0</v>
          </cell>
          <cell r="G1204">
            <v>0</v>
          </cell>
        </row>
        <row r="1205">
          <cell r="D1205">
            <v>0</v>
          </cell>
          <cell r="E1205">
            <v>0</v>
          </cell>
          <cell r="F1205">
            <v>0</v>
          </cell>
          <cell r="G1205">
            <v>0</v>
          </cell>
        </row>
        <row r="1206">
          <cell r="D1206">
            <v>0</v>
          </cell>
          <cell r="E1206">
            <v>0</v>
          </cell>
          <cell r="F1206">
            <v>0</v>
          </cell>
          <cell r="G1206">
            <v>0</v>
          </cell>
        </row>
        <row r="1207">
          <cell r="D1207">
            <v>0</v>
          </cell>
          <cell r="E1207">
            <v>0</v>
          </cell>
          <cell r="F1207">
            <v>0</v>
          </cell>
          <cell r="G1207">
            <v>0</v>
          </cell>
        </row>
        <row r="1208">
          <cell r="D1208">
            <v>0</v>
          </cell>
          <cell r="E1208">
            <v>0</v>
          </cell>
          <cell r="F1208">
            <v>0</v>
          </cell>
          <cell r="G1208">
            <v>0</v>
          </cell>
        </row>
        <row r="1209">
          <cell r="D1209">
            <v>0</v>
          </cell>
          <cell r="E1209">
            <v>0</v>
          </cell>
          <cell r="F1209">
            <v>0</v>
          </cell>
          <cell r="G1209">
            <v>0</v>
          </cell>
        </row>
        <row r="1210">
          <cell r="D1210">
            <v>0</v>
          </cell>
          <cell r="E1210">
            <v>0</v>
          </cell>
          <cell r="F1210">
            <v>0</v>
          </cell>
          <cell r="G1210">
            <v>0</v>
          </cell>
        </row>
        <row r="1211">
          <cell r="D1211">
            <v>0</v>
          </cell>
          <cell r="E1211">
            <v>0</v>
          </cell>
          <cell r="F1211">
            <v>0</v>
          </cell>
          <cell r="G1211">
            <v>0</v>
          </cell>
        </row>
        <row r="1212">
          <cell r="D1212">
            <v>0</v>
          </cell>
          <cell r="E1212">
            <v>0</v>
          </cell>
          <cell r="F1212">
            <v>0</v>
          </cell>
          <cell r="G1212">
            <v>0</v>
          </cell>
        </row>
        <row r="1213">
          <cell r="D1213">
            <v>0</v>
          </cell>
          <cell r="E1213">
            <v>0</v>
          </cell>
          <cell r="F1213">
            <v>0</v>
          </cell>
          <cell r="G1213">
            <v>0</v>
          </cell>
        </row>
        <row r="1214">
          <cell r="D1214">
            <v>0</v>
          </cell>
          <cell r="E1214">
            <v>0</v>
          </cell>
          <cell r="F1214">
            <v>0</v>
          </cell>
          <cell r="G1214">
            <v>0</v>
          </cell>
        </row>
        <row r="1215">
          <cell r="D1215">
            <v>0</v>
          </cell>
          <cell r="E1215">
            <v>0</v>
          </cell>
          <cell r="F1215">
            <v>0</v>
          </cell>
          <cell r="G1215">
            <v>0</v>
          </cell>
        </row>
        <row r="1216">
          <cell r="D1216">
            <v>0</v>
          </cell>
          <cell r="E1216">
            <v>0</v>
          </cell>
          <cell r="F1216">
            <v>0</v>
          </cell>
          <cell r="G1216">
            <v>0</v>
          </cell>
        </row>
        <row r="1217">
          <cell r="D1217">
            <v>0</v>
          </cell>
          <cell r="E1217">
            <v>0</v>
          </cell>
          <cell r="F1217">
            <v>0</v>
          </cell>
          <cell r="G1217">
            <v>0</v>
          </cell>
        </row>
        <row r="1218">
          <cell r="D1218">
            <v>0</v>
          </cell>
          <cell r="E1218">
            <v>0</v>
          </cell>
          <cell r="F1218">
            <v>0</v>
          </cell>
          <cell r="G1218">
            <v>0</v>
          </cell>
        </row>
        <row r="1219">
          <cell r="D1219">
            <v>0</v>
          </cell>
          <cell r="E1219">
            <v>0</v>
          </cell>
          <cell r="F1219">
            <v>0</v>
          </cell>
          <cell r="G1219">
            <v>0</v>
          </cell>
        </row>
        <row r="1220">
          <cell r="D1220">
            <v>0</v>
          </cell>
          <cell r="E1220">
            <v>0</v>
          </cell>
          <cell r="F1220">
            <v>0</v>
          </cell>
          <cell r="G1220">
            <v>0</v>
          </cell>
        </row>
        <row r="1221">
          <cell r="D1221">
            <v>0</v>
          </cell>
          <cell r="E1221">
            <v>0</v>
          </cell>
          <cell r="F1221">
            <v>0</v>
          </cell>
          <cell r="G1221">
            <v>0</v>
          </cell>
        </row>
        <row r="1222">
          <cell r="D1222">
            <v>0</v>
          </cell>
          <cell r="E1222">
            <v>0</v>
          </cell>
          <cell r="F1222">
            <v>0</v>
          </cell>
          <cell r="G1222">
            <v>0</v>
          </cell>
        </row>
        <row r="1223">
          <cell r="D1223">
            <v>0</v>
          </cell>
          <cell r="E1223">
            <v>0</v>
          </cell>
          <cell r="F1223">
            <v>0</v>
          </cell>
          <cell r="G1223">
            <v>0</v>
          </cell>
        </row>
        <row r="1224">
          <cell r="D1224">
            <v>0</v>
          </cell>
          <cell r="E1224">
            <v>0</v>
          </cell>
          <cell r="F1224">
            <v>0</v>
          </cell>
          <cell r="G1224">
            <v>0</v>
          </cell>
        </row>
        <row r="1225">
          <cell r="D1225">
            <v>0</v>
          </cell>
          <cell r="E1225">
            <v>0</v>
          </cell>
          <cell r="F1225">
            <v>0</v>
          </cell>
          <cell r="G1225">
            <v>0</v>
          </cell>
        </row>
        <row r="1226">
          <cell r="D1226">
            <v>0</v>
          </cell>
          <cell r="E1226">
            <v>0</v>
          </cell>
          <cell r="F1226">
            <v>0</v>
          </cell>
          <cell r="G1226">
            <v>0</v>
          </cell>
        </row>
        <row r="1227">
          <cell r="D1227">
            <v>0</v>
          </cell>
          <cell r="E1227">
            <v>0</v>
          </cell>
          <cell r="F1227">
            <v>0</v>
          </cell>
          <cell r="G1227">
            <v>0</v>
          </cell>
        </row>
        <row r="1228">
          <cell r="D1228">
            <v>0</v>
          </cell>
          <cell r="E1228">
            <v>0</v>
          </cell>
          <cell r="F1228">
            <v>0</v>
          </cell>
          <cell r="G1228">
            <v>0</v>
          </cell>
        </row>
        <row r="1229">
          <cell r="D1229">
            <v>0</v>
          </cell>
          <cell r="E1229">
            <v>0</v>
          </cell>
          <cell r="F1229">
            <v>0</v>
          </cell>
          <cell r="G1229">
            <v>0</v>
          </cell>
        </row>
        <row r="1230">
          <cell r="D1230">
            <v>0</v>
          </cell>
          <cell r="E1230">
            <v>0</v>
          </cell>
          <cell r="F1230">
            <v>0</v>
          </cell>
          <cell r="G1230">
            <v>0</v>
          </cell>
        </row>
        <row r="1231">
          <cell r="D1231">
            <v>0</v>
          </cell>
          <cell r="E1231">
            <v>0</v>
          </cell>
          <cell r="F1231">
            <v>0</v>
          </cell>
          <cell r="G1231">
            <v>0</v>
          </cell>
        </row>
        <row r="1232">
          <cell r="D1232">
            <v>0</v>
          </cell>
          <cell r="E1232">
            <v>0</v>
          </cell>
          <cell r="F1232">
            <v>0</v>
          </cell>
          <cell r="G1232">
            <v>0</v>
          </cell>
        </row>
        <row r="1233">
          <cell r="D1233">
            <v>0</v>
          </cell>
          <cell r="E1233">
            <v>0</v>
          </cell>
          <cell r="F1233">
            <v>0</v>
          </cell>
          <cell r="G1233">
            <v>0</v>
          </cell>
        </row>
        <row r="1234">
          <cell r="D1234">
            <v>0</v>
          </cell>
          <cell r="E1234">
            <v>0</v>
          </cell>
          <cell r="F1234">
            <v>0</v>
          </cell>
          <cell r="G1234">
            <v>0</v>
          </cell>
        </row>
        <row r="1235">
          <cell r="D1235">
            <v>0</v>
          </cell>
          <cell r="E1235">
            <v>0</v>
          </cell>
          <cell r="F1235">
            <v>0</v>
          </cell>
          <cell r="G1235">
            <v>0</v>
          </cell>
        </row>
        <row r="1236">
          <cell r="D1236">
            <v>0</v>
          </cell>
          <cell r="E1236">
            <v>0</v>
          </cell>
          <cell r="F1236">
            <v>0</v>
          </cell>
          <cell r="G1236">
            <v>0</v>
          </cell>
        </row>
        <row r="1237">
          <cell r="D1237">
            <v>0</v>
          </cell>
          <cell r="E1237">
            <v>0</v>
          </cell>
          <cell r="F1237">
            <v>0</v>
          </cell>
          <cell r="G1237">
            <v>0</v>
          </cell>
        </row>
        <row r="1238">
          <cell r="D1238">
            <v>0</v>
          </cell>
          <cell r="E1238">
            <v>0</v>
          </cell>
          <cell r="F1238">
            <v>0</v>
          </cell>
          <cell r="G1238">
            <v>0</v>
          </cell>
        </row>
        <row r="1239">
          <cell r="D1239">
            <v>0</v>
          </cell>
          <cell r="E1239">
            <v>0</v>
          </cell>
          <cell r="F1239">
            <v>0</v>
          </cell>
          <cell r="G1239">
            <v>0</v>
          </cell>
        </row>
        <row r="1240">
          <cell r="D1240">
            <v>0</v>
          </cell>
          <cell r="E1240">
            <v>0</v>
          </cell>
          <cell r="F1240">
            <v>0</v>
          </cell>
          <cell r="G1240">
            <v>0</v>
          </cell>
        </row>
        <row r="1241">
          <cell r="D1241">
            <v>0</v>
          </cell>
          <cell r="E1241">
            <v>0</v>
          </cell>
          <cell r="F1241">
            <v>0</v>
          </cell>
          <cell r="G1241">
            <v>0</v>
          </cell>
        </row>
        <row r="1242">
          <cell r="D1242">
            <v>0</v>
          </cell>
          <cell r="E1242">
            <v>0</v>
          </cell>
          <cell r="F1242">
            <v>0</v>
          </cell>
          <cell r="G1242">
            <v>0</v>
          </cell>
        </row>
        <row r="1243">
          <cell r="D1243">
            <v>0</v>
          </cell>
          <cell r="E1243">
            <v>0</v>
          </cell>
          <cell r="F1243">
            <v>0</v>
          </cell>
          <cell r="G1243">
            <v>0</v>
          </cell>
        </row>
        <row r="1244">
          <cell r="D1244">
            <v>0</v>
          </cell>
          <cell r="E1244">
            <v>0</v>
          </cell>
          <cell r="F1244">
            <v>0</v>
          </cell>
          <cell r="G1244">
            <v>0</v>
          </cell>
        </row>
        <row r="1245">
          <cell r="D1245">
            <v>0</v>
          </cell>
          <cell r="E1245">
            <v>0</v>
          </cell>
          <cell r="F1245">
            <v>0</v>
          </cell>
          <cell r="G1245">
            <v>0</v>
          </cell>
        </row>
        <row r="1246">
          <cell r="D1246">
            <v>0</v>
          </cell>
          <cell r="E1246">
            <v>0</v>
          </cell>
          <cell r="F1246">
            <v>0</v>
          </cell>
          <cell r="G1246">
            <v>0</v>
          </cell>
        </row>
        <row r="1247">
          <cell r="D1247">
            <v>0</v>
          </cell>
          <cell r="E1247">
            <v>0</v>
          </cell>
          <cell r="F1247">
            <v>0</v>
          </cell>
          <cell r="G1247">
            <v>0</v>
          </cell>
        </row>
        <row r="1248">
          <cell r="D1248">
            <v>0</v>
          </cell>
          <cell r="E1248">
            <v>0</v>
          </cell>
          <cell r="F1248">
            <v>0</v>
          </cell>
          <cell r="G1248">
            <v>0</v>
          </cell>
        </row>
        <row r="1249">
          <cell r="D1249">
            <v>0</v>
          </cell>
          <cell r="E1249">
            <v>0</v>
          </cell>
          <cell r="F1249">
            <v>0</v>
          </cell>
          <cell r="G1249">
            <v>0</v>
          </cell>
        </row>
        <row r="1250">
          <cell r="D1250">
            <v>0</v>
          </cell>
          <cell r="E1250">
            <v>0</v>
          </cell>
          <cell r="F1250">
            <v>0</v>
          </cell>
          <cell r="G1250">
            <v>0</v>
          </cell>
        </row>
        <row r="1251">
          <cell r="D1251">
            <v>0</v>
          </cell>
          <cell r="E1251">
            <v>0</v>
          </cell>
          <cell r="F1251">
            <v>0</v>
          </cell>
          <cell r="G1251">
            <v>0</v>
          </cell>
        </row>
        <row r="1252">
          <cell r="D1252">
            <v>0</v>
          </cell>
          <cell r="E1252">
            <v>0</v>
          </cell>
          <cell r="F1252">
            <v>0</v>
          </cell>
          <cell r="G1252">
            <v>0</v>
          </cell>
        </row>
        <row r="1253">
          <cell r="D1253">
            <v>0</v>
          </cell>
          <cell r="E1253">
            <v>0</v>
          </cell>
          <cell r="F1253">
            <v>0</v>
          </cell>
          <cell r="G1253">
            <v>0</v>
          </cell>
        </row>
        <row r="1254">
          <cell r="D1254">
            <v>0</v>
          </cell>
          <cell r="E1254">
            <v>0</v>
          </cell>
          <cell r="F1254">
            <v>0</v>
          </cell>
          <cell r="G1254">
            <v>0</v>
          </cell>
        </row>
        <row r="1255">
          <cell r="D1255">
            <v>0</v>
          </cell>
          <cell r="E1255">
            <v>0</v>
          </cell>
          <cell r="F1255">
            <v>0</v>
          </cell>
          <cell r="G1255">
            <v>0</v>
          </cell>
        </row>
        <row r="1256">
          <cell r="D1256">
            <v>0</v>
          </cell>
          <cell r="E1256">
            <v>0</v>
          </cell>
          <cell r="F1256">
            <v>0</v>
          </cell>
          <cell r="G1256">
            <v>0</v>
          </cell>
        </row>
        <row r="1257">
          <cell r="D1257">
            <v>0</v>
          </cell>
          <cell r="E1257">
            <v>0</v>
          </cell>
          <cell r="F1257">
            <v>0</v>
          </cell>
          <cell r="G1257">
            <v>0</v>
          </cell>
        </row>
        <row r="1258">
          <cell r="D1258">
            <v>0</v>
          </cell>
          <cell r="E1258">
            <v>0</v>
          </cell>
          <cell r="F1258">
            <v>0</v>
          </cell>
          <cell r="G1258">
            <v>0</v>
          </cell>
        </row>
        <row r="1259">
          <cell r="D1259">
            <v>0</v>
          </cell>
          <cell r="E1259">
            <v>0</v>
          </cell>
          <cell r="F1259">
            <v>0</v>
          </cell>
          <cell r="G1259">
            <v>0</v>
          </cell>
        </row>
        <row r="1260">
          <cell r="D1260">
            <v>0</v>
          </cell>
          <cell r="E1260">
            <v>0</v>
          </cell>
          <cell r="F1260">
            <v>0</v>
          </cell>
          <cell r="G1260">
            <v>0</v>
          </cell>
        </row>
        <row r="1261">
          <cell r="D1261">
            <v>0</v>
          </cell>
          <cell r="E1261">
            <v>0</v>
          </cell>
          <cell r="F1261">
            <v>0</v>
          </cell>
          <cell r="G1261">
            <v>0</v>
          </cell>
        </row>
        <row r="1262">
          <cell r="D1262">
            <v>0</v>
          </cell>
          <cell r="E1262">
            <v>0</v>
          </cell>
          <cell r="F1262">
            <v>0</v>
          </cell>
          <cell r="G1262">
            <v>0</v>
          </cell>
        </row>
        <row r="1263">
          <cell r="D1263">
            <v>0</v>
          </cell>
          <cell r="E1263">
            <v>0</v>
          </cell>
          <cell r="F1263">
            <v>0</v>
          </cell>
          <cell r="G1263">
            <v>0</v>
          </cell>
        </row>
        <row r="1264">
          <cell r="D1264">
            <v>0</v>
          </cell>
          <cell r="E1264">
            <v>0</v>
          </cell>
          <cell r="F1264">
            <v>0</v>
          </cell>
          <cell r="G1264">
            <v>0</v>
          </cell>
        </row>
        <row r="1265">
          <cell r="D1265">
            <v>0</v>
          </cell>
          <cell r="E1265">
            <v>0</v>
          </cell>
          <cell r="F1265">
            <v>0</v>
          </cell>
          <cell r="G1265">
            <v>0</v>
          </cell>
        </row>
        <row r="1266">
          <cell r="D1266">
            <v>0</v>
          </cell>
          <cell r="E1266">
            <v>0</v>
          </cell>
          <cell r="F1266">
            <v>0</v>
          </cell>
          <cell r="G1266">
            <v>0</v>
          </cell>
        </row>
        <row r="1267">
          <cell r="D1267">
            <v>0</v>
          </cell>
          <cell r="E1267">
            <v>0</v>
          </cell>
          <cell r="F1267">
            <v>0</v>
          </cell>
          <cell r="G1267">
            <v>0</v>
          </cell>
        </row>
        <row r="1268">
          <cell r="D1268">
            <v>0</v>
          </cell>
          <cell r="E1268">
            <v>0</v>
          </cell>
          <cell r="F1268">
            <v>0</v>
          </cell>
          <cell r="G1268">
            <v>0</v>
          </cell>
        </row>
        <row r="1269">
          <cell r="D1269">
            <v>0</v>
          </cell>
          <cell r="E1269">
            <v>0</v>
          </cell>
          <cell r="F1269">
            <v>0</v>
          </cell>
          <cell r="G1269">
            <v>0</v>
          </cell>
        </row>
        <row r="1270">
          <cell r="D1270">
            <v>0</v>
          </cell>
          <cell r="E1270">
            <v>0</v>
          </cell>
          <cell r="F1270">
            <v>0</v>
          </cell>
          <cell r="G1270">
            <v>0</v>
          </cell>
        </row>
        <row r="1271">
          <cell r="D1271">
            <v>0</v>
          </cell>
          <cell r="E1271">
            <v>0</v>
          </cell>
          <cell r="F1271">
            <v>0</v>
          </cell>
          <cell r="G1271">
            <v>0</v>
          </cell>
        </row>
        <row r="1272">
          <cell r="D1272">
            <v>0</v>
          </cell>
          <cell r="E1272">
            <v>0</v>
          </cell>
          <cell r="F1272">
            <v>0</v>
          </cell>
          <cell r="G1272">
            <v>0</v>
          </cell>
        </row>
        <row r="1273">
          <cell r="D1273">
            <v>0</v>
          </cell>
          <cell r="E1273">
            <v>0</v>
          </cell>
          <cell r="F1273">
            <v>0</v>
          </cell>
          <cell r="G1273">
            <v>0</v>
          </cell>
        </row>
        <row r="1274">
          <cell r="D1274">
            <v>0</v>
          </cell>
          <cell r="E1274">
            <v>0</v>
          </cell>
          <cell r="F1274">
            <v>0</v>
          </cell>
          <cell r="G1274">
            <v>0</v>
          </cell>
        </row>
        <row r="1275">
          <cell r="D1275">
            <v>0</v>
          </cell>
          <cell r="E1275">
            <v>0</v>
          </cell>
          <cell r="F1275">
            <v>0</v>
          </cell>
          <cell r="G1275">
            <v>0</v>
          </cell>
        </row>
        <row r="1276">
          <cell r="D1276">
            <v>0</v>
          </cell>
          <cell r="E1276">
            <v>0</v>
          </cell>
          <cell r="F1276">
            <v>0</v>
          </cell>
          <cell r="G1276">
            <v>0</v>
          </cell>
        </row>
        <row r="1277">
          <cell r="D1277">
            <v>0</v>
          </cell>
          <cell r="E1277">
            <v>0</v>
          </cell>
          <cell r="F1277">
            <v>0</v>
          </cell>
          <cell r="G1277">
            <v>0</v>
          </cell>
        </row>
        <row r="1278">
          <cell r="D1278">
            <v>0</v>
          </cell>
          <cell r="E1278">
            <v>0</v>
          </cell>
          <cell r="F1278">
            <v>0</v>
          </cell>
          <cell r="G1278">
            <v>0</v>
          </cell>
        </row>
        <row r="1279">
          <cell r="D1279">
            <v>0</v>
          </cell>
          <cell r="E1279">
            <v>0</v>
          </cell>
          <cell r="F1279">
            <v>0</v>
          </cell>
          <cell r="G1279">
            <v>0</v>
          </cell>
        </row>
        <row r="1280">
          <cell r="D1280">
            <v>0</v>
          </cell>
          <cell r="E1280">
            <v>0</v>
          </cell>
          <cell r="F1280">
            <v>0</v>
          </cell>
          <cell r="G1280">
            <v>0</v>
          </cell>
        </row>
        <row r="1281">
          <cell r="D1281">
            <v>0</v>
          </cell>
          <cell r="E1281">
            <v>0</v>
          </cell>
          <cell r="F1281">
            <v>0</v>
          </cell>
          <cell r="G1281">
            <v>0</v>
          </cell>
        </row>
        <row r="1282">
          <cell r="D1282">
            <v>0</v>
          </cell>
          <cell r="E1282">
            <v>0</v>
          </cell>
          <cell r="F1282">
            <v>0</v>
          </cell>
          <cell r="G1282">
            <v>0</v>
          </cell>
        </row>
        <row r="1283">
          <cell r="D1283">
            <v>0</v>
          </cell>
          <cell r="E1283">
            <v>0</v>
          </cell>
          <cell r="F1283">
            <v>0</v>
          </cell>
          <cell r="G1283">
            <v>0</v>
          </cell>
        </row>
        <row r="1284">
          <cell r="D1284">
            <v>0</v>
          </cell>
          <cell r="E1284">
            <v>0</v>
          </cell>
          <cell r="F1284">
            <v>0</v>
          </cell>
          <cell r="G1284">
            <v>0</v>
          </cell>
        </row>
        <row r="1285">
          <cell r="D1285">
            <v>0</v>
          </cell>
          <cell r="E1285">
            <v>0</v>
          </cell>
          <cell r="F1285">
            <v>0</v>
          </cell>
          <cell r="G1285">
            <v>0</v>
          </cell>
        </row>
        <row r="1286">
          <cell r="D1286">
            <v>0</v>
          </cell>
          <cell r="E1286">
            <v>0</v>
          </cell>
          <cell r="F1286">
            <v>0</v>
          </cell>
          <cell r="G1286">
            <v>0</v>
          </cell>
        </row>
        <row r="1287">
          <cell r="D1287">
            <v>0</v>
          </cell>
          <cell r="E1287">
            <v>0</v>
          </cell>
          <cell r="F1287">
            <v>0</v>
          </cell>
          <cell r="G1287">
            <v>0</v>
          </cell>
        </row>
        <row r="1288">
          <cell r="D1288">
            <v>0</v>
          </cell>
          <cell r="E1288">
            <v>0</v>
          </cell>
          <cell r="F1288">
            <v>0</v>
          </cell>
          <cell r="G1288">
            <v>0</v>
          </cell>
        </row>
        <row r="1289">
          <cell r="D1289">
            <v>0</v>
          </cell>
          <cell r="E1289">
            <v>0</v>
          </cell>
          <cell r="F1289">
            <v>0</v>
          </cell>
          <cell r="G1289">
            <v>0</v>
          </cell>
        </row>
        <row r="1290">
          <cell r="D1290">
            <v>0</v>
          </cell>
          <cell r="E1290">
            <v>0</v>
          </cell>
          <cell r="F1290">
            <v>0</v>
          </cell>
          <cell r="G1290">
            <v>0</v>
          </cell>
        </row>
        <row r="1291">
          <cell r="D1291">
            <v>0</v>
          </cell>
          <cell r="E1291">
            <v>0</v>
          </cell>
          <cell r="F1291">
            <v>0</v>
          </cell>
          <cell r="G1291">
            <v>0</v>
          </cell>
        </row>
        <row r="1292">
          <cell r="D1292">
            <v>0</v>
          </cell>
          <cell r="E1292">
            <v>0</v>
          </cell>
          <cell r="F1292">
            <v>0</v>
          </cell>
          <cell r="G1292">
            <v>0</v>
          </cell>
        </row>
        <row r="1293">
          <cell r="D1293">
            <v>0</v>
          </cell>
          <cell r="E1293">
            <v>0</v>
          </cell>
          <cell r="F1293">
            <v>0</v>
          </cell>
          <cell r="G1293">
            <v>0</v>
          </cell>
        </row>
        <row r="1294">
          <cell r="D1294">
            <v>0</v>
          </cell>
          <cell r="E1294">
            <v>0</v>
          </cell>
          <cell r="F1294">
            <v>0</v>
          </cell>
          <cell r="G1294">
            <v>0</v>
          </cell>
        </row>
        <row r="1295">
          <cell r="D1295">
            <v>0</v>
          </cell>
          <cell r="E1295">
            <v>0</v>
          </cell>
          <cell r="F1295">
            <v>0</v>
          </cell>
          <cell r="G1295">
            <v>0</v>
          </cell>
        </row>
        <row r="1296">
          <cell r="D1296">
            <v>0</v>
          </cell>
          <cell r="E1296">
            <v>0</v>
          </cell>
          <cell r="F1296">
            <v>0</v>
          </cell>
          <cell r="G1296">
            <v>0</v>
          </cell>
        </row>
        <row r="1297">
          <cell r="D1297">
            <v>0</v>
          </cell>
          <cell r="E1297">
            <v>0</v>
          </cell>
          <cell r="F1297">
            <v>0</v>
          </cell>
          <cell r="G1297">
            <v>0</v>
          </cell>
        </row>
        <row r="1298">
          <cell r="D1298">
            <v>0</v>
          </cell>
          <cell r="E1298">
            <v>0</v>
          </cell>
          <cell r="F1298">
            <v>0</v>
          </cell>
          <cell r="G1298">
            <v>0</v>
          </cell>
        </row>
        <row r="1299">
          <cell r="D1299">
            <v>0</v>
          </cell>
          <cell r="E1299">
            <v>0</v>
          </cell>
          <cell r="F1299">
            <v>0</v>
          </cell>
          <cell r="G1299">
            <v>0</v>
          </cell>
        </row>
        <row r="1300">
          <cell r="D1300">
            <v>0</v>
          </cell>
          <cell r="E1300">
            <v>0</v>
          </cell>
          <cell r="F1300">
            <v>0</v>
          </cell>
          <cell r="G1300">
            <v>0</v>
          </cell>
        </row>
        <row r="1301">
          <cell r="D1301">
            <v>0</v>
          </cell>
          <cell r="E1301">
            <v>0</v>
          </cell>
          <cell r="F1301">
            <v>0</v>
          </cell>
          <cell r="G1301">
            <v>0</v>
          </cell>
        </row>
        <row r="1302">
          <cell r="D1302">
            <v>0</v>
          </cell>
          <cell r="E1302">
            <v>0</v>
          </cell>
          <cell r="F1302">
            <v>0</v>
          </cell>
          <cell r="G1302">
            <v>0</v>
          </cell>
        </row>
        <row r="1303">
          <cell r="D1303">
            <v>0</v>
          </cell>
          <cell r="E1303">
            <v>0</v>
          </cell>
          <cell r="F1303">
            <v>0</v>
          </cell>
          <cell r="G1303">
            <v>0</v>
          </cell>
        </row>
        <row r="1304">
          <cell r="D1304">
            <v>0</v>
          </cell>
          <cell r="E1304">
            <v>0</v>
          </cell>
          <cell r="F1304">
            <v>0</v>
          </cell>
          <cell r="G1304">
            <v>0</v>
          </cell>
        </row>
        <row r="1305">
          <cell r="D1305">
            <v>0</v>
          </cell>
          <cell r="E1305">
            <v>0</v>
          </cell>
          <cell r="F1305">
            <v>0</v>
          </cell>
          <cell r="G1305">
            <v>0</v>
          </cell>
        </row>
        <row r="1306">
          <cell r="D1306">
            <v>0</v>
          </cell>
          <cell r="E1306">
            <v>0</v>
          </cell>
          <cell r="F1306">
            <v>0</v>
          </cell>
          <cell r="G1306">
            <v>0</v>
          </cell>
        </row>
        <row r="1307">
          <cell r="D1307">
            <v>0</v>
          </cell>
          <cell r="E1307">
            <v>0</v>
          </cell>
          <cell r="F1307">
            <v>0</v>
          </cell>
          <cell r="G1307">
            <v>0</v>
          </cell>
        </row>
        <row r="1308">
          <cell r="D1308">
            <v>0</v>
          </cell>
          <cell r="E1308">
            <v>0</v>
          </cell>
          <cell r="F1308">
            <v>0</v>
          </cell>
          <cell r="G1308">
            <v>0</v>
          </cell>
        </row>
        <row r="1309">
          <cell r="D1309">
            <v>0</v>
          </cell>
          <cell r="E1309">
            <v>0</v>
          </cell>
          <cell r="F1309">
            <v>0</v>
          </cell>
          <cell r="G1309">
            <v>0</v>
          </cell>
        </row>
        <row r="1310">
          <cell r="D1310">
            <v>0</v>
          </cell>
          <cell r="E1310">
            <v>0</v>
          </cell>
          <cell r="F1310">
            <v>0</v>
          </cell>
          <cell r="G1310">
            <v>0</v>
          </cell>
        </row>
        <row r="1311">
          <cell r="D1311">
            <v>0</v>
          </cell>
          <cell r="E1311">
            <v>0</v>
          </cell>
          <cell r="F1311">
            <v>0</v>
          </cell>
          <cell r="G1311">
            <v>0</v>
          </cell>
        </row>
        <row r="1312">
          <cell r="D1312">
            <v>0</v>
          </cell>
          <cell r="E1312">
            <v>0</v>
          </cell>
          <cell r="F1312">
            <v>0</v>
          </cell>
          <cell r="G1312">
            <v>0</v>
          </cell>
        </row>
        <row r="1313">
          <cell r="D1313">
            <v>0</v>
          </cell>
          <cell r="E1313">
            <v>0</v>
          </cell>
          <cell r="F1313">
            <v>0</v>
          </cell>
          <cell r="G1313">
            <v>0</v>
          </cell>
        </row>
        <row r="1314">
          <cell r="D1314">
            <v>0</v>
          </cell>
          <cell r="E1314">
            <v>0</v>
          </cell>
          <cell r="F1314">
            <v>0</v>
          </cell>
          <cell r="G1314">
            <v>0</v>
          </cell>
        </row>
        <row r="1315">
          <cell r="D1315">
            <v>0</v>
          </cell>
          <cell r="E1315">
            <v>0</v>
          </cell>
          <cell r="F1315">
            <v>0</v>
          </cell>
          <cell r="G1315">
            <v>0</v>
          </cell>
        </row>
        <row r="1316">
          <cell r="D1316">
            <v>0</v>
          </cell>
          <cell r="E1316">
            <v>0</v>
          </cell>
          <cell r="F1316">
            <v>0</v>
          </cell>
          <cell r="G1316">
            <v>0</v>
          </cell>
        </row>
        <row r="1317">
          <cell r="D1317">
            <v>0</v>
          </cell>
          <cell r="E1317">
            <v>0</v>
          </cell>
          <cell r="F1317">
            <v>0</v>
          </cell>
          <cell r="G1317">
            <v>0</v>
          </cell>
        </row>
        <row r="1318">
          <cell r="D1318">
            <v>0</v>
          </cell>
          <cell r="E1318">
            <v>0</v>
          </cell>
          <cell r="F1318">
            <v>0</v>
          </cell>
          <cell r="G1318">
            <v>0</v>
          </cell>
        </row>
        <row r="1319">
          <cell r="D1319">
            <v>0</v>
          </cell>
          <cell r="E1319">
            <v>0</v>
          </cell>
          <cell r="F1319">
            <v>0</v>
          </cell>
          <cell r="G1319">
            <v>0</v>
          </cell>
        </row>
        <row r="1320">
          <cell r="D1320">
            <v>0</v>
          </cell>
          <cell r="E1320">
            <v>0</v>
          </cell>
          <cell r="F1320">
            <v>0</v>
          </cell>
          <cell r="G1320">
            <v>0</v>
          </cell>
        </row>
        <row r="1321">
          <cell r="D1321">
            <v>0</v>
          </cell>
          <cell r="E1321">
            <v>0</v>
          </cell>
          <cell r="F1321">
            <v>0</v>
          </cell>
          <cell r="G1321">
            <v>0</v>
          </cell>
        </row>
        <row r="1322">
          <cell r="D1322">
            <v>0</v>
          </cell>
          <cell r="E1322">
            <v>0</v>
          </cell>
          <cell r="F1322">
            <v>0</v>
          </cell>
          <cell r="G1322">
            <v>0</v>
          </cell>
        </row>
        <row r="1323">
          <cell r="D1323">
            <v>0</v>
          </cell>
          <cell r="E1323">
            <v>0</v>
          </cell>
          <cell r="F1323">
            <v>0</v>
          </cell>
          <cell r="G1323">
            <v>0</v>
          </cell>
        </row>
        <row r="1324">
          <cell r="D1324">
            <v>0</v>
          </cell>
          <cell r="E1324">
            <v>0</v>
          </cell>
          <cell r="F1324">
            <v>0</v>
          </cell>
          <cell r="G1324">
            <v>0</v>
          </cell>
        </row>
        <row r="1325">
          <cell r="D1325">
            <v>0</v>
          </cell>
          <cell r="E1325">
            <v>0</v>
          </cell>
          <cell r="F1325">
            <v>0</v>
          </cell>
          <cell r="G1325">
            <v>0</v>
          </cell>
        </row>
        <row r="1326">
          <cell r="D1326">
            <v>0</v>
          </cell>
          <cell r="E1326">
            <v>0</v>
          </cell>
          <cell r="F1326">
            <v>0</v>
          </cell>
          <cell r="G1326">
            <v>0</v>
          </cell>
        </row>
        <row r="1327">
          <cell r="D1327">
            <v>0</v>
          </cell>
          <cell r="E1327">
            <v>0</v>
          </cell>
          <cell r="F1327">
            <v>0</v>
          </cell>
          <cell r="G1327">
            <v>0</v>
          </cell>
        </row>
        <row r="1328">
          <cell r="D1328">
            <v>0</v>
          </cell>
          <cell r="E1328">
            <v>0</v>
          </cell>
          <cell r="F1328">
            <v>0</v>
          </cell>
          <cell r="G1328">
            <v>0</v>
          </cell>
        </row>
        <row r="1329">
          <cell r="D1329">
            <v>0</v>
          </cell>
          <cell r="E1329">
            <v>0</v>
          </cell>
          <cell r="F1329">
            <v>0</v>
          </cell>
          <cell r="G1329">
            <v>0</v>
          </cell>
        </row>
        <row r="1330">
          <cell r="D1330">
            <v>0</v>
          </cell>
          <cell r="E1330">
            <v>0</v>
          </cell>
          <cell r="F1330">
            <v>0</v>
          </cell>
          <cell r="G1330">
            <v>0</v>
          </cell>
        </row>
        <row r="1331">
          <cell r="D1331">
            <v>0</v>
          </cell>
          <cell r="E1331">
            <v>0</v>
          </cell>
          <cell r="F1331">
            <v>0</v>
          </cell>
          <cell r="G1331">
            <v>0</v>
          </cell>
        </row>
        <row r="1332">
          <cell r="D1332">
            <v>0</v>
          </cell>
          <cell r="E1332">
            <v>0</v>
          </cell>
          <cell r="F1332">
            <v>0</v>
          </cell>
          <cell r="G1332">
            <v>0</v>
          </cell>
        </row>
        <row r="1333">
          <cell r="D1333">
            <v>0</v>
          </cell>
          <cell r="E1333">
            <v>0</v>
          </cell>
          <cell r="F1333">
            <v>0</v>
          </cell>
          <cell r="G1333">
            <v>0</v>
          </cell>
        </row>
        <row r="1334">
          <cell r="D1334">
            <v>0</v>
          </cell>
          <cell r="E1334">
            <v>0</v>
          </cell>
          <cell r="F1334">
            <v>0</v>
          </cell>
          <cell r="G1334">
            <v>0</v>
          </cell>
        </row>
        <row r="1335">
          <cell r="D1335">
            <v>0</v>
          </cell>
          <cell r="E1335">
            <v>0</v>
          </cell>
          <cell r="F1335">
            <v>0</v>
          </cell>
          <cell r="G1335">
            <v>0</v>
          </cell>
        </row>
        <row r="1336">
          <cell r="D1336">
            <v>0</v>
          </cell>
          <cell r="E1336">
            <v>0</v>
          </cell>
          <cell r="F1336">
            <v>0</v>
          </cell>
          <cell r="G1336">
            <v>0</v>
          </cell>
        </row>
        <row r="1337">
          <cell r="D1337">
            <v>0</v>
          </cell>
          <cell r="E1337">
            <v>0</v>
          </cell>
          <cell r="F1337">
            <v>0</v>
          </cell>
          <cell r="G1337">
            <v>0</v>
          </cell>
        </row>
        <row r="1338">
          <cell r="D1338">
            <v>0</v>
          </cell>
          <cell r="E1338">
            <v>0</v>
          </cell>
          <cell r="F1338">
            <v>0</v>
          </cell>
          <cell r="G1338">
            <v>0</v>
          </cell>
        </row>
        <row r="1339">
          <cell r="D1339">
            <v>0</v>
          </cell>
          <cell r="E1339">
            <v>0</v>
          </cell>
          <cell r="F1339">
            <v>0</v>
          </cell>
          <cell r="G1339">
            <v>0</v>
          </cell>
        </row>
        <row r="1340">
          <cell r="D1340">
            <v>0</v>
          </cell>
          <cell r="E1340">
            <v>0</v>
          </cell>
          <cell r="F1340">
            <v>0</v>
          </cell>
          <cell r="G1340">
            <v>0</v>
          </cell>
        </row>
        <row r="1341">
          <cell r="D1341">
            <v>0</v>
          </cell>
          <cell r="E1341">
            <v>0</v>
          </cell>
          <cell r="F1341">
            <v>0</v>
          </cell>
          <cell r="G1341">
            <v>0</v>
          </cell>
        </row>
        <row r="1342">
          <cell r="D1342">
            <v>0</v>
          </cell>
          <cell r="E1342">
            <v>0</v>
          </cell>
          <cell r="F1342">
            <v>0</v>
          </cell>
          <cell r="G1342">
            <v>0</v>
          </cell>
        </row>
        <row r="1343">
          <cell r="D1343">
            <v>0</v>
          </cell>
          <cell r="E1343">
            <v>0</v>
          </cell>
          <cell r="F1343">
            <v>0</v>
          </cell>
          <cell r="G1343">
            <v>0</v>
          </cell>
        </row>
        <row r="1344">
          <cell r="D1344">
            <v>0</v>
          </cell>
          <cell r="E1344">
            <v>0</v>
          </cell>
          <cell r="F1344">
            <v>0</v>
          </cell>
          <cell r="G1344">
            <v>0</v>
          </cell>
        </row>
        <row r="1345">
          <cell r="D1345">
            <v>0</v>
          </cell>
          <cell r="E1345">
            <v>0</v>
          </cell>
          <cell r="F1345">
            <v>0</v>
          </cell>
          <cell r="G1345">
            <v>0</v>
          </cell>
        </row>
        <row r="1346">
          <cell r="D1346">
            <v>0</v>
          </cell>
          <cell r="E1346">
            <v>0</v>
          </cell>
          <cell r="F1346">
            <v>0</v>
          </cell>
          <cell r="G1346">
            <v>0</v>
          </cell>
        </row>
        <row r="1347">
          <cell r="D1347">
            <v>0</v>
          </cell>
          <cell r="E1347">
            <v>0</v>
          </cell>
          <cell r="F1347">
            <v>0</v>
          </cell>
          <cell r="G1347">
            <v>0</v>
          </cell>
        </row>
        <row r="1348">
          <cell r="D1348">
            <v>0</v>
          </cell>
          <cell r="E1348">
            <v>0</v>
          </cell>
          <cell r="F1348">
            <v>0</v>
          </cell>
          <cell r="G1348">
            <v>0</v>
          </cell>
        </row>
        <row r="1349">
          <cell r="D1349">
            <v>0</v>
          </cell>
          <cell r="E1349">
            <v>0</v>
          </cell>
          <cell r="F1349">
            <v>0</v>
          </cell>
          <cell r="G1349">
            <v>0</v>
          </cell>
        </row>
        <row r="1350">
          <cell r="D1350">
            <v>0</v>
          </cell>
          <cell r="E1350">
            <v>0</v>
          </cell>
          <cell r="F1350">
            <v>0</v>
          </cell>
          <cell r="G1350">
            <v>0</v>
          </cell>
        </row>
        <row r="1351">
          <cell r="D1351">
            <v>0</v>
          </cell>
          <cell r="E1351">
            <v>0</v>
          </cell>
          <cell r="F1351">
            <v>0</v>
          </cell>
          <cell r="G1351">
            <v>0</v>
          </cell>
        </row>
        <row r="1352">
          <cell r="D1352">
            <v>0</v>
          </cell>
          <cell r="E1352">
            <v>0</v>
          </cell>
          <cell r="F1352">
            <v>0</v>
          </cell>
          <cell r="G1352">
            <v>0</v>
          </cell>
        </row>
        <row r="1353">
          <cell r="D1353">
            <v>0</v>
          </cell>
          <cell r="E1353">
            <v>0</v>
          </cell>
          <cell r="F1353">
            <v>0</v>
          </cell>
          <cell r="G1353">
            <v>0</v>
          </cell>
        </row>
        <row r="1354">
          <cell r="D1354">
            <v>0</v>
          </cell>
          <cell r="E1354">
            <v>0</v>
          </cell>
          <cell r="F1354">
            <v>0</v>
          </cell>
          <cell r="G1354">
            <v>0</v>
          </cell>
        </row>
        <row r="1355">
          <cell r="D1355">
            <v>0</v>
          </cell>
          <cell r="E1355">
            <v>0</v>
          </cell>
          <cell r="F1355">
            <v>0</v>
          </cell>
          <cell r="G1355">
            <v>0</v>
          </cell>
        </row>
        <row r="1356">
          <cell r="D1356">
            <v>0</v>
          </cell>
          <cell r="E1356">
            <v>0</v>
          </cell>
          <cell r="F1356">
            <v>0</v>
          </cell>
          <cell r="G1356">
            <v>0</v>
          </cell>
        </row>
        <row r="1357">
          <cell r="D1357">
            <v>0</v>
          </cell>
          <cell r="E1357">
            <v>0</v>
          </cell>
          <cell r="F1357">
            <v>0</v>
          </cell>
          <cell r="G1357">
            <v>0</v>
          </cell>
        </row>
        <row r="1358">
          <cell r="D1358">
            <v>0</v>
          </cell>
          <cell r="E1358">
            <v>0</v>
          </cell>
          <cell r="F1358">
            <v>0</v>
          </cell>
          <cell r="G1358">
            <v>0</v>
          </cell>
        </row>
        <row r="1359">
          <cell r="D1359">
            <v>0</v>
          </cell>
          <cell r="E1359">
            <v>0</v>
          </cell>
          <cell r="F1359">
            <v>0</v>
          </cell>
          <cell r="G1359">
            <v>0</v>
          </cell>
        </row>
        <row r="1360">
          <cell r="D1360">
            <v>0</v>
          </cell>
          <cell r="E1360">
            <v>0</v>
          </cell>
          <cell r="F1360">
            <v>0</v>
          </cell>
          <cell r="G1360">
            <v>0</v>
          </cell>
        </row>
        <row r="1361">
          <cell r="D1361">
            <v>0</v>
          </cell>
          <cell r="E1361">
            <v>0</v>
          </cell>
          <cell r="F1361">
            <v>0</v>
          </cell>
          <cell r="G1361">
            <v>0</v>
          </cell>
        </row>
        <row r="1362">
          <cell r="D1362">
            <v>0</v>
          </cell>
          <cell r="E1362">
            <v>0</v>
          </cell>
          <cell r="F1362">
            <v>0</v>
          </cell>
          <cell r="G1362">
            <v>0</v>
          </cell>
        </row>
        <row r="1363">
          <cell r="D1363">
            <v>0</v>
          </cell>
          <cell r="E1363">
            <v>0</v>
          </cell>
          <cell r="F1363">
            <v>0</v>
          </cell>
          <cell r="G1363">
            <v>0</v>
          </cell>
        </row>
        <row r="1364">
          <cell r="D1364">
            <v>0</v>
          </cell>
          <cell r="E1364">
            <v>0</v>
          </cell>
          <cell r="F1364">
            <v>0</v>
          </cell>
          <cell r="G1364">
            <v>0</v>
          </cell>
        </row>
        <row r="1365">
          <cell r="D1365">
            <v>0</v>
          </cell>
          <cell r="E1365">
            <v>0</v>
          </cell>
          <cell r="F1365">
            <v>0</v>
          </cell>
          <cell r="G1365">
            <v>0</v>
          </cell>
        </row>
        <row r="1366">
          <cell r="D1366">
            <v>0</v>
          </cell>
          <cell r="E1366">
            <v>0</v>
          </cell>
          <cell r="F1366">
            <v>0</v>
          </cell>
          <cell r="G1366">
            <v>0</v>
          </cell>
        </row>
        <row r="1367">
          <cell r="D1367">
            <v>0</v>
          </cell>
          <cell r="E1367">
            <v>0</v>
          </cell>
          <cell r="F1367">
            <v>0</v>
          </cell>
          <cell r="G1367">
            <v>0</v>
          </cell>
        </row>
        <row r="1368">
          <cell r="D1368">
            <v>0</v>
          </cell>
          <cell r="E1368">
            <v>0</v>
          </cell>
          <cell r="F1368">
            <v>0</v>
          </cell>
          <cell r="G1368">
            <v>0</v>
          </cell>
        </row>
        <row r="1369">
          <cell r="D1369">
            <v>0</v>
          </cell>
          <cell r="E1369">
            <v>0</v>
          </cell>
          <cell r="F1369">
            <v>0</v>
          </cell>
          <cell r="G1369">
            <v>0</v>
          </cell>
        </row>
        <row r="1370">
          <cell r="D1370">
            <v>0</v>
          </cell>
          <cell r="E1370">
            <v>0</v>
          </cell>
          <cell r="F1370">
            <v>0</v>
          </cell>
          <cell r="G1370">
            <v>0</v>
          </cell>
        </row>
        <row r="1371">
          <cell r="D1371">
            <v>0</v>
          </cell>
          <cell r="E1371">
            <v>0</v>
          </cell>
          <cell r="F1371">
            <v>0</v>
          </cell>
          <cell r="G1371">
            <v>0</v>
          </cell>
        </row>
        <row r="1372">
          <cell r="D1372">
            <v>0</v>
          </cell>
          <cell r="E1372">
            <v>0</v>
          </cell>
          <cell r="F1372">
            <v>0</v>
          </cell>
          <cell r="G1372">
            <v>0</v>
          </cell>
        </row>
        <row r="1373">
          <cell r="D1373">
            <v>0</v>
          </cell>
          <cell r="E1373">
            <v>0</v>
          </cell>
          <cell r="F1373">
            <v>0</v>
          </cell>
          <cell r="G1373">
            <v>0</v>
          </cell>
        </row>
        <row r="1374">
          <cell r="D1374">
            <v>0</v>
          </cell>
          <cell r="E1374">
            <v>0</v>
          </cell>
          <cell r="F1374">
            <v>0</v>
          </cell>
          <cell r="G1374">
            <v>0</v>
          </cell>
        </row>
        <row r="1375">
          <cell r="D1375">
            <v>0</v>
          </cell>
          <cell r="E1375">
            <v>0</v>
          </cell>
          <cell r="F1375">
            <v>0</v>
          </cell>
          <cell r="G1375">
            <v>0</v>
          </cell>
        </row>
        <row r="1376">
          <cell r="D1376">
            <v>0</v>
          </cell>
          <cell r="E1376">
            <v>0</v>
          </cell>
          <cell r="F1376">
            <v>0</v>
          </cell>
          <cell r="G1376">
            <v>0</v>
          </cell>
        </row>
        <row r="1377">
          <cell r="D1377">
            <v>0</v>
          </cell>
          <cell r="E1377">
            <v>0</v>
          </cell>
          <cell r="F1377">
            <v>0</v>
          </cell>
          <cell r="G1377">
            <v>0</v>
          </cell>
        </row>
        <row r="1378">
          <cell r="D1378">
            <v>0</v>
          </cell>
          <cell r="E1378">
            <v>0</v>
          </cell>
          <cell r="F1378">
            <v>0</v>
          </cell>
          <cell r="G1378">
            <v>0</v>
          </cell>
        </row>
        <row r="1379">
          <cell r="D1379">
            <v>0</v>
          </cell>
          <cell r="E1379">
            <v>0</v>
          </cell>
          <cell r="F1379">
            <v>0</v>
          </cell>
          <cell r="G1379">
            <v>0</v>
          </cell>
        </row>
        <row r="1380">
          <cell r="D1380">
            <v>0</v>
          </cell>
          <cell r="E1380">
            <v>0</v>
          </cell>
          <cell r="F1380">
            <v>0</v>
          </cell>
          <cell r="G1380">
            <v>0</v>
          </cell>
        </row>
        <row r="1381">
          <cell r="D1381">
            <v>0</v>
          </cell>
          <cell r="E1381">
            <v>0</v>
          </cell>
          <cell r="F1381">
            <v>0</v>
          </cell>
          <cell r="G1381">
            <v>0</v>
          </cell>
        </row>
        <row r="1382">
          <cell r="D1382">
            <v>0</v>
          </cell>
          <cell r="E1382">
            <v>0</v>
          </cell>
          <cell r="F1382">
            <v>0</v>
          </cell>
          <cell r="G1382">
            <v>0</v>
          </cell>
        </row>
        <row r="1383">
          <cell r="D1383">
            <v>0</v>
          </cell>
          <cell r="E1383">
            <v>0</v>
          </cell>
          <cell r="F1383">
            <v>0</v>
          </cell>
          <cell r="G1383">
            <v>0</v>
          </cell>
        </row>
        <row r="1384">
          <cell r="D1384">
            <v>0</v>
          </cell>
          <cell r="E1384">
            <v>0</v>
          </cell>
          <cell r="F1384">
            <v>0</v>
          </cell>
          <cell r="G1384">
            <v>0</v>
          </cell>
        </row>
        <row r="1385">
          <cell r="D1385">
            <v>0</v>
          </cell>
          <cell r="E1385">
            <v>0</v>
          </cell>
          <cell r="F1385">
            <v>0</v>
          </cell>
          <cell r="G1385">
            <v>0</v>
          </cell>
        </row>
        <row r="1386">
          <cell r="D1386">
            <v>0</v>
          </cell>
          <cell r="E1386">
            <v>0</v>
          </cell>
          <cell r="F1386">
            <v>0</v>
          </cell>
          <cell r="G1386">
            <v>0</v>
          </cell>
        </row>
        <row r="1387">
          <cell r="D1387">
            <v>0</v>
          </cell>
          <cell r="E1387">
            <v>0</v>
          </cell>
          <cell r="F1387">
            <v>0</v>
          </cell>
          <cell r="G1387">
            <v>0</v>
          </cell>
        </row>
        <row r="1388">
          <cell r="D1388">
            <v>0</v>
          </cell>
          <cell r="E1388">
            <v>0</v>
          </cell>
          <cell r="F1388">
            <v>0</v>
          </cell>
          <cell r="G1388">
            <v>0</v>
          </cell>
        </row>
        <row r="1389">
          <cell r="D1389">
            <v>0</v>
          </cell>
          <cell r="E1389">
            <v>0</v>
          </cell>
          <cell r="F1389">
            <v>0</v>
          </cell>
          <cell r="G1389">
            <v>0</v>
          </cell>
        </row>
        <row r="1390">
          <cell r="D1390">
            <v>0</v>
          </cell>
          <cell r="E1390">
            <v>0</v>
          </cell>
          <cell r="F1390">
            <v>0</v>
          </cell>
          <cell r="G1390">
            <v>0</v>
          </cell>
        </row>
        <row r="1391">
          <cell r="D1391">
            <v>0</v>
          </cell>
          <cell r="E1391">
            <v>0</v>
          </cell>
          <cell r="F1391">
            <v>0</v>
          </cell>
          <cell r="G1391">
            <v>0</v>
          </cell>
        </row>
        <row r="1392">
          <cell r="D1392">
            <v>0</v>
          </cell>
          <cell r="E1392">
            <v>0</v>
          </cell>
          <cell r="F1392">
            <v>0</v>
          </cell>
          <cell r="G1392">
            <v>0</v>
          </cell>
        </row>
        <row r="1393">
          <cell r="D1393">
            <v>0</v>
          </cell>
          <cell r="E1393">
            <v>0</v>
          </cell>
          <cell r="F1393">
            <v>0</v>
          </cell>
          <cell r="G1393">
            <v>0</v>
          </cell>
        </row>
        <row r="1394">
          <cell r="D1394">
            <v>0</v>
          </cell>
          <cell r="E1394">
            <v>0</v>
          </cell>
          <cell r="F1394">
            <v>0</v>
          </cell>
          <cell r="G1394">
            <v>0</v>
          </cell>
        </row>
        <row r="1395">
          <cell r="D1395">
            <v>0</v>
          </cell>
          <cell r="E1395">
            <v>0</v>
          </cell>
          <cell r="F1395">
            <v>0</v>
          </cell>
          <cell r="G1395">
            <v>0</v>
          </cell>
        </row>
        <row r="1396">
          <cell r="D1396">
            <v>0</v>
          </cell>
          <cell r="E1396">
            <v>0</v>
          </cell>
          <cell r="F1396">
            <v>0</v>
          </cell>
          <cell r="G1396">
            <v>0</v>
          </cell>
        </row>
        <row r="1397">
          <cell r="D1397">
            <v>0</v>
          </cell>
          <cell r="E1397">
            <v>0</v>
          </cell>
          <cell r="F1397">
            <v>0</v>
          </cell>
          <cell r="G1397">
            <v>0</v>
          </cell>
        </row>
        <row r="1398">
          <cell r="D1398">
            <v>0</v>
          </cell>
          <cell r="E1398">
            <v>0</v>
          </cell>
          <cell r="F1398">
            <v>0</v>
          </cell>
          <cell r="G1398">
            <v>0</v>
          </cell>
        </row>
        <row r="1399">
          <cell r="D1399">
            <v>0</v>
          </cell>
          <cell r="E1399">
            <v>0</v>
          </cell>
          <cell r="F1399">
            <v>0</v>
          </cell>
          <cell r="G1399">
            <v>0</v>
          </cell>
        </row>
        <row r="1400">
          <cell r="D1400">
            <v>0</v>
          </cell>
          <cell r="E1400">
            <v>0</v>
          </cell>
          <cell r="F1400">
            <v>0</v>
          </cell>
          <cell r="G1400">
            <v>0</v>
          </cell>
        </row>
        <row r="1401">
          <cell r="D1401">
            <v>0</v>
          </cell>
          <cell r="E1401">
            <v>0</v>
          </cell>
          <cell r="F1401">
            <v>0</v>
          </cell>
          <cell r="G1401">
            <v>0</v>
          </cell>
        </row>
        <row r="1402">
          <cell r="D1402">
            <v>0</v>
          </cell>
          <cell r="E1402">
            <v>0</v>
          </cell>
          <cell r="F1402">
            <v>0</v>
          </cell>
          <cell r="G1402">
            <v>0</v>
          </cell>
        </row>
        <row r="1403">
          <cell r="D1403">
            <v>0</v>
          </cell>
          <cell r="E1403">
            <v>0</v>
          </cell>
          <cell r="F1403">
            <v>0</v>
          </cell>
          <cell r="G1403">
            <v>0</v>
          </cell>
        </row>
        <row r="1404">
          <cell r="D1404">
            <v>0</v>
          </cell>
          <cell r="E1404">
            <v>0</v>
          </cell>
          <cell r="F1404">
            <v>0</v>
          </cell>
          <cell r="G1404">
            <v>0</v>
          </cell>
        </row>
        <row r="1405">
          <cell r="D1405">
            <v>0</v>
          </cell>
          <cell r="E1405">
            <v>0</v>
          </cell>
          <cell r="F1405">
            <v>0</v>
          </cell>
          <cell r="G1405">
            <v>0</v>
          </cell>
        </row>
        <row r="1406">
          <cell r="D1406">
            <v>0</v>
          </cell>
          <cell r="E1406">
            <v>0</v>
          </cell>
          <cell r="F1406">
            <v>0</v>
          </cell>
          <cell r="G1406">
            <v>0</v>
          </cell>
        </row>
        <row r="1407">
          <cell r="D1407">
            <v>0</v>
          </cell>
          <cell r="E1407">
            <v>0</v>
          </cell>
          <cell r="F1407">
            <v>0</v>
          </cell>
          <cell r="G1407">
            <v>0</v>
          </cell>
        </row>
        <row r="1408">
          <cell r="D1408">
            <v>0</v>
          </cell>
          <cell r="E1408">
            <v>0</v>
          </cell>
          <cell r="F1408">
            <v>0</v>
          </cell>
          <cell r="G1408">
            <v>0</v>
          </cell>
        </row>
        <row r="1409">
          <cell r="D1409">
            <v>0</v>
          </cell>
          <cell r="E1409">
            <v>0</v>
          </cell>
          <cell r="F1409">
            <v>0</v>
          </cell>
          <cell r="G1409">
            <v>0</v>
          </cell>
        </row>
        <row r="1410">
          <cell r="D1410">
            <v>0</v>
          </cell>
          <cell r="E1410">
            <v>0</v>
          </cell>
          <cell r="F1410">
            <v>0</v>
          </cell>
          <cell r="G1410">
            <v>0</v>
          </cell>
        </row>
        <row r="1411">
          <cell r="D1411">
            <v>0</v>
          </cell>
          <cell r="E1411">
            <v>0</v>
          </cell>
          <cell r="F1411">
            <v>0</v>
          </cell>
          <cell r="G1411">
            <v>0</v>
          </cell>
        </row>
        <row r="1412">
          <cell r="D1412">
            <v>0</v>
          </cell>
          <cell r="E1412">
            <v>0</v>
          </cell>
          <cell r="F1412">
            <v>0</v>
          </cell>
          <cell r="G1412">
            <v>0</v>
          </cell>
        </row>
        <row r="1413">
          <cell r="D1413">
            <v>0</v>
          </cell>
          <cell r="E1413">
            <v>0</v>
          </cell>
          <cell r="F1413">
            <v>0</v>
          </cell>
          <cell r="G1413">
            <v>0</v>
          </cell>
        </row>
        <row r="1414">
          <cell r="D1414">
            <v>0</v>
          </cell>
          <cell r="E1414">
            <v>0</v>
          </cell>
          <cell r="F1414">
            <v>0</v>
          </cell>
          <cell r="G1414">
            <v>0</v>
          </cell>
        </row>
        <row r="1415">
          <cell r="D1415">
            <v>0</v>
          </cell>
          <cell r="E1415">
            <v>0</v>
          </cell>
          <cell r="F1415">
            <v>0</v>
          </cell>
          <cell r="G1415">
            <v>0</v>
          </cell>
        </row>
        <row r="1416">
          <cell r="D1416">
            <v>0</v>
          </cell>
          <cell r="E1416">
            <v>0</v>
          </cell>
          <cell r="F1416">
            <v>0</v>
          </cell>
          <cell r="G1416">
            <v>0</v>
          </cell>
        </row>
        <row r="1417">
          <cell r="D1417">
            <v>0</v>
          </cell>
          <cell r="E1417">
            <v>0</v>
          </cell>
          <cell r="F1417">
            <v>0</v>
          </cell>
          <cell r="G1417">
            <v>0</v>
          </cell>
        </row>
        <row r="1418">
          <cell r="D1418">
            <v>0</v>
          </cell>
          <cell r="E1418">
            <v>0</v>
          </cell>
          <cell r="F1418">
            <v>0</v>
          </cell>
          <cell r="G1418">
            <v>0</v>
          </cell>
        </row>
        <row r="1419">
          <cell r="D1419">
            <v>0</v>
          </cell>
          <cell r="E1419">
            <v>0</v>
          </cell>
          <cell r="F1419">
            <v>0</v>
          </cell>
          <cell r="G1419">
            <v>0</v>
          </cell>
        </row>
        <row r="1420">
          <cell r="D1420">
            <v>0</v>
          </cell>
          <cell r="E1420">
            <v>0</v>
          </cell>
          <cell r="F1420">
            <v>0</v>
          </cell>
          <cell r="G1420">
            <v>0</v>
          </cell>
        </row>
        <row r="1421">
          <cell r="D1421">
            <v>0</v>
          </cell>
          <cell r="E1421">
            <v>0</v>
          </cell>
          <cell r="F1421">
            <v>0</v>
          </cell>
          <cell r="G1421">
            <v>0</v>
          </cell>
        </row>
        <row r="1422">
          <cell r="D1422">
            <v>0</v>
          </cell>
          <cell r="E1422">
            <v>0</v>
          </cell>
          <cell r="F1422">
            <v>0</v>
          </cell>
          <cell r="G1422">
            <v>0</v>
          </cell>
        </row>
        <row r="1423">
          <cell r="D1423">
            <v>0</v>
          </cell>
          <cell r="E1423">
            <v>0</v>
          </cell>
          <cell r="F1423">
            <v>0</v>
          </cell>
          <cell r="G1423">
            <v>0</v>
          </cell>
        </row>
        <row r="1424">
          <cell r="D1424">
            <v>0</v>
          </cell>
          <cell r="E1424">
            <v>0</v>
          </cell>
          <cell r="F1424">
            <v>0</v>
          </cell>
          <cell r="G1424">
            <v>0</v>
          </cell>
        </row>
        <row r="1425">
          <cell r="D1425">
            <v>0</v>
          </cell>
          <cell r="E1425">
            <v>0</v>
          </cell>
          <cell r="F1425">
            <v>0</v>
          </cell>
          <cell r="G1425">
            <v>0</v>
          </cell>
        </row>
        <row r="1426">
          <cell r="D1426">
            <v>0</v>
          </cell>
          <cell r="E1426">
            <v>0</v>
          </cell>
          <cell r="F1426">
            <v>0</v>
          </cell>
          <cell r="G1426">
            <v>0</v>
          </cell>
        </row>
        <row r="1427">
          <cell r="D1427">
            <v>0</v>
          </cell>
          <cell r="E1427">
            <v>0</v>
          </cell>
          <cell r="F1427">
            <v>0</v>
          </cell>
          <cell r="G1427">
            <v>0</v>
          </cell>
        </row>
        <row r="1428">
          <cell r="D1428">
            <v>0</v>
          </cell>
          <cell r="E1428">
            <v>0</v>
          </cell>
          <cell r="F1428">
            <v>0</v>
          </cell>
          <cell r="G1428">
            <v>0</v>
          </cell>
        </row>
        <row r="1429">
          <cell r="D1429">
            <v>0</v>
          </cell>
          <cell r="E1429">
            <v>0</v>
          </cell>
          <cell r="F1429">
            <v>0</v>
          </cell>
          <cell r="G1429">
            <v>0</v>
          </cell>
        </row>
        <row r="1430">
          <cell r="D1430">
            <v>0</v>
          </cell>
          <cell r="E1430">
            <v>0</v>
          </cell>
          <cell r="F1430">
            <v>0</v>
          </cell>
          <cell r="G1430">
            <v>0</v>
          </cell>
        </row>
        <row r="1431">
          <cell r="D1431">
            <v>0</v>
          </cell>
          <cell r="E1431">
            <v>0</v>
          </cell>
          <cell r="F1431">
            <v>0</v>
          </cell>
          <cell r="G1431">
            <v>0</v>
          </cell>
        </row>
        <row r="1432">
          <cell r="D1432">
            <v>0</v>
          </cell>
          <cell r="E1432">
            <v>0</v>
          </cell>
          <cell r="F1432">
            <v>0</v>
          </cell>
          <cell r="G1432">
            <v>0</v>
          </cell>
        </row>
        <row r="1433">
          <cell r="D1433">
            <v>0</v>
          </cell>
          <cell r="E1433">
            <v>0</v>
          </cell>
          <cell r="F1433">
            <v>0</v>
          </cell>
          <cell r="G1433">
            <v>0</v>
          </cell>
        </row>
        <row r="1434">
          <cell r="D1434">
            <v>0</v>
          </cell>
          <cell r="E1434">
            <v>0</v>
          </cell>
          <cell r="F1434">
            <v>0</v>
          </cell>
          <cell r="G1434">
            <v>0</v>
          </cell>
        </row>
        <row r="1435">
          <cell r="D1435">
            <v>0</v>
          </cell>
          <cell r="E1435">
            <v>0</v>
          </cell>
          <cell r="F1435">
            <v>0</v>
          </cell>
          <cell r="G1435">
            <v>0</v>
          </cell>
        </row>
        <row r="1436">
          <cell r="D1436">
            <v>0</v>
          </cell>
          <cell r="E1436">
            <v>0</v>
          </cell>
          <cell r="F1436">
            <v>0</v>
          </cell>
          <cell r="G1436">
            <v>0</v>
          </cell>
        </row>
        <row r="1437">
          <cell r="D1437">
            <v>0</v>
          </cell>
          <cell r="E1437">
            <v>0</v>
          </cell>
          <cell r="F1437">
            <v>0</v>
          </cell>
          <cell r="G1437">
            <v>0</v>
          </cell>
        </row>
        <row r="1438">
          <cell r="D1438">
            <v>0</v>
          </cell>
          <cell r="E1438">
            <v>0</v>
          </cell>
          <cell r="F1438">
            <v>0</v>
          </cell>
          <cell r="G1438">
            <v>0</v>
          </cell>
        </row>
        <row r="1439">
          <cell r="D1439">
            <v>0</v>
          </cell>
          <cell r="E1439">
            <v>0</v>
          </cell>
          <cell r="F1439">
            <v>0</v>
          </cell>
          <cell r="G1439">
            <v>0</v>
          </cell>
        </row>
        <row r="1440">
          <cell r="D1440">
            <v>0</v>
          </cell>
          <cell r="E1440">
            <v>0</v>
          </cell>
          <cell r="F1440">
            <v>0</v>
          </cell>
          <cell r="G1440">
            <v>0</v>
          </cell>
        </row>
        <row r="1441">
          <cell r="D1441">
            <v>0</v>
          </cell>
          <cell r="E1441">
            <v>0</v>
          </cell>
          <cell r="F1441">
            <v>0</v>
          </cell>
          <cell r="G1441">
            <v>0</v>
          </cell>
        </row>
        <row r="1442">
          <cell r="D1442">
            <v>0</v>
          </cell>
          <cell r="E1442">
            <v>0</v>
          </cell>
          <cell r="F1442">
            <v>0</v>
          </cell>
          <cell r="G1442">
            <v>0</v>
          </cell>
        </row>
        <row r="1443">
          <cell r="D1443">
            <v>0</v>
          </cell>
          <cell r="E1443">
            <v>0</v>
          </cell>
          <cell r="F1443">
            <v>0</v>
          </cell>
          <cell r="G1443">
            <v>0</v>
          </cell>
        </row>
        <row r="1444">
          <cell r="D1444">
            <v>0</v>
          </cell>
          <cell r="E1444">
            <v>0</v>
          </cell>
          <cell r="F1444">
            <v>0</v>
          </cell>
          <cell r="G1444">
            <v>0</v>
          </cell>
        </row>
        <row r="1445">
          <cell r="D1445">
            <v>0</v>
          </cell>
          <cell r="E1445">
            <v>0</v>
          </cell>
          <cell r="F1445">
            <v>0</v>
          </cell>
          <cell r="G1445">
            <v>0</v>
          </cell>
        </row>
        <row r="1446">
          <cell r="D1446">
            <v>0</v>
          </cell>
          <cell r="E1446">
            <v>0</v>
          </cell>
          <cell r="F1446">
            <v>0</v>
          </cell>
          <cell r="G1446">
            <v>0</v>
          </cell>
        </row>
        <row r="1447">
          <cell r="D1447">
            <v>0</v>
          </cell>
          <cell r="E1447">
            <v>0</v>
          </cell>
          <cell r="F1447">
            <v>0</v>
          </cell>
          <cell r="G1447">
            <v>0</v>
          </cell>
        </row>
        <row r="1448">
          <cell r="D1448">
            <v>0</v>
          </cell>
          <cell r="E1448">
            <v>0</v>
          </cell>
          <cell r="F1448">
            <v>0</v>
          </cell>
          <cell r="G1448">
            <v>0</v>
          </cell>
        </row>
        <row r="1449">
          <cell r="D1449">
            <v>0</v>
          </cell>
          <cell r="E1449">
            <v>0</v>
          </cell>
          <cell r="F1449">
            <v>0</v>
          </cell>
          <cell r="G1449">
            <v>0</v>
          </cell>
        </row>
        <row r="1450">
          <cell r="D1450">
            <v>0</v>
          </cell>
          <cell r="E1450">
            <v>0</v>
          </cell>
          <cell r="F1450">
            <v>0</v>
          </cell>
          <cell r="G1450">
            <v>0</v>
          </cell>
        </row>
        <row r="1451">
          <cell r="D1451">
            <v>0</v>
          </cell>
          <cell r="E1451">
            <v>0</v>
          </cell>
          <cell r="F1451">
            <v>0</v>
          </cell>
          <cell r="G1451">
            <v>0</v>
          </cell>
        </row>
        <row r="1452">
          <cell r="D1452">
            <v>0</v>
          </cell>
          <cell r="E1452">
            <v>0</v>
          </cell>
          <cell r="F1452">
            <v>0</v>
          </cell>
          <cell r="G1452">
            <v>0</v>
          </cell>
        </row>
        <row r="1453">
          <cell r="D1453">
            <v>0</v>
          </cell>
          <cell r="E1453">
            <v>0</v>
          </cell>
          <cell r="F1453">
            <v>0</v>
          </cell>
          <cell r="G1453">
            <v>0</v>
          </cell>
        </row>
        <row r="1454">
          <cell r="D1454">
            <v>0</v>
          </cell>
          <cell r="E1454">
            <v>0</v>
          </cell>
          <cell r="F1454">
            <v>0</v>
          </cell>
          <cell r="G1454">
            <v>0</v>
          </cell>
        </row>
        <row r="1455">
          <cell r="D1455">
            <v>0</v>
          </cell>
          <cell r="E1455">
            <v>0</v>
          </cell>
          <cell r="F1455">
            <v>0</v>
          </cell>
          <cell r="G1455">
            <v>0</v>
          </cell>
        </row>
        <row r="1456">
          <cell r="D1456">
            <v>0</v>
          </cell>
          <cell r="E1456">
            <v>0</v>
          </cell>
          <cell r="F1456">
            <v>0</v>
          </cell>
          <cell r="G1456">
            <v>0</v>
          </cell>
        </row>
        <row r="1457">
          <cell r="D1457">
            <v>0</v>
          </cell>
          <cell r="E1457">
            <v>0</v>
          </cell>
          <cell r="F1457">
            <v>0</v>
          </cell>
          <cell r="G1457">
            <v>0</v>
          </cell>
        </row>
        <row r="1458">
          <cell r="D1458">
            <v>0</v>
          </cell>
          <cell r="E1458">
            <v>0</v>
          </cell>
          <cell r="F1458">
            <v>0</v>
          </cell>
          <cell r="G1458">
            <v>0</v>
          </cell>
        </row>
        <row r="1459">
          <cell r="D1459">
            <v>0</v>
          </cell>
          <cell r="E1459">
            <v>0</v>
          </cell>
          <cell r="F1459">
            <v>0</v>
          </cell>
          <cell r="G1459">
            <v>0</v>
          </cell>
        </row>
        <row r="1460">
          <cell r="D1460">
            <v>0</v>
          </cell>
          <cell r="E1460">
            <v>0</v>
          </cell>
          <cell r="F1460">
            <v>0</v>
          </cell>
          <cell r="G1460">
            <v>0</v>
          </cell>
        </row>
        <row r="1461">
          <cell r="D1461">
            <v>0</v>
          </cell>
          <cell r="E1461">
            <v>0</v>
          </cell>
          <cell r="F1461">
            <v>0</v>
          </cell>
          <cell r="G1461">
            <v>0</v>
          </cell>
        </row>
        <row r="1462">
          <cell r="D1462">
            <v>0</v>
          </cell>
          <cell r="E1462">
            <v>0</v>
          </cell>
          <cell r="F1462">
            <v>0</v>
          </cell>
          <cell r="G1462">
            <v>0</v>
          </cell>
        </row>
        <row r="1463">
          <cell r="D1463">
            <v>0</v>
          </cell>
          <cell r="E1463">
            <v>0</v>
          </cell>
          <cell r="F1463">
            <v>0</v>
          </cell>
          <cell r="G1463">
            <v>0</v>
          </cell>
        </row>
        <row r="1464">
          <cell r="D1464">
            <v>0</v>
          </cell>
          <cell r="E1464">
            <v>0</v>
          </cell>
          <cell r="F1464">
            <v>0</v>
          </cell>
          <cell r="G1464">
            <v>0</v>
          </cell>
        </row>
        <row r="1465">
          <cell r="D1465">
            <v>0</v>
          </cell>
          <cell r="E1465">
            <v>0</v>
          </cell>
          <cell r="F1465">
            <v>0</v>
          </cell>
          <cell r="G1465">
            <v>0</v>
          </cell>
        </row>
        <row r="1466">
          <cell r="D1466">
            <v>0</v>
          </cell>
          <cell r="E1466">
            <v>0</v>
          </cell>
          <cell r="F1466">
            <v>0</v>
          </cell>
          <cell r="G1466">
            <v>0</v>
          </cell>
        </row>
        <row r="1467">
          <cell r="D1467">
            <v>0</v>
          </cell>
          <cell r="E1467">
            <v>0</v>
          </cell>
          <cell r="F1467">
            <v>0</v>
          </cell>
          <cell r="G1467">
            <v>0</v>
          </cell>
        </row>
        <row r="1468">
          <cell r="D1468">
            <v>0</v>
          </cell>
          <cell r="E1468">
            <v>0</v>
          </cell>
          <cell r="F1468">
            <v>0</v>
          </cell>
          <cell r="G1468">
            <v>0</v>
          </cell>
        </row>
        <row r="1469">
          <cell r="D1469">
            <v>0</v>
          </cell>
          <cell r="E1469">
            <v>0</v>
          </cell>
          <cell r="F1469">
            <v>0</v>
          </cell>
          <cell r="G1469">
            <v>0</v>
          </cell>
        </row>
        <row r="1470">
          <cell r="D1470">
            <v>0</v>
          </cell>
          <cell r="E1470">
            <v>0</v>
          </cell>
          <cell r="F1470">
            <v>0</v>
          </cell>
          <cell r="G1470">
            <v>0</v>
          </cell>
        </row>
        <row r="1471">
          <cell r="D1471">
            <v>0</v>
          </cell>
          <cell r="E1471">
            <v>0</v>
          </cell>
          <cell r="F1471">
            <v>0</v>
          </cell>
          <cell r="G1471">
            <v>0</v>
          </cell>
        </row>
        <row r="1472">
          <cell r="D1472">
            <v>0</v>
          </cell>
          <cell r="E1472">
            <v>0</v>
          </cell>
          <cell r="F1472">
            <v>0</v>
          </cell>
          <cell r="G1472">
            <v>0</v>
          </cell>
        </row>
        <row r="1473">
          <cell r="D1473">
            <v>0</v>
          </cell>
          <cell r="E1473">
            <v>0</v>
          </cell>
          <cell r="F1473">
            <v>0</v>
          </cell>
          <cell r="G1473">
            <v>0</v>
          </cell>
        </row>
        <row r="1474">
          <cell r="D1474">
            <v>0</v>
          </cell>
          <cell r="E1474">
            <v>0</v>
          </cell>
          <cell r="F1474">
            <v>0</v>
          </cell>
          <cell r="G1474">
            <v>0</v>
          </cell>
        </row>
        <row r="1475">
          <cell r="D1475">
            <v>0</v>
          </cell>
          <cell r="E1475">
            <v>0</v>
          </cell>
          <cell r="F1475">
            <v>0</v>
          </cell>
          <cell r="G1475">
            <v>0</v>
          </cell>
        </row>
        <row r="1476">
          <cell r="D1476">
            <v>0</v>
          </cell>
          <cell r="E1476">
            <v>0</v>
          </cell>
          <cell r="F1476">
            <v>0</v>
          </cell>
          <cell r="G1476">
            <v>0</v>
          </cell>
        </row>
        <row r="1477">
          <cell r="D1477">
            <v>0</v>
          </cell>
          <cell r="E1477">
            <v>0</v>
          </cell>
          <cell r="F1477">
            <v>0</v>
          </cell>
          <cell r="G1477">
            <v>0</v>
          </cell>
        </row>
        <row r="1478">
          <cell r="D1478">
            <v>0</v>
          </cell>
          <cell r="E1478">
            <v>0</v>
          </cell>
          <cell r="F1478">
            <v>0</v>
          </cell>
          <cell r="G1478">
            <v>0</v>
          </cell>
        </row>
        <row r="1479">
          <cell r="D1479">
            <v>0</v>
          </cell>
          <cell r="E1479">
            <v>0</v>
          </cell>
          <cell r="F1479">
            <v>0</v>
          </cell>
          <cell r="G1479">
            <v>0</v>
          </cell>
        </row>
        <row r="1480">
          <cell r="D1480">
            <v>0</v>
          </cell>
          <cell r="E1480">
            <v>0</v>
          </cell>
          <cell r="F1480">
            <v>0</v>
          </cell>
          <cell r="G1480">
            <v>0</v>
          </cell>
        </row>
        <row r="1481">
          <cell r="D1481">
            <v>0</v>
          </cell>
          <cell r="E1481">
            <v>0</v>
          </cell>
          <cell r="F1481">
            <v>0</v>
          </cell>
          <cell r="G1481">
            <v>0</v>
          </cell>
        </row>
        <row r="1482">
          <cell r="D1482">
            <v>0</v>
          </cell>
          <cell r="E1482">
            <v>0</v>
          </cell>
          <cell r="F1482">
            <v>0</v>
          </cell>
          <cell r="G1482">
            <v>0</v>
          </cell>
        </row>
        <row r="1483">
          <cell r="D1483">
            <v>0</v>
          </cell>
          <cell r="E1483">
            <v>0</v>
          </cell>
          <cell r="F1483">
            <v>0</v>
          </cell>
          <cell r="G1483">
            <v>0</v>
          </cell>
        </row>
        <row r="1484">
          <cell r="D1484">
            <v>0</v>
          </cell>
          <cell r="E1484">
            <v>0</v>
          </cell>
          <cell r="F1484">
            <v>0</v>
          </cell>
          <cell r="G1484">
            <v>0</v>
          </cell>
        </row>
        <row r="1485">
          <cell r="D1485">
            <v>0</v>
          </cell>
          <cell r="E1485">
            <v>0</v>
          </cell>
          <cell r="F1485">
            <v>0</v>
          </cell>
          <cell r="G1485">
            <v>0</v>
          </cell>
        </row>
        <row r="1486">
          <cell r="D1486">
            <v>0</v>
          </cell>
          <cell r="E1486">
            <v>0</v>
          </cell>
          <cell r="F1486">
            <v>0</v>
          </cell>
          <cell r="G1486">
            <v>0</v>
          </cell>
        </row>
        <row r="1487">
          <cell r="D1487">
            <v>0</v>
          </cell>
          <cell r="E1487">
            <v>0</v>
          </cell>
          <cell r="F1487">
            <v>0</v>
          </cell>
          <cell r="G1487">
            <v>0</v>
          </cell>
        </row>
        <row r="1488">
          <cell r="D1488">
            <v>0</v>
          </cell>
          <cell r="E1488">
            <v>0</v>
          </cell>
          <cell r="F1488">
            <v>0</v>
          </cell>
          <cell r="G1488">
            <v>0</v>
          </cell>
        </row>
        <row r="1489">
          <cell r="D1489">
            <v>0</v>
          </cell>
          <cell r="E1489">
            <v>0</v>
          </cell>
          <cell r="F1489">
            <v>0</v>
          </cell>
          <cell r="G1489">
            <v>0</v>
          </cell>
        </row>
        <row r="1490">
          <cell r="D1490">
            <v>0</v>
          </cell>
          <cell r="E1490">
            <v>0</v>
          </cell>
          <cell r="F1490">
            <v>0</v>
          </cell>
          <cell r="G1490">
            <v>0</v>
          </cell>
        </row>
        <row r="1491">
          <cell r="D1491">
            <v>0</v>
          </cell>
          <cell r="E1491">
            <v>0</v>
          </cell>
          <cell r="F1491">
            <v>0</v>
          </cell>
          <cell r="G1491">
            <v>0</v>
          </cell>
        </row>
        <row r="1492">
          <cell r="D1492">
            <v>0</v>
          </cell>
          <cell r="E1492">
            <v>0</v>
          </cell>
          <cell r="F1492">
            <v>0</v>
          </cell>
          <cell r="G1492">
            <v>0</v>
          </cell>
        </row>
        <row r="1493">
          <cell r="D1493">
            <v>0</v>
          </cell>
          <cell r="E1493">
            <v>0</v>
          </cell>
          <cell r="F1493">
            <v>0</v>
          </cell>
          <cell r="G1493">
            <v>0</v>
          </cell>
        </row>
        <row r="1494">
          <cell r="D1494">
            <v>0</v>
          </cell>
          <cell r="E1494">
            <v>0</v>
          </cell>
          <cell r="F1494">
            <v>0</v>
          </cell>
          <cell r="G1494">
            <v>0</v>
          </cell>
        </row>
        <row r="1495">
          <cell r="D1495">
            <v>0</v>
          </cell>
          <cell r="E1495">
            <v>0</v>
          </cell>
          <cell r="F1495">
            <v>0</v>
          </cell>
          <cell r="G1495">
            <v>0</v>
          </cell>
        </row>
        <row r="1496">
          <cell r="D1496">
            <v>0</v>
          </cell>
          <cell r="E1496">
            <v>0</v>
          </cell>
          <cell r="F1496">
            <v>0</v>
          </cell>
          <cell r="G1496">
            <v>0</v>
          </cell>
        </row>
        <row r="1497">
          <cell r="D1497">
            <v>0</v>
          </cell>
          <cell r="E1497">
            <v>0</v>
          </cell>
          <cell r="F1497">
            <v>0</v>
          </cell>
          <cell r="G1497">
            <v>0</v>
          </cell>
        </row>
        <row r="1498">
          <cell r="D1498">
            <v>0</v>
          </cell>
          <cell r="E1498">
            <v>0</v>
          </cell>
          <cell r="F1498">
            <v>0</v>
          </cell>
          <cell r="G1498">
            <v>0</v>
          </cell>
        </row>
        <row r="1499">
          <cell r="D1499">
            <v>0</v>
          </cell>
          <cell r="E1499">
            <v>0</v>
          </cell>
          <cell r="F1499">
            <v>0</v>
          </cell>
          <cell r="G1499">
            <v>0</v>
          </cell>
        </row>
        <row r="1500">
          <cell r="D1500">
            <v>0</v>
          </cell>
          <cell r="E1500">
            <v>0</v>
          </cell>
          <cell r="F1500">
            <v>0</v>
          </cell>
          <cell r="G1500">
            <v>0</v>
          </cell>
        </row>
        <row r="1501">
          <cell r="D1501">
            <v>0</v>
          </cell>
          <cell r="E1501">
            <v>0</v>
          </cell>
          <cell r="F1501">
            <v>0</v>
          </cell>
          <cell r="G1501">
            <v>0</v>
          </cell>
        </row>
        <row r="1502">
          <cell r="D1502">
            <v>0</v>
          </cell>
          <cell r="E1502">
            <v>0</v>
          </cell>
          <cell r="F1502">
            <v>0</v>
          </cell>
          <cell r="G1502">
            <v>0</v>
          </cell>
        </row>
        <row r="1503">
          <cell r="D1503">
            <v>0</v>
          </cell>
          <cell r="E1503">
            <v>0</v>
          </cell>
          <cell r="F1503">
            <v>0</v>
          </cell>
          <cell r="G1503">
            <v>0</v>
          </cell>
        </row>
        <row r="1504">
          <cell r="D1504">
            <v>0</v>
          </cell>
          <cell r="E1504">
            <v>0</v>
          </cell>
          <cell r="F1504">
            <v>0</v>
          </cell>
          <cell r="G1504">
            <v>0</v>
          </cell>
        </row>
        <row r="1505">
          <cell r="D1505">
            <v>0</v>
          </cell>
          <cell r="E1505">
            <v>0</v>
          </cell>
          <cell r="F1505">
            <v>0</v>
          </cell>
          <cell r="G1505">
            <v>0</v>
          </cell>
        </row>
        <row r="1506">
          <cell r="D1506">
            <v>0</v>
          </cell>
          <cell r="E1506">
            <v>0</v>
          </cell>
          <cell r="F1506">
            <v>0</v>
          </cell>
          <cell r="G1506">
            <v>0</v>
          </cell>
        </row>
        <row r="1507">
          <cell r="D1507">
            <v>0</v>
          </cell>
          <cell r="E1507">
            <v>0</v>
          </cell>
          <cell r="F1507">
            <v>0</v>
          </cell>
          <cell r="G1507">
            <v>0</v>
          </cell>
        </row>
        <row r="1508">
          <cell r="D1508">
            <v>0</v>
          </cell>
          <cell r="E1508">
            <v>0</v>
          </cell>
          <cell r="F1508">
            <v>0</v>
          </cell>
          <cell r="G1508">
            <v>0</v>
          </cell>
        </row>
        <row r="1509">
          <cell r="D1509">
            <v>0</v>
          </cell>
          <cell r="E1509">
            <v>0</v>
          </cell>
          <cell r="F1509">
            <v>0</v>
          </cell>
          <cell r="G1509">
            <v>0</v>
          </cell>
        </row>
        <row r="1510">
          <cell r="D1510">
            <v>0</v>
          </cell>
          <cell r="E1510">
            <v>0</v>
          </cell>
          <cell r="F1510">
            <v>0</v>
          </cell>
          <cell r="G1510">
            <v>0</v>
          </cell>
        </row>
        <row r="1511">
          <cell r="D1511">
            <v>0</v>
          </cell>
          <cell r="E1511">
            <v>0</v>
          </cell>
          <cell r="F1511">
            <v>0</v>
          </cell>
          <cell r="G1511">
            <v>0</v>
          </cell>
        </row>
        <row r="1512">
          <cell r="D1512">
            <v>0</v>
          </cell>
          <cell r="E1512">
            <v>0</v>
          </cell>
          <cell r="F1512">
            <v>0</v>
          </cell>
          <cell r="G1512">
            <v>0</v>
          </cell>
        </row>
        <row r="1513">
          <cell r="D1513">
            <v>0</v>
          </cell>
          <cell r="E1513">
            <v>0</v>
          </cell>
          <cell r="F1513">
            <v>0</v>
          </cell>
          <cell r="G1513">
            <v>0</v>
          </cell>
        </row>
        <row r="1514">
          <cell r="D1514">
            <v>0</v>
          </cell>
          <cell r="E1514">
            <v>0</v>
          </cell>
          <cell r="F1514">
            <v>0</v>
          </cell>
          <cell r="G1514">
            <v>0</v>
          </cell>
        </row>
        <row r="1515">
          <cell r="D1515">
            <v>0</v>
          </cell>
          <cell r="E1515">
            <v>0</v>
          </cell>
          <cell r="F1515">
            <v>0</v>
          </cell>
          <cell r="G1515">
            <v>0</v>
          </cell>
        </row>
        <row r="1516">
          <cell r="D1516">
            <v>0</v>
          </cell>
          <cell r="E1516">
            <v>0</v>
          </cell>
          <cell r="F1516">
            <v>0</v>
          </cell>
          <cell r="G1516">
            <v>0</v>
          </cell>
        </row>
        <row r="1517">
          <cell r="D1517">
            <v>0</v>
          </cell>
          <cell r="E1517">
            <v>0</v>
          </cell>
          <cell r="F1517">
            <v>0</v>
          </cell>
          <cell r="G1517">
            <v>0</v>
          </cell>
        </row>
        <row r="1518">
          <cell r="D1518">
            <v>0</v>
          </cell>
          <cell r="E1518">
            <v>0</v>
          </cell>
          <cell r="F1518">
            <v>0</v>
          </cell>
          <cell r="G1518">
            <v>0</v>
          </cell>
        </row>
        <row r="1519">
          <cell r="D1519">
            <v>0</v>
          </cell>
          <cell r="E1519">
            <v>0</v>
          </cell>
          <cell r="F1519">
            <v>0</v>
          </cell>
          <cell r="G1519">
            <v>0</v>
          </cell>
        </row>
        <row r="1520">
          <cell r="D1520">
            <v>0</v>
          </cell>
          <cell r="E1520">
            <v>0</v>
          </cell>
          <cell r="F1520">
            <v>0</v>
          </cell>
          <cell r="G1520">
            <v>0</v>
          </cell>
        </row>
        <row r="1521">
          <cell r="D1521">
            <v>0</v>
          </cell>
          <cell r="E1521">
            <v>0</v>
          </cell>
          <cell r="F1521">
            <v>0</v>
          </cell>
          <cell r="G1521">
            <v>0</v>
          </cell>
        </row>
        <row r="1522">
          <cell r="D1522">
            <v>0</v>
          </cell>
          <cell r="E1522">
            <v>0</v>
          </cell>
          <cell r="F1522">
            <v>0</v>
          </cell>
          <cell r="G1522">
            <v>0</v>
          </cell>
        </row>
        <row r="1523">
          <cell r="D1523">
            <v>0</v>
          </cell>
          <cell r="E1523">
            <v>0</v>
          </cell>
          <cell r="F1523">
            <v>0</v>
          </cell>
          <cell r="G1523">
            <v>0</v>
          </cell>
        </row>
        <row r="1524">
          <cell r="D1524">
            <v>0</v>
          </cell>
          <cell r="E1524">
            <v>0</v>
          </cell>
          <cell r="F1524">
            <v>0</v>
          </cell>
          <cell r="G1524">
            <v>0</v>
          </cell>
        </row>
        <row r="1525">
          <cell r="D1525">
            <v>0</v>
          </cell>
          <cell r="E1525">
            <v>0</v>
          </cell>
          <cell r="F1525">
            <v>0</v>
          </cell>
          <cell r="G1525">
            <v>0</v>
          </cell>
        </row>
        <row r="1526">
          <cell r="D1526">
            <v>0</v>
          </cell>
          <cell r="E1526">
            <v>0</v>
          </cell>
          <cell r="F1526">
            <v>0</v>
          </cell>
          <cell r="G1526">
            <v>0</v>
          </cell>
        </row>
        <row r="1527">
          <cell r="D1527">
            <v>0</v>
          </cell>
          <cell r="E1527">
            <v>0</v>
          </cell>
          <cell r="F1527">
            <v>0</v>
          </cell>
          <cell r="G1527">
            <v>0</v>
          </cell>
        </row>
        <row r="1528">
          <cell r="D1528">
            <v>0</v>
          </cell>
          <cell r="E1528">
            <v>0</v>
          </cell>
          <cell r="F1528">
            <v>0</v>
          </cell>
          <cell r="G1528">
            <v>0</v>
          </cell>
        </row>
        <row r="1529">
          <cell r="D1529">
            <v>0</v>
          </cell>
          <cell r="E1529">
            <v>0</v>
          </cell>
          <cell r="F1529">
            <v>0</v>
          </cell>
          <cell r="G1529">
            <v>0</v>
          </cell>
        </row>
        <row r="1530">
          <cell r="D1530">
            <v>0</v>
          </cell>
          <cell r="E1530">
            <v>0</v>
          </cell>
          <cell r="F1530">
            <v>0</v>
          </cell>
          <cell r="G1530">
            <v>0</v>
          </cell>
        </row>
        <row r="1531">
          <cell r="D1531">
            <v>0</v>
          </cell>
          <cell r="E1531">
            <v>0</v>
          </cell>
          <cell r="F1531">
            <v>0</v>
          </cell>
          <cell r="G1531">
            <v>0</v>
          </cell>
        </row>
        <row r="1532">
          <cell r="D1532">
            <v>0</v>
          </cell>
          <cell r="E1532">
            <v>0</v>
          </cell>
          <cell r="F1532">
            <v>0</v>
          </cell>
          <cell r="G1532">
            <v>0</v>
          </cell>
        </row>
        <row r="1533">
          <cell r="D1533">
            <v>0</v>
          </cell>
          <cell r="E1533">
            <v>0</v>
          </cell>
          <cell r="F1533">
            <v>0</v>
          </cell>
          <cell r="G1533">
            <v>0</v>
          </cell>
        </row>
        <row r="1534">
          <cell r="D1534">
            <v>0</v>
          </cell>
          <cell r="E1534">
            <v>0</v>
          </cell>
          <cell r="F1534">
            <v>0</v>
          </cell>
          <cell r="G1534">
            <v>0</v>
          </cell>
        </row>
        <row r="1535">
          <cell r="D1535">
            <v>0</v>
          </cell>
          <cell r="E1535">
            <v>0</v>
          </cell>
          <cell r="F1535">
            <v>0</v>
          </cell>
          <cell r="G1535">
            <v>0</v>
          </cell>
        </row>
        <row r="1536">
          <cell r="D1536">
            <v>0</v>
          </cell>
          <cell r="E1536">
            <v>0</v>
          </cell>
          <cell r="F1536">
            <v>0</v>
          </cell>
          <cell r="G1536">
            <v>0</v>
          </cell>
        </row>
        <row r="1537">
          <cell r="D1537">
            <v>0</v>
          </cell>
          <cell r="E1537">
            <v>0</v>
          </cell>
          <cell r="F1537">
            <v>0</v>
          </cell>
          <cell r="G1537">
            <v>0</v>
          </cell>
        </row>
        <row r="1538">
          <cell r="D1538">
            <v>0</v>
          </cell>
          <cell r="E1538">
            <v>0</v>
          </cell>
          <cell r="F1538">
            <v>0</v>
          </cell>
          <cell r="G1538">
            <v>0</v>
          </cell>
        </row>
        <row r="1539">
          <cell r="D1539">
            <v>0</v>
          </cell>
          <cell r="E1539">
            <v>0</v>
          </cell>
          <cell r="F1539">
            <v>0</v>
          </cell>
          <cell r="G1539">
            <v>0</v>
          </cell>
        </row>
        <row r="1540">
          <cell r="D1540">
            <v>0</v>
          </cell>
          <cell r="E1540">
            <v>0</v>
          </cell>
          <cell r="F1540">
            <v>0</v>
          </cell>
          <cell r="G1540">
            <v>0</v>
          </cell>
        </row>
        <row r="1541">
          <cell r="D1541">
            <v>0</v>
          </cell>
          <cell r="E1541">
            <v>0</v>
          </cell>
          <cell r="F1541">
            <v>0</v>
          </cell>
          <cell r="G1541">
            <v>0</v>
          </cell>
        </row>
        <row r="1542">
          <cell r="D1542">
            <v>0</v>
          </cell>
          <cell r="E1542">
            <v>0</v>
          </cell>
          <cell r="F1542">
            <v>0</v>
          </cell>
          <cell r="G1542">
            <v>0</v>
          </cell>
        </row>
        <row r="1543">
          <cell r="D1543">
            <v>0</v>
          </cell>
          <cell r="E1543">
            <v>0</v>
          </cell>
          <cell r="F1543">
            <v>0</v>
          </cell>
          <cell r="G1543">
            <v>0</v>
          </cell>
        </row>
        <row r="1544">
          <cell r="D1544">
            <v>0</v>
          </cell>
          <cell r="E1544">
            <v>0</v>
          </cell>
          <cell r="F1544">
            <v>0</v>
          </cell>
          <cell r="G1544">
            <v>0</v>
          </cell>
        </row>
        <row r="1545">
          <cell r="D1545">
            <v>0</v>
          </cell>
          <cell r="E1545">
            <v>0</v>
          </cell>
          <cell r="F1545">
            <v>0</v>
          </cell>
          <cell r="G1545">
            <v>0</v>
          </cell>
        </row>
        <row r="1546">
          <cell r="D1546">
            <v>0</v>
          </cell>
          <cell r="E1546">
            <v>0</v>
          </cell>
          <cell r="F1546">
            <v>0</v>
          </cell>
          <cell r="G1546">
            <v>0</v>
          </cell>
        </row>
        <row r="1547">
          <cell r="D1547">
            <v>0</v>
          </cell>
          <cell r="E1547">
            <v>0</v>
          </cell>
          <cell r="F1547">
            <v>0</v>
          </cell>
          <cell r="G1547">
            <v>0</v>
          </cell>
        </row>
        <row r="1548">
          <cell r="D1548">
            <v>0</v>
          </cell>
          <cell r="E1548">
            <v>0</v>
          </cell>
          <cell r="F1548">
            <v>0</v>
          </cell>
          <cell r="G1548">
            <v>0</v>
          </cell>
        </row>
        <row r="1549">
          <cell r="D1549">
            <v>0</v>
          </cell>
          <cell r="E1549">
            <v>0</v>
          </cell>
          <cell r="F1549">
            <v>0</v>
          </cell>
          <cell r="G1549">
            <v>0</v>
          </cell>
        </row>
        <row r="1550">
          <cell r="D1550">
            <v>0</v>
          </cell>
          <cell r="E1550">
            <v>0</v>
          </cell>
          <cell r="F1550">
            <v>0</v>
          </cell>
          <cell r="G1550">
            <v>0</v>
          </cell>
        </row>
        <row r="1551">
          <cell r="D1551">
            <v>0</v>
          </cell>
          <cell r="E1551">
            <v>0</v>
          </cell>
          <cell r="F1551">
            <v>0</v>
          </cell>
          <cell r="G1551">
            <v>0</v>
          </cell>
        </row>
        <row r="1552">
          <cell r="D1552">
            <v>0</v>
          </cell>
          <cell r="E1552">
            <v>0</v>
          </cell>
          <cell r="F1552">
            <v>0</v>
          </cell>
          <cell r="G1552">
            <v>0</v>
          </cell>
        </row>
        <row r="1553">
          <cell r="D1553">
            <v>0</v>
          </cell>
          <cell r="E1553">
            <v>0</v>
          </cell>
          <cell r="F1553">
            <v>0</v>
          </cell>
          <cell r="G1553">
            <v>0</v>
          </cell>
        </row>
        <row r="1554">
          <cell r="D1554">
            <v>0</v>
          </cell>
          <cell r="E1554">
            <v>0</v>
          </cell>
          <cell r="F1554">
            <v>0</v>
          </cell>
          <cell r="G1554">
            <v>0</v>
          </cell>
        </row>
        <row r="1555">
          <cell r="D1555">
            <v>0</v>
          </cell>
          <cell r="E1555">
            <v>0</v>
          </cell>
          <cell r="F1555">
            <v>0</v>
          </cell>
          <cell r="G1555">
            <v>0</v>
          </cell>
        </row>
        <row r="1556">
          <cell r="D1556">
            <v>0</v>
          </cell>
          <cell r="E1556">
            <v>0</v>
          </cell>
          <cell r="F1556">
            <v>0</v>
          </cell>
          <cell r="G1556">
            <v>0</v>
          </cell>
        </row>
        <row r="1557">
          <cell r="D1557">
            <v>0</v>
          </cell>
          <cell r="E1557">
            <v>0</v>
          </cell>
          <cell r="F1557">
            <v>0</v>
          </cell>
          <cell r="G1557">
            <v>0</v>
          </cell>
        </row>
        <row r="1558">
          <cell r="D1558">
            <v>0</v>
          </cell>
          <cell r="E1558">
            <v>0</v>
          </cell>
          <cell r="F1558">
            <v>0</v>
          </cell>
          <cell r="G1558">
            <v>0</v>
          </cell>
        </row>
        <row r="1559">
          <cell r="D1559">
            <v>0</v>
          </cell>
          <cell r="E1559">
            <v>0</v>
          </cell>
          <cell r="F1559">
            <v>0</v>
          </cell>
          <cell r="G1559">
            <v>0</v>
          </cell>
        </row>
        <row r="1560">
          <cell r="D1560">
            <v>0</v>
          </cell>
          <cell r="E1560">
            <v>0</v>
          </cell>
          <cell r="F1560">
            <v>0</v>
          </cell>
          <cell r="G1560">
            <v>0</v>
          </cell>
        </row>
        <row r="1561">
          <cell r="D1561">
            <v>0</v>
          </cell>
          <cell r="E1561">
            <v>0</v>
          </cell>
          <cell r="F1561">
            <v>0</v>
          </cell>
          <cell r="G1561">
            <v>0</v>
          </cell>
        </row>
        <row r="1562">
          <cell r="D1562">
            <v>0</v>
          </cell>
          <cell r="E1562">
            <v>0</v>
          </cell>
          <cell r="F1562">
            <v>0</v>
          </cell>
          <cell r="G1562">
            <v>0</v>
          </cell>
        </row>
        <row r="1563">
          <cell r="D1563">
            <v>0</v>
          </cell>
          <cell r="E1563">
            <v>0</v>
          </cell>
          <cell r="F1563">
            <v>0</v>
          </cell>
          <cell r="G1563">
            <v>0</v>
          </cell>
        </row>
        <row r="1564">
          <cell r="D1564">
            <v>0</v>
          </cell>
          <cell r="E1564">
            <v>0</v>
          </cell>
          <cell r="F1564">
            <v>0</v>
          </cell>
          <cell r="G1564">
            <v>0</v>
          </cell>
        </row>
        <row r="1565">
          <cell r="D1565">
            <v>0</v>
          </cell>
          <cell r="E1565">
            <v>0</v>
          </cell>
          <cell r="F1565">
            <v>0</v>
          </cell>
          <cell r="G1565">
            <v>0</v>
          </cell>
        </row>
        <row r="1566">
          <cell r="D1566">
            <v>0</v>
          </cell>
          <cell r="E1566">
            <v>0</v>
          </cell>
          <cell r="F1566">
            <v>0</v>
          </cell>
          <cell r="G1566">
            <v>0</v>
          </cell>
        </row>
        <row r="1567">
          <cell r="D1567">
            <v>0</v>
          </cell>
          <cell r="E1567">
            <v>0</v>
          </cell>
          <cell r="F1567">
            <v>0</v>
          </cell>
          <cell r="G1567">
            <v>0</v>
          </cell>
        </row>
        <row r="1568">
          <cell r="D1568">
            <v>0</v>
          </cell>
          <cell r="E1568">
            <v>0</v>
          </cell>
          <cell r="F1568">
            <v>0</v>
          </cell>
          <cell r="G1568">
            <v>0</v>
          </cell>
        </row>
        <row r="1569">
          <cell r="D1569">
            <v>0</v>
          </cell>
          <cell r="E1569">
            <v>0</v>
          </cell>
          <cell r="F1569">
            <v>0</v>
          </cell>
          <cell r="G1569">
            <v>0</v>
          </cell>
        </row>
        <row r="1570">
          <cell r="D1570">
            <v>0</v>
          </cell>
          <cell r="E1570">
            <v>0</v>
          </cell>
          <cell r="F1570">
            <v>0</v>
          </cell>
          <cell r="G1570">
            <v>0</v>
          </cell>
        </row>
        <row r="1571">
          <cell r="D1571">
            <v>0</v>
          </cell>
          <cell r="E1571">
            <v>0</v>
          </cell>
          <cell r="F1571">
            <v>0</v>
          </cell>
          <cell r="G1571">
            <v>0</v>
          </cell>
        </row>
        <row r="1572">
          <cell r="D1572">
            <v>0</v>
          </cell>
          <cell r="E1572">
            <v>0</v>
          </cell>
          <cell r="F1572">
            <v>0</v>
          </cell>
          <cell r="G1572">
            <v>0</v>
          </cell>
        </row>
        <row r="1573">
          <cell r="D1573">
            <v>0</v>
          </cell>
          <cell r="E1573">
            <v>0</v>
          </cell>
          <cell r="F1573">
            <v>0</v>
          </cell>
          <cell r="G1573">
            <v>0</v>
          </cell>
        </row>
        <row r="1574">
          <cell r="D1574">
            <v>0</v>
          </cell>
          <cell r="E1574">
            <v>0</v>
          </cell>
          <cell r="F1574">
            <v>0</v>
          </cell>
          <cell r="G1574">
            <v>0</v>
          </cell>
        </row>
        <row r="1575">
          <cell r="D1575">
            <v>0</v>
          </cell>
          <cell r="E1575">
            <v>0</v>
          </cell>
          <cell r="F1575">
            <v>0</v>
          </cell>
          <cell r="G1575">
            <v>0</v>
          </cell>
        </row>
        <row r="1576">
          <cell r="D1576">
            <v>0</v>
          </cell>
          <cell r="E1576">
            <v>0</v>
          </cell>
          <cell r="F1576">
            <v>0</v>
          </cell>
          <cell r="G1576">
            <v>0</v>
          </cell>
        </row>
        <row r="1577">
          <cell r="D1577">
            <v>0</v>
          </cell>
          <cell r="E1577">
            <v>0</v>
          </cell>
          <cell r="F1577">
            <v>0</v>
          </cell>
          <cell r="G1577">
            <v>0</v>
          </cell>
        </row>
        <row r="1578">
          <cell r="D1578">
            <v>0</v>
          </cell>
          <cell r="E1578">
            <v>0</v>
          </cell>
          <cell r="F1578">
            <v>0</v>
          </cell>
          <cell r="G1578">
            <v>0</v>
          </cell>
        </row>
        <row r="1579">
          <cell r="D1579">
            <v>0</v>
          </cell>
          <cell r="E1579">
            <v>0</v>
          </cell>
          <cell r="F1579">
            <v>0</v>
          </cell>
          <cell r="G1579">
            <v>0</v>
          </cell>
        </row>
        <row r="1580">
          <cell r="D1580">
            <v>0</v>
          </cell>
          <cell r="E1580">
            <v>0</v>
          </cell>
          <cell r="F1580">
            <v>0</v>
          </cell>
          <cell r="G1580">
            <v>0</v>
          </cell>
        </row>
        <row r="1581">
          <cell r="D1581">
            <v>0</v>
          </cell>
          <cell r="E1581">
            <v>0</v>
          </cell>
          <cell r="F1581">
            <v>0</v>
          </cell>
          <cell r="G1581">
            <v>0</v>
          </cell>
        </row>
        <row r="1582">
          <cell r="D1582">
            <v>0</v>
          </cell>
          <cell r="E1582">
            <v>0</v>
          </cell>
          <cell r="F1582">
            <v>0</v>
          </cell>
          <cell r="G1582">
            <v>0</v>
          </cell>
        </row>
        <row r="1583">
          <cell r="D1583">
            <v>0</v>
          </cell>
          <cell r="E1583">
            <v>0</v>
          </cell>
          <cell r="F1583">
            <v>0</v>
          </cell>
          <cell r="G1583">
            <v>0</v>
          </cell>
        </row>
        <row r="1584">
          <cell r="D1584">
            <v>0</v>
          </cell>
          <cell r="E1584">
            <v>0</v>
          </cell>
          <cell r="F1584">
            <v>0</v>
          </cell>
          <cell r="G1584">
            <v>0</v>
          </cell>
        </row>
        <row r="1585">
          <cell r="D1585">
            <v>0</v>
          </cell>
          <cell r="E1585">
            <v>0</v>
          </cell>
          <cell r="F1585">
            <v>0</v>
          </cell>
          <cell r="G1585">
            <v>0</v>
          </cell>
        </row>
        <row r="1586">
          <cell r="D1586">
            <v>0</v>
          </cell>
          <cell r="E1586">
            <v>0</v>
          </cell>
          <cell r="F1586">
            <v>0</v>
          </cell>
          <cell r="G1586">
            <v>0</v>
          </cell>
        </row>
        <row r="1587">
          <cell r="D1587">
            <v>0</v>
          </cell>
          <cell r="E1587">
            <v>0</v>
          </cell>
          <cell r="F1587">
            <v>0</v>
          </cell>
          <cell r="G1587">
            <v>0</v>
          </cell>
        </row>
        <row r="1588">
          <cell r="D1588">
            <v>0</v>
          </cell>
          <cell r="E1588">
            <v>0</v>
          </cell>
          <cell r="F1588">
            <v>0</v>
          </cell>
          <cell r="G1588">
            <v>0</v>
          </cell>
        </row>
        <row r="1589">
          <cell r="D1589">
            <v>0</v>
          </cell>
          <cell r="E1589">
            <v>0</v>
          </cell>
          <cell r="F1589">
            <v>0</v>
          </cell>
          <cell r="G1589">
            <v>0</v>
          </cell>
        </row>
        <row r="1590">
          <cell r="D1590">
            <v>0</v>
          </cell>
          <cell r="E1590">
            <v>0</v>
          </cell>
          <cell r="F1590">
            <v>0</v>
          </cell>
          <cell r="G1590">
            <v>0</v>
          </cell>
        </row>
        <row r="1591">
          <cell r="D1591">
            <v>0</v>
          </cell>
          <cell r="E1591">
            <v>0</v>
          </cell>
          <cell r="F1591">
            <v>0</v>
          </cell>
          <cell r="G1591">
            <v>0</v>
          </cell>
        </row>
        <row r="1592">
          <cell r="D1592">
            <v>0</v>
          </cell>
          <cell r="E1592">
            <v>0</v>
          </cell>
          <cell r="F1592">
            <v>0</v>
          </cell>
          <cell r="G1592">
            <v>0</v>
          </cell>
        </row>
        <row r="1593">
          <cell r="D1593">
            <v>0</v>
          </cell>
          <cell r="E1593">
            <v>0</v>
          </cell>
          <cell r="F1593">
            <v>0</v>
          </cell>
          <cell r="G1593">
            <v>0</v>
          </cell>
        </row>
        <row r="1594">
          <cell r="D1594">
            <v>0</v>
          </cell>
          <cell r="E1594">
            <v>0</v>
          </cell>
          <cell r="F1594">
            <v>0</v>
          </cell>
          <cell r="G1594">
            <v>0</v>
          </cell>
        </row>
        <row r="1595">
          <cell r="D1595">
            <v>0</v>
          </cell>
          <cell r="E1595">
            <v>0</v>
          </cell>
          <cell r="F1595">
            <v>0</v>
          </cell>
          <cell r="G1595">
            <v>0</v>
          </cell>
        </row>
        <row r="1596">
          <cell r="D1596">
            <v>0</v>
          </cell>
          <cell r="E1596">
            <v>0</v>
          </cell>
          <cell r="F1596">
            <v>0</v>
          </cell>
          <cell r="G1596">
            <v>0</v>
          </cell>
        </row>
        <row r="1597">
          <cell r="D1597">
            <v>0</v>
          </cell>
          <cell r="E1597">
            <v>0</v>
          </cell>
          <cell r="F1597">
            <v>0</v>
          </cell>
          <cell r="G1597">
            <v>0</v>
          </cell>
        </row>
        <row r="1598">
          <cell r="D1598">
            <v>0</v>
          </cell>
          <cell r="E1598">
            <v>0</v>
          </cell>
          <cell r="F1598">
            <v>0</v>
          </cell>
          <cell r="G1598">
            <v>0</v>
          </cell>
        </row>
        <row r="1599">
          <cell r="D1599">
            <v>0</v>
          </cell>
          <cell r="E1599">
            <v>0</v>
          </cell>
          <cell r="F1599">
            <v>0</v>
          </cell>
          <cell r="G1599">
            <v>0</v>
          </cell>
        </row>
        <row r="1600">
          <cell r="D1600">
            <v>0</v>
          </cell>
          <cell r="E1600">
            <v>0</v>
          </cell>
          <cell r="F1600">
            <v>0</v>
          </cell>
          <cell r="G1600">
            <v>0</v>
          </cell>
        </row>
        <row r="1601">
          <cell r="D1601">
            <v>0</v>
          </cell>
          <cell r="E1601">
            <v>0</v>
          </cell>
          <cell r="F1601">
            <v>0</v>
          </cell>
          <cell r="G1601">
            <v>0</v>
          </cell>
        </row>
        <row r="1602">
          <cell r="D1602">
            <v>0</v>
          </cell>
          <cell r="E1602">
            <v>0</v>
          </cell>
          <cell r="F1602">
            <v>0</v>
          </cell>
          <cell r="G1602">
            <v>0</v>
          </cell>
        </row>
        <row r="1603">
          <cell r="D1603">
            <v>0</v>
          </cell>
          <cell r="E1603">
            <v>0</v>
          </cell>
          <cell r="F1603">
            <v>0</v>
          </cell>
          <cell r="G1603">
            <v>0</v>
          </cell>
        </row>
        <row r="1604">
          <cell r="D1604">
            <v>0</v>
          </cell>
          <cell r="E1604">
            <v>0</v>
          </cell>
          <cell r="F1604">
            <v>0</v>
          </cell>
          <cell r="G1604">
            <v>0</v>
          </cell>
        </row>
        <row r="1605">
          <cell r="D1605">
            <v>0</v>
          </cell>
          <cell r="E1605">
            <v>0</v>
          </cell>
          <cell r="F1605">
            <v>0</v>
          </cell>
          <cell r="G1605">
            <v>0</v>
          </cell>
        </row>
        <row r="1606">
          <cell r="D1606">
            <v>0</v>
          </cell>
          <cell r="E1606">
            <v>0</v>
          </cell>
          <cell r="F1606">
            <v>0</v>
          </cell>
          <cell r="G1606">
            <v>0</v>
          </cell>
        </row>
        <row r="1607">
          <cell r="D1607">
            <v>0</v>
          </cell>
          <cell r="E1607">
            <v>0</v>
          </cell>
          <cell r="F1607">
            <v>0</v>
          </cell>
          <cell r="G1607">
            <v>0</v>
          </cell>
        </row>
        <row r="1608">
          <cell r="D1608">
            <v>0</v>
          </cell>
          <cell r="E1608">
            <v>0</v>
          </cell>
          <cell r="F1608">
            <v>0</v>
          </cell>
          <cell r="G1608">
            <v>0</v>
          </cell>
        </row>
        <row r="1609">
          <cell r="D1609">
            <v>0</v>
          </cell>
          <cell r="E1609">
            <v>0</v>
          </cell>
          <cell r="F1609">
            <v>0</v>
          </cell>
          <cell r="G1609">
            <v>0</v>
          </cell>
        </row>
        <row r="1610">
          <cell r="D1610">
            <v>0</v>
          </cell>
          <cell r="E1610">
            <v>0</v>
          </cell>
          <cell r="F1610">
            <v>0</v>
          </cell>
          <cell r="G1610">
            <v>0</v>
          </cell>
        </row>
        <row r="1611">
          <cell r="D1611">
            <v>0</v>
          </cell>
          <cell r="E1611">
            <v>0</v>
          </cell>
          <cell r="F1611">
            <v>0</v>
          </cell>
          <cell r="G1611">
            <v>0</v>
          </cell>
        </row>
        <row r="1612">
          <cell r="D1612">
            <v>0</v>
          </cell>
          <cell r="E1612">
            <v>0</v>
          </cell>
          <cell r="F1612">
            <v>0</v>
          </cell>
          <cell r="G1612">
            <v>0</v>
          </cell>
        </row>
        <row r="1613">
          <cell r="D1613">
            <v>0</v>
          </cell>
          <cell r="E1613">
            <v>0</v>
          </cell>
          <cell r="F1613">
            <v>0</v>
          </cell>
          <cell r="G1613">
            <v>0</v>
          </cell>
        </row>
        <row r="1614">
          <cell r="D1614">
            <v>0</v>
          </cell>
          <cell r="E1614">
            <v>0</v>
          </cell>
          <cell r="F1614">
            <v>0</v>
          </cell>
          <cell r="G1614">
            <v>0</v>
          </cell>
        </row>
        <row r="1615">
          <cell r="D1615">
            <v>0</v>
          </cell>
          <cell r="E1615">
            <v>0</v>
          </cell>
          <cell r="F1615">
            <v>0</v>
          </cell>
          <cell r="G1615">
            <v>0</v>
          </cell>
        </row>
        <row r="1616">
          <cell r="D1616">
            <v>0</v>
          </cell>
          <cell r="E1616">
            <v>0</v>
          </cell>
          <cell r="F1616">
            <v>0</v>
          </cell>
          <cell r="G1616">
            <v>0</v>
          </cell>
        </row>
        <row r="1617">
          <cell r="D1617">
            <v>0</v>
          </cell>
          <cell r="E1617">
            <v>0</v>
          </cell>
          <cell r="F1617">
            <v>0</v>
          </cell>
          <cell r="G1617">
            <v>0</v>
          </cell>
        </row>
        <row r="1618">
          <cell r="D1618">
            <v>0</v>
          </cell>
          <cell r="E1618">
            <v>0</v>
          </cell>
          <cell r="F1618">
            <v>0</v>
          </cell>
          <cell r="G1618">
            <v>0</v>
          </cell>
        </row>
        <row r="1619">
          <cell r="D1619">
            <v>0</v>
          </cell>
          <cell r="E1619">
            <v>0</v>
          </cell>
          <cell r="F1619">
            <v>0</v>
          </cell>
          <cell r="G1619">
            <v>0</v>
          </cell>
        </row>
        <row r="1620">
          <cell r="D1620">
            <v>0</v>
          </cell>
          <cell r="E1620">
            <v>0</v>
          </cell>
          <cell r="F1620">
            <v>0</v>
          </cell>
          <cell r="G1620">
            <v>0</v>
          </cell>
        </row>
        <row r="1621">
          <cell r="D1621">
            <v>0</v>
          </cell>
          <cell r="E1621">
            <v>0</v>
          </cell>
          <cell r="F1621">
            <v>0</v>
          </cell>
          <cell r="G1621">
            <v>0</v>
          </cell>
        </row>
        <row r="1622">
          <cell r="D1622">
            <v>0</v>
          </cell>
          <cell r="E1622">
            <v>0</v>
          </cell>
          <cell r="F1622">
            <v>0</v>
          </cell>
          <cell r="G1622">
            <v>0</v>
          </cell>
        </row>
        <row r="1623">
          <cell r="D1623">
            <v>0</v>
          </cell>
          <cell r="E1623">
            <v>0</v>
          </cell>
          <cell r="F1623">
            <v>0</v>
          </cell>
          <cell r="G1623">
            <v>0</v>
          </cell>
        </row>
        <row r="1624">
          <cell r="D1624">
            <v>0</v>
          </cell>
          <cell r="E1624">
            <v>0</v>
          </cell>
          <cell r="F1624">
            <v>0</v>
          </cell>
          <cell r="G1624">
            <v>0</v>
          </cell>
        </row>
        <row r="1625">
          <cell r="D1625">
            <v>0</v>
          </cell>
          <cell r="E1625">
            <v>0</v>
          </cell>
          <cell r="F1625">
            <v>0</v>
          </cell>
          <cell r="G1625">
            <v>0</v>
          </cell>
        </row>
        <row r="1626">
          <cell r="D1626">
            <v>0</v>
          </cell>
          <cell r="E1626">
            <v>0</v>
          </cell>
          <cell r="F1626">
            <v>0</v>
          </cell>
          <cell r="G1626">
            <v>0</v>
          </cell>
        </row>
        <row r="1627">
          <cell r="D1627">
            <v>0</v>
          </cell>
          <cell r="E1627">
            <v>0</v>
          </cell>
          <cell r="F1627">
            <v>0</v>
          </cell>
          <cell r="G1627">
            <v>0</v>
          </cell>
        </row>
        <row r="1628">
          <cell r="D1628">
            <v>0</v>
          </cell>
          <cell r="E1628">
            <v>0</v>
          </cell>
          <cell r="F1628">
            <v>0</v>
          </cell>
          <cell r="G1628">
            <v>0</v>
          </cell>
        </row>
        <row r="1629">
          <cell r="D1629">
            <v>0</v>
          </cell>
          <cell r="E1629">
            <v>0</v>
          </cell>
          <cell r="F1629">
            <v>0</v>
          </cell>
          <cell r="G1629">
            <v>0</v>
          </cell>
        </row>
        <row r="1630">
          <cell r="D1630">
            <v>0</v>
          </cell>
          <cell r="E1630">
            <v>0</v>
          </cell>
          <cell r="F1630">
            <v>0</v>
          </cell>
          <cell r="G1630">
            <v>0</v>
          </cell>
        </row>
        <row r="1631">
          <cell r="D1631">
            <v>0</v>
          </cell>
          <cell r="E1631">
            <v>0</v>
          </cell>
          <cell r="F1631">
            <v>0</v>
          </cell>
          <cell r="G1631">
            <v>0</v>
          </cell>
        </row>
        <row r="1632">
          <cell r="D1632">
            <v>0</v>
          </cell>
          <cell r="E1632">
            <v>0</v>
          </cell>
          <cell r="F1632">
            <v>0</v>
          </cell>
          <cell r="G1632">
            <v>0</v>
          </cell>
        </row>
        <row r="1633">
          <cell r="D1633">
            <v>0</v>
          </cell>
          <cell r="E1633">
            <v>0</v>
          </cell>
          <cell r="F1633">
            <v>0</v>
          </cell>
          <cell r="G1633">
            <v>0</v>
          </cell>
        </row>
        <row r="1634">
          <cell r="D1634">
            <v>0</v>
          </cell>
          <cell r="E1634">
            <v>0</v>
          </cell>
          <cell r="F1634">
            <v>0</v>
          </cell>
          <cell r="G1634">
            <v>0</v>
          </cell>
        </row>
        <row r="1635">
          <cell r="D1635">
            <v>0</v>
          </cell>
          <cell r="E1635">
            <v>0</v>
          </cell>
          <cell r="F1635">
            <v>0</v>
          </cell>
          <cell r="G1635">
            <v>0</v>
          </cell>
        </row>
        <row r="1636">
          <cell r="D1636">
            <v>0</v>
          </cell>
          <cell r="E1636">
            <v>0</v>
          </cell>
          <cell r="F1636">
            <v>0</v>
          </cell>
          <cell r="G1636">
            <v>0</v>
          </cell>
        </row>
        <row r="1637">
          <cell r="D1637">
            <v>0</v>
          </cell>
          <cell r="E1637">
            <v>0</v>
          </cell>
          <cell r="F1637">
            <v>0</v>
          </cell>
          <cell r="G1637">
            <v>0</v>
          </cell>
        </row>
        <row r="1638">
          <cell r="D1638">
            <v>0</v>
          </cell>
          <cell r="E1638">
            <v>0</v>
          </cell>
          <cell r="F1638">
            <v>0</v>
          </cell>
          <cell r="G1638">
            <v>0</v>
          </cell>
        </row>
        <row r="1639">
          <cell r="D1639">
            <v>0</v>
          </cell>
          <cell r="E1639">
            <v>0</v>
          </cell>
          <cell r="F1639">
            <v>0</v>
          </cell>
          <cell r="G1639">
            <v>0</v>
          </cell>
        </row>
        <row r="1640">
          <cell r="D1640">
            <v>0</v>
          </cell>
          <cell r="E1640">
            <v>0</v>
          </cell>
          <cell r="F1640">
            <v>0</v>
          </cell>
          <cell r="G1640">
            <v>0</v>
          </cell>
        </row>
        <row r="1641">
          <cell r="D1641">
            <v>0</v>
          </cell>
          <cell r="E1641">
            <v>0</v>
          </cell>
          <cell r="F1641">
            <v>0</v>
          </cell>
          <cell r="G1641">
            <v>0</v>
          </cell>
        </row>
        <row r="1642">
          <cell r="D1642">
            <v>0</v>
          </cell>
          <cell r="E1642">
            <v>0</v>
          </cell>
          <cell r="F1642">
            <v>0</v>
          </cell>
          <cell r="G1642">
            <v>0</v>
          </cell>
        </row>
        <row r="1643">
          <cell r="D1643">
            <v>0</v>
          </cell>
          <cell r="E1643">
            <v>0</v>
          </cell>
          <cell r="F1643">
            <v>0</v>
          </cell>
          <cell r="G1643">
            <v>0</v>
          </cell>
        </row>
        <row r="1644">
          <cell r="D1644">
            <v>0</v>
          </cell>
          <cell r="E1644">
            <v>0</v>
          </cell>
          <cell r="F1644">
            <v>0</v>
          </cell>
          <cell r="G1644">
            <v>0</v>
          </cell>
        </row>
        <row r="1645">
          <cell r="D1645">
            <v>0</v>
          </cell>
          <cell r="E1645">
            <v>0</v>
          </cell>
          <cell r="F1645">
            <v>0</v>
          </cell>
          <cell r="G1645">
            <v>0</v>
          </cell>
        </row>
        <row r="1646">
          <cell r="D1646">
            <v>0</v>
          </cell>
          <cell r="E1646">
            <v>0</v>
          </cell>
          <cell r="F1646">
            <v>0</v>
          </cell>
          <cell r="G1646">
            <v>0</v>
          </cell>
        </row>
        <row r="1647">
          <cell r="D1647">
            <v>0</v>
          </cell>
          <cell r="E1647">
            <v>0</v>
          </cell>
          <cell r="F1647">
            <v>0</v>
          </cell>
          <cell r="G1647">
            <v>0</v>
          </cell>
        </row>
        <row r="1648">
          <cell r="D1648">
            <v>0</v>
          </cell>
          <cell r="E1648">
            <v>0</v>
          </cell>
          <cell r="F1648">
            <v>0</v>
          </cell>
          <cell r="G1648">
            <v>0</v>
          </cell>
        </row>
        <row r="1649">
          <cell r="D1649">
            <v>0</v>
          </cell>
          <cell r="E1649">
            <v>0</v>
          </cell>
          <cell r="F1649">
            <v>0</v>
          </cell>
          <cell r="G1649">
            <v>0</v>
          </cell>
        </row>
        <row r="1650">
          <cell r="D1650">
            <v>0</v>
          </cell>
          <cell r="E1650">
            <v>0</v>
          </cell>
          <cell r="F1650">
            <v>0</v>
          </cell>
          <cell r="G1650">
            <v>0</v>
          </cell>
        </row>
        <row r="1651">
          <cell r="D1651">
            <v>0</v>
          </cell>
          <cell r="E1651">
            <v>0</v>
          </cell>
          <cell r="F1651">
            <v>0</v>
          </cell>
          <cell r="G1651">
            <v>0</v>
          </cell>
        </row>
        <row r="1652">
          <cell r="D1652">
            <v>0</v>
          </cell>
          <cell r="E1652">
            <v>0</v>
          </cell>
          <cell r="F1652">
            <v>0</v>
          </cell>
          <cell r="G1652">
            <v>0</v>
          </cell>
        </row>
        <row r="1653">
          <cell r="D1653">
            <v>0</v>
          </cell>
          <cell r="E1653">
            <v>0</v>
          </cell>
          <cell r="F1653">
            <v>0</v>
          </cell>
          <cell r="G1653">
            <v>0</v>
          </cell>
        </row>
        <row r="1654">
          <cell r="D1654">
            <v>0</v>
          </cell>
          <cell r="E1654">
            <v>0</v>
          </cell>
          <cell r="F1654">
            <v>0</v>
          </cell>
          <cell r="G1654">
            <v>0</v>
          </cell>
        </row>
        <row r="1655">
          <cell r="D1655">
            <v>0</v>
          </cell>
          <cell r="E1655">
            <v>0</v>
          </cell>
          <cell r="F1655">
            <v>0</v>
          </cell>
          <cell r="G1655">
            <v>0</v>
          </cell>
        </row>
        <row r="1656">
          <cell r="D1656">
            <v>0</v>
          </cell>
          <cell r="E1656">
            <v>0</v>
          </cell>
          <cell r="F1656">
            <v>0</v>
          </cell>
          <cell r="G1656">
            <v>0</v>
          </cell>
        </row>
        <row r="1657">
          <cell r="D1657">
            <v>0</v>
          </cell>
          <cell r="E1657">
            <v>0</v>
          </cell>
          <cell r="F1657">
            <v>0</v>
          </cell>
          <cell r="G1657">
            <v>0</v>
          </cell>
        </row>
        <row r="1658">
          <cell r="D1658">
            <v>0</v>
          </cell>
          <cell r="E1658">
            <v>0</v>
          </cell>
          <cell r="F1658">
            <v>0</v>
          </cell>
          <cell r="G1658">
            <v>0</v>
          </cell>
        </row>
        <row r="1659">
          <cell r="D1659">
            <v>0</v>
          </cell>
          <cell r="E1659">
            <v>0</v>
          </cell>
          <cell r="F1659">
            <v>0</v>
          </cell>
          <cell r="G1659">
            <v>0</v>
          </cell>
        </row>
        <row r="1660">
          <cell r="D1660">
            <v>0</v>
          </cell>
          <cell r="E1660">
            <v>0</v>
          </cell>
          <cell r="F1660">
            <v>0</v>
          </cell>
          <cell r="G1660">
            <v>0</v>
          </cell>
        </row>
        <row r="1661">
          <cell r="D1661">
            <v>0</v>
          </cell>
          <cell r="E1661">
            <v>0</v>
          </cell>
          <cell r="F1661">
            <v>0</v>
          </cell>
          <cell r="G1661">
            <v>0</v>
          </cell>
        </row>
        <row r="1662">
          <cell r="D1662">
            <v>0</v>
          </cell>
          <cell r="E1662">
            <v>0</v>
          </cell>
          <cell r="F1662">
            <v>0</v>
          </cell>
          <cell r="G1662">
            <v>0</v>
          </cell>
        </row>
        <row r="1663">
          <cell r="D1663">
            <v>0</v>
          </cell>
          <cell r="E1663">
            <v>0</v>
          </cell>
          <cell r="F1663">
            <v>0</v>
          </cell>
          <cell r="G1663">
            <v>0</v>
          </cell>
        </row>
        <row r="1664">
          <cell r="D1664">
            <v>0</v>
          </cell>
          <cell r="E1664">
            <v>0</v>
          </cell>
          <cell r="F1664">
            <v>0</v>
          </cell>
          <cell r="G1664">
            <v>0</v>
          </cell>
        </row>
        <row r="1665">
          <cell r="D1665">
            <v>0</v>
          </cell>
          <cell r="E1665">
            <v>0</v>
          </cell>
          <cell r="F1665">
            <v>0</v>
          </cell>
          <cell r="G1665">
            <v>0</v>
          </cell>
        </row>
        <row r="1666">
          <cell r="D1666">
            <v>0</v>
          </cell>
          <cell r="E1666">
            <v>0</v>
          </cell>
          <cell r="F1666">
            <v>0</v>
          </cell>
          <cell r="G1666">
            <v>0</v>
          </cell>
        </row>
        <row r="1667">
          <cell r="D1667">
            <v>0</v>
          </cell>
          <cell r="E1667">
            <v>0</v>
          </cell>
          <cell r="F1667">
            <v>0</v>
          </cell>
          <cell r="G1667">
            <v>0</v>
          </cell>
        </row>
        <row r="1668">
          <cell r="D1668">
            <v>0</v>
          </cell>
          <cell r="E1668">
            <v>0</v>
          </cell>
          <cell r="F1668">
            <v>0</v>
          </cell>
          <cell r="G1668">
            <v>0</v>
          </cell>
        </row>
        <row r="1669">
          <cell r="D1669">
            <v>0</v>
          </cell>
          <cell r="E1669">
            <v>0</v>
          </cell>
          <cell r="F1669">
            <v>0</v>
          </cell>
          <cell r="G1669">
            <v>0</v>
          </cell>
        </row>
        <row r="1670">
          <cell r="D1670">
            <v>0</v>
          </cell>
          <cell r="E1670">
            <v>0</v>
          </cell>
          <cell r="F1670">
            <v>0</v>
          </cell>
          <cell r="G1670">
            <v>0</v>
          </cell>
        </row>
        <row r="1671">
          <cell r="D1671">
            <v>0</v>
          </cell>
          <cell r="E1671">
            <v>0</v>
          </cell>
          <cell r="F1671">
            <v>0</v>
          </cell>
          <cell r="G1671">
            <v>0</v>
          </cell>
        </row>
        <row r="1672">
          <cell r="D1672">
            <v>0</v>
          </cell>
          <cell r="E1672">
            <v>0</v>
          </cell>
          <cell r="F1672">
            <v>0</v>
          </cell>
          <cell r="G1672">
            <v>0</v>
          </cell>
        </row>
        <row r="1673">
          <cell r="D1673">
            <v>0</v>
          </cell>
          <cell r="E1673">
            <v>0</v>
          </cell>
          <cell r="F1673">
            <v>0</v>
          </cell>
          <cell r="G1673">
            <v>0</v>
          </cell>
        </row>
        <row r="1674">
          <cell r="D1674">
            <v>0</v>
          </cell>
          <cell r="E1674">
            <v>0</v>
          </cell>
          <cell r="F1674">
            <v>0</v>
          </cell>
          <cell r="G1674">
            <v>0</v>
          </cell>
        </row>
        <row r="1675">
          <cell r="D1675">
            <v>0</v>
          </cell>
          <cell r="E1675">
            <v>0</v>
          </cell>
          <cell r="F1675">
            <v>0</v>
          </cell>
          <cell r="G1675">
            <v>0</v>
          </cell>
        </row>
        <row r="1676">
          <cell r="D1676">
            <v>0</v>
          </cell>
          <cell r="E1676">
            <v>0</v>
          </cell>
          <cell r="F1676">
            <v>0</v>
          </cell>
          <cell r="G1676">
            <v>0</v>
          </cell>
        </row>
        <row r="1677">
          <cell r="D1677">
            <v>0</v>
          </cell>
          <cell r="E1677">
            <v>0</v>
          </cell>
          <cell r="F1677">
            <v>0</v>
          </cell>
          <cell r="G1677">
            <v>0</v>
          </cell>
        </row>
        <row r="1678">
          <cell r="D1678">
            <v>0</v>
          </cell>
          <cell r="E1678">
            <v>0</v>
          </cell>
          <cell r="F1678">
            <v>0</v>
          </cell>
          <cell r="G1678">
            <v>0</v>
          </cell>
        </row>
        <row r="1679">
          <cell r="D1679">
            <v>0</v>
          </cell>
          <cell r="E1679">
            <v>0</v>
          </cell>
          <cell r="F1679">
            <v>0</v>
          </cell>
          <cell r="G1679">
            <v>0</v>
          </cell>
        </row>
        <row r="1680">
          <cell r="D1680">
            <v>0</v>
          </cell>
          <cell r="E1680">
            <v>0</v>
          </cell>
          <cell r="F1680">
            <v>0</v>
          </cell>
          <cell r="G1680">
            <v>0</v>
          </cell>
        </row>
        <row r="1681">
          <cell r="D1681">
            <v>0</v>
          </cell>
          <cell r="E1681">
            <v>0</v>
          </cell>
          <cell r="F1681">
            <v>0</v>
          </cell>
          <cell r="G1681">
            <v>0</v>
          </cell>
        </row>
        <row r="1682">
          <cell r="D1682">
            <v>0</v>
          </cell>
          <cell r="E1682">
            <v>0</v>
          </cell>
          <cell r="F1682">
            <v>0</v>
          </cell>
          <cell r="G1682">
            <v>0</v>
          </cell>
        </row>
        <row r="1683">
          <cell r="D1683">
            <v>0</v>
          </cell>
          <cell r="E1683">
            <v>0</v>
          </cell>
          <cell r="F1683">
            <v>0</v>
          </cell>
          <cell r="G1683">
            <v>0</v>
          </cell>
        </row>
        <row r="1684">
          <cell r="D1684">
            <v>0</v>
          </cell>
          <cell r="E1684">
            <v>0</v>
          </cell>
          <cell r="F1684">
            <v>0</v>
          </cell>
          <cell r="G1684">
            <v>0</v>
          </cell>
        </row>
        <row r="1685">
          <cell r="D1685">
            <v>0</v>
          </cell>
          <cell r="E1685">
            <v>0</v>
          </cell>
          <cell r="F1685">
            <v>0</v>
          </cell>
          <cell r="G1685">
            <v>0</v>
          </cell>
        </row>
        <row r="1686">
          <cell r="D1686">
            <v>0</v>
          </cell>
          <cell r="E1686">
            <v>0</v>
          </cell>
          <cell r="F1686">
            <v>0</v>
          </cell>
          <cell r="G1686">
            <v>0</v>
          </cell>
        </row>
        <row r="1687">
          <cell r="D1687">
            <v>0</v>
          </cell>
          <cell r="E1687">
            <v>0</v>
          </cell>
          <cell r="F1687">
            <v>0</v>
          </cell>
          <cell r="G1687">
            <v>0</v>
          </cell>
        </row>
        <row r="1688">
          <cell r="D1688">
            <v>0</v>
          </cell>
          <cell r="E1688">
            <v>0</v>
          </cell>
          <cell r="F1688">
            <v>0</v>
          </cell>
          <cell r="G1688">
            <v>0</v>
          </cell>
        </row>
        <row r="1689">
          <cell r="D1689">
            <v>0</v>
          </cell>
          <cell r="E1689">
            <v>0</v>
          </cell>
          <cell r="F1689">
            <v>0</v>
          </cell>
          <cell r="G1689">
            <v>0</v>
          </cell>
        </row>
        <row r="1690">
          <cell r="D1690">
            <v>0</v>
          </cell>
          <cell r="E1690">
            <v>0</v>
          </cell>
          <cell r="F1690">
            <v>0</v>
          </cell>
          <cell r="G1690">
            <v>0</v>
          </cell>
        </row>
        <row r="1691">
          <cell r="D1691">
            <v>0</v>
          </cell>
          <cell r="E1691">
            <v>0</v>
          </cell>
          <cell r="F1691">
            <v>0</v>
          </cell>
          <cell r="G1691">
            <v>0</v>
          </cell>
        </row>
        <row r="1692">
          <cell r="D1692">
            <v>0</v>
          </cell>
          <cell r="E1692">
            <v>0</v>
          </cell>
          <cell r="F1692">
            <v>0</v>
          </cell>
          <cell r="G1692">
            <v>0</v>
          </cell>
        </row>
        <row r="1693">
          <cell r="D1693">
            <v>0</v>
          </cell>
          <cell r="E1693">
            <v>0</v>
          </cell>
          <cell r="F1693">
            <v>0</v>
          </cell>
          <cell r="G1693">
            <v>0</v>
          </cell>
        </row>
        <row r="1694">
          <cell r="D1694">
            <v>0</v>
          </cell>
          <cell r="E1694">
            <v>0</v>
          </cell>
          <cell r="F1694">
            <v>0</v>
          </cell>
          <cell r="G1694">
            <v>0</v>
          </cell>
        </row>
        <row r="1695">
          <cell r="D1695">
            <v>0</v>
          </cell>
          <cell r="E1695">
            <v>0</v>
          </cell>
          <cell r="F1695">
            <v>0</v>
          </cell>
          <cell r="G1695">
            <v>0</v>
          </cell>
        </row>
        <row r="1696">
          <cell r="D1696">
            <v>0</v>
          </cell>
          <cell r="E1696">
            <v>0</v>
          </cell>
          <cell r="F1696">
            <v>0</v>
          </cell>
          <cell r="G1696">
            <v>0</v>
          </cell>
        </row>
        <row r="1697">
          <cell r="D1697">
            <v>0</v>
          </cell>
          <cell r="E1697">
            <v>0</v>
          </cell>
          <cell r="F1697">
            <v>0</v>
          </cell>
          <cell r="G1697">
            <v>0</v>
          </cell>
        </row>
        <row r="1698">
          <cell r="D1698">
            <v>0</v>
          </cell>
          <cell r="E1698">
            <v>0</v>
          </cell>
          <cell r="F1698">
            <v>0</v>
          </cell>
          <cell r="G1698">
            <v>0</v>
          </cell>
        </row>
        <row r="1699">
          <cell r="D1699">
            <v>0</v>
          </cell>
          <cell r="E1699">
            <v>0</v>
          </cell>
          <cell r="F1699">
            <v>0</v>
          </cell>
          <cell r="G1699">
            <v>0</v>
          </cell>
        </row>
        <row r="1700">
          <cell r="D1700">
            <v>0</v>
          </cell>
          <cell r="E1700">
            <v>0</v>
          </cell>
          <cell r="F1700">
            <v>0</v>
          </cell>
          <cell r="G1700">
            <v>0</v>
          </cell>
        </row>
        <row r="1701">
          <cell r="D1701">
            <v>0</v>
          </cell>
          <cell r="E1701">
            <v>0</v>
          </cell>
          <cell r="F1701">
            <v>0</v>
          </cell>
          <cell r="G1701">
            <v>0</v>
          </cell>
        </row>
        <row r="1702">
          <cell r="D1702">
            <v>0</v>
          </cell>
          <cell r="E1702">
            <v>0</v>
          </cell>
          <cell r="F1702">
            <v>0</v>
          </cell>
          <cell r="G1702">
            <v>0</v>
          </cell>
        </row>
        <row r="1703">
          <cell r="D1703">
            <v>0</v>
          </cell>
          <cell r="E1703">
            <v>0</v>
          </cell>
          <cell r="F1703">
            <v>0</v>
          </cell>
          <cell r="G1703">
            <v>0</v>
          </cell>
        </row>
        <row r="1704">
          <cell r="D1704">
            <v>0</v>
          </cell>
          <cell r="E1704">
            <v>0</v>
          </cell>
          <cell r="F1704">
            <v>0</v>
          </cell>
          <cell r="G1704">
            <v>0</v>
          </cell>
        </row>
        <row r="1705">
          <cell r="D1705">
            <v>0</v>
          </cell>
          <cell r="E1705">
            <v>0</v>
          </cell>
          <cell r="F1705">
            <v>0</v>
          </cell>
          <cell r="G1705">
            <v>0</v>
          </cell>
        </row>
        <row r="1706">
          <cell r="D1706">
            <v>0</v>
          </cell>
          <cell r="E1706">
            <v>0</v>
          </cell>
          <cell r="F1706">
            <v>0</v>
          </cell>
          <cell r="G1706">
            <v>0</v>
          </cell>
        </row>
        <row r="1707">
          <cell r="D1707">
            <v>0</v>
          </cell>
          <cell r="E1707">
            <v>0</v>
          </cell>
          <cell r="F1707">
            <v>0</v>
          </cell>
          <cell r="G1707">
            <v>0</v>
          </cell>
        </row>
        <row r="1708">
          <cell r="D1708">
            <v>0</v>
          </cell>
          <cell r="E1708">
            <v>0</v>
          </cell>
          <cell r="F1708">
            <v>0</v>
          </cell>
          <cell r="G1708">
            <v>0</v>
          </cell>
        </row>
        <row r="1709">
          <cell r="D1709">
            <v>0</v>
          </cell>
          <cell r="E1709">
            <v>0</v>
          </cell>
          <cell r="F1709">
            <v>0</v>
          </cell>
          <cell r="G1709">
            <v>0</v>
          </cell>
        </row>
        <row r="1710">
          <cell r="D1710">
            <v>0</v>
          </cell>
          <cell r="E1710">
            <v>0</v>
          </cell>
          <cell r="F1710">
            <v>0</v>
          </cell>
          <cell r="G1710">
            <v>0</v>
          </cell>
        </row>
        <row r="1711">
          <cell r="D1711">
            <v>0</v>
          </cell>
          <cell r="E1711">
            <v>0</v>
          </cell>
          <cell r="F1711">
            <v>0</v>
          </cell>
          <cell r="G1711">
            <v>0</v>
          </cell>
        </row>
        <row r="1712">
          <cell r="D1712">
            <v>0</v>
          </cell>
          <cell r="E1712">
            <v>0</v>
          </cell>
          <cell r="F1712">
            <v>0</v>
          </cell>
          <cell r="G1712">
            <v>0</v>
          </cell>
        </row>
        <row r="1713">
          <cell r="D1713">
            <v>0</v>
          </cell>
          <cell r="E1713">
            <v>0</v>
          </cell>
          <cell r="F1713">
            <v>0</v>
          </cell>
          <cell r="G1713">
            <v>0</v>
          </cell>
        </row>
        <row r="1714">
          <cell r="D1714">
            <v>0</v>
          </cell>
          <cell r="E1714">
            <v>0</v>
          </cell>
          <cell r="F1714">
            <v>0</v>
          </cell>
          <cell r="G1714">
            <v>0</v>
          </cell>
        </row>
        <row r="1715">
          <cell r="D1715">
            <v>0</v>
          </cell>
          <cell r="E1715">
            <v>0</v>
          </cell>
          <cell r="F1715">
            <v>0</v>
          </cell>
          <cell r="G1715">
            <v>0</v>
          </cell>
        </row>
        <row r="1716">
          <cell r="D1716">
            <v>0</v>
          </cell>
          <cell r="E1716">
            <v>0</v>
          </cell>
          <cell r="F1716">
            <v>0</v>
          </cell>
          <cell r="G1716">
            <v>0</v>
          </cell>
        </row>
        <row r="1717">
          <cell r="D1717">
            <v>0</v>
          </cell>
          <cell r="E1717">
            <v>0</v>
          </cell>
          <cell r="F1717">
            <v>0</v>
          </cell>
          <cell r="G1717">
            <v>0</v>
          </cell>
        </row>
        <row r="1718">
          <cell r="D1718">
            <v>0</v>
          </cell>
          <cell r="E1718">
            <v>0</v>
          </cell>
          <cell r="F1718">
            <v>0</v>
          </cell>
          <cell r="G1718">
            <v>0</v>
          </cell>
        </row>
        <row r="1719">
          <cell r="D1719">
            <v>0</v>
          </cell>
          <cell r="E1719">
            <v>0</v>
          </cell>
          <cell r="F1719">
            <v>0</v>
          </cell>
          <cell r="G1719">
            <v>0</v>
          </cell>
        </row>
        <row r="1720">
          <cell r="D1720">
            <v>0</v>
          </cell>
          <cell r="E1720">
            <v>0</v>
          </cell>
          <cell r="F1720">
            <v>0</v>
          </cell>
          <cell r="G1720">
            <v>0</v>
          </cell>
        </row>
        <row r="1721">
          <cell r="D1721">
            <v>0</v>
          </cell>
          <cell r="E1721">
            <v>0</v>
          </cell>
          <cell r="F1721">
            <v>0</v>
          </cell>
          <cell r="G1721">
            <v>0</v>
          </cell>
        </row>
        <row r="1722">
          <cell r="D1722">
            <v>0</v>
          </cell>
          <cell r="E1722">
            <v>0</v>
          </cell>
          <cell r="F1722">
            <v>0</v>
          </cell>
          <cell r="G1722">
            <v>0</v>
          </cell>
        </row>
        <row r="1723">
          <cell r="D1723">
            <v>0</v>
          </cell>
          <cell r="E1723">
            <v>0</v>
          </cell>
          <cell r="F1723">
            <v>0</v>
          </cell>
          <cell r="G1723">
            <v>0</v>
          </cell>
        </row>
        <row r="1724">
          <cell r="D1724">
            <v>0</v>
          </cell>
          <cell r="E1724">
            <v>0</v>
          </cell>
          <cell r="F1724">
            <v>0</v>
          </cell>
          <cell r="G1724">
            <v>0</v>
          </cell>
        </row>
        <row r="1725">
          <cell r="D1725">
            <v>0</v>
          </cell>
          <cell r="E1725">
            <v>0</v>
          </cell>
          <cell r="F1725">
            <v>0</v>
          </cell>
          <cell r="G1725">
            <v>0</v>
          </cell>
        </row>
        <row r="1726">
          <cell r="D1726">
            <v>0</v>
          </cell>
          <cell r="E1726">
            <v>0</v>
          </cell>
          <cell r="F1726">
            <v>0</v>
          </cell>
          <cell r="G1726">
            <v>0</v>
          </cell>
        </row>
        <row r="1727">
          <cell r="D1727">
            <v>0</v>
          </cell>
          <cell r="E1727">
            <v>0</v>
          </cell>
          <cell r="F1727">
            <v>0</v>
          </cell>
          <cell r="G1727">
            <v>0</v>
          </cell>
        </row>
        <row r="1728">
          <cell r="D1728">
            <v>0</v>
          </cell>
          <cell r="E1728">
            <v>0</v>
          </cell>
          <cell r="F1728">
            <v>0</v>
          </cell>
          <cell r="G1728">
            <v>0</v>
          </cell>
        </row>
        <row r="1729">
          <cell r="D1729">
            <v>0</v>
          </cell>
          <cell r="E1729">
            <v>0</v>
          </cell>
          <cell r="F1729">
            <v>0</v>
          </cell>
          <cell r="G1729">
            <v>0</v>
          </cell>
        </row>
        <row r="1730">
          <cell r="D1730">
            <v>0</v>
          </cell>
          <cell r="E1730">
            <v>0</v>
          </cell>
          <cell r="F1730">
            <v>0</v>
          </cell>
          <cell r="G1730">
            <v>0</v>
          </cell>
        </row>
        <row r="1731">
          <cell r="D1731">
            <v>0</v>
          </cell>
          <cell r="E1731">
            <v>0</v>
          </cell>
          <cell r="F1731">
            <v>0</v>
          </cell>
          <cell r="G1731">
            <v>0</v>
          </cell>
        </row>
        <row r="1732">
          <cell r="D1732">
            <v>0</v>
          </cell>
          <cell r="E1732">
            <v>0</v>
          </cell>
          <cell r="F1732">
            <v>0</v>
          </cell>
          <cell r="G1732">
            <v>0</v>
          </cell>
        </row>
        <row r="1733">
          <cell r="D1733">
            <v>0</v>
          </cell>
          <cell r="E1733">
            <v>0</v>
          </cell>
          <cell r="F1733">
            <v>0</v>
          </cell>
          <cell r="G1733">
            <v>0</v>
          </cell>
        </row>
        <row r="1734">
          <cell r="D1734">
            <v>0</v>
          </cell>
          <cell r="E1734">
            <v>0</v>
          </cell>
          <cell r="F1734">
            <v>0</v>
          </cell>
          <cell r="G1734">
            <v>0</v>
          </cell>
        </row>
        <row r="1735">
          <cell r="D1735">
            <v>0</v>
          </cell>
          <cell r="E1735">
            <v>0</v>
          </cell>
          <cell r="F1735">
            <v>0</v>
          </cell>
          <cell r="G1735">
            <v>0</v>
          </cell>
        </row>
        <row r="1736">
          <cell r="D1736">
            <v>0</v>
          </cell>
          <cell r="E1736">
            <v>0</v>
          </cell>
          <cell r="F1736">
            <v>0</v>
          </cell>
          <cell r="G1736">
            <v>0</v>
          </cell>
        </row>
        <row r="1737">
          <cell r="D1737">
            <v>0</v>
          </cell>
          <cell r="E1737">
            <v>0</v>
          </cell>
          <cell r="F1737">
            <v>0</v>
          </cell>
          <cell r="G1737">
            <v>0</v>
          </cell>
        </row>
        <row r="1738">
          <cell r="D1738">
            <v>0</v>
          </cell>
          <cell r="E1738">
            <v>0</v>
          </cell>
          <cell r="F1738">
            <v>0</v>
          </cell>
          <cell r="G1738">
            <v>0</v>
          </cell>
        </row>
        <row r="1739">
          <cell r="D1739">
            <v>0</v>
          </cell>
          <cell r="E1739">
            <v>0</v>
          </cell>
          <cell r="F1739">
            <v>0</v>
          </cell>
          <cell r="G1739">
            <v>0</v>
          </cell>
        </row>
        <row r="1740">
          <cell r="D1740">
            <v>0</v>
          </cell>
          <cell r="E1740">
            <v>0</v>
          </cell>
          <cell r="F1740">
            <v>0</v>
          </cell>
          <cell r="G1740">
            <v>0</v>
          </cell>
        </row>
        <row r="1741">
          <cell r="D1741">
            <v>0</v>
          </cell>
          <cell r="E1741">
            <v>0</v>
          </cell>
          <cell r="F1741">
            <v>0</v>
          </cell>
          <cell r="G1741">
            <v>0</v>
          </cell>
        </row>
        <row r="1742">
          <cell r="D1742">
            <v>0</v>
          </cell>
          <cell r="E1742">
            <v>0</v>
          </cell>
          <cell r="F1742">
            <v>0</v>
          </cell>
          <cell r="G1742">
            <v>0</v>
          </cell>
        </row>
        <row r="1743">
          <cell r="D1743">
            <v>0</v>
          </cell>
          <cell r="E1743">
            <v>0</v>
          </cell>
          <cell r="F1743">
            <v>0</v>
          </cell>
          <cell r="G1743">
            <v>0</v>
          </cell>
        </row>
        <row r="1744">
          <cell r="D1744">
            <v>0</v>
          </cell>
          <cell r="E1744">
            <v>0</v>
          </cell>
          <cell r="F1744">
            <v>0</v>
          </cell>
          <cell r="G1744">
            <v>0</v>
          </cell>
        </row>
        <row r="1745">
          <cell r="D1745">
            <v>0</v>
          </cell>
          <cell r="E1745">
            <v>0</v>
          </cell>
          <cell r="F1745">
            <v>0</v>
          </cell>
          <cell r="G1745">
            <v>0</v>
          </cell>
        </row>
        <row r="1746">
          <cell r="D1746">
            <v>0</v>
          </cell>
          <cell r="E1746">
            <v>0</v>
          </cell>
          <cell r="F1746">
            <v>0</v>
          </cell>
          <cell r="G1746">
            <v>0</v>
          </cell>
        </row>
        <row r="1747">
          <cell r="D1747">
            <v>0</v>
          </cell>
          <cell r="E1747">
            <v>0</v>
          </cell>
          <cell r="F1747">
            <v>0</v>
          </cell>
          <cell r="G1747">
            <v>0</v>
          </cell>
        </row>
        <row r="1748">
          <cell r="D1748">
            <v>0</v>
          </cell>
          <cell r="E1748">
            <v>0</v>
          </cell>
          <cell r="F1748">
            <v>0</v>
          </cell>
          <cell r="G1748">
            <v>0</v>
          </cell>
        </row>
        <row r="1749">
          <cell r="D1749">
            <v>0</v>
          </cell>
          <cell r="E1749">
            <v>0</v>
          </cell>
          <cell r="F1749">
            <v>0</v>
          </cell>
          <cell r="G1749">
            <v>0</v>
          </cell>
        </row>
        <row r="1750">
          <cell r="D1750">
            <v>0</v>
          </cell>
          <cell r="E1750">
            <v>0</v>
          </cell>
          <cell r="F1750">
            <v>0</v>
          </cell>
          <cell r="G1750">
            <v>0</v>
          </cell>
        </row>
        <row r="1751">
          <cell r="D1751">
            <v>0</v>
          </cell>
          <cell r="E1751">
            <v>0</v>
          </cell>
          <cell r="F1751">
            <v>0</v>
          </cell>
          <cell r="G1751">
            <v>0</v>
          </cell>
        </row>
        <row r="1752">
          <cell r="D1752">
            <v>0</v>
          </cell>
          <cell r="E1752">
            <v>0</v>
          </cell>
          <cell r="F1752">
            <v>0</v>
          </cell>
          <cell r="G1752">
            <v>0</v>
          </cell>
        </row>
        <row r="1753">
          <cell r="D1753">
            <v>0</v>
          </cell>
          <cell r="E1753">
            <v>0</v>
          </cell>
          <cell r="F1753">
            <v>0</v>
          </cell>
          <cell r="G1753">
            <v>0</v>
          </cell>
        </row>
        <row r="1754">
          <cell r="D1754">
            <v>0</v>
          </cell>
          <cell r="E1754">
            <v>0</v>
          </cell>
          <cell r="F1754">
            <v>0</v>
          </cell>
          <cell r="G1754">
            <v>0</v>
          </cell>
        </row>
        <row r="1755">
          <cell r="D1755">
            <v>0</v>
          </cell>
          <cell r="E1755">
            <v>0</v>
          </cell>
          <cell r="F1755">
            <v>0</v>
          </cell>
          <cell r="G1755">
            <v>0</v>
          </cell>
        </row>
        <row r="1756">
          <cell r="D1756">
            <v>0</v>
          </cell>
          <cell r="E1756">
            <v>0</v>
          </cell>
          <cell r="F1756">
            <v>0</v>
          </cell>
          <cell r="G1756">
            <v>0</v>
          </cell>
        </row>
        <row r="1757">
          <cell r="D1757">
            <v>0</v>
          </cell>
          <cell r="E1757">
            <v>0</v>
          </cell>
          <cell r="F1757">
            <v>0</v>
          </cell>
          <cell r="G1757">
            <v>0</v>
          </cell>
        </row>
        <row r="1758">
          <cell r="D1758">
            <v>0</v>
          </cell>
          <cell r="E1758">
            <v>0</v>
          </cell>
          <cell r="F1758">
            <v>0</v>
          </cell>
          <cell r="G1758">
            <v>0</v>
          </cell>
        </row>
        <row r="1759">
          <cell r="D1759">
            <v>0</v>
          </cell>
          <cell r="E1759">
            <v>0</v>
          </cell>
          <cell r="F1759">
            <v>0</v>
          </cell>
          <cell r="G1759">
            <v>0</v>
          </cell>
        </row>
        <row r="1760">
          <cell r="D1760">
            <v>0</v>
          </cell>
          <cell r="E1760">
            <v>0</v>
          </cell>
          <cell r="F1760">
            <v>0</v>
          </cell>
          <cell r="G1760">
            <v>0</v>
          </cell>
        </row>
        <row r="1761">
          <cell r="D1761">
            <v>0</v>
          </cell>
          <cell r="E1761">
            <v>0</v>
          </cell>
          <cell r="F1761">
            <v>0</v>
          </cell>
          <cell r="G1761">
            <v>0</v>
          </cell>
        </row>
        <row r="1762">
          <cell r="D1762">
            <v>0</v>
          </cell>
          <cell r="E1762">
            <v>0</v>
          </cell>
          <cell r="F1762">
            <v>0</v>
          </cell>
          <cell r="G1762">
            <v>0</v>
          </cell>
        </row>
        <row r="1763">
          <cell r="D1763">
            <v>0</v>
          </cell>
          <cell r="E1763">
            <v>0</v>
          </cell>
          <cell r="F1763">
            <v>0</v>
          </cell>
          <cell r="G1763">
            <v>0</v>
          </cell>
        </row>
        <row r="1764">
          <cell r="D1764">
            <v>0</v>
          </cell>
          <cell r="E1764">
            <v>0</v>
          </cell>
          <cell r="F1764">
            <v>0</v>
          </cell>
          <cell r="G1764">
            <v>0</v>
          </cell>
        </row>
        <row r="1765">
          <cell r="D1765">
            <v>0</v>
          </cell>
          <cell r="E1765">
            <v>0</v>
          </cell>
          <cell r="F1765">
            <v>0</v>
          </cell>
          <cell r="G1765">
            <v>0</v>
          </cell>
        </row>
        <row r="1766">
          <cell r="D1766">
            <v>0</v>
          </cell>
          <cell r="E1766">
            <v>0</v>
          </cell>
          <cell r="F1766">
            <v>0</v>
          </cell>
          <cell r="G1766">
            <v>0</v>
          </cell>
        </row>
        <row r="1767">
          <cell r="D1767">
            <v>0</v>
          </cell>
          <cell r="E1767">
            <v>0</v>
          </cell>
          <cell r="F1767">
            <v>0</v>
          </cell>
          <cell r="G1767">
            <v>0</v>
          </cell>
        </row>
        <row r="1768">
          <cell r="D1768">
            <v>0</v>
          </cell>
          <cell r="E1768">
            <v>0</v>
          </cell>
          <cell r="F1768">
            <v>0</v>
          </cell>
          <cell r="G1768">
            <v>0</v>
          </cell>
        </row>
        <row r="1769">
          <cell r="D1769">
            <v>0</v>
          </cell>
          <cell r="E1769">
            <v>0</v>
          </cell>
          <cell r="F1769">
            <v>0</v>
          </cell>
          <cell r="G1769">
            <v>0</v>
          </cell>
        </row>
        <row r="1770">
          <cell r="D1770">
            <v>0</v>
          </cell>
          <cell r="E1770">
            <v>0</v>
          </cell>
          <cell r="F1770">
            <v>0</v>
          </cell>
          <cell r="G1770">
            <v>0</v>
          </cell>
        </row>
        <row r="1771">
          <cell r="D1771">
            <v>0</v>
          </cell>
          <cell r="E1771">
            <v>0</v>
          </cell>
          <cell r="F1771">
            <v>0</v>
          </cell>
          <cell r="G1771">
            <v>0</v>
          </cell>
        </row>
        <row r="1772">
          <cell r="D1772">
            <v>0</v>
          </cell>
          <cell r="E1772">
            <v>0</v>
          </cell>
          <cell r="F1772">
            <v>0</v>
          </cell>
          <cell r="G1772">
            <v>0</v>
          </cell>
        </row>
        <row r="1773">
          <cell r="D1773">
            <v>0</v>
          </cell>
          <cell r="E1773">
            <v>0</v>
          </cell>
          <cell r="F1773">
            <v>0</v>
          </cell>
          <cell r="G1773">
            <v>0</v>
          </cell>
        </row>
        <row r="1774">
          <cell r="D1774">
            <v>0</v>
          </cell>
          <cell r="E1774">
            <v>0</v>
          </cell>
          <cell r="F1774">
            <v>0</v>
          </cell>
          <cell r="G1774">
            <v>0</v>
          </cell>
        </row>
        <row r="1775">
          <cell r="D1775">
            <v>0</v>
          </cell>
          <cell r="E1775">
            <v>0</v>
          </cell>
          <cell r="F1775">
            <v>0</v>
          </cell>
          <cell r="G1775">
            <v>0</v>
          </cell>
        </row>
        <row r="1776">
          <cell r="D1776">
            <v>0</v>
          </cell>
          <cell r="E1776">
            <v>0</v>
          </cell>
          <cell r="F1776">
            <v>0</v>
          </cell>
          <cell r="G1776">
            <v>0</v>
          </cell>
        </row>
        <row r="1777">
          <cell r="D1777">
            <v>0</v>
          </cell>
          <cell r="E1777">
            <v>0</v>
          </cell>
          <cell r="F1777">
            <v>0</v>
          </cell>
          <cell r="G1777">
            <v>0</v>
          </cell>
        </row>
        <row r="1778">
          <cell r="D1778">
            <v>0</v>
          </cell>
          <cell r="E1778">
            <v>0</v>
          </cell>
          <cell r="F1778">
            <v>0</v>
          </cell>
          <cell r="G1778">
            <v>0</v>
          </cell>
        </row>
        <row r="1779">
          <cell r="D1779">
            <v>0</v>
          </cell>
          <cell r="E1779">
            <v>0</v>
          </cell>
          <cell r="F1779">
            <v>0</v>
          </cell>
          <cell r="G1779">
            <v>0</v>
          </cell>
        </row>
        <row r="1780">
          <cell r="D1780">
            <v>0</v>
          </cell>
          <cell r="E1780">
            <v>0</v>
          </cell>
          <cell r="F1780">
            <v>0</v>
          </cell>
          <cell r="G1780">
            <v>0</v>
          </cell>
        </row>
        <row r="1781">
          <cell r="D1781">
            <v>0</v>
          </cell>
          <cell r="E1781">
            <v>0</v>
          </cell>
          <cell r="F1781">
            <v>0</v>
          </cell>
          <cell r="G1781">
            <v>0</v>
          </cell>
        </row>
        <row r="1782">
          <cell r="D1782">
            <v>0</v>
          </cell>
          <cell r="E1782">
            <v>0</v>
          </cell>
          <cell r="F1782">
            <v>0</v>
          </cell>
          <cell r="G1782">
            <v>0</v>
          </cell>
        </row>
        <row r="1783">
          <cell r="D1783">
            <v>0</v>
          </cell>
          <cell r="E1783">
            <v>0</v>
          </cell>
          <cell r="F1783">
            <v>0</v>
          </cell>
          <cell r="G1783">
            <v>0</v>
          </cell>
        </row>
        <row r="1784">
          <cell r="D1784">
            <v>0</v>
          </cell>
          <cell r="E1784">
            <v>0</v>
          </cell>
          <cell r="F1784">
            <v>0</v>
          </cell>
          <cell r="G1784">
            <v>0</v>
          </cell>
        </row>
        <row r="1785">
          <cell r="D1785">
            <v>0</v>
          </cell>
          <cell r="E1785">
            <v>0</v>
          </cell>
          <cell r="F1785">
            <v>0</v>
          </cell>
          <cell r="G1785">
            <v>0</v>
          </cell>
        </row>
        <row r="1786">
          <cell r="D1786">
            <v>0</v>
          </cell>
          <cell r="E1786">
            <v>0</v>
          </cell>
          <cell r="F1786">
            <v>0</v>
          </cell>
          <cell r="G1786">
            <v>0</v>
          </cell>
        </row>
        <row r="1787">
          <cell r="D1787">
            <v>0</v>
          </cell>
          <cell r="E1787">
            <v>0</v>
          </cell>
          <cell r="F1787">
            <v>0</v>
          </cell>
          <cell r="G1787">
            <v>0</v>
          </cell>
        </row>
        <row r="1788">
          <cell r="D1788">
            <v>0</v>
          </cell>
          <cell r="E1788">
            <v>0</v>
          </cell>
          <cell r="F1788">
            <v>0</v>
          </cell>
          <cell r="G1788">
            <v>0</v>
          </cell>
        </row>
        <row r="1789">
          <cell r="D1789">
            <v>0</v>
          </cell>
          <cell r="E1789">
            <v>0</v>
          </cell>
          <cell r="F1789">
            <v>0</v>
          </cell>
          <cell r="G1789">
            <v>0</v>
          </cell>
        </row>
        <row r="1790">
          <cell r="D1790">
            <v>0</v>
          </cell>
          <cell r="E1790">
            <v>0</v>
          </cell>
          <cell r="F1790">
            <v>0</v>
          </cell>
          <cell r="G1790">
            <v>0</v>
          </cell>
        </row>
        <row r="1791">
          <cell r="D1791">
            <v>0</v>
          </cell>
          <cell r="E1791">
            <v>0</v>
          </cell>
          <cell r="F1791">
            <v>0</v>
          </cell>
          <cell r="G1791">
            <v>0</v>
          </cell>
        </row>
        <row r="1792">
          <cell r="D1792">
            <v>0</v>
          </cell>
          <cell r="E1792">
            <v>0</v>
          </cell>
          <cell r="F1792">
            <v>0</v>
          </cell>
          <cell r="G1792">
            <v>0</v>
          </cell>
        </row>
        <row r="1793">
          <cell r="D1793">
            <v>0</v>
          </cell>
          <cell r="E1793">
            <v>0</v>
          </cell>
          <cell r="F1793">
            <v>0</v>
          </cell>
          <cell r="G1793">
            <v>0</v>
          </cell>
        </row>
        <row r="1794">
          <cell r="D1794">
            <v>0</v>
          </cell>
          <cell r="E1794">
            <v>0</v>
          </cell>
          <cell r="F1794">
            <v>0</v>
          </cell>
          <cell r="G1794">
            <v>0</v>
          </cell>
        </row>
        <row r="1795">
          <cell r="D1795">
            <v>0</v>
          </cell>
          <cell r="E1795">
            <v>0</v>
          </cell>
          <cell r="F1795">
            <v>0</v>
          </cell>
          <cell r="G1795">
            <v>0</v>
          </cell>
        </row>
        <row r="1796">
          <cell r="D1796">
            <v>0</v>
          </cell>
          <cell r="E1796">
            <v>0</v>
          </cell>
          <cell r="F1796">
            <v>0</v>
          </cell>
          <cell r="G1796">
            <v>0</v>
          </cell>
        </row>
        <row r="1797">
          <cell r="D1797">
            <v>0</v>
          </cell>
          <cell r="E1797">
            <v>0</v>
          </cell>
          <cell r="F1797">
            <v>0</v>
          </cell>
          <cell r="G1797">
            <v>0</v>
          </cell>
        </row>
        <row r="1798">
          <cell r="D1798">
            <v>0</v>
          </cell>
          <cell r="E1798">
            <v>0</v>
          </cell>
          <cell r="F1798">
            <v>0</v>
          </cell>
          <cell r="G1798">
            <v>0</v>
          </cell>
        </row>
        <row r="1799">
          <cell r="D1799">
            <v>0</v>
          </cell>
          <cell r="E1799">
            <v>0</v>
          </cell>
          <cell r="F1799">
            <v>0</v>
          </cell>
          <cell r="G1799">
            <v>0</v>
          </cell>
        </row>
        <row r="1800">
          <cell r="D1800">
            <v>0</v>
          </cell>
          <cell r="E1800">
            <v>0</v>
          </cell>
          <cell r="F1800">
            <v>0</v>
          </cell>
          <cell r="G1800">
            <v>0</v>
          </cell>
        </row>
        <row r="1801">
          <cell r="D1801">
            <v>0</v>
          </cell>
          <cell r="E1801">
            <v>0</v>
          </cell>
          <cell r="F1801">
            <v>0</v>
          </cell>
          <cell r="G1801">
            <v>0</v>
          </cell>
        </row>
        <row r="1802">
          <cell r="D1802">
            <v>0</v>
          </cell>
          <cell r="E1802">
            <v>0</v>
          </cell>
          <cell r="F1802">
            <v>0</v>
          </cell>
          <cell r="G1802">
            <v>0</v>
          </cell>
        </row>
        <row r="1803">
          <cell r="D1803">
            <v>0</v>
          </cell>
          <cell r="E1803">
            <v>0</v>
          </cell>
          <cell r="F1803">
            <v>0</v>
          </cell>
          <cell r="G1803">
            <v>0</v>
          </cell>
        </row>
        <row r="1804">
          <cell r="D1804">
            <v>0</v>
          </cell>
          <cell r="E1804">
            <v>0</v>
          </cell>
          <cell r="F1804">
            <v>0</v>
          </cell>
          <cell r="G1804">
            <v>0</v>
          </cell>
        </row>
        <row r="1805">
          <cell r="D1805">
            <v>0</v>
          </cell>
          <cell r="E1805">
            <v>0</v>
          </cell>
          <cell r="F1805">
            <v>0</v>
          </cell>
          <cell r="G1805">
            <v>0</v>
          </cell>
        </row>
        <row r="1806">
          <cell r="D1806">
            <v>0</v>
          </cell>
          <cell r="E1806">
            <v>0</v>
          </cell>
          <cell r="F1806">
            <v>0</v>
          </cell>
          <cell r="G1806">
            <v>0</v>
          </cell>
        </row>
        <row r="1807">
          <cell r="D1807">
            <v>0</v>
          </cell>
          <cell r="E1807">
            <v>0</v>
          </cell>
          <cell r="F1807">
            <v>0</v>
          </cell>
          <cell r="G1807">
            <v>0</v>
          </cell>
        </row>
        <row r="1808">
          <cell r="D1808">
            <v>0</v>
          </cell>
          <cell r="E1808">
            <v>0</v>
          </cell>
          <cell r="F1808">
            <v>0</v>
          </cell>
          <cell r="G1808">
            <v>0</v>
          </cell>
        </row>
        <row r="1809">
          <cell r="D1809">
            <v>0</v>
          </cell>
          <cell r="E1809">
            <v>0</v>
          </cell>
          <cell r="F1809">
            <v>0</v>
          </cell>
          <cell r="G1809">
            <v>0</v>
          </cell>
        </row>
        <row r="1810">
          <cell r="D1810">
            <v>0</v>
          </cell>
          <cell r="E1810">
            <v>0</v>
          </cell>
          <cell r="F1810">
            <v>0</v>
          </cell>
          <cell r="G1810">
            <v>0</v>
          </cell>
        </row>
        <row r="1811">
          <cell r="D1811">
            <v>0</v>
          </cell>
          <cell r="E1811">
            <v>0</v>
          </cell>
          <cell r="F1811">
            <v>0</v>
          </cell>
          <cell r="G1811">
            <v>0</v>
          </cell>
        </row>
        <row r="1812">
          <cell r="D1812">
            <v>0</v>
          </cell>
          <cell r="E1812">
            <v>0</v>
          </cell>
          <cell r="F1812">
            <v>0</v>
          </cell>
          <cell r="G1812">
            <v>0</v>
          </cell>
        </row>
        <row r="1813">
          <cell r="D1813">
            <v>0</v>
          </cell>
          <cell r="E1813">
            <v>0</v>
          </cell>
          <cell r="F1813">
            <v>0</v>
          </cell>
          <cell r="G1813">
            <v>0</v>
          </cell>
        </row>
        <row r="1814">
          <cell r="D1814">
            <v>0</v>
          </cell>
          <cell r="E1814">
            <v>0</v>
          </cell>
          <cell r="F1814">
            <v>0</v>
          </cell>
          <cell r="G1814">
            <v>0</v>
          </cell>
        </row>
        <row r="1815">
          <cell r="D1815">
            <v>0</v>
          </cell>
          <cell r="E1815">
            <v>0</v>
          </cell>
          <cell r="F1815">
            <v>0</v>
          </cell>
          <cell r="G1815">
            <v>0</v>
          </cell>
        </row>
        <row r="1816">
          <cell r="D1816">
            <v>0</v>
          </cell>
          <cell r="E1816">
            <v>0</v>
          </cell>
          <cell r="F1816">
            <v>0</v>
          </cell>
          <cell r="G1816">
            <v>0</v>
          </cell>
        </row>
        <row r="1817">
          <cell r="D1817">
            <v>0</v>
          </cell>
          <cell r="E1817">
            <v>0</v>
          </cell>
          <cell r="F1817">
            <v>0</v>
          </cell>
          <cell r="G1817">
            <v>0</v>
          </cell>
        </row>
        <row r="1818">
          <cell r="D1818">
            <v>0</v>
          </cell>
          <cell r="E1818">
            <v>0</v>
          </cell>
          <cell r="F1818">
            <v>0</v>
          </cell>
          <cell r="G1818">
            <v>0</v>
          </cell>
        </row>
        <row r="1819">
          <cell r="D1819">
            <v>0</v>
          </cell>
          <cell r="E1819">
            <v>0</v>
          </cell>
          <cell r="F1819">
            <v>0</v>
          </cell>
          <cell r="G1819">
            <v>0</v>
          </cell>
        </row>
        <row r="1820">
          <cell r="D1820">
            <v>0</v>
          </cell>
          <cell r="E1820">
            <v>0</v>
          </cell>
          <cell r="F1820">
            <v>0</v>
          </cell>
          <cell r="G1820">
            <v>0</v>
          </cell>
        </row>
        <row r="1821">
          <cell r="D1821">
            <v>0</v>
          </cell>
          <cell r="E1821">
            <v>0</v>
          </cell>
          <cell r="F1821">
            <v>0</v>
          </cell>
          <cell r="G1821">
            <v>0</v>
          </cell>
        </row>
        <row r="1822">
          <cell r="D1822">
            <v>0</v>
          </cell>
          <cell r="E1822">
            <v>0</v>
          </cell>
          <cell r="F1822">
            <v>0</v>
          </cell>
          <cell r="G1822">
            <v>0</v>
          </cell>
        </row>
        <row r="1823">
          <cell r="D1823">
            <v>0</v>
          </cell>
          <cell r="E1823">
            <v>0</v>
          </cell>
          <cell r="F1823">
            <v>0</v>
          </cell>
          <cell r="G1823">
            <v>0</v>
          </cell>
        </row>
        <row r="1824">
          <cell r="D1824">
            <v>0</v>
          </cell>
          <cell r="E1824">
            <v>0</v>
          </cell>
          <cell r="F1824">
            <v>0</v>
          </cell>
          <cell r="G1824">
            <v>0</v>
          </cell>
        </row>
        <row r="1825">
          <cell r="D1825">
            <v>0</v>
          </cell>
          <cell r="E1825">
            <v>0</v>
          </cell>
          <cell r="F1825">
            <v>0</v>
          </cell>
          <cell r="G1825">
            <v>0</v>
          </cell>
        </row>
        <row r="1826">
          <cell r="D1826">
            <v>0</v>
          </cell>
          <cell r="E1826">
            <v>0</v>
          </cell>
          <cell r="F1826">
            <v>0</v>
          </cell>
          <cell r="G1826">
            <v>0</v>
          </cell>
        </row>
        <row r="1827">
          <cell r="D1827">
            <v>0</v>
          </cell>
          <cell r="E1827">
            <v>0</v>
          </cell>
          <cell r="F1827">
            <v>0</v>
          </cell>
          <cell r="G1827">
            <v>0</v>
          </cell>
        </row>
        <row r="1828">
          <cell r="D1828">
            <v>0</v>
          </cell>
          <cell r="E1828">
            <v>0</v>
          </cell>
          <cell r="F1828">
            <v>0</v>
          </cell>
          <cell r="G1828">
            <v>0</v>
          </cell>
        </row>
        <row r="1829">
          <cell r="D1829">
            <v>0</v>
          </cell>
          <cell r="E1829">
            <v>0</v>
          </cell>
          <cell r="F1829">
            <v>0</v>
          </cell>
          <cell r="G1829">
            <v>0</v>
          </cell>
        </row>
        <row r="1830">
          <cell r="D1830">
            <v>0</v>
          </cell>
          <cell r="E1830">
            <v>0</v>
          </cell>
          <cell r="F1830">
            <v>0</v>
          </cell>
          <cell r="G1830">
            <v>0</v>
          </cell>
        </row>
        <row r="1831">
          <cell r="D1831">
            <v>0</v>
          </cell>
          <cell r="E1831">
            <v>0</v>
          </cell>
          <cell r="F1831">
            <v>0</v>
          </cell>
          <cell r="G1831">
            <v>0</v>
          </cell>
        </row>
        <row r="1832">
          <cell r="D1832">
            <v>0</v>
          </cell>
          <cell r="E1832">
            <v>0</v>
          </cell>
          <cell r="F1832">
            <v>0</v>
          </cell>
          <cell r="G1832">
            <v>0</v>
          </cell>
        </row>
        <row r="1833">
          <cell r="D1833">
            <v>0</v>
          </cell>
          <cell r="E1833">
            <v>0</v>
          </cell>
          <cell r="F1833">
            <v>0</v>
          </cell>
          <cell r="G1833">
            <v>0</v>
          </cell>
        </row>
        <row r="1834">
          <cell r="D1834">
            <v>0</v>
          </cell>
          <cell r="E1834">
            <v>0</v>
          </cell>
          <cell r="F1834">
            <v>0</v>
          </cell>
          <cell r="G1834">
            <v>0</v>
          </cell>
        </row>
        <row r="1835">
          <cell r="D1835">
            <v>0</v>
          </cell>
          <cell r="E1835">
            <v>0</v>
          </cell>
          <cell r="F1835">
            <v>0</v>
          </cell>
          <cell r="G1835">
            <v>0</v>
          </cell>
        </row>
        <row r="1836">
          <cell r="D1836">
            <v>0</v>
          </cell>
          <cell r="E1836">
            <v>0</v>
          </cell>
          <cell r="F1836">
            <v>0</v>
          </cell>
          <cell r="G1836">
            <v>0</v>
          </cell>
        </row>
        <row r="1837">
          <cell r="D1837">
            <v>0</v>
          </cell>
          <cell r="E1837">
            <v>0</v>
          </cell>
          <cell r="F1837">
            <v>0</v>
          </cell>
          <cell r="G1837">
            <v>0</v>
          </cell>
        </row>
        <row r="1838">
          <cell r="D1838">
            <v>0</v>
          </cell>
          <cell r="E1838">
            <v>0</v>
          </cell>
          <cell r="F1838">
            <v>0</v>
          </cell>
          <cell r="G1838">
            <v>0</v>
          </cell>
        </row>
        <row r="1839">
          <cell r="D1839">
            <v>0</v>
          </cell>
          <cell r="E1839">
            <v>0</v>
          </cell>
          <cell r="F1839">
            <v>0</v>
          </cell>
          <cell r="G1839">
            <v>0</v>
          </cell>
        </row>
        <row r="1840">
          <cell r="D1840">
            <v>0</v>
          </cell>
          <cell r="E1840">
            <v>0</v>
          </cell>
          <cell r="F1840">
            <v>0</v>
          </cell>
          <cell r="G1840">
            <v>0</v>
          </cell>
        </row>
        <row r="1841">
          <cell r="D1841">
            <v>0</v>
          </cell>
          <cell r="E1841">
            <v>0</v>
          </cell>
          <cell r="F1841">
            <v>0</v>
          </cell>
          <cell r="G1841">
            <v>0</v>
          </cell>
        </row>
        <row r="1842">
          <cell r="D1842">
            <v>0</v>
          </cell>
          <cell r="E1842">
            <v>0</v>
          </cell>
          <cell r="F1842">
            <v>0</v>
          </cell>
          <cell r="G1842">
            <v>0</v>
          </cell>
        </row>
        <row r="1843">
          <cell r="D1843">
            <v>0</v>
          </cell>
          <cell r="E1843">
            <v>0</v>
          </cell>
          <cell r="F1843">
            <v>0</v>
          </cell>
          <cell r="G1843">
            <v>0</v>
          </cell>
        </row>
        <row r="1844">
          <cell r="D1844">
            <v>0</v>
          </cell>
          <cell r="E1844">
            <v>0</v>
          </cell>
          <cell r="F1844">
            <v>0</v>
          </cell>
          <cell r="G1844">
            <v>0</v>
          </cell>
        </row>
        <row r="1845">
          <cell r="D1845">
            <v>0</v>
          </cell>
          <cell r="E1845">
            <v>0</v>
          </cell>
          <cell r="F1845">
            <v>0</v>
          </cell>
          <cell r="G1845">
            <v>0</v>
          </cell>
        </row>
        <row r="1846">
          <cell r="D1846">
            <v>0</v>
          </cell>
          <cell r="E1846">
            <v>0</v>
          </cell>
          <cell r="F1846">
            <v>0</v>
          </cell>
          <cell r="G1846">
            <v>0</v>
          </cell>
        </row>
        <row r="1847">
          <cell r="D1847">
            <v>0</v>
          </cell>
          <cell r="E1847">
            <v>0</v>
          </cell>
          <cell r="F1847">
            <v>0</v>
          </cell>
          <cell r="G1847">
            <v>0</v>
          </cell>
        </row>
        <row r="1848">
          <cell r="D1848">
            <v>0</v>
          </cell>
          <cell r="E1848">
            <v>0</v>
          </cell>
          <cell r="F1848">
            <v>0</v>
          </cell>
          <cell r="G1848">
            <v>0</v>
          </cell>
        </row>
        <row r="1849">
          <cell r="D1849">
            <v>0</v>
          </cell>
          <cell r="E1849">
            <v>0</v>
          </cell>
          <cell r="F1849">
            <v>0</v>
          </cell>
          <cell r="G1849">
            <v>0</v>
          </cell>
        </row>
        <row r="1850">
          <cell r="D1850">
            <v>0</v>
          </cell>
          <cell r="E1850">
            <v>0</v>
          </cell>
          <cell r="F1850">
            <v>0</v>
          </cell>
          <cell r="G1850">
            <v>0</v>
          </cell>
        </row>
        <row r="1851">
          <cell r="D1851">
            <v>0</v>
          </cell>
          <cell r="E1851">
            <v>0</v>
          </cell>
          <cell r="F1851">
            <v>0</v>
          </cell>
          <cell r="G1851">
            <v>0</v>
          </cell>
        </row>
        <row r="1852">
          <cell r="D1852">
            <v>0</v>
          </cell>
          <cell r="E1852">
            <v>0</v>
          </cell>
          <cell r="F1852">
            <v>0</v>
          </cell>
          <cell r="G1852">
            <v>0</v>
          </cell>
        </row>
        <row r="1853">
          <cell r="D1853">
            <v>0</v>
          </cell>
          <cell r="E1853">
            <v>0</v>
          </cell>
          <cell r="F1853">
            <v>0</v>
          </cell>
          <cell r="G1853">
            <v>0</v>
          </cell>
        </row>
        <row r="1854">
          <cell r="D1854">
            <v>0</v>
          </cell>
          <cell r="E1854">
            <v>0</v>
          </cell>
          <cell r="F1854">
            <v>0</v>
          </cell>
          <cell r="G1854">
            <v>0</v>
          </cell>
        </row>
        <row r="1855">
          <cell r="D1855">
            <v>0</v>
          </cell>
          <cell r="E1855">
            <v>0</v>
          </cell>
          <cell r="F1855">
            <v>0</v>
          </cell>
          <cell r="G1855">
            <v>0</v>
          </cell>
        </row>
        <row r="1856">
          <cell r="D1856">
            <v>0</v>
          </cell>
          <cell r="E1856">
            <v>0</v>
          </cell>
          <cell r="F1856">
            <v>0</v>
          </cell>
          <cell r="G1856">
            <v>0</v>
          </cell>
        </row>
        <row r="1857">
          <cell r="D1857">
            <v>0</v>
          </cell>
          <cell r="E1857">
            <v>0</v>
          </cell>
          <cell r="F1857">
            <v>0</v>
          </cell>
          <cell r="G1857">
            <v>0</v>
          </cell>
        </row>
        <row r="1858">
          <cell r="D1858">
            <v>0</v>
          </cell>
          <cell r="E1858">
            <v>0</v>
          </cell>
          <cell r="F1858">
            <v>0</v>
          </cell>
          <cell r="G1858">
            <v>0</v>
          </cell>
        </row>
        <row r="1859">
          <cell r="D1859">
            <v>0</v>
          </cell>
          <cell r="E1859">
            <v>0</v>
          </cell>
          <cell r="F1859">
            <v>0</v>
          </cell>
          <cell r="G1859">
            <v>0</v>
          </cell>
        </row>
        <row r="1860">
          <cell r="D1860">
            <v>0</v>
          </cell>
          <cell r="E1860">
            <v>0</v>
          </cell>
          <cell r="F1860">
            <v>0</v>
          </cell>
          <cell r="G1860">
            <v>0</v>
          </cell>
        </row>
        <row r="1861">
          <cell r="D1861">
            <v>0</v>
          </cell>
          <cell r="E1861">
            <v>0</v>
          </cell>
          <cell r="F1861">
            <v>0</v>
          </cell>
          <cell r="G1861">
            <v>0</v>
          </cell>
        </row>
        <row r="1862">
          <cell r="D1862">
            <v>0</v>
          </cell>
          <cell r="E1862">
            <v>0</v>
          </cell>
          <cell r="F1862">
            <v>0</v>
          </cell>
          <cell r="G1862">
            <v>0</v>
          </cell>
        </row>
        <row r="1863">
          <cell r="D1863">
            <v>0</v>
          </cell>
          <cell r="E1863">
            <v>0</v>
          </cell>
          <cell r="F1863">
            <v>0</v>
          </cell>
          <cell r="G1863">
            <v>0</v>
          </cell>
        </row>
        <row r="1864">
          <cell r="D1864">
            <v>0</v>
          </cell>
          <cell r="E1864">
            <v>0</v>
          </cell>
          <cell r="F1864">
            <v>0</v>
          </cell>
          <cell r="G1864">
            <v>0</v>
          </cell>
        </row>
        <row r="1865">
          <cell r="D1865">
            <v>0</v>
          </cell>
          <cell r="E1865">
            <v>0</v>
          </cell>
          <cell r="F1865">
            <v>0</v>
          </cell>
          <cell r="G1865">
            <v>0</v>
          </cell>
        </row>
        <row r="1866">
          <cell r="D1866">
            <v>0</v>
          </cell>
          <cell r="E1866">
            <v>0</v>
          </cell>
          <cell r="F1866">
            <v>0</v>
          </cell>
          <cell r="G1866">
            <v>0</v>
          </cell>
        </row>
        <row r="1867">
          <cell r="D1867">
            <v>0</v>
          </cell>
          <cell r="E1867">
            <v>0</v>
          </cell>
          <cell r="F1867">
            <v>0</v>
          </cell>
          <cell r="G1867">
            <v>0</v>
          </cell>
        </row>
        <row r="1868">
          <cell r="D1868">
            <v>0</v>
          </cell>
          <cell r="E1868">
            <v>0</v>
          </cell>
          <cell r="F1868">
            <v>0</v>
          </cell>
          <cell r="G1868">
            <v>0</v>
          </cell>
        </row>
        <row r="1869">
          <cell r="D1869">
            <v>0</v>
          </cell>
          <cell r="E1869">
            <v>0</v>
          </cell>
          <cell r="F1869">
            <v>0</v>
          </cell>
          <cell r="G1869">
            <v>0</v>
          </cell>
        </row>
        <row r="1870">
          <cell r="D1870">
            <v>0</v>
          </cell>
          <cell r="E1870">
            <v>0</v>
          </cell>
          <cell r="F1870">
            <v>0</v>
          </cell>
          <cell r="G1870">
            <v>0</v>
          </cell>
        </row>
        <row r="1871">
          <cell r="D1871">
            <v>0</v>
          </cell>
          <cell r="E1871">
            <v>0</v>
          </cell>
          <cell r="F1871">
            <v>0</v>
          </cell>
          <cell r="G1871">
            <v>0</v>
          </cell>
        </row>
        <row r="1872">
          <cell r="D1872">
            <v>0</v>
          </cell>
          <cell r="E1872">
            <v>0</v>
          </cell>
          <cell r="F1872">
            <v>0</v>
          </cell>
          <cell r="G1872">
            <v>0</v>
          </cell>
        </row>
        <row r="1873">
          <cell r="D1873">
            <v>0</v>
          </cell>
          <cell r="E1873">
            <v>0</v>
          </cell>
          <cell r="F1873">
            <v>0</v>
          </cell>
          <cell r="G1873">
            <v>0</v>
          </cell>
        </row>
        <row r="1874">
          <cell r="D1874">
            <v>0</v>
          </cell>
          <cell r="E1874">
            <v>0</v>
          </cell>
          <cell r="F1874">
            <v>0</v>
          </cell>
          <cell r="G1874">
            <v>0</v>
          </cell>
        </row>
        <row r="1875">
          <cell r="D1875">
            <v>0</v>
          </cell>
          <cell r="E1875">
            <v>0</v>
          </cell>
          <cell r="F1875">
            <v>0</v>
          </cell>
          <cell r="G1875">
            <v>0</v>
          </cell>
        </row>
        <row r="1876">
          <cell r="D1876">
            <v>0</v>
          </cell>
          <cell r="E1876">
            <v>0</v>
          </cell>
          <cell r="F1876">
            <v>0</v>
          </cell>
          <cell r="G1876">
            <v>0</v>
          </cell>
        </row>
        <row r="1877">
          <cell r="D1877">
            <v>0</v>
          </cell>
          <cell r="E1877">
            <v>0</v>
          </cell>
          <cell r="F1877">
            <v>0</v>
          </cell>
          <cell r="G1877">
            <v>0</v>
          </cell>
        </row>
        <row r="1878">
          <cell r="D1878">
            <v>0</v>
          </cell>
          <cell r="E1878">
            <v>0</v>
          </cell>
          <cell r="F1878">
            <v>0</v>
          </cell>
          <cell r="G1878">
            <v>0</v>
          </cell>
        </row>
        <row r="1879">
          <cell r="D1879">
            <v>0</v>
          </cell>
          <cell r="E1879">
            <v>0</v>
          </cell>
          <cell r="F1879">
            <v>0</v>
          </cell>
          <cell r="G1879">
            <v>0</v>
          </cell>
        </row>
        <row r="1880">
          <cell r="D1880">
            <v>0</v>
          </cell>
          <cell r="E1880">
            <v>0</v>
          </cell>
          <cell r="F1880">
            <v>0</v>
          </cell>
          <cell r="G1880">
            <v>0</v>
          </cell>
        </row>
        <row r="1881">
          <cell r="D1881">
            <v>0</v>
          </cell>
          <cell r="E1881">
            <v>0</v>
          </cell>
          <cell r="F1881">
            <v>0</v>
          </cell>
          <cell r="G1881">
            <v>0</v>
          </cell>
        </row>
        <row r="1882">
          <cell r="D1882">
            <v>0</v>
          </cell>
          <cell r="E1882">
            <v>0</v>
          </cell>
          <cell r="F1882">
            <v>0</v>
          </cell>
          <cell r="G1882">
            <v>0</v>
          </cell>
        </row>
        <row r="1883">
          <cell r="D1883">
            <v>0</v>
          </cell>
          <cell r="E1883">
            <v>0</v>
          </cell>
          <cell r="F1883">
            <v>0</v>
          </cell>
          <cell r="G1883">
            <v>0</v>
          </cell>
        </row>
        <row r="1884">
          <cell r="D1884">
            <v>0</v>
          </cell>
          <cell r="E1884">
            <v>0</v>
          </cell>
          <cell r="F1884">
            <v>0</v>
          </cell>
          <cell r="G1884">
            <v>0</v>
          </cell>
        </row>
        <row r="1885">
          <cell r="D1885">
            <v>0</v>
          </cell>
          <cell r="E1885">
            <v>0</v>
          </cell>
          <cell r="F1885">
            <v>0</v>
          </cell>
          <cell r="G1885">
            <v>0</v>
          </cell>
        </row>
        <row r="1886">
          <cell r="D1886">
            <v>0</v>
          </cell>
          <cell r="E1886">
            <v>0</v>
          </cell>
          <cell r="F1886">
            <v>0</v>
          </cell>
          <cell r="G1886">
            <v>0</v>
          </cell>
        </row>
        <row r="1887">
          <cell r="D1887">
            <v>0</v>
          </cell>
          <cell r="E1887">
            <v>0</v>
          </cell>
          <cell r="F1887">
            <v>0</v>
          </cell>
          <cell r="G1887">
            <v>0</v>
          </cell>
        </row>
        <row r="1888">
          <cell r="D1888">
            <v>0</v>
          </cell>
          <cell r="E1888">
            <v>0</v>
          </cell>
          <cell r="F1888">
            <v>0</v>
          </cell>
          <cell r="G1888">
            <v>0</v>
          </cell>
        </row>
        <row r="1889">
          <cell r="D1889">
            <v>0</v>
          </cell>
          <cell r="E1889">
            <v>0</v>
          </cell>
          <cell r="F1889">
            <v>0</v>
          </cell>
          <cell r="G1889">
            <v>0</v>
          </cell>
        </row>
        <row r="1890">
          <cell r="D1890">
            <v>0</v>
          </cell>
          <cell r="E1890">
            <v>0</v>
          </cell>
          <cell r="F1890">
            <v>0</v>
          </cell>
          <cell r="G1890">
            <v>0</v>
          </cell>
        </row>
        <row r="1891">
          <cell r="D1891">
            <v>0</v>
          </cell>
          <cell r="E1891">
            <v>0</v>
          </cell>
          <cell r="F1891">
            <v>0</v>
          </cell>
          <cell r="G1891">
            <v>0</v>
          </cell>
        </row>
        <row r="1892">
          <cell r="D1892">
            <v>0</v>
          </cell>
          <cell r="E1892">
            <v>0</v>
          </cell>
          <cell r="F1892">
            <v>0</v>
          </cell>
          <cell r="G1892">
            <v>0</v>
          </cell>
        </row>
        <row r="1893">
          <cell r="D1893">
            <v>0</v>
          </cell>
          <cell r="E1893">
            <v>0</v>
          </cell>
          <cell r="F1893">
            <v>0</v>
          </cell>
          <cell r="G1893">
            <v>0</v>
          </cell>
        </row>
        <row r="1894">
          <cell r="D1894">
            <v>0</v>
          </cell>
          <cell r="E1894">
            <v>0</v>
          </cell>
          <cell r="F1894">
            <v>0</v>
          </cell>
          <cell r="G1894">
            <v>0</v>
          </cell>
        </row>
        <row r="1895">
          <cell r="D1895">
            <v>0</v>
          </cell>
          <cell r="E1895">
            <v>0</v>
          </cell>
          <cell r="F1895">
            <v>0</v>
          </cell>
          <cell r="G1895">
            <v>0</v>
          </cell>
        </row>
        <row r="1896">
          <cell r="D1896">
            <v>0</v>
          </cell>
          <cell r="E1896">
            <v>0</v>
          </cell>
          <cell r="F1896">
            <v>0</v>
          </cell>
          <cell r="G1896">
            <v>0</v>
          </cell>
        </row>
        <row r="1897">
          <cell r="D1897">
            <v>0</v>
          </cell>
          <cell r="E1897">
            <v>0</v>
          </cell>
          <cell r="F1897">
            <v>0</v>
          </cell>
          <cell r="G1897">
            <v>0</v>
          </cell>
        </row>
        <row r="1898">
          <cell r="D1898">
            <v>0</v>
          </cell>
          <cell r="E1898">
            <v>0</v>
          </cell>
          <cell r="F1898">
            <v>0</v>
          </cell>
          <cell r="G1898">
            <v>0</v>
          </cell>
        </row>
        <row r="1899">
          <cell r="D1899">
            <v>0</v>
          </cell>
          <cell r="E1899">
            <v>0</v>
          </cell>
          <cell r="F1899">
            <v>0</v>
          </cell>
          <cell r="G1899">
            <v>0</v>
          </cell>
        </row>
        <row r="1900">
          <cell r="D1900">
            <v>0</v>
          </cell>
          <cell r="E1900">
            <v>0</v>
          </cell>
          <cell r="F1900">
            <v>0</v>
          </cell>
          <cell r="G1900">
            <v>0</v>
          </cell>
        </row>
        <row r="1901">
          <cell r="D1901">
            <v>0</v>
          </cell>
          <cell r="E1901">
            <v>0</v>
          </cell>
          <cell r="F1901">
            <v>0</v>
          </cell>
          <cell r="G1901">
            <v>0</v>
          </cell>
        </row>
        <row r="1902">
          <cell r="D1902">
            <v>0</v>
          </cell>
          <cell r="E1902">
            <v>0</v>
          </cell>
          <cell r="F1902">
            <v>0</v>
          </cell>
          <cell r="G1902">
            <v>0</v>
          </cell>
        </row>
        <row r="1903">
          <cell r="D1903">
            <v>0</v>
          </cell>
          <cell r="E1903">
            <v>0</v>
          </cell>
          <cell r="F1903">
            <v>0</v>
          </cell>
          <cell r="G1903">
            <v>0</v>
          </cell>
        </row>
        <row r="1904">
          <cell r="D1904">
            <v>0</v>
          </cell>
          <cell r="E1904">
            <v>0</v>
          </cell>
          <cell r="F1904">
            <v>0</v>
          </cell>
          <cell r="G1904">
            <v>0</v>
          </cell>
        </row>
        <row r="1905">
          <cell r="D1905">
            <v>0</v>
          </cell>
          <cell r="E1905">
            <v>0</v>
          </cell>
          <cell r="F1905">
            <v>0</v>
          </cell>
          <cell r="G1905">
            <v>0</v>
          </cell>
        </row>
        <row r="1906">
          <cell r="D1906">
            <v>0</v>
          </cell>
          <cell r="E1906">
            <v>0</v>
          </cell>
          <cell r="F1906">
            <v>0</v>
          </cell>
          <cell r="G1906">
            <v>0</v>
          </cell>
        </row>
        <row r="1907">
          <cell r="D1907">
            <v>0</v>
          </cell>
          <cell r="E1907">
            <v>0</v>
          </cell>
          <cell r="F1907">
            <v>0</v>
          </cell>
          <cell r="G1907">
            <v>0</v>
          </cell>
        </row>
        <row r="1908">
          <cell r="D1908">
            <v>0</v>
          </cell>
          <cell r="E1908">
            <v>0</v>
          </cell>
          <cell r="F1908">
            <v>0</v>
          </cell>
          <cell r="G1908">
            <v>0</v>
          </cell>
        </row>
        <row r="1909">
          <cell r="D1909">
            <v>0</v>
          </cell>
          <cell r="E1909">
            <v>0</v>
          </cell>
          <cell r="F1909">
            <v>0</v>
          </cell>
          <cell r="G1909">
            <v>0</v>
          </cell>
        </row>
        <row r="1910">
          <cell r="D1910">
            <v>0</v>
          </cell>
          <cell r="E1910">
            <v>0</v>
          </cell>
          <cell r="F1910">
            <v>0</v>
          </cell>
          <cell r="G1910">
            <v>0</v>
          </cell>
        </row>
        <row r="1911">
          <cell r="D1911">
            <v>0</v>
          </cell>
          <cell r="E1911">
            <v>0</v>
          </cell>
          <cell r="F1911">
            <v>0</v>
          </cell>
          <cell r="G1911">
            <v>0</v>
          </cell>
        </row>
        <row r="1912">
          <cell r="D1912">
            <v>0</v>
          </cell>
          <cell r="E1912">
            <v>0</v>
          </cell>
          <cell r="F1912">
            <v>0</v>
          </cell>
          <cell r="G1912">
            <v>0</v>
          </cell>
        </row>
        <row r="1913">
          <cell r="D1913">
            <v>0</v>
          </cell>
          <cell r="E1913">
            <v>0</v>
          </cell>
          <cell r="F1913">
            <v>0</v>
          </cell>
          <cell r="G1913">
            <v>0</v>
          </cell>
        </row>
        <row r="1914">
          <cell r="D1914">
            <v>0</v>
          </cell>
          <cell r="E1914">
            <v>0</v>
          </cell>
          <cell r="F1914">
            <v>0</v>
          </cell>
          <cell r="G1914">
            <v>0</v>
          </cell>
        </row>
        <row r="1915">
          <cell r="D1915">
            <v>0</v>
          </cell>
          <cell r="E1915">
            <v>0</v>
          </cell>
          <cell r="F1915">
            <v>0</v>
          </cell>
          <cell r="G1915">
            <v>0</v>
          </cell>
        </row>
        <row r="1916">
          <cell r="D1916">
            <v>0</v>
          </cell>
          <cell r="E1916">
            <v>0</v>
          </cell>
          <cell r="F1916">
            <v>0</v>
          </cell>
          <cell r="G1916">
            <v>0</v>
          </cell>
        </row>
        <row r="1917">
          <cell r="D1917">
            <v>0</v>
          </cell>
          <cell r="E1917">
            <v>0</v>
          </cell>
          <cell r="F1917">
            <v>0</v>
          </cell>
          <cell r="G1917">
            <v>0</v>
          </cell>
        </row>
        <row r="1918">
          <cell r="D1918">
            <v>0</v>
          </cell>
          <cell r="E1918">
            <v>0</v>
          </cell>
          <cell r="F1918">
            <v>0</v>
          </cell>
          <cell r="G1918">
            <v>0</v>
          </cell>
        </row>
        <row r="1919">
          <cell r="D1919">
            <v>0</v>
          </cell>
          <cell r="E1919">
            <v>0</v>
          </cell>
          <cell r="F1919">
            <v>0</v>
          </cell>
          <cell r="G1919">
            <v>0</v>
          </cell>
        </row>
        <row r="1920">
          <cell r="D1920">
            <v>0</v>
          </cell>
          <cell r="E1920">
            <v>0</v>
          </cell>
          <cell r="F1920">
            <v>0</v>
          </cell>
          <cell r="G1920">
            <v>0</v>
          </cell>
        </row>
        <row r="1921">
          <cell r="D1921">
            <v>0</v>
          </cell>
          <cell r="E1921">
            <v>0</v>
          </cell>
          <cell r="F1921">
            <v>0</v>
          </cell>
          <cell r="G1921">
            <v>0</v>
          </cell>
        </row>
        <row r="1922">
          <cell r="D1922">
            <v>0</v>
          </cell>
          <cell r="E1922">
            <v>0</v>
          </cell>
          <cell r="F1922">
            <v>0</v>
          </cell>
          <cell r="G1922">
            <v>0</v>
          </cell>
        </row>
        <row r="1923">
          <cell r="D1923">
            <v>0</v>
          </cell>
          <cell r="E1923">
            <v>0</v>
          </cell>
          <cell r="F1923">
            <v>0</v>
          </cell>
          <cell r="G1923">
            <v>0</v>
          </cell>
        </row>
        <row r="1924">
          <cell r="D1924">
            <v>0</v>
          </cell>
          <cell r="E1924">
            <v>0</v>
          </cell>
          <cell r="F1924">
            <v>0</v>
          </cell>
          <cell r="G1924">
            <v>0</v>
          </cell>
        </row>
        <row r="1925">
          <cell r="D1925">
            <v>0</v>
          </cell>
          <cell r="E1925">
            <v>0</v>
          </cell>
          <cell r="F1925">
            <v>0</v>
          </cell>
          <cell r="G1925">
            <v>0</v>
          </cell>
        </row>
        <row r="1926">
          <cell r="D1926">
            <v>0</v>
          </cell>
          <cell r="E1926">
            <v>0</v>
          </cell>
          <cell r="F1926">
            <v>0</v>
          </cell>
          <cell r="G1926">
            <v>0</v>
          </cell>
        </row>
        <row r="1927">
          <cell r="D1927">
            <v>0</v>
          </cell>
          <cell r="E1927">
            <v>0</v>
          </cell>
          <cell r="F1927">
            <v>0</v>
          </cell>
          <cell r="G1927">
            <v>0</v>
          </cell>
        </row>
        <row r="1928">
          <cell r="D1928">
            <v>0</v>
          </cell>
          <cell r="E1928">
            <v>0</v>
          </cell>
          <cell r="F1928">
            <v>0</v>
          </cell>
          <cell r="G1928">
            <v>0</v>
          </cell>
        </row>
        <row r="1929">
          <cell r="D1929">
            <v>0</v>
          </cell>
          <cell r="E1929">
            <v>0</v>
          </cell>
          <cell r="F1929">
            <v>0</v>
          </cell>
          <cell r="G1929">
            <v>0</v>
          </cell>
        </row>
        <row r="1930">
          <cell r="D1930">
            <v>0</v>
          </cell>
          <cell r="E1930">
            <v>0</v>
          </cell>
          <cell r="F1930">
            <v>0</v>
          </cell>
          <cell r="G1930">
            <v>0</v>
          </cell>
        </row>
        <row r="1931">
          <cell r="D1931">
            <v>0</v>
          </cell>
          <cell r="E1931">
            <v>0</v>
          </cell>
          <cell r="F1931">
            <v>0</v>
          </cell>
          <cell r="G1931">
            <v>0</v>
          </cell>
        </row>
        <row r="1932">
          <cell r="D1932">
            <v>0</v>
          </cell>
          <cell r="E1932">
            <v>0</v>
          </cell>
          <cell r="F1932">
            <v>0</v>
          </cell>
          <cell r="G1932">
            <v>0</v>
          </cell>
        </row>
        <row r="1933">
          <cell r="D1933">
            <v>0</v>
          </cell>
          <cell r="E1933">
            <v>0</v>
          </cell>
          <cell r="F1933">
            <v>0</v>
          </cell>
          <cell r="G1933">
            <v>0</v>
          </cell>
        </row>
        <row r="1934">
          <cell r="D1934">
            <v>0</v>
          </cell>
          <cell r="E1934">
            <v>0</v>
          </cell>
          <cell r="F1934">
            <v>0</v>
          </cell>
          <cell r="G1934">
            <v>0</v>
          </cell>
        </row>
        <row r="1935">
          <cell r="D1935">
            <v>0</v>
          </cell>
          <cell r="E1935">
            <v>0</v>
          </cell>
          <cell r="F1935">
            <v>0</v>
          </cell>
          <cell r="G1935">
            <v>0</v>
          </cell>
        </row>
        <row r="1936">
          <cell r="D1936">
            <v>0</v>
          </cell>
          <cell r="E1936">
            <v>0</v>
          </cell>
          <cell r="F1936">
            <v>0</v>
          </cell>
          <cell r="G1936">
            <v>0</v>
          </cell>
        </row>
        <row r="1937">
          <cell r="D1937">
            <v>0</v>
          </cell>
          <cell r="E1937">
            <v>0</v>
          </cell>
          <cell r="F1937">
            <v>0</v>
          </cell>
          <cell r="G1937">
            <v>0</v>
          </cell>
        </row>
        <row r="1938">
          <cell r="D1938">
            <v>0</v>
          </cell>
          <cell r="E1938">
            <v>0</v>
          </cell>
          <cell r="F1938">
            <v>0</v>
          </cell>
          <cell r="G1938">
            <v>0</v>
          </cell>
        </row>
        <row r="1939">
          <cell r="D1939">
            <v>0</v>
          </cell>
          <cell r="E1939">
            <v>0</v>
          </cell>
          <cell r="F1939">
            <v>0</v>
          </cell>
          <cell r="G1939">
            <v>0</v>
          </cell>
        </row>
        <row r="1940">
          <cell r="D1940">
            <v>0</v>
          </cell>
          <cell r="E1940">
            <v>0</v>
          </cell>
          <cell r="F1940">
            <v>0</v>
          </cell>
          <cell r="G1940">
            <v>0</v>
          </cell>
        </row>
        <row r="1941">
          <cell r="D1941">
            <v>0</v>
          </cell>
          <cell r="E1941">
            <v>0</v>
          </cell>
          <cell r="F1941">
            <v>0</v>
          </cell>
          <cell r="G1941">
            <v>0</v>
          </cell>
        </row>
        <row r="1942">
          <cell r="D1942">
            <v>0</v>
          </cell>
          <cell r="E1942">
            <v>0</v>
          </cell>
          <cell r="F1942">
            <v>0</v>
          </cell>
          <cell r="G1942">
            <v>0</v>
          </cell>
        </row>
        <row r="1943">
          <cell r="D1943">
            <v>0</v>
          </cell>
          <cell r="E1943">
            <v>0</v>
          </cell>
          <cell r="F1943">
            <v>0</v>
          </cell>
          <cell r="G1943">
            <v>0</v>
          </cell>
        </row>
        <row r="1944">
          <cell r="D1944">
            <v>0</v>
          </cell>
          <cell r="E1944">
            <v>0</v>
          </cell>
          <cell r="F1944">
            <v>0</v>
          </cell>
          <cell r="G1944">
            <v>0</v>
          </cell>
        </row>
        <row r="1945">
          <cell r="D1945">
            <v>0</v>
          </cell>
          <cell r="E1945">
            <v>0</v>
          </cell>
          <cell r="F1945">
            <v>0</v>
          </cell>
          <cell r="G1945">
            <v>0</v>
          </cell>
        </row>
        <row r="1946">
          <cell r="D1946">
            <v>0</v>
          </cell>
          <cell r="E1946">
            <v>0</v>
          </cell>
          <cell r="F1946">
            <v>0</v>
          </cell>
          <cell r="G1946">
            <v>0</v>
          </cell>
        </row>
        <row r="1947">
          <cell r="D1947">
            <v>0</v>
          </cell>
          <cell r="E1947">
            <v>0</v>
          </cell>
          <cell r="F1947">
            <v>0</v>
          </cell>
          <cell r="G1947">
            <v>0</v>
          </cell>
        </row>
        <row r="1948">
          <cell r="D1948">
            <v>0</v>
          </cell>
          <cell r="E1948">
            <v>0</v>
          </cell>
          <cell r="F1948">
            <v>0</v>
          </cell>
          <cell r="G1948">
            <v>0</v>
          </cell>
        </row>
        <row r="1949">
          <cell r="D1949">
            <v>0</v>
          </cell>
          <cell r="E1949">
            <v>0</v>
          </cell>
          <cell r="F1949">
            <v>0</v>
          </cell>
          <cell r="G1949">
            <v>0</v>
          </cell>
        </row>
        <row r="1950">
          <cell r="D1950">
            <v>0</v>
          </cell>
          <cell r="E1950">
            <v>0</v>
          </cell>
          <cell r="F1950">
            <v>0</v>
          </cell>
          <cell r="G1950">
            <v>0</v>
          </cell>
        </row>
        <row r="1951">
          <cell r="D1951">
            <v>0</v>
          </cell>
          <cell r="E1951">
            <v>0</v>
          </cell>
          <cell r="F1951">
            <v>0</v>
          </cell>
          <cell r="G1951">
            <v>0</v>
          </cell>
        </row>
        <row r="1952">
          <cell r="D1952">
            <v>0</v>
          </cell>
          <cell r="E1952">
            <v>0</v>
          </cell>
          <cell r="F1952">
            <v>0</v>
          </cell>
          <cell r="G1952">
            <v>0</v>
          </cell>
        </row>
        <row r="1953">
          <cell r="D1953">
            <v>0</v>
          </cell>
          <cell r="E1953">
            <v>0</v>
          </cell>
          <cell r="F1953">
            <v>0</v>
          </cell>
          <cell r="G1953">
            <v>0</v>
          </cell>
        </row>
        <row r="1954">
          <cell r="D1954">
            <v>0</v>
          </cell>
          <cell r="E1954">
            <v>0</v>
          </cell>
          <cell r="F1954">
            <v>0</v>
          </cell>
          <cell r="G1954">
            <v>0</v>
          </cell>
        </row>
        <row r="1955">
          <cell r="D1955">
            <v>0</v>
          </cell>
          <cell r="E1955">
            <v>0</v>
          </cell>
          <cell r="F1955">
            <v>0</v>
          </cell>
          <cell r="G1955">
            <v>0</v>
          </cell>
        </row>
        <row r="1956">
          <cell r="D1956">
            <v>0</v>
          </cell>
          <cell r="E1956">
            <v>0</v>
          </cell>
          <cell r="F1956">
            <v>0</v>
          </cell>
          <cell r="G1956">
            <v>0</v>
          </cell>
        </row>
        <row r="1957">
          <cell r="D1957">
            <v>0</v>
          </cell>
          <cell r="E1957">
            <v>0</v>
          </cell>
          <cell r="F1957">
            <v>0</v>
          </cell>
          <cell r="G1957">
            <v>0</v>
          </cell>
        </row>
        <row r="1958">
          <cell r="D1958">
            <v>0</v>
          </cell>
          <cell r="E1958">
            <v>0</v>
          </cell>
          <cell r="F1958">
            <v>0</v>
          </cell>
          <cell r="G1958">
            <v>0</v>
          </cell>
        </row>
        <row r="1959">
          <cell r="D1959">
            <v>0</v>
          </cell>
          <cell r="E1959">
            <v>0</v>
          </cell>
          <cell r="F1959">
            <v>0</v>
          </cell>
          <cell r="G1959">
            <v>0</v>
          </cell>
        </row>
        <row r="1960">
          <cell r="D1960">
            <v>0</v>
          </cell>
          <cell r="E1960">
            <v>0</v>
          </cell>
          <cell r="F1960">
            <v>0</v>
          </cell>
          <cell r="G1960">
            <v>0</v>
          </cell>
        </row>
        <row r="1961">
          <cell r="D1961">
            <v>0</v>
          </cell>
          <cell r="E1961">
            <v>0</v>
          </cell>
          <cell r="F1961">
            <v>0</v>
          </cell>
          <cell r="G1961">
            <v>0</v>
          </cell>
        </row>
        <row r="1962">
          <cell r="D1962">
            <v>0</v>
          </cell>
          <cell r="E1962">
            <v>0</v>
          </cell>
          <cell r="F1962">
            <v>0</v>
          </cell>
          <cell r="G1962">
            <v>0</v>
          </cell>
        </row>
        <row r="1963">
          <cell r="D1963">
            <v>0</v>
          </cell>
          <cell r="E1963">
            <v>0</v>
          </cell>
          <cell r="F1963">
            <v>0</v>
          </cell>
          <cell r="G1963">
            <v>0</v>
          </cell>
        </row>
        <row r="1964">
          <cell r="D1964">
            <v>0</v>
          </cell>
          <cell r="E1964">
            <v>0</v>
          </cell>
          <cell r="F1964">
            <v>0</v>
          </cell>
          <cell r="G1964">
            <v>0</v>
          </cell>
        </row>
        <row r="1965">
          <cell r="D1965">
            <v>0</v>
          </cell>
          <cell r="E1965">
            <v>0</v>
          </cell>
          <cell r="F1965">
            <v>0</v>
          </cell>
          <cell r="G1965">
            <v>0</v>
          </cell>
        </row>
        <row r="1966">
          <cell r="D1966">
            <v>0</v>
          </cell>
          <cell r="E1966">
            <v>0</v>
          </cell>
          <cell r="F1966">
            <v>0</v>
          </cell>
          <cell r="G1966">
            <v>0</v>
          </cell>
        </row>
        <row r="1967">
          <cell r="D1967">
            <v>0</v>
          </cell>
          <cell r="E1967">
            <v>0</v>
          </cell>
          <cell r="F1967">
            <v>0</v>
          </cell>
          <cell r="G1967">
            <v>0</v>
          </cell>
        </row>
        <row r="1968">
          <cell r="D1968">
            <v>0</v>
          </cell>
          <cell r="E1968">
            <v>0</v>
          </cell>
          <cell r="F1968">
            <v>0</v>
          </cell>
          <cell r="G1968">
            <v>0</v>
          </cell>
        </row>
        <row r="1969">
          <cell r="D1969">
            <v>0</v>
          </cell>
          <cell r="E1969">
            <v>0</v>
          </cell>
          <cell r="F1969">
            <v>0</v>
          </cell>
          <cell r="G1969">
            <v>0</v>
          </cell>
        </row>
        <row r="1970">
          <cell r="D1970">
            <v>0</v>
          </cell>
          <cell r="E1970">
            <v>0</v>
          </cell>
          <cell r="F1970">
            <v>0</v>
          </cell>
          <cell r="G1970">
            <v>0</v>
          </cell>
        </row>
        <row r="1971">
          <cell r="D1971">
            <v>0</v>
          </cell>
          <cell r="E1971">
            <v>0</v>
          </cell>
          <cell r="F1971">
            <v>0</v>
          </cell>
          <cell r="G1971">
            <v>0</v>
          </cell>
        </row>
        <row r="1972">
          <cell r="D1972">
            <v>0</v>
          </cell>
          <cell r="E1972">
            <v>0</v>
          </cell>
          <cell r="F1972">
            <v>0</v>
          </cell>
          <cell r="G1972">
            <v>0</v>
          </cell>
        </row>
        <row r="1973">
          <cell r="D1973">
            <v>0</v>
          </cell>
          <cell r="E1973">
            <v>0</v>
          </cell>
          <cell r="F1973">
            <v>0</v>
          </cell>
          <cell r="G1973">
            <v>0</v>
          </cell>
        </row>
        <row r="1974">
          <cell r="D1974">
            <v>0</v>
          </cell>
          <cell r="E1974">
            <v>0</v>
          </cell>
          <cell r="F1974">
            <v>0</v>
          </cell>
          <cell r="G1974">
            <v>0</v>
          </cell>
        </row>
        <row r="1975">
          <cell r="D1975">
            <v>0</v>
          </cell>
          <cell r="E1975">
            <v>0</v>
          </cell>
          <cell r="F1975">
            <v>0</v>
          </cell>
          <cell r="G1975">
            <v>0</v>
          </cell>
        </row>
        <row r="1976">
          <cell r="D1976">
            <v>0</v>
          </cell>
          <cell r="E1976">
            <v>0</v>
          </cell>
          <cell r="F1976">
            <v>0</v>
          </cell>
          <cell r="G1976">
            <v>0</v>
          </cell>
        </row>
        <row r="1977">
          <cell r="D1977">
            <v>0</v>
          </cell>
          <cell r="E1977">
            <v>0</v>
          </cell>
          <cell r="F1977">
            <v>0</v>
          </cell>
          <cell r="G1977">
            <v>0</v>
          </cell>
        </row>
        <row r="1978">
          <cell r="D1978">
            <v>0</v>
          </cell>
          <cell r="E1978">
            <v>0</v>
          </cell>
          <cell r="F1978">
            <v>0</v>
          </cell>
          <cell r="G1978">
            <v>0</v>
          </cell>
        </row>
        <row r="1979">
          <cell r="D1979">
            <v>0</v>
          </cell>
          <cell r="E1979">
            <v>0</v>
          </cell>
          <cell r="F1979">
            <v>0</v>
          </cell>
          <cell r="G1979">
            <v>0</v>
          </cell>
        </row>
        <row r="1980">
          <cell r="D1980">
            <v>0</v>
          </cell>
          <cell r="E1980">
            <v>0</v>
          </cell>
          <cell r="F1980">
            <v>0</v>
          </cell>
          <cell r="G1980">
            <v>0</v>
          </cell>
        </row>
        <row r="1981">
          <cell r="D1981">
            <v>0</v>
          </cell>
          <cell r="E1981">
            <v>0</v>
          </cell>
          <cell r="F1981">
            <v>0</v>
          </cell>
          <cell r="G1981">
            <v>0</v>
          </cell>
        </row>
        <row r="1982">
          <cell r="D1982">
            <v>0</v>
          </cell>
          <cell r="E1982">
            <v>0</v>
          </cell>
          <cell r="F1982">
            <v>0</v>
          </cell>
          <cell r="G1982">
            <v>0</v>
          </cell>
        </row>
        <row r="1983">
          <cell r="D1983">
            <v>0</v>
          </cell>
          <cell r="E1983">
            <v>0</v>
          </cell>
          <cell r="F1983">
            <v>0</v>
          </cell>
          <cell r="G1983">
            <v>0</v>
          </cell>
        </row>
        <row r="1984">
          <cell r="D1984">
            <v>0</v>
          </cell>
          <cell r="E1984">
            <v>0</v>
          </cell>
          <cell r="F1984">
            <v>0</v>
          </cell>
          <cell r="G1984">
            <v>0</v>
          </cell>
        </row>
        <row r="1985">
          <cell r="D1985">
            <v>0</v>
          </cell>
          <cell r="E1985">
            <v>0</v>
          </cell>
          <cell r="F1985">
            <v>0</v>
          </cell>
          <cell r="G1985">
            <v>0</v>
          </cell>
        </row>
        <row r="1986">
          <cell r="D1986">
            <v>0</v>
          </cell>
          <cell r="E1986">
            <v>0</v>
          </cell>
          <cell r="F1986">
            <v>0</v>
          </cell>
          <cell r="G1986">
            <v>0</v>
          </cell>
        </row>
        <row r="1987">
          <cell r="D1987">
            <v>0</v>
          </cell>
          <cell r="E1987">
            <v>0</v>
          </cell>
          <cell r="F1987">
            <v>0</v>
          </cell>
          <cell r="G1987">
            <v>0</v>
          </cell>
        </row>
        <row r="1988">
          <cell r="D1988">
            <v>0</v>
          </cell>
          <cell r="E1988">
            <v>0</v>
          </cell>
          <cell r="F1988">
            <v>0</v>
          </cell>
          <cell r="G1988">
            <v>0</v>
          </cell>
        </row>
        <row r="1989">
          <cell r="D1989">
            <v>0</v>
          </cell>
          <cell r="E1989">
            <v>0</v>
          </cell>
          <cell r="F1989">
            <v>0</v>
          </cell>
          <cell r="G1989">
            <v>0</v>
          </cell>
        </row>
        <row r="1990">
          <cell r="D1990">
            <v>0</v>
          </cell>
          <cell r="E1990">
            <v>0</v>
          </cell>
          <cell r="F1990">
            <v>0</v>
          </cell>
          <cell r="G1990">
            <v>0</v>
          </cell>
        </row>
        <row r="1991">
          <cell r="D1991">
            <v>0</v>
          </cell>
          <cell r="E1991">
            <v>0</v>
          </cell>
          <cell r="F1991">
            <v>0</v>
          </cell>
          <cell r="G1991">
            <v>0</v>
          </cell>
        </row>
        <row r="1992">
          <cell r="D1992">
            <v>0</v>
          </cell>
          <cell r="E1992">
            <v>0</v>
          </cell>
          <cell r="F1992">
            <v>0</v>
          </cell>
          <cell r="G1992">
            <v>0</v>
          </cell>
        </row>
        <row r="1993">
          <cell r="D1993">
            <v>0</v>
          </cell>
          <cell r="E1993">
            <v>0</v>
          </cell>
          <cell r="F1993">
            <v>0</v>
          </cell>
          <cell r="G1993">
            <v>0</v>
          </cell>
        </row>
        <row r="1994">
          <cell r="D1994">
            <v>0</v>
          </cell>
          <cell r="E1994">
            <v>0</v>
          </cell>
          <cell r="F1994">
            <v>0</v>
          </cell>
          <cell r="G1994">
            <v>0</v>
          </cell>
        </row>
        <row r="1995">
          <cell r="D1995">
            <v>0</v>
          </cell>
          <cell r="E1995">
            <v>0</v>
          </cell>
          <cell r="F1995">
            <v>0</v>
          </cell>
          <cell r="G1995">
            <v>0</v>
          </cell>
        </row>
        <row r="1996">
          <cell r="D1996">
            <v>0</v>
          </cell>
          <cell r="E1996">
            <v>0</v>
          </cell>
          <cell r="F1996">
            <v>0</v>
          </cell>
          <cell r="G1996">
            <v>0</v>
          </cell>
        </row>
        <row r="1997">
          <cell r="D1997">
            <v>0</v>
          </cell>
          <cell r="E1997">
            <v>0</v>
          </cell>
          <cell r="F1997">
            <v>0</v>
          </cell>
          <cell r="G1997">
            <v>0</v>
          </cell>
        </row>
        <row r="1998">
          <cell r="D1998">
            <v>0</v>
          </cell>
          <cell r="E1998">
            <v>0</v>
          </cell>
          <cell r="F1998">
            <v>0</v>
          </cell>
          <cell r="G1998">
            <v>0</v>
          </cell>
        </row>
        <row r="1999">
          <cell r="D1999">
            <v>0</v>
          </cell>
          <cell r="E1999">
            <v>0</v>
          </cell>
          <cell r="F1999">
            <v>0</v>
          </cell>
          <cell r="G1999">
            <v>0</v>
          </cell>
        </row>
        <row r="2000">
          <cell r="D2000">
            <v>0</v>
          </cell>
          <cell r="E2000">
            <v>0</v>
          </cell>
          <cell r="F2000">
            <v>0</v>
          </cell>
          <cell r="G2000">
            <v>0</v>
          </cell>
        </row>
        <row r="2001">
          <cell r="D2001">
            <v>0</v>
          </cell>
          <cell r="E2001">
            <v>0</v>
          </cell>
          <cell r="F2001">
            <v>0</v>
          </cell>
          <cell r="G2001">
            <v>0</v>
          </cell>
        </row>
        <row r="2002">
          <cell r="D2002">
            <v>0</v>
          </cell>
          <cell r="E2002">
            <v>0</v>
          </cell>
          <cell r="F2002">
            <v>0</v>
          </cell>
          <cell r="G2002">
            <v>0</v>
          </cell>
        </row>
        <row r="2003">
          <cell r="D2003">
            <v>0</v>
          </cell>
          <cell r="E2003">
            <v>0</v>
          </cell>
          <cell r="F2003">
            <v>0</v>
          </cell>
          <cell r="G2003">
            <v>0</v>
          </cell>
        </row>
        <row r="2004">
          <cell r="D2004">
            <v>0</v>
          </cell>
          <cell r="E2004">
            <v>0</v>
          </cell>
          <cell r="F2004">
            <v>0</v>
          </cell>
          <cell r="G2004">
            <v>0</v>
          </cell>
        </row>
        <row r="2005">
          <cell r="D2005">
            <v>0</v>
          </cell>
          <cell r="E2005">
            <v>0</v>
          </cell>
          <cell r="F2005">
            <v>0</v>
          </cell>
          <cell r="G2005">
            <v>0</v>
          </cell>
        </row>
        <row r="2006">
          <cell r="D2006">
            <v>0</v>
          </cell>
          <cell r="E2006">
            <v>0</v>
          </cell>
          <cell r="F2006">
            <v>0</v>
          </cell>
          <cell r="G2006">
            <v>0</v>
          </cell>
        </row>
        <row r="2007">
          <cell r="D2007">
            <v>0</v>
          </cell>
          <cell r="E2007">
            <v>0</v>
          </cell>
          <cell r="F2007">
            <v>0</v>
          </cell>
          <cell r="G2007">
            <v>0</v>
          </cell>
        </row>
        <row r="2008">
          <cell r="D2008">
            <v>0</v>
          </cell>
          <cell r="E2008">
            <v>0</v>
          </cell>
          <cell r="F2008">
            <v>0</v>
          </cell>
          <cell r="G2008">
            <v>0</v>
          </cell>
        </row>
        <row r="2009">
          <cell r="D2009">
            <v>0</v>
          </cell>
          <cell r="E2009">
            <v>0</v>
          </cell>
          <cell r="F2009">
            <v>0</v>
          </cell>
          <cell r="G2009">
            <v>0</v>
          </cell>
        </row>
        <row r="2010">
          <cell r="D2010">
            <v>0</v>
          </cell>
          <cell r="E2010">
            <v>0</v>
          </cell>
          <cell r="F2010">
            <v>0</v>
          </cell>
          <cell r="G2010">
            <v>0</v>
          </cell>
        </row>
        <row r="2011">
          <cell r="D2011">
            <v>0</v>
          </cell>
          <cell r="E2011">
            <v>0</v>
          </cell>
          <cell r="F2011">
            <v>0</v>
          </cell>
          <cell r="G2011">
            <v>0</v>
          </cell>
        </row>
        <row r="2012">
          <cell r="D2012">
            <v>0</v>
          </cell>
          <cell r="E2012">
            <v>0</v>
          </cell>
          <cell r="F2012">
            <v>0</v>
          </cell>
          <cell r="G2012">
            <v>0</v>
          </cell>
        </row>
        <row r="2013">
          <cell r="D2013">
            <v>0</v>
          </cell>
          <cell r="E2013">
            <v>0</v>
          </cell>
          <cell r="F2013">
            <v>0</v>
          </cell>
          <cell r="G2013">
            <v>0</v>
          </cell>
        </row>
        <row r="2014">
          <cell r="D2014">
            <v>0</v>
          </cell>
          <cell r="E2014">
            <v>0</v>
          </cell>
          <cell r="F2014">
            <v>0</v>
          </cell>
          <cell r="G2014">
            <v>0</v>
          </cell>
        </row>
        <row r="2015">
          <cell r="D2015">
            <v>0</v>
          </cell>
          <cell r="E2015">
            <v>0</v>
          </cell>
          <cell r="F2015">
            <v>0</v>
          </cell>
          <cell r="G2015">
            <v>0</v>
          </cell>
        </row>
        <row r="2016">
          <cell r="D2016">
            <v>0</v>
          </cell>
          <cell r="E2016">
            <v>0</v>
          </cell>
          <cell r="F2016">
            <v>0</v>
          </cell>
          <cell r="G2016">
            <v>0</v>
          </cell>
        </row>
        <row r="2017">
          <cell r="D2017">
            <v>0</v>
          </cell>
          <cell r="E2017">
            <v>0</v>
          </cell>
          <cell r="F2017">
            <v>0</v>
          </cell>
          <cell r="G2017">
            <v>0</v>
          </cell>
        </row>
        <row r="2018">
          <cell r="D2018">
            <v>0</v>
          </cell>
          <cell r="E2018">
            <v>0</v>
          </cell>
          <cell r="F2018">
            <v>0</v>
          </cell>
          <cell r="G2018">
            <v>0</v>
          </cell>
        </row>
        <row r="2019">
          <cell r="D2019">
            <v>0</v>
          </cell>
          <cell r="E2019">
            <v>0</v>
          </cell>
          <cell r="F2019">
            <v>0</v>
          </cell>
          <cell r="G2019">
            <v>0</v>
          </cell>
        </row>
        <row r="2020">
          <cell r="D2020">
            <v>0</v>
          </cell>
          <cell r="E2020">
            <v>0</v>
          </cell>
          <cell r="F2020">
            <v>0</v>
          </cell>
          <cell r="G2020">
            <v>0</v>
          </cell>
        </row>
        <row r="2021">
          <cell r="D2021">
            <v>0</v>
          </cell>
          <cell r="E2021">
            <v>0</v>
          </cell>
          <cell r="F2021">
            <v>0</v>
          </cell>
          <cell r="G2021">
            <v>0</v>
          </cell>
        </row>
        <row r="2022">
          <cell r="D2022">
            <v>0</v>
          </cell>
          <cell r="E2022">
            <v>0</v>
          </cell>
          <cell r="F2022">
            <v>0</v>
          </cell>
          <cell r="G2022">
            <v>0</v>
          </cell>
        </row>
        <row r="2023">
          <cell r="D2023">
            <v>0</v>
          </cell>
          <cell r="E2023">
            <v>0</v>
          </cell>
          <cell r="F2023">
            <v>0</v>
          </cell>
          <cell r="G2023">
            <v>0</v>
          </cell>
        </row>
        <row r="2024">
          <cell r="D2024">
            <v>0</v>
          </cell>
          <cell r="E2024">
            <v>0</v>
          </cell>
          <cell r="F2024">
            <v>0</v>
          </cell>
          <cell r="G2024">
            <v>0</v>
          </cell>
        </row>
        <row r="2025">
          <cell r="D2025">
            <v>0</v>
          </cell>
          <cell r="E2025">
            <v>0</v>
          </cell>
          <cell r="F2025">
            <v>0</v>
          </cell>
          <cell r="G2025">
            <v>0</v>
          </cell>
        </row>
        <row r="2026">
          <cell r="D2026">
            <v>0</v>
          </cell>
          <cell r="E2026">
            <v>0</v>
          </cell>
          <cell r="F2026">
            <v>0</v>
          </cell>
          <cell r="G2026">
            <v>0</v>
          </cell>
        </row>
        <row r="2027">
          <cell r="D2027">
            <v>0</v>
          </cell>
          <cell r="E2027">
            <v>0</v>
          </cell>
          <cell r="F2027">
            <v>0</v>
          </cell>
          <cell r="G2027">
            <v>0</v>
          </cell>
        </row>
        <row r="2028">
          <cell r="D2028">
            <v>0</v>
          </cell>
          <cell r="E2028">
            <v>0</v>
          </cell>
          <cell r="F2028">
            <v>0</v>
          </cell>
          <cell r="G2028">
            <v>0</v>
          </cell>
        </row>
        <row r="2029">
          <cell r="D2029">
            <v>0</v>
          </cell>
          <cell r="E2029">
            <v>0</v>
          </cell>
          <cell r="F2029">
            <v>0</v>
          </cell>
          <cell r="G2029">
            <v>0</v>
          </cell>
        </row>
        <row r="2030">
          <cell r="D2030">
            <v>0</v>
          </cell>
          <cell r="E2030">
            <v>0</v>
          </cell>
          <cell r="F2030">
            <v>0</v>
          </cell>
          <cell r="G2030">
            <v>0</v>
          </cell>
        </row>
        <row r="2031">
          <cell r="D2031">
            <v>0</v>
          </cell>
          <cell r="E2031">
            <v>0</v>
          </cell>
          <cell r="F2031">
            <v>0</v>
          </cell>
          <cell r="G2031">
            <v>0</v>
          </cell>
        </row>
        <row r="2032">
          <cell r="D2032">
            <v>0</v>
          </cell>
          <cell r="E2032">
            <v>0</v>
          </cell>
          <cell r="F2032">
            <v>0</v>
          </cell>
          <cell r="G2032">
            <v>0</v>
          </cell>
        </row>
        <row r="2033">
          <cell r="D2033">
            <v>0</v>
          </cell>
          <cell r="E2033">
            <v>0</v>
          </cell>
          <cell r="F2033">
            <v>0</v>
          </cell>
          <cell r="G2033">
            <v>0</v>
          </cell>
        </row>
        <row r="2034">
          <cell r="D2034">
            <v>0</v>
          </cell>
          <cell r="E2034">
            <v>0</v>
          </cell>
          <cell r="F2034">
            <v>0</v>
          </cell>
          <cell r="G2034">
            <v>0</v>
          </cell>
        </row>
        <row r="2035">
          <cell r="D2035">
            <v>0</v>
          </cell>
          <cell r="E2035">
            <v>0</v>
          </cell>
          <cell r="F2035">
            <v>0</v>
          </cell>
          <cell r="G2035">
            <v>0</v>
          </cell>
        </row>
        <row r="2036">
          <cell r="D2036">
            <v>0</v>
          </cell>
          <cell r="E2036">
            <v>0</v>
          </cell>
          <cell r="F2036">
            <v>0</v>
          </cell>
          <cell r="G2036">
            <v>0</v>
          </cell>
        </row>
        <row r="2037">
          <cell r="D2037">
            <v>0</v>
          </cell>
          <cell r="E2037">
            <v>0</v>
          </cell>
          <cell r="F2037">
            <v>0</v>
          </cell>
          <cell r="G2037">
            <v>0</v>
          </cell>
        </row>
        <row r="2038">
          <cell r="D2038">
            <v>0</v>
          </cell>
          <cell r="E2038">
            <v>0</v>
          </cell>
          <cell r="F2038">
            <v>0</v>
          </cell>
          <cell r="G2038">
            <v>0</v>
          </cell>
        </row>
        <row r="2039">
          <cell r="D2039">
            <v>0</v>
          </cell>
          <cell r="E2039">
            <v>0</v>
          </cell>
          <cell r="F2039">
            <v>0</v>
          </cell>
          <cell r="G2039">
            <v>0</v>
          </cell>
        </row>
        <row r="2040">
          <cell r="D2040">
            <v>0</v>
          </cell>
          <cell r="E2040">
            <v>0</v>
          </cell>
          <cell r="F2040">
            <v>0</v>
          </cell>
          <cell r="G2040">
            <v>0</v>
          </cell>
        </row>
        <row r="2041">
          <cell r="D2041">
            <v>0</v>
          </cell>
          <cell r="E2041">
            <v>0</v>
          </cell>
          <cell r="F2041">
            <v>0</v>
          </cell>
          <cell r="G2041">
            <v>0</v>
          </cell>
        </row>
        <row r="2042">
          <cell r="D2042">
            <v>0</v>
          </cell>
          <cell r="E2042">
            <v>0</v>
          </cell>
          <cell r="F2042">
            <v>0</v>
          </cell>
          <cell r="G2042">
            <v>0</v>
          </cell>
        </row>
        <row r="2043">
          <cell r="D2043">
            <v>0</v>
          </cell>
          <cell r="E2043">
            <v>0</v>
          </cell>
          <cell r="F2043">
            <v>0</v>
          </cell>
          <cell r="G2043">
            <v>0</v>
          </cell>
        </row>
        <row r="2044">
          <cell r="D2044">
            <v>0</v>
          </cell>
          <cell r="E2044">
            <v>0</v>
          </cell>
          <cell r="F2044">
            <v>0</v>
          </cell>
          <cell r="G2044">
            <v>0</v>
          </cell>
        </row>
        <row r="2045">
          <cell r="D2045">
            <v>0</v>
          </cell>
          <cell r="E2045">
            <v>0</v>
          </cell>
          <cell r="F2045">
            <v>0</v>
          </cell>
          <cell r="G2045">
            <v>0</v>
          </cell>
        </row>
        <row r="2046">
          <cell r="D2046">
            <v>0</v>
          </cell>
          <cell r="E2046">
            <v>0</v>
          </cell>
          <cell r="F2046">
            <v>0</v>
          </cell>
          <cell r="G2046">
            <v>0</v>
          </cell>
        </row>
        <row r="2047">
          <cell r="D2047">
            <v>0</v>
          </cell>
          <cell r="E2047">
            <v>0</v>
          </cell>
          <cell r="F2047">
            <v>0</v>
          </cell>
          <cell r="G2047">
            <v>0</v>
          </cell>
        </row>
        <row r="2048">
          <cell r="D2048">
            <v>0</v>
          </cell>
          <cell r="E2048">
            <v>0</v>
          </cell>
          <cell r="F2048">
            <v>0</v>
          </cell>
          <cell r="G2048">
            <v>0</v>
          </cell>
        </row>
        <row r="2049">
          <cell r="D2049">
            <v>0</v>
          </cell>
          <cell r="E2049">
            <v>0</v>
          </cell>
          <cell r="F2049">
            <v>0</v>
          </cell>
          <cell r="G2049">
            <v>0</v>
          </cell>
        </row>
        <row r="2050">
          <cell r="D2050">
            <v>0</v>
          </cell>
          <cell r="E2050">
            <v>0</v>
          </cell>
          <cell r="F2050">
            <v>0</v>
          </cell>
          <cell r="G2050">
            <v>0</v>
          </cell>
        </row>
        <row r="2051">
          <cell r="D2051">
            <v>0</v>
          </cell>
          <cell r="E2051">
            <v>0</v>
          </cell>
          <cell r="F2051">
            <v>0</v>
          </cell>
          <cell r="G2051">
            <v>0</v>
          </cell>
        </row>
        <row r="2052">
          <cell r="D2052">
            <v>0</v>
          </cell>
          <cell r="E2052">
            <v>0</v>
          </cell>
          <cell r="F2052">
            <v>0</v>
          </cell>
          <cell r="G2052">
            <v>0</v>
          </cell>
        </row>
        <row r="2053">
          <cell r="D2053">
            <v>0</v>
          </cell>
          <cell r="E2053">
            <v>0</v>
          </cell>
          <cell r="F2053">
            <v>0</v>
          </cell>
          <cell r="G2053">
            <v>0</v>
          </cell>
        </row>
        <row r="2054">
          <cell r="D2054">
            <v>0</v>
          </cell>
          <cell r="E2054">
            <v>0</v>
          </cell>
          <cell r="F2054">
            <v>0</v>
          </cell>
          <cell r="G2054">
            <v>0</v>
          </cell>
        </row>
        <row r="2055">
          <cell r="D2055">
            <v>0</v>
          </cell>
          <cell r="E2055">
            <v>0</v>
          </cell>
          <cell r="F2055">
            <v>0</v>
          </cell>
          <cell r="G2055">
            <v>0</v>
          </cell>
        </row>
        <row r="2056">
          <cell r="D2056">
            <v>0</v>
          </cell>
          <cell r="E2056">
            <v>0</v>
          </cell>
          <cell r="F2056">
            <v>0</v>
          </cell>
          <cell r="G2056">
            <v>0</v>
          </cell>
        </row>
        <row r="2057">
          <cell r="D2057">
            <v>0</v>
          </cell>
          <cell r="E2057">
            <v>0</v>
          </cell>
          <cell r="F2057">
            <v>0</v>
          </cell>
          <cell r="G2057">
            <v>0</v>
          </cell>
        </row>
        <row r="2058">
          <cell r="D2058">
            <v>0</v>
          </cell>
          <cell r="E2058">
            <v>0</v>
          </cell>
          <cell r="F2058">
            <v>0</v>
          </cell>
          <cell r="G2058">
            <v>0</v>
          </cell>
        </row>
        <row r="2059">
          <cell r="D2059">
            <v>0</v>
          </cell>
          <cell r="E2059">
            <v>0</v>
          </cell>
          <cell r="F2059">
            <v>0</v>
          </cell>
          <cell r="G2059">
            <v>0</v>
          </cell>
        </row>
        <row r="2060">
          <cell r="D2060">
            <v>0</v>
          </cell>
          <cell r="E2060">
            <v>0</v>
          </cell>
          <cell r="F2060">
            <v>0</v>
          </cell>
          <cell r="G2060">
            <v>0</v>
          </cell>
        </row>
        <row r="2061">
          <cell r="D2061">
            <v>0</v>
          </cell>
          <cell r="E2061">
            <v>0</v>
          </cell>
          <cell r="F2061">
            <v>0</v>
          </cell>
          <cell r="G2061">
            <v>0</v>
          </cell>
        </row>
        <row r="2062">
          <cell r="D2062">
            <v>0</v>
          </cell>
          <cell r="E2062">
            <v>0</v>
          </cell>
          <cell r="F2062">
            <v>0</v>
          </cell>
          <cell r="G2062">
            <v>0</v>
          </cell>
        </row>
        <row r="2063">
          <cell r="D2063">
            <v>0</v>
          </cell>
          <cell r="E2063">
            <v>0</v>
          </cell>
          <cell r="F2063">
            <v>0</v>
          </cell>
          <cell r="G2063">
            <v>0</v>
          </cell>
        </row>
        <row r="2064">
          <cell r="D2064">
            <v>0</v>
          </cell>
          <cell r="E2064">
            <v>0</v>
          </cell>
          <cell r="F2064">
            <v>0</v>
          </cell>
          <cell r="G2064">
            <v>0</v>
          </cell>
        </row>
        <row r="2065">
          <cell r="D2065">
            <v>0</v>
          </cell>
          <cell r="E2065">
            <v>0</v>
          </cell>
          <cell r="F2065">
            <v>0</v>
          </cell>
          <cell r="G2065">
            <v>0</v>
          </cell>
        </row>
        <row r="2066">
          <cell r="D2066">
            <v>0</v>
          </cell>
          <cell r="E2066">
            <v>0</v>
          </cell>
          <cell r="F2066">
            <v>0</v>
          </cell>
          <cell r="G2066">
            <v>0</v>
          </cell>
        </row>
        <row r="2067">
          <cell r="D2067">
            <v>0</v>
          </cell>
          <cell r="E2067">
            <v>0</v>
          </cell>
          <cell r="F2067">
            <v>0</v>
          </cell>
          <cell r="G2067">
            <v>0</v>
          </cell>
        </row>
        <row r="2068">
          <cell r="D2068">
            <v>0</v>
          </cell>
          <cell r="E2068">
            <v>0</v>
          </cell>
          <cell r="F2068">
            <v>0</v>
          </cell>
          <cell r="G2068">
            <v>0</v>
          </cell>
        </row>
        <row r="2069">
          <cell r="D2069">
            <v>0</v>
          </cell>
          <cell r="E2069">
            <v>0</v>
          </cell>
          <cell r="F2069">
            <v>0</v>
          </cell>
          <cell r="G2069">
            <v>0</v>
          </cell>
        </row>
        <row r="2070">
          <cell r="D2070">
            <v>0</v>
          </cell>
          <cell r="E2070">
            <v>0</v>
          </cell>
          <cell r="F2070">
            <v>0</v>
          </cell>
          <cell r="G2070">
            <v>0</v>
          </cell>
        </row>
        <row r="2071">
          <cell r="D2071">
            <v>0</v>
          </cell>
          <cell r="E2071">
            <v>0</v>
          </cell>
          <cell r="F2071">
            <v>0</v>
          </cell>
          <cell r="G2071">
            <v>0</v>
          </cell>
        </row>
        <row r="2072">
          <cell r="D2072">
            <v>0</v>
          </cell>
          <cell r="E2072">
            <v>0</v>
          </cell>
          <cell r="F2072">
            <v>0</v>
          </cell>
          <cell r="G2072">
            <v>0</v>
          </cell>
        </row>
        <row r="2073">
          <cell r="D2073">
            <v>0</v>
          </cell>
          <cell r="E2073">
            <v>0</v>
          </cell>
          <cell r="F2073">
            <v>0</v>
          </cell>
          <cell r="G2073">
            <v>0</v>
          </cell>
        </row>
        <row r="2074">
          <cell r="D2074">
            <v>0</v>
          </cell>
          <cell r="E2074">
            <v>0</v>
          </cell>
          <cell r="F2074">
            <v>0</v>
          </cell>
          <cell r="G2074">
            <v>0</v>
          </cell>
        </row>
        <row r="2075">
          <cell r="D2075">
            <v>0</v>
          </cell>
          <cell r="E2075">
            <v>0</v>
          </cell>
          <cell r="F2075">
            <v>0</v>
          </cell>
          <cell r="G2075">
            <v>0</v>
          </cell>
        </row>
        <row r="2076">
          <cell r="D2076">
            <v>0</v>
          </cell>
          <cell r="E2076">
            <v>0</v>
          </cell>
          <cell r="F2076">
            <v>0</v>
          </cell>
          <cell r="G2076">
            <v>0</v>
          </cell>
        </row>
        <row r="2077">
          <cell r="D2077">
            <v>0</v>
          </cell>
          <cell r="E2077">
            <v>0</v>
          </cell>
          <cell r="F2077">
            <v>0</v>
          </cell>
          <cell r="G2077">
            <v>0</v>
          </cell>
        </row>
        <row r="2078">
          <cell r="D2078">
            <v>0</v>
          </cell>
          <cell r="E2078">
            <v>0</v>
          </cell>
          <cell r="F2078">
            <v>0</v>
          </cell>
          <cell r="G2078">
            <v>0</v>
          </cell>
        </row>
        <row r="2079">
          <cell r="D2079">
            <v>0</v>
          </cell>
          <cell r="E2079">
            <v>0</v>
          </cell>
          <cell r="F2079">
            <v>0</v>
          </cell>
          <cell r="G2079">
            <v>0</v>
          </cell>
        </row>
        <row r="2080">
          <cell r="D2080">
            <v>0</v>
          </cell>
          <cell r="E2080">
            <v>0</v>
          </cell>
          <cell r="F2080">
            <v>0</v>
          </cell>
          <cell r="G2080">
            <v>0</v>
          </cell>
        </row>
        <row r="2081">
          <cell r="D2081">
            <v>0</v>
          </cell>
          <cell r="E2081">
            <v>0</v>
          </cell>
          <cell r="F2081">
            <v>0</v>
          </cell>
          <cell r="G2081">
            <v>0</v>
          </cell>
        </row>
        <row r="2082">
          <cell r="D2082">
            <v>0</v>
          </cell>
          <cell r="E2082">
            <v>0</v>
          </cell>
          <cell r="F2082">
            <v>0</v>
          </cell>
          <cell r="G2082">
            <v>0</v>
          </cell>
        </row>
        <row r="2083">
          <cell r="D2083">
            <v>0</v>
          </cell>
          <cell r="E2083">
            <v>0</v>
          </cell>
          <cell r="F2083">
            <v>0</v>
          </cell>
          <cell r="G2083">
            <v>0</v>
          </cell>
        </row>
        <row r="2084">
          <cell r="D2084">
            <v>0</v>
          </cell>
          <cell r="E2084">
            <v>0</v>
          </cell>
          <cell r="F2084">
            <v>0</v>
          </cell>
          <cell r="G2084">
            <v>0</v>
          </cell>
        </row>
        <row r="2085">
          <cell r="D2085">
            <v>0</v>
          </cell>
          <cell r="E2085">
            <v>0</v>
          </cell>
          <cell r="F2085">
            <v>0</v>
          </cell>
          <cell r="G2085">
            <v>0</v>
          </cell>
        </row>
        <row r="2086">
          <cell r="D2086">
            <v>0</v>
          </cell>
          <cell r="E2086">
            <v>0</v>
          </cell>
          <cell r="F2086">
            <v>0</v>
          </cell>
          <cell r="G2086">
            <v>0</v>
          </cell>
        </row>
        <row r="2087">
          <cell r="D2087">
            <v>0</v>
          </cell>
          <cell r="E2087">
            <v>0</v>
          </cell>
          <cell r="F2087">
            <v>0</v>
          </cell>
          <cell r="G2087">
            <v>0</v>
          </cell>
        </row>
        <row r="2088">
          <cell r="D2088">
            <v>0</v>
          </cell>
          <cell r="E2088">
            <v>0</v>
          </cell>
          <cell r="F2088">
            <v>0</v>
          </cell>
          <cell r="G2088">
            <v>0</v>
          </cell>
        </row>
        <row r="2089">
          <cell r="D2089">
            <v>0</v>
          </cell>
          <cell r="E2089">
            <v>0</v>
          </cell>
          <cell r="F2089">
            <v>0</v>
          </cell>
          <cell r="G2089">
            <v>0</v>
          </cell>
        </row>
        <row r="2090">
          <cell r="D2090">
            <v>0</v>
          </cell>
          <cell r="E2090">
            <v>0</v>
          </cell>
          <cell r="F2090">
            <v>0</v>
          </cell>
          <cell r="G2090">
            <v>0</v>
          </cell>
        </row>
        <row r="2091">
          <cell r="D2091">
            <v>0</v>
          </cell>
          <cell r="E2091">
            <v>0</v>
          </cell>
          <cell r="F2091">
            <v>0</v>
          </cell>
          <cell r="G2091">
            <v>0</v>
          </cell>
        </row>
        <row r="2092">
          <cell r="D2092">
            <v>0</v>
          </cell>
          <cell r="E2092">
            <v>0</v>
          </cell>
          <cell r="F2092">
            <v>0</v>
          </cell>
          <cell r="G2092">
            <v>0</v>
          </cell>
        </row>
        <row r="2093">
          <cell r="D2093">
            <v>0</v>
          </cell>
          <cell r="E2093">
            <v>0</v>
          </cell>
          <cell r="F2093">
            <v>0</v>
          </cell>
          <cell r="G2093">
            <v>0</v>
          </cell>
        </row>
        <row r="2094">
          <cell r="D2094">
            <v>0</v>
          </cell>
          <cell r="E2094">
            <v>0</v>
          </cell>
          <cell r="F2094">
            <v>0</v>
          </cell>
          <cell r="G2094">
            <v>0</v>
          </cell>
        </row>
        <row r="2095">
          <cell r="D2095">
            <v>0</v>
          </cell>
          <cell r="E2095">
            <v>0</v>
          </cell>
          <cell r="F2095">
            <v>0</v>
          </cell>
          <cell r="G2095">
            <v>0</v>
          </cell>
        </row>
        <row r="2096">
          <cell r="D2096">
            <v>0</v>
          </cell>
          <cell r="E2096">
            <v>0</v>
          </cell>
          <cell r="F2096">
            <v>0</v>
          </cell>
          <cell r="G2096">
            <v>0</v>
          </cell>
        </row>
        <row r="2097">
          <cell r="D2097">
            <v>0</v>
          </cell>
          <cell r="E2097">
            <v>0</v>
          </cell>
          <cell r="F2097">
            <v>0</v>
          </cell>
          <cell r="G2097">
            <v>0</v>
          </cell>
        </row>
        <row r="2098">
          <cell r="D2098">
            <v>0</v>
          </cell>
          <cell r="E2098">
            <v>0</v>
          </cell>
          <cell r="F2098">
            <v>0</v>
          </cell>
          <cell r="G2098">
            <v>0</v>
          </cell>
        </row>
        <row r="2099">
          <cell r="D2099">
            <v>0</v>
          </cell>
          <cell r="E2099">
            <v>0</v>
          </cell>
          <cell r="F2099">
            <v>0</v>
          </cell>
          <cell r="G2099">
            <v>0</v>
          </cell>
        </row>
        <row r="2100">
          <cell r="D2100">
            <v>0</v>
          </cell>
          <cell r="E2100">
            <v>0</v>
          </cell>
          <cell r="F2100">
            <v>0</v>
          </cell>
          <cell r="G2100">
            <v>0</v>
          </cell>
        </row>
        <row r="2101">
          <cell r="D2101">
            <v>0</v>
          </cell>
          <cell r="E2101">
            <v>0</v>
          </cell>
          <cell r="F2101">
            <v>0</v>
          </cell>
          <cell r="G2101">
            <v>0</v>
          </cell>
        </row>
        <row r="2102">
          <cell r="D2102">
            <v>0</v>
          </cell>
          <cell r="E2102">
            <v>0</v>
          </cell>
          <cell r="F2102">
            <v>0</v>
          </cell>
          <cell r="G2102">
            <v>0</v>
          </cell>
        </row>
        <row r="2103">
          <cell r="D2103">
            <v>0</v>
          </cell>
          <cell r="E2103">
            <v>0</v>
          </cell>
          <cell r="F2103">
            <v>0</v>
          </cell>
          <cell r="G2103">
            <v>0</v>
          </cell>
        </row>
        <row r="2104">
          <cell r="D2104">
            <v>0</v>
          </cell>
          <cell r="E2104">
            <v>0</v>
          </cell>
          <cell r="F2104">
            <v>0</v>
          </cell>
          <cell r="G2104">
            <v>0</v>
          </cell>
        </row>
        <row r="2105">
          <cell r="D2105">
            <v>0</v>
          </cell>
          <cell r="E2105">
            <v>0</v>
          </cell>
          <cell r="F2105">
            <v>0</v>
          </cell>
          <cell r="G2105">
            <v>0</v>
          </cell>
        </row>
        <row r="2106">
          <cell r="D2106">
            <v>0</v>
          </cell>
          <cell r="E2106">
            <v>0</v>
          </cell>
          <cell r="F2106">
            <v>0</v>
          </cell>
          <cell r="G2106">
            <v>0</v>
          </cell>
        </row>
        <row r="2107">
          <cell r="D2107">
            <v>0</v>
          </cell>
          <cell r="E2107">
            <v>0</v>
          </cell>
          <cell r="F2107">
            <v>0</v>
          </cell>
          <cell r="G2107">
            <v>0</v>
          </cell>
        </row>
        <row r="2108">
          <cell r="D2108">
            <v>0</v>
          </cell>
          <cell r="E2108">
            <v>0</v>
          </cell>
          <cell r="F2108">
            <v>0</v>
          </cell>
          <cell r="G2108">
            <v>0</v>
          </cell>
        </row>
        <row r="2109">
          <cell r="D2109">
            <v>0</v>
          </cell>
          <cell r="E2109">
            <v>0</v>
          </cell>
          <cell r="F2109">
            <v>0</v>
          </cell>
          <cell r="G2109">
            <v>0</v>
          </cell>
        </row>
        <row r="2110">
          <cell r="D2110">
            <v>0</v>
          </cell>
          <cell r="E2110">
            <v>0</v>
          </cell>
          <cell r="F2110">
            <v>0</v>
          </cell>
          <cell r="G2110">
            <v>0</v>
          </cell>
        </row>
        <row r="2111">
          <cell r="D2111">
            <v>0</v>
          </cell>
          <cell r="E2111">
            <v>0</v>
          </cell>
          <cell r="F2111">
            <v>0</v>
          </cell>
          <cell r="G2111">
            <v>0</v>
          </cell>
        </row>
        <row r="2112">
          <cell r="D2112">
            <v>0</v>
          </cell>
          <cell r="E2112">
            <v>0</v>
          </cell>
          <cell r="F2112">
            <v>0</v>
          </cell>
          <cell r="G2112">
            <v>0</v>
          </cell>
        </row>
        <row r="2113">
          <cell r="D2113">
            <v>0</v>
          </cell>
          <cell r="E2113">
            <v>0</v>
          </cell>
          <cell r="F2113">
            <v>0</v>
          </cell>
          <cell r="G2113">
            <v>0</v>
          </cell>
        </row>
        <row r="2114">
          <cell r="D2114">
            <v>0</v>
          </cell>
          <cell r="E2114">
            <v>0</v>
          </cell>
          <cell r="F2114">
            <v>0</v>
          </cell>
          <cell r="G2114">
            <v>0</v>
          </cell>
        </row>
        <row r="2115">
          <cell r="D2115">
            <v>0</v>
          </cell>
          <cell r="E2115">
            <v>0</v>
          </cell>
          <cell r="F2115">
            <v>0</v>
          </cell>
          <cell r="G2115">
            <v>0</v>
          </cell>
        </row>
        <row r="2116">
          <cell r="D2116">
            <v>0</v>
          </cell>
          <cell r="E2116">
            <v>0</v>
          </cell>
          <cell r="F2116">
            <v>0</v>
          </cell>
          <cell r="G2116">
            <v>0</v>
          </cell>
        </row>
        <row r="2117">
          <cell r="D2117">
            <v>0</v>
          </cell>
          <cell r="E2117">
            <v>0</v>
          </cell>
          <cell r="F2117">
            <v>0</v>
          </cell>
          <cell r="G2117">
            <v>0</v>
          </cell>
        </row>
        <row r="2118">
          <cell r="D2118">
            <v>0</v>
          </cell>
          <cell r="E2118">
            <v>0</v>
          </cell>
          <cell r="F2118">
            <v>0</v>
          </cell>
          <cell r="G2118">
            <v>0</v>
          </cell>
        </row>
        <row r="2119">
          <cell r="D2119">
            <v>0</v>
          </cell>
          <cell r="E2119">
            <v>0</v>
          </cell>
          <cell r="F2119">
            <v>0</v>
          </cell>
          <cell r="G2119">
            <v>0</v>
          </cell>
        </row>
        <row r="2120">
          <cell r="D2120">
            <v>0</v>
          </cell>
          <cell r="E2120">
            <v>0</v>
          </cell>
          <cell r="F2120">
            <v>0</v>
          </cell>
          <cell r="G2120">
            <v>0</v>
          </cell>
        </row>
        <row r="2121">
          <cell r="D2121">
            <v>0</v>
          </cell>
          <cell r="E2121">
            <v>0</v>
          </cell>
          <cell r="F2121">
            <v>0</v>
          </cell>
          <cell r="G2121">
            <v>0</v>
          </cell>
        </row>
        <row r="2122">
          <cell r="D2122">
            <v>0</v>
          </cell>
          <cell r="E2122">
            <v>0</v>
          </cell>
          <cell r="F2122">
            <v>0</v>
          </cell>
          <cell r="G2122">
            <v>0</v>
          </cell>
        </row>
        <row r="2123">
          <cell r="D2123">
            <v>0</v>
          </cell>
          <cell r="E2123">
            <v>0</v>
          </cell>
          <cell r="F2123">
            <v>0</v>
          </cell>
          <cell r="G2123">
            <v>0</v>
          </cell>
        </row>
        <row r="2124">
          <cell r="D2124">
            <v>0</v>
          </cell>
          <cell r="E2124">
            <v>0</v>
          </cell>
          <cell r="F2124">
            <v>0</v>
          </cell>
          <cell r="G2124">
            <v>0</v>
          </cell>
        </row>
        <row r="2125">
          <cell r="D2125">
            <v>0</v>
          </cell>
          <cell r="E2125">
            <v>0</v>
          </cell>
          <cell r="F2125">
            <v>0</v>
          </cell>
          <cell r="G2125">
            <v>0</v>
          </cell>
        </row>
        <row r="2126">
          <cell r="D2126">
            <v>0</v>
          </cell>
          <cell r="E2126">
            <v>0</v>
          </cell>
          <cell r="F2126">
            <v>0</v>
          </cell>
          <cell r="G2126">
            <v>0</v>
          </cell>
        </row>
        <row r="2127">
          <cell r="D2127">
            <v>0</v>
          </cell>
          <cell r="E2127">
            <v>0</v>
          </cell>
          <cell r="F2127">
            <v>0</v>
          </cell>
          <cell r="G2127">
            <v>0</v>
          </cell>
        </row>
        <row r="2128">
          <cell r="D2128">
            <v>0</v>
          </cell>
          <cell r="E2128">
            <v>0</v>
          </cell>
          <cell r="F2128">
            <v>0</v>
          </cell>
          <cell r="G2128">
            <v>0</v>
          </cell>
        </row>
        <row r="2129">
          <cell r="D2129">
            <v>0</v>
          </cell>
          <cell r="E2129">
            <v>0</v>
          </cell>
          <cell r="F2129">
            <v>0</v>
          </cell>
          <cell r="G2129">
            <v>0</v>
          </cell>
        </row>
        <row r="2130">
          <cell r="D2130">
            <v>0</v>
          </cell>
          <cell r="E2130">
            <v>0</v>
          </cell>
          <cell r="F2130">
            <v>0</v>
          </cell>
          <cell r="G2130">
            <v>0</v>
          </cell>
        </row>
        <row r="2131">
          <cell r="D2131">
            <v>0</v>
          </cell>
          <cell r="E2131">
            <v>0</v>
          </cell>
          <cell r="F2131">
            <v>0</v>
          </cell>
          <cell r="G2131">
            <v>0</v>
          </cell>
        </row>
        <row r="2132">
          <cell r="D2132">
            <v>0</v>
          </cell>
          <cell r="E2132">
            <v>0</v>
          </cell>
          <cell r="F2132">
            <v>0</v>
          </cell>
          <cell r="G2132">
            <v>0</v>
          </cell>
        </row>
        <row r="2133">
          <cell r="D2133">
            <v>0</v>
          </cell>
          <cell r="E2133">
            <v>0</v>
          </cell>
          <cell r="F2133">
            <v>0</v>
          </cell>
          <cell r="G2133">
            <v>0</v>
          </cell>
        </row>
        <row r="2134">
          <cell r="D2134">
            <v>0</v>
          </cell>
          <cell r="E2134">
            <v>0</v>
          </cell>
          <cell r="F2134">
            <v>0</v>
          </cell>
          <cell r="G2134">
            <v>0</v>
          </cell>
        </row>
        <row r="2135">
          <cell r="D2135">
            <v>0</v>
          </cell>
          <cell r="E2135">
            <v>0</v>
          </cell>
          <cell r="F2135">
            <v>0</v>
          </cell>
          <cell r="G2135">
            <v>0</v>
          </cell>
        </row>
        <row r="2136">
          <cell r="D2136">
            <v>0</v>
          </cell>
          <cell r="E2136">
            <v>0</v>
          </cell>
          <cell r="F2136">
            <v>0</v>
          </cell>
          <cell r="G2136">
            <v>0</v>
          </cell>
        </row>
        <row r="2137">
          <cell r="D2137">
            <v>0</v>
          </cell>
          <cell r="E2137">
            <v>0</v>
          </cell>
          <cell r="F2137">
            <v>0</v>
          </cell>
          <cell r="G2137">
            <v>0</v>
          </cell>
        </row>
        <row r="2138">
          <cell r="D2138">
            <v>0</v>
          </cell>
          <cell r="E2138">
            <v>0</v>
          </cell>
          <cell r="F2138">
            <v>0</v>
          </cell>
          <cell r="G2138">
            <v>0</v>
          </cell>
        </row>
        <row r="2139">
          <cell r="D2139">
            <v>0</v>
          </cell>
          <cell r="E2139">
            <v>0</v>
          </cell>
          <cell r="F2139">
            <v>0</v>
          </cell>
          <cell r="G2139">
            <v>0</v>
          </cell>
        </row>
        <row r="2140">
          <cell r="D2140">
            <v>0</v>
          </cell>
          <cell r="E2140">
            <v>0</v>
          </cell>
          <cell r="F2140">
            <v>0</v>
          </cell>
          <cell r="G2140">
            <v>0</v>
          </cell>
        </row>
        <row r="2141">
          <cell r="D2141">
            <v>0</v>
          </cell>
          <cell r="E2141">
            <v>0</v>
          </cell>
          <cell r="F2141">
            <v>0</v>
          </cell>
          <cell r="G2141">
            <v>0</v>
          </cell>
        </row>
        <row r="2142">
          <cell r="D2142">
            <v>0</v>
          </cell>
          <cell r="E2142">
            <v>0</v>
          </cell>
          <cell r="F2142">
            <v>0</v>
          </cell>
          <cell r="G2142">
            <v>0</v>
          </cell>
        </row>
        <row r="2143">
          <cell r="D2143">
            <v>0</v>
          </cell>
          <cell r="E2143">
            <v>0</v>
          </cell>
          <cell r="F2143">
            <v>0</v>
          </cell>
          <cell r="G2143">
            <v>0</v>
          </cell>
        </row>
        <row r="2144">
          <cell r="D2144">
            <v>0</v>
          </cell>
          <cell r="E2144">
            <v>0</v>
          </cell>
          <cell r="F2144">
            <v>0</v>
          </cell>
          <cell r="G2144">
            <v>0</v>
          </cell>
        </row>
        <row r="2145">
          <cell r="D2145">
            <v>0</v>
          </cell>
          <cell r="E2145">
            <v>0</v>
          </cell>
          <cell r="F2145">
            <v>0</v>
          </cell>
          <cell r="G2145">
            <v>0</v>
          </cell>
        </row>
        <row r="2146">
          <cell r="D2146">
            <v>0</v>
          </cell>
          <cell r="E2146">
            <v>0</v>
          </cell>
          <cell r="F2146">
            <v>0</v>
          </cell>
          <cell r="G2146">
            <v>0</v>
          </cell>
        </row>
        <row r="2147">
          <cell r="D2147">
            <v>0</v>
          </cell>
          <cell r="E2147">
            <v>0</v>
          </cell>
          <cell r="F2147">
            <v>0</v>
          </cell>
          <cell r="G2147">
            <v>0</v>
          </cell>
        </row>
        <row r="2148">
          <cell r="D2148">
            <v>0</v>
          </cell>
          <cell r="E2148">
            <v>0</v>
          </cell>
          <cell r="F2148">
            <v>0</v>
          </cell>
          <cell r="G2148">
            <v>0</v>
          </cell>
        </row>
        <row r="2149">
          <cell r="D2149">
            <v>0</v>
          </cell>
          <cell r="E2149">
            <v>0</v>
          </cell>
          <cell r="F2149">
            <v>0</v>
          </cell>
          <cell r="G2149">
            <v>0</v>
          </cell>
        </row>
        <row r="2150">
          <cell r="D2150">
            <v>0</v>
          </cell>
          <cell r="E2150">
            <v>0</v>
          </cell>
          <cell r="F2150">
            <v>0</v>
          </cell>
          <cell r="G2150">
            <v>0</v>
          </cell>
        </row>
        <row r="2151">
          <cell r="D2151">
            <v>0</v>
          </cell>
          <cell r="E2151">
            <v>0</v>
          </cell>
          <cell r="F2151">
            <v>0</v>
          </cell>
          <cell r="G2151">
            <v>0</v>
          </cell>
        </row>
        <row r="2152">
          <cell r="D2152">
            <v>0</v>
          </cell>
          <cell r="E2152">
            <v>0</v>
          </cell>
          <cell r="F2152">
            <v>0</v>
          </cell>
          <cell r="G2152">
            <v>0</v>
          </cell>
        </row>
        <row r="2153">
          <cell r="D2153">
            <v>0</v>
          </cell>
          <cell r="E2153">
            <v>0</v>
          </cell>
          <cell r="F2153">
            <v>0</v>
          </cell>
          <cell r="G2153">
            <v>0</v>
          </cell>
        </row>
        <row r="2154">
          <cell r="D2154">
            <v>0</v>
          </cell>
          <cell r="E2154">
            <v>0</v>
          </cell>
          <cell r="F2154">
            <v>0</v>
          </cell>
          <cell r="G2154">
            <v>0</v>
          </cell>
        </row>
        <row r="2155">
          <cell r="D2155">
            <v>0</v>
          </cell>
          <cell r="E2155">
            <v>0</v>
          </cell>
          <cell r="F2155">
            <v>0</v>
          </cell>
          <cell r="G2155">
            <v>0</v>
          </cell>
        </row>
        <row r="2156">
          <cell r="D2156">
            <v>0</v>
          </cell>
          <cell r="E2156">
            <v>0</v>
          </cell>
          <cell r="F2156">
            <v>0</v>
          </cell>
          <cell r="G2156">
            <v>0</v>
          </cell>
        </row>
        <row r="2157">
          <cell r="D2157">
            <v>0</v>
          </cell>
          <cell r="E2157">
            <v>0</v>
          </cell>
          <cell r="F2157">
            <v>0</v>
          </cell>
          <cell r="G2157">
            <v>0</v>
          </cell>
        </row>
        <row r="2158">
          <cell r="D2158">
            <v>0</v>
          </cell>
          <cell r="E2158">
            <v>0</v>
          </cell>
          <cell r="F2158">
            <v>0</v>
          </cell>
          <cell r="G2158">
            <v>0</v>
          </cell>
        </row>
        <row r="2159">
          <cell r="D2159">
            <v>0</v>
          </cell>
          <cell r="E2159">
            <v>0</v>
          </cell>
          <cell r="F2159">
            <v>0</v>
          </cell>
          <cell r="G2159">
            <v>0</v>
          </cell>
        </row>
        <row r="2160">
          <cell r="D2160">
            <v>0</v>
          </cell>
          <cell r="E2160">
            <v>0</v>
          </cell>
          <cell r="F2160">
            <v>0</v>
          </cell>
          <cell r="G2160">
            <v>0</v>
          </cell>
        </row>
        <row r="2161">
          <cell r="D2161">
            <v>0</v>
          </cell>
          <cell r="E2161">
            <v>0</v>
          </cell>
          <cell r="F2161">
            <v>0</v>
          </cell>
          <cell r="G2161">
            <v>0</v>
          </cell>
        </row>
        <row r="2162">
          <cell r="D2162">
            <v>0</v>
          </cell>
          <cell r="E2162">
            <v>0</v>
          </cell>
          <cell r="F2162">
            <v>0</v>
          </cell>
          <cell r="G2162">
            <v>0</v>
          </cell>
        </row>
        <row r="2163">
          <cell r="D2163">
            <v>0</v>
          </cell>
          <cell r="E2163">
            <v>0</v>
          </cell>
          <cell r="F2163">
            <v>0</v>
          </cell>
          <cell r="G2163">
            <v>0</v>
          </cell>
        </row>
        <row r="2164">
          <cell r="D2164">
            <v>0</v>
          </cell>
          <cell r="E2164">
            <v>0</v>
          </cell>
          <cell r="F2164">
            <v>0</v>
          </cell>
          <cell r="G2164">
            <v>0</v>
          </cell>
        </row>
        <row r="2165">
          <cell r="D2165">
            <v>0</v>
          </cell>
          <cell r="E2165">
            <v>0</v>
          </cell>
          <cell r="F2165">
            <v>0</v>
          </cell>
          <cell r="G2165">
            <v>0</v>
          </cell>
        </row>
        <row r="2166">
          <cell r="D2166">
            <v>0</v>
          </cell>
          <cell r="E2166">
            <v>0</v>
          </cell>
          <cell r="F2166">
            <v>0</v>
          </cell>
          <cell r="G2166">
            <v>0</v>
          </cell>
        </row>
        <row r="2167">
          <cell r="D2167">
            <v>0</v>
          </cell>
          <cell r="E2167">
            <v>0</v>
          </cell>
          <cell r="F2167">
            <v>0</v>
          </cell>
          <cell r="G2167">
            <v>0</v>
          </cell>
        </row>
        <row r="2168">
          <cell r="D2168">
            <v>0</v>
          </cell>
          <cell r="E2168">
            <v>0</v>
          </cell>
          <cell r="F2168">
            <v>0</v>
          </cell>
          <cell r="G2168">
            <v>0</v>
          </cell>
        </row>
        <row r="2169">
          <cell r="D2169">
            <v>0</v>
          </cell>
          <cell r="E2169">
            <v>0</v>
          </cell>
          <cell r="F2169">
            <v>0</v>
          </cell>
          <cell r="G2169">
            <v>0</v>
          </cell>
        </row>
        <row r="2170">
          <cell r="D2170">
            <v>0</v>
          </cell>
          <cell r="E2170">
            <v>0</v>
          </cell>
          <cell r="F2170">
            <v>0</v>
          </cell>
          <cell r="G2170">
            <v>0</v>
          </cell>
        </row>
        <row r="2171">
          <cell r="D2171">
            <v>0</v>
          </cell>
          <cell r="E2171">
            <v>0</v>
          </cell>
          <cell r="F2171">
            <v>0</v>
          </cell>
          <cell r="G2171">
            <v>0</v>
          </cell>
        </row>
        <row r="2172">
          <cell r="D2172">
            <v>0</v>
          </cell>
          <cell r="E2172">
            <v>0</v>
          </cell>
          <cell r="F2172">
            <v>0</v>
          </cell>
          <cell r="G2172">
            <v>0</v>
          </cell>
        </row>
        <row r="2173">
          <cell r="D2173">
            <v>0</v>
          </cell>
          <cell r="E2173">
            <v>0</v>
          </cell>
          <cell r="F2173">
            <v>0</v>
          </cell>
          <cell r="G2173">
            <v>0</v>
          </cell>
        </row>
        <row r="2174">
          <cell r="D2174">
            <v>0</v>
          </cell>
          <cell r="E2174">
            <v>0</v>
          </cell>
          <cell r="F2174">
            <v>0</v>
          </cell>
          <cell r="G2174">
            <v>0</v>
          </cell>
        </row>
        <row r="2175">
          <cell r="D2175">
            <v>0</v>
          </cell>
          <cell r="E2175">
            <v>0</v>
          </cell>
          <cell r="F2175">
            <v>0</v>
          </cell>
          <cell r="G2175">
            <v>0</v>
          </cell>
        </row>
        <row r="2176">
          <cell r="D2176">
            <v>0</v>
          </cell>
          <cell r="E2176">
            <v>0</v>
          </cell>
          <cell r="F2176">
            <v>0</v>
          </cell>
          <cell r="G2176">
            <v>0</v>
          </cell>
        </row>
        <row r="2177">
          <cell r="D2177">
            <v>0</v>
          </cell>
          <cell r="E2177">
            <v>0</v>
          </cell>
          <cell r="F2177">
            <v>0</v>
          </cell>
          <cell r="G2177">
            <v>0</v>
          </cell>
        </row>
        <row r="2178">
          <cell r="D2178">
            <v>0</v>
          </cell>
          <cell r="E2178">
            <v>0</v>
          </cell>
          <cell r="F2178">
            <v>0</v>
          </cell>
          <cell r="G2178">
            <v>0</v>
          </cell>
        </row>
        <row r="2179">
          <cell r="D2179">
            <v>0</v>
          </cell>
          <cell r="E2179">
            <v>0</v>
          </cell>
          <cell r="F2179">
            <v>0</v>
          </cell>
          <cell r="G2179">
            <v>0</v>
          </cell>
        </row>
        <row r="2180">
          <cell r="D2180">
            <v>0</v>
          </cell>
          <cell r="E2180">
            <v>0</v>
          </cell>
          <cell r="F2180">
            <v>0</v>
          </cell>
          <cell r="G2180">
            <v>0</v>
          </cell>
        </row>
        <row r="2181">
          <cell r="D2181">
            <v>0</v>
          </cell>
          <cell r="E2181">
            <v>0</v>
          </cell>
          <cell r="F2181">
            <v>0</v>
          </cell>
          <cell r="G2181">
            <v>0</v>
          </cell>
        </row>
        <row r="2182">
          <cell r="D2182">
            <v>0</v>
          </cell>
          <cell r="E2182">
            <v>0</v>
          </cell>
          <cell r="F2182">
            <v>0</v>
          </cell>
          <cell r="G2182">
            <v>0</v>
          </cell>
        </row>
        <row r="2183">
          <cell r="D2183">
            <v>0</v>
          </cell>
          <cell r="E2183">
            <v>0</v>
          </cell>
          <cell r="F2183">
            <v>0</v>
          </cell>
          <cell r="G2183">
            <v>0</v>
          </cell>
        </row>
        <row r="2184">
          <cell r="D2184">
            <v>0</v>
          </cell>
          <cell r="E2184">
            <v>0</v>
          </cell>
          <cell r="F2184">
            <v>0</v>
          </cell>
          <cell r="G2184">
            <v>0</v>
          </cell>
        </row>
        <row r="2185">
          <cell r="D2185">
            <v>0</v>
          </cell>
          <cell r="E2185">
            <v>0</v>
          </cell>
          <cell r="F2185">
            <v>0</v>
          </cell>
          <cell r="G2185">
            <v>0</v>
          </cell>
        </row>
        <row r="2186">
          <cell r="D2186">
            <v>0</v>
          </cell>
          <cell r="E2186">
            <v>0</v>
          </cell>
          <cell r="F2186">
            <v>0</v>
          </cell>
          <cell r="G2186">
            <v>0</v>
          </cell>
        </row>
        <row r="2187">
          <cell r="D2187">
            <v>0</v>
          </cell>
          <cell r="E2187">
            <v>0</v>
          </cell>
          <cell r="F2187">
            <v>0</v>
          </cell>
          <cell r="G2187">
            <v>0</v>
          </cell>
        </row>
        <row r="2188">
          <cell r="D2188">
            <v>0</v>
          </cell>
          <cell r="E2188">
            <v>0</v>
          </cell>
          <cell r="F2188">
            <v>0</v>
          </cell>
          <cell r="G2188">
            <v>0</v>
          </cell>
        </row>
        <row r="2189">
          <cell r="D2189">
            <v>0</v>
          </cell>
          <cell r="E2189">
            <v>0</v>
          </cell>
          <cell r="F2189">
            <v>0</v>
          </cell>
          <cell r="G2189">
            <v>0</v>
          </cell>
        </row>
        <row r="2190">
          <cell r="D2190">
            <v>0</v>
          </cell>
          <cell r="E2190">
            <v>0</v>
          </cell>
          <cell r="F2190">
            <v>0</v>
          </cell>
          <cell r="G2190">
            <v>0</v>
          </cell>
        </row>
        <row r="2191">
          <cell r="D2191">
            <v>0</v>
          </cell>
          <cell r="E2191">
            <v>0</v>
          </cell>
          <cell r="F2191">
            <v>0</v>
          </cell>
          <cell r="G2191">
            <v>0</v>
          </cell>
        </row>
        <row r="2192">
          <cell r="D2192">
            <v>0</v>
          </cell>
          <cell r="E2192">
            <v>0</v>
          </cell>
          <cell r="F2192">
            <v>0</v>
          </cell>
          <cell r="G2192">
            <v>0</v>
          </cell>
        </row>
        <row r="2193">
          <cell r="D2193">
            <v>0</v>
          </cell>
          <cell r="E2193">
            <v>0</v>
          </cell>
          <cell r="F2193">
            <v>0</v>
          </cell>
          <cell r="G2193">
            <v>0</v>
          </cell>
        </row>
        <row r="2194">
          <cell r="D2194">
            <v>0</v>
          </cell>
          <cell r="E2194">
            <v>0</v>
          </cell>
          <cell r="F2194">
            <v>0</v>
          </cell>
          <cell r="G2194">
            <v>0</v>
          </cell>
        </row>
        <row r="2195">
          <cell r="D2195">
            <v>0</v>
          </cell>
          <cell r="E2195">
            <v>0</v>
          </cell>
          <cell r="F2195">
            <v>0</v>
          </cell>
          <cell r="G2195">
            <v>0</v>
          </cell>
        </row>
        <row r="2196">
          <cell r="D2196">
            <v>0</v>
          </cell>
          <cell r="E2196">
            <v>0</v>
          </cell>
          <cell r="F2196">
            <v>0</v>
          </cell>
          <cell r="G2196">
            <v>0</v>
          </cell>
        </row>
        <row r="2197">
          <cell r="D2197">
            <v>0</v>
          </cell>
          <cell r="E2197">
            <v>0</v>
          </cell>
          <cell r="F2197">
            <v>0</v>
          </cell>
          <cell r="G2197">
            <v>0</v>
          </cell>
        </row>
        <row r="2198">
          <cell r="D2198">
            <v>0</v>
          </cell>
          <cell r="E2198">
            <v>0</v>
          </cell>
          <cell r="F2198">
            <v>0</v>
          </cell>
          <cell r="G2198">
            <v>0</v>
          </cell>
        </row>
        <row r="2199">
          <cell r="D2199">
            <v>0</v>
          </cell>
          <cell r="E2199">
            <v>0</v>
          </cell>
          <cell r="F2199">
            <v>0</v>
          </cell>
          <cell r="G2199">
            <v>0</v>
          </cell>
        </row>
        <row r="2200">
          <cell r="D2200">
            <v>0</v>
          </cell>
          <cell r="E2200">
            <v>0</v>
          </cell>
          <cell r="F2200">
            <v>0</v>
          </cell>
          <cell r="G2200">
            <v>0</v>
          </cell>
        </row>
        <row r="2201">
          <cell r="D2201">
            <v>0</v>
          </cell>
          <cell r="E2201">
            <v>0</v>
          </cell>
          <cell r="F2201">
            <v>0</v>
          </cell>
          <cell r="G2201">
            <v>0</v>
          </cell>
        </row>
        <row r="2202">
          <cell r="D2202">
            <v>0</v>
          </cell>
          <cell r="E2202">
            <v>0</v>
          </cell>
          <cell r="F2202">
            <v>0</v>
          </cell>
          <cell r="G2202">
            <v>0</v>
          </cell>
        </row>
        <row r="2203">
          <cell r="D2203">
            <v>0</v>
          </cell>
          <cell r="E2203">
            <v>0</v>
          </cell>
          <cell r="F2203">
            <v>0</v>
          </cell>
          <cell r="G2203">
            <v>0</v>
          </cell>
        </row>
        <row r="2204">
          <cell r="D2204">
            <v>0</v>
          </cell>
          <cell r="E2204">
            <v>0</v>
          </cell>
          <cell r="F2204">
            <v>0</v>
          </cell>
          <cell r="G2204">
            <v>0</v>
          </cell>
        </row>
        <row r="2205">
          <cell r="D2205">
            <v>0</v>
          </cell>
          <cell r="E2205">
            <v>0</v>
          </cell>
          <cell r="F2205">
            <v>0</v>
          </cell>
          <cell r="G2205">
            <v>0</v>
          </cell>
        </row>
        <row r="2206">
          <cell r="D2206">
            <v>0</v>
          </cell>
          <cell r="E2206">
            <v>0</v>
          </cell>
          <cell r="F2206">
            <v>0</v>
          </cell>
          <cell r="G2206">
            <v>0</v>
          </cell>
        </row>
        <row r="2207">
          <cell r="D2207">
            <v>0</v>
          </cell>
          <cell r="E2207">
            <v>0</v>
          </cell>
          <cell r="F2207">
            <v>0</v>
          </cell>
          <cell r="G2207">
            <v>0</v>
          </cell>
        </row>
        <row r="2208">
          <cell r="D2208">
            <v>0</v>
          </cell>
          <cell r="E2208">
            <v>0</v>
          </cell>
          <cell r="F2208">
            <v>0</v>
          </cell>
          <cell r="G2208">
            <v>0</v>
          </cell>
        </row>
        <row r="2209">
          <cell r="D2209">
            <v>0</v>
          </cell>
          <cell r="E2209">
            <v>0</v>
          </cell>
          <cell r="F2209">
            <v>0</v>
          </cell>
          <cell r="G2209">
            <v>0</v>
          </cell>
        </row>
        <row r="2210">
          <cell r="D2210">
            <v>0</v>
          </cell>
          <cell r="E2210">
            <v>0</v>
          </cell>
          <cell r="F2210">
            <v>0</v>
          </cell>
          <cell r="G2210">
            <v>0</v>
          </cell>
        </row>
        <row r="2211">
          <cell r="D2211">
            <v>0</v>
          </cell>
          <cell r="E2211">
            <v>0</v>
          </cell>
          <cell r="F2211">
            <v>0</v>
          </cell>
          <cell r="G2211">
            <v>0</v>
          </cell>
        </row>
        <row r="2212">
          <cell r="D2212">
            <v>0</v>
          </cell>
          <cell r="E2212">
            <v>0</v>
          </cell>
          <cell r="F2212">
            <v>0</v>
          </cell>
          <cell r="G2212">
            <v>0</v>
          </cell>
        </row>
        <row r="2213">
          <cell r="D2213">
            <v>0</v>
          </cell>
          <cell r="E2213">
            <v>0</v>
          </cell>
          <cell r="F2213">
            <v>0</v>
          </cell>
          <cell r="G2213">
            <v>0</v>
          </cell>
        </row>
        <row r="2214">
          <cell r="D2214">
            <v>0</v>
          </cell>
          <cell r="E2214">
            <v>0</v>
          </cell>
          <cell r="F2214">
            <v>0</v>
          </cell>
          <cell r="G2214">
            <v>0</v>
          </cell>
        </row>
        <row r="2215">
          <cell r="D2215">
            <v>0</v>
          </cell>
          <cell r="E2215">
            <v>0</v>
          </cell>
          <cell r="F2215">
            <v>0</v>
          </cell>
          <cell r="G2215">
            <v>0</v>
          </cell>
        </row>
        <row r="2216">
          <cell r="D2216">
            <v>0</v>
          </cell>
          <cell r="E2216">
            <v>0</v>
          </cell>
          <cell r="F2216">
            <v>0</v>
          </cell>
          <cell r="G2216">
            <v>0</v>
          </cell>
        </row>
        <row r="2217">
          <cell r="D2217">
            <v>0</v>
          </cell>
          <cell r="E2217">
            <v>0</v>
          </cell>
          <cell r="F2217">
            <v>0</v>
          </cell>
          <cell r="G2217">
            <v>0</v>
          </cell>
        </row>
        <row r="2218">
          <cell r="D2218">
            <v>0</v>
          </cell>
          <cell r="E2218">
            <v>0</v>
          </cell>
          <cell r="F2218">
            <v>0</v>
          </cell>
          <cell r="G2218">
            <v>0</v>
          </cell>
        </row>
        <row r="2219">
          <cell r="D2219">
            <v>0</v>
          </cell>
          <cell r="E2219">
            <v>0</v>
          </cell>
          <cell r="F2219">
            <v>0</v>
          </cell>
          <cell r="G2219">
            <v>0</v>
          </cell>
        </row>
        <row r="2220">
          <cell r="D2220">
            <v>0</v>
          </cell>
          <cell r="E2220">
            <v>0</v>
          </cell>
          <cell r="F2220">
            <v>0</v>
          </cell>
          <cell r="G2220">
            <v>0</v>
          </cell>
        </row>
        <row r="2221">
          <cell r="D2221">
            <v>0</v>
          </cell>
          <cell r="E2221">
            <v>0</v>
          </cell>
          <cell r="F2221">
            <v>0</v>
          </cell>
          <cell r="G2221">
            <v>0</v>
          </cell>
        </row>
        <row r="2222">
          <cell r="D2222">
            <v>0</v>
          </cell>
          <cell r="E2222">
            <v>0</v>
          </cell>
          <cell r="F2222">
            <v>0</v>
          </cell>
          <cell r="G2222">
            <v>0</v>
          </cell>
        </row>
        <row r="2223">
          <cell r="D2223">
            <v>0</v>
          </cell>
          <cell r="E2223">
            <v>0</v>
          </cell>
          <cell r="F2223">
            <v>0</v>
          </cell>
          <cell r="G2223">
            <v>0</v>
          </cell>
        </row>
        <row r="2224">
          <cell r="D2224">
            <v>0</v>
          </cell>
          <cell r="E2224">
            <v>0</v>
          </cell>
          <cell r="F2224">
            <v>0</v>
          </cell>
          <cell r="G2224">
            <v>0</v>
          </cell>
        </row>
        <row r="2225">
          <cell r="D2225">
            <v>0</v>
          </cell>
          <cell r="E2225">
            <v>0</v>
          </cell>
          <cell r="F2225">
            <v>0</v>
          </cell>
          <cell r="G2225">
            <v>0</v>
          </cell>
        </row>
        <row r="2226">
          <cell r="D2226">
            <v>0</v>
          </cell>
          <cell r="E2226">
            <v>0</v>
          </cell>
          <cell r="F2226">
            <v>0</v>
          </cell>
          <cell r="G2226">
            <v>0</v>
          </cell>
        </row>
        <row r="2227">
          <cell r="D2227">
            <v>0</v>
          </cell>
          <cell r="E2227">
            <v>0</v>
          </cell>
          <cell r="F2227">
            <v>0</v>
          </cell>
          <cell r="G2227">
            <v>0</v>
          </cell>
        </row>
        <row r="2228">
          <cell r="D2228">
            <v>0</v>
          </cell>
          <cell r="E2228">
            <v>0</v>
          </cell>
          <cell r="F2228">
            <v>0</v>
          </cell>
          <cell r="G2228">
            <v>0</v>
          </cell>
        </row>
        <row r="2229">
          <cell r="D2229">
            <v>0</v>
          </cell>
          <cell r="E2229">
            <v>0</v>
          </cell>
          <cell r="F2229">
            <v>0</v>
          </cell>
          <cell r="G2229">
            <v>0</v>
          </cell>
        </row>
        <row r="2230">
          <cell r="D2230">
            <v>0</v>
          </cell>
          <cell r="E2230">
            <v>0</v>
          </cell>
          <cell r="F2230">
            <v>0</v>
          </cell>
          <cell r="G2230">
            <v>0</v>
          </cell>
        </row>
        <row r="2231">
          <cell r="D2231">
            <v>0</v>
          </cell>
          <cell r="E2231">
            <v>0</v>
          </cell>
          <cell r="F2231">
            <v>0</v>
          </cell>
          <cell r="G2231">
            <v>0</v>
          </cell>
        </row>
        <row r="2232">
          <cell r="D2232">
            <v>0</v>
          </cell>
          <cell r="E2232">
            <v>0</v>
          </cell>
          <cell r="F2232">
            <v>0</v>
          </cell>
          <cell r="G2232">
            <v>0</v>
          </cell>
        </row>
        <row r="2233">
          <cell r="D2233">
            <v>0</v>
          </cell>
          <cell r="E2233">
            <v>0</v>
          </cell>
          <cell r="F2233">
            <v>0</v>
          </cell>
          <cell r="G2233">
            <v>0</v>
          </cell>
        </row>
        <row r="2234">
          <cell r="D2234">
            <v>0</v>
          </cell>
          <cell r="E2234">
            <v>0</v>
          </cell>
          <cell r="F2234">
            <v>0</v>
          </cell>
          <cell r="G2234">
            <v>0</v>
          </cell>
        </row>
        <row r="2235">
          <cell r="D2235">
            <v>0</v>
          </cell>
          <cell r="E2235">
            <v>0</v>
          </cell>
          <cell r="F2235">
            <v>0</v>
          </cell>
          <cell r="G2235">
            <v>0</v>
          </cell>
        </row>
        <row r="2236">
          <cell r="D2236">
            <v>0</v>
          </cell>
          <cell r="E2236">
            <v>0</v>
          </cell>
          <cell r="F2236">
            <v>0</v>
          </cell>
          <cell r="G2236">
            <v>0</v>
          </cell>
        </row>
        <row r="2237">
          <cell r="D2237">
            <v>0</v>
          </cell>
          <cell r="E2237">
            <v>0</v>
          </cell>
          <cell r="F2237">
            <v>0</v>
          </cell>
          <cell r="G2237">
            <v>0</v>
          </cell>
        </row>
        <row r="2238">
          <cell r="D2238">
            <v>0</v>
          </cell>
          <cell r="E2238">
            <v>0</v>
          </cell>
          <cell r="F2238">
            <v>0</v>
          </cell>
          <cell r="G2238">
            <v>0</v>
          </cell>
        </row>
        <row r="2239">
          <cell r="D2239">
            <v>0</v>
          </cell>
          <cell r="E2239">
            <v>0</v>
          </cell>
          <cell r="F2239">
            <v>0</v>
          </cell>
          <cell r="G2239">
            <v>0</v>
          </cell>
        </row>
        <row r="2240">
          <cell r="D2240">
            <v>0</v>
          </cell>
          <cell r="E2240">
            <v>0</v>
          </cell>
          <cell r="F2240">
            <v>0</v>
          </cell>
          <cell r="G2240">
            <v>0</v>
          </cell>
        </row>
        <row r="2241">
          <cell r="D2241">
            <v>0</v>
          </cell>
          <cell r="E2241">
            <v>0</v>
          </cell>
          <cell r="F2241">
            <v>0</v>
          </cell>
          <cell r="G2241">
            <v>0</v>
          </cell>
        </row>
        <row r="2242">
          <cell r="D2242">
            <v>0</v>
          </cell>
          <cell r="E2242">
            <v>0</v>
          </cell>
          <cell r="F2242">
            <v>0</v>
          </cell>
          <cell r="G2242">
            <v>0</v>
          </cell>
        </row>
        <row r="2243">
          <cell r="D2243">
            <v>0</v>
          </cell>
          <cell r="E2243">
            <v>0</v>
          </cell>
          <cell r="F2243">
            <v>0</v>
          </cell>
          <cell r="G2243">
            <v>0</v>
          </cell>
        </row>
        <row r="2244">
          <cell r="D2244">
            <v>0</v>
          </cell>
          <cell r="E2244">
            <v>0</v>
          </cell>
          <cell r="F2244">
            <v>0</v>
          </cell>
          <cell r="G2244">
            <v>0</v>
          </cell>
        </row>
        <row r="2245">
          <cell r="D2245">
            <v>0</v>
          </cell>
          <cell r="E2245">
            <v>0</v>
          </cell>
          <cell r="F2245">
            <v>0</v>
          </cell>
          <cell r="G2245">
            <v>0</v>
          </cell>
        </row>
        <row r="2246">
          <cell r="D2246">
            <v>0</v>
          </cell>
          <cell r="E2246">
            <v>0</v>
          </cell>
          <cell r="F2246">
            <v>0</v>
          </cell>
          <cell r="G2246">
            <v>0</v>
          </cell>
        </row>
        <row r="2247">
          <cell r="D2247">
            <v>0</v>
          </cell>
          <cell r="E2247">
            <v>0</v>
          </cell>
          <cell r="F2247">
            <v>0</v>
          </cell>
          <cell r="G2247">
            <v>0</v>
          </cell>
        </row>
        <row r="2248">
          <cell r="D2248">
            <v>0</v>
          </cell>
          <cell r="E2248">
            <v>0</v>
          </cell>
          <cell r="F2248">
            <v>0</v>
          </cell>
          <cell r="G2248">
            <v>0</v>
          </cell>
        </row>
        <row r="2249">
          <cell r="D2249">
            <v>0</v>
          </cell>
          <cell r="E2249">
            <v>0</v>
          </cell>
          <cell r="F2249">
            <v>0</v>
          </cell>
          <cell r="G2249">
            <v>0</v>
          </cell>
        </row>
        <row r="2250">
          <cell r="D2250">
            <v>0</v>
          </cell>
          <cell r="E2250">
            <v>0</v>
          </cell>
          <cell r="F2250">
            <v>0</v>
          </cell>
          <cell r="G2250">
            <v>0</v>
          </cell>
        </row>
        <row r="2251">
          <cell r="D2251">
            <v>0</v>
          </cell>
          <cell r="E2251">
            <v>0</v>
          </cell>
          <cell r="F2251">
            <v>0</v>
          </cell>
          <cell r="G2251">
            <v>0</v>
          </cell>
        </row>
        <row r="2252">
          <cell r="D2252">
            <v>0</v>
          </cell>
          <cell r="E2252">
            <v>0</v>
          </cell>
          <cell r="F2252">
            <v>0</v>
          </cell>
          <cell r="G2252">
            <v>0</v>
          </cell>
        </row>
        <row r="2253">
          <cell r="D2253">
            <v>0</v>
          </cell>
          <cell r="E2253">
            <v>0</v>
          </cell>
          <cell r="F2253">
            <v>0</v>
          </cell>
          <cell r="G2253">
            <v>0</v>
          </cell>
        </row>
        <row r="2254">
          <cell r="D2254">
            <v>0</v>
          </cell>
          <cell r="E2254">
            <v>0</v>
          </cell>
          <cell r="F2254">
            <v>0</v>
          </cell>
          <cell r="G2254">
            <v>0</v>
          </cell>
        </row>
        <row r="2255">
          <cell r="D2255">
            <v>0</v>
          </cell>
          <cell r="E2255">
            <v>0</v>
          </cell>
          <cell r="F2255">
            <v>0</v>
          </cell>
          <cell r="G2255">
            <v>0</v>
          </cell>
        </row>
        <row r="2256">
          <cell r="D2256">
            <v>0</v>
          </cell>
          <cell r="E2256">
            <v>0</v>
          </cell>
          <cell r="F2256">
            <v>0</v>
          </cell>
          <cell r="G2256">
            <v>0</v>
          </cell>
        </row>
        <row r="2257">
          <cell r="D2257">
            <v>0</v>
          </cell>
          <cell r="E2257">
            <v>0</v>
          </cell>
          <cell r="F2257">
            <v>0</v>
          </cell>
          <cell r="G2257">
            <v>0</v>
          </cell>
        </row>
        <row r="2258">
          <cell r="D2258">
            <v>0</v>
          </cell>
          <cell r="E2258">
            <v>0</v>
          </cell>
          <cell r="F2258">
            <v>0</v>
          </cell>
          <cell r="G2258">
            <v>0</v>
          </cell>
        </row>
        <row r="2259">
          <cell r="D2259">
            <v>0</v>
          </cell>
          <cell r="E2259">
            <v>0</v>
          </cell>
          <cell r="F2259">
            <v>0</v>
          </cell>
          <cell r="G2259">
            <v>0</v>
          </cell>
        </row>
        <row r="2260">
          <cell r="D2260">
            <v>0</v>
          </cell>
          <cell r="E2260">
            <v>0</v>
          </cell>
          <cell r="F2260">
            <v>0</v>
          </cell>
          <cell r="G2260">
            <v>0</v>
          </cell>
        </row>
        <row r="2261">
          <cell r="D2261">
            <v>0</v>
          </cell>
          <cell r="E2261">
            <v>0</v>
          </cell>
          <cell r="F2261">
            <v>0</v>
          </cell>
          <cell r="G2261">
            <v>0</v>
          </cell>
        </row>
        <row r="2262">
          <cell r="D2262">
            <v>0</v>
          </cell>
          <cell r="E2262">
            <v>0</v>
          </cell>
          <cell r="F2262">
            <v>0</v>
          </cell>
          <cell r="G2262">
            <v>0</v>
          </cell>
        </row>
        <row r="2263">
          <cell r="D2263">
            <v>0</v>
          </cell>
          <cell r="E2263">
            <v>0</v>
          </cell>
          <cell r="F2263">
            <v>0</v>
          </cell>
          <cell r="G2263">
            <v>0</v>
          </cell>
        </row>
        <row r="2264">
          <cell r="D2264">
            <v>0</v>
          </cell>
          <cell r="E2264">
            <v>0</v>
          </cell>
          <cell r="F2264">
            <v>0</v>
          </cell>
          <cell r="G2264">
            <v>0</v>
          </cell>
        </row>
        <row r="2265">
          <cell r="D2265">
            <v>0</v>
          </cell>
          <cell r="E2265">
            <v>0</v>
          </cell>
          <cell r="F2265">
            <v>0</v>
          </cell>
          <cell r="G2265">
            <v>0</v>
          </cell>
        </row>
        <row r="2266">
          <cell r="D2266">
            <v>0</v>
          </cell>
          <cell r="E2266">
            <v>0</v>
          </cell>
          <cell r="F2266">
            <v>0</v>
          </cell>
          <cell r="G2266">
            <v>0</v>
          </cell>
        </row>
        <row r="2267">
          <cell r="D2267">
            <v>0</v>
          </cell>
          <cell r="E2267">
            <v>0</v>
          </cell>
          <cell r="F2267">
            <v>0</v>
          </cell>
          <cell r="G2267">
            <v>0</v>
          </cell>
        </row>
        <row r="2268">
          <cell r="D2268">
            <v>0</v>
          </cell>
          <cell r="E2268">
            <v>0</v>
          </cell>
          <cell r="F2268">
            <v>0</v>
          </cell>
          <cell r="G2268">
            <v>0</v>
          </cell>
        </row>
        <row r="2269">
          <cell r="D2269">
            <v>0</v>
          </cell>
          <cell r="E2269">
            <v>0</v>
          </cell>
          <cell r="F2269">
            <v>0</v>
          </cell>
          <cell r="G2269">
            <v>0</v>
          </cell>
        </row>
        <row r="2270">
          <cell r="D2270">
            <v>0</v>
          </cell>
          <cell r="E2270">
            <v>0</v>
          </cell>
          <cell r="F2270">
            <v>0</v>
          </cell>
          <cell r="G2270">
            <v>0</v>
          </cell>
        </row>
        <row r="2271">
          <cell r="D2271">
            <v>0</v>
          </cell>
          <cell r="E2271">
            <v>0</v>
          </cell>
          <cell r="F2271">
            <v>0</v>
          </cell>
          <cell r="G2271">
            <v>0</v>
          </cell>
        </row>
        <row r="2272">
          <cell r="D2272">
            <v>0</v>
          </cell>
          <cell r="E2272">
            <v>0</v>
          </cell>
          <cell r="F2272">
            <v>0</v>
          </cell>
          <cell r="G2272">
            <v>0</v>
          </cell>
        </row>
        <row r="2273">
          <cell r="D2273">
            <v>0</v>
          </cell>
          <cell r="E2273">
            <v>0</v>
          </cell>
          <cell r="F2273">
            <v>0</v>
          </cell>
          <cell r="G2273">
            <v>0</v>
          </cell>
        </row>
        <row r="2274">
          <cell r="D2274">
            <v>0</v>
          </cell>
          <cell r="E2274">
            <v>0</v>
          </cell>
          <cell r="F2274">
            <v>0</v>
          </cell>
          <cell r="G2274">
            <v>0</v>
          </cell>
        </row>
        <row r="2275">
          <cell r="D2275">
            <v>0</v>
          </cell>
          <cell r="E2275">
            <v>0</v>
          </cell>
          <cell r="F2275">
            <v>0</v>
          </cell>
          <cell r="G2275">
            <v>0</v>
          </cell>
        </row>
        <row r="2276">
          <cell r="D2276">
            <v>0</v>
          </cell>
          <cell r="E2276">
            <v>0</v>
          </cell>
          <cell r="F2276">
            <v>0</v>
          </cell>
          <cell r="G2276">
            <v>0</v>
          </cell>
        </row>
        <row r="2277">
          <cell r="D2277">
            <v>0</v>
          </cell>
          <cell r="E2277">
            <v>0</v>
          </cell>
          <cell r="F2277">
            <v>0</v>
          </cell>
          <cell r="G2277">
            <v>0</v>
          </cell>
        </row>
        <row r="2278">
          <cell r="D2278">
            <v>0</v>
          </cell>
          <cell r="E2278">
            <v>0</v>
          </cell>
          <cell r="F2278">
            <v>0</v>
          </cell>
          <cell r="G2278">
            <v>0</v>
          </cell>
        </row>
        <row r="2279">
          <cell r="D2279">
            <v>0</v>
          </cell>
          <cell r="E2279">
            <v>0</v>
          </cell>
          <cell r="F2279">
            <v>0</v>
          </cell>
          <cell r="G2279">
            <v>0</v>
          </cell>
        </row>
        <row r="2280">
          <cell r="D2280">
            <v>0</v>
          </cell>
          <cell r="E2280">
            <v>0</v>
          </cell>
          <cell r="F2280">
            <v>0</v>
          </cell>
          <cell r="G2280">
            <v>0</v>
          </cell>
        </row>
        <row r="2281">
          <cell r="D2281">
            <v>0</v>
          </cell>
          <cell r="E2281">
            <v>0</v>
          </cell>
          <cell r="F2281">
            <v>0</v>
          </cell>
          <cell r="G2281">
            <v>0</v>
          </cell>
        </row>
        <row r="2282">
          <cell r="D2282">
            <v>0</v>
          </cell>
          <cell r="E2282">
            <v>0</v>
          </cell>
          <cell r="F2282">
            <v>0</v>
          </cell>
          <cell r="G2282">
            <v>0</v>
          </cell>
        </row>
        <row r="2283">
          <cell r="D2283">
            <v>0</v>
          </cell>
          <cell r="E2283">
            <v>0</v>
          </cell>
          <cell r="F2283">
            <v>0</v>
          </cell>
          <cell r="G2283">
            <v>0</v>
          </cell>
        </row>
        <row r="2284">
          <cell r="D2284">
            <v>0</v>
          </cell>
          <cell r="E2284">
            <v>0</v>
          </cell>
          <cell r="F2284">
            <v>0</v>
          </cell>
          <cell r="G2284">
            <v>0</v>
          </cell>
        </row>
        <row r="2285">
          <cell r="D2285">
            <v>0</v>
          </cell>
          <cell r="E2285">
            <v>0</v>
          </cell>
          <cell r="F2285">
            <v>0</v>
          </cell>
          <cell r="G2285">
            <v>0</v>
          </cell>
        </row>
        <row r="2286">
          <cell r="D2286">
            <v>0</v>
          </cell>
          <cell r="E2286">
            <v>0</v>
          </cell>
          <cell r="F2286">
            <v>0</v>
          </cell>
          <cell r="G2286">
            <v>0</v>
          </cell>
        </row>
        <row r="2287">
          <cell r="D2287">
            <v>0</v>
          </cell>
          <cell r="E2287">
            <v>0</v>
          </cell>
          <cell r="F2287">
            <v>0</v>
          </cell>
          <cell r="G2287">
            <v>0</v>
          </cell>
        </row>
        <row r="2288">
          <cell r="D2288">
            <v>0</v>
          </cell>
          <cell r="E2288">
            <v>0</v>
          </cell>
          <cell r="F2288">
            <v>0</v>
          </cell>
          <cell r="G2288">
            <v>0</v>
          </cell>
        </row>
        <row r="2289">
          <cell r="D2289">
            <v>0</v>
          </cell>
          <cell r="E2289">
            <v>0</v>
          </cell>
          <cell r="F2289">
            <v>0</v>
          </cell>
          <cell r="G2289">
            <v>0</v>
          </cell>
        </row>
        <row r="2290">
          <cell r="D2290">
            <v>0</v>
          </cell>
          <cell r="E2290">
            <v>0</v>
          </cell>
          <cell r="F2290">
            <v>0</v>
          </cell>
          <cell r="G2290">
            <v>0</v>
          </cell>
        </row>
        <row r="2291">
          <cell r="D2291">
            <v>0</v>
          </cell>
          <cell r="E2291">
            <v>0</v>
          </cell>
          <cell r="F2291">
            <v>0</v>
          </cell>
          <cell r="G2291">
            <v>0</v>
          </cell>
        </row>
        <row r="2292">
          <cell r="D2292">
            <v>0</v>
          </cell>
          <cell r="E2292">
            <v>0</v>
          </cell>
          <cell r="F2292">
            <v>0</v>
          </cell>
          <cell r="G2292">
            <v>0</v>
          </cell>
        </row>
        <row r="2293">
          <cell r="D2293">
            <v>0</v>
          </cell>
          <cell r="E2293">
            <v>0</v>
          </cell>
          <cell r="F2293">
            <v>0</v>
          </cell>
          <cell r="G2293">
            <v>0</v>
          </cell>
        </row>
        <row r="2294">
          <cell r="D2294">
            <v>0</v>
          </cell>
          <cell r="E2294">
            <v>0</v>
          </cell>
          <cell r="F2294">
            <v>0</v>
          </cell>
          <cell r="G2294">
            <v>0</v>
          </cell>
        </row>
        <row r="2295">
          <cell r="D2295">
            <v>0</v>
          </cell>
          <cell r="E2295">
            <v>0</v>
          </cell>
          <cell r="F2295">
            <v>0</v>
          </cell>
          <cell r="G2295">
            <v>0</v>
          </cell>
        </row>
        <row r="2296">
          <cell r="D2296">
            <v>0</v>
          </cell>
          <cell r="E2296">
            <v>0</v>
          </cell>
          <cell r="F2296">
            <v>0</v>
          </cell>
          <cell r="G2296">
            <v>0</v>
          </cell>
        </row>
        <row r="2297">
          <cell r="D2297">
            <v>0</v>
          </cell>
          <cell r="E2297">
            <v>0</v>
          </cell>
          <cell r="F2297">
            <v>0</v>
          </cell>
          <cell r="G2297">
            <v>0</v>
          </cell>
        </row>
        <row r="2298">
          <cell r="D2298">
            <v>0</v>
          </cell>
          <cell r="E2298">
            <v>0</v>
          </cell>
          <cell r="F2298">
            <v>0</v>
          </cell>
          <cell r="G2298">
            <v>0</v>
          </cell>
        </row>
        <row r="2299">
          <cell r="D2299">
            <v>0</v>
          </cell>
          <cell r="E2299">
            <v>0</v>
          </cell>
          <cell r="F2299">
            <v>0</v>
          </cell>
          <cell r="G2299">
            <v>0</v>
          </cell>
        </row>
        <row r="2300">
          <cell r="D2300">
            <v>0</v>
          </cell>
          <cell r="E2300">
            <v>0</v>
          </cell>
          <cell r="F2300">
            <v>0</v>
          </cell>
          <cell r="G2300">
            <v>0</v>
          </cell>
        </row>
        <row r="2301">
          <cell r="D2301">
            <v>0</v>
          </cell>
          <cell r="E2301">
            <v>0</v>
          </cell>
          <cell r="F2301">
            <v>0</v>
          </cell>
          <cell r="G2301">
            <v>0</v>
          </cell>
        </row>
        <row r="2302">
          <cell r="D2302">
            <v>0</v>
          </cell>
          <cell r="E2302">
            <v>0</v>
          </cell>
          <cell r="F2302">
            <v>0</v>
          </cell>
          <cell r="G2302">
            <v>0</v>
          </cell>
        </row>
        <row r="2303">
          <cell r="D2303">
            <v>0</v>
          </cell>
          <cell r="E2303">
            <v>0</v>
          </cell>
          <cell r="F2303">
            <v>0</v>
          </cell>
          <cell r="G2303">
            <v>0</v>
          </cell>
        </row>
        <row r="2304">
          <cell r="D2304">
            <v>0</v>
          </cell>
          <cell r="E2304">
            <v>0</v>
          </cell>
          <cell r="F2304">
            <v>0</v>
          </cell>
          <cell r="G2304">
            <v>0</v>
          </cell>
        </row>
        <row r="2305">
          <cell r="D2305">
            <v>0</v>
          </cell>
          <cell r="E2305">
            <v>0</v>
          </cell>
          <cell r="F2305">
            <v>0</v>
          </cell>
          <cell r="G2305">
            <v>0</v>
          </cell>
        </row>
        <row r="2306">
          <cell r="D2306">
            <v>0</v>
          </cell>
          <cell r="E2306">
            <v>0</v>
          </cell>
          <cell r="F2306">
            <v>0</v>
          </cell>
          <cell r="G2306">
            <v>0</v>
          </cell>
        </row>
        <row r="2307">
          <cell r="D2307">
            <v>0</v>
          </cell>
          <cell r="E2307">
            <v>0</v>
          </cell>
          <cell r="F2307">
            <v>0</v>
          </cell>
          <cell r="G2307">
            <v>0</v>
          </cell>
        </row>
        <row r="2308">
          <cell r="D2308">
            <v>0</v>
          </cell>
          <cell r="E2308">
            <v>0</v>
          </cell>
          <cell r="F2308">
            <v>0</v>
          </cell>
          <cell r="G2308">
            <v>0</v>
          </cell>
        </row>
        <row r="2309">
          <cell r="D2309">
            <v>0</v>
          </cell>
          <cell r="E2309">
            <v>0</v>
          </cell>
          <cell r="F2309">
            <v>0</v>
          </cell>
          <cell r="G2309">
            <v>0</v>
          </cell>
        </row>
        <row r="2310">
          <cell r="D2310">
            <v>0</v>
          </cell>
          <cell r="E2310">
            <v>0</v>
          </cell>
          <cell r="F2310">
            <v>0</v>
          </cell>
          <cell r="G2310">
            <v>0</v>
          </cell>
        </row>
        <row r="2311">
          <cell r="D2311">
            <v>0</v>
          </cell>
          <cell r="E2311">
            <v>0</v>
          </cell>
          <cell r="F2311">
            <v>0</v>
          </cell>
          <cell r="G2311">
            <v>0</v>
          </cell>
        </row>
        <row r="2312">
          <cell r="D2312">
            <v>0</v>
          </cell>
          <cell r="E2312">
            <v>0</v>
          </cell>
          <cell r="F2312">
            <v>0</v>
          </cell>
          <cell r="G2312">
            <v>0</v>
          </cell>
        </row>
        <row r="2313">
          <cell r="D2313">
            <v>0</v>
          </cell>
          <cell r="E2313">
            <v>0</v>
          </cell>
          <cell r="F2313">
            <v>0</v>
          </cell>
          <cell r="G2313">
            <v>0</v>
          </cell>
        </row>
        <row r="2314">
          <cell r="D2314">
            <v>0</v>
          </cell>
          <cell r="E2314">
            <v>0</v>
          </cell>
          <cell r="F2314">
            <v>0</v>
          </cell>
          <cell r="G2314">
            <v>0</v>
          </cell>
        </row>
        <row r="2315">
          <cell r="D2315">
            <v>0</v>
          </cell>
          <cell r="E2315">
            <v>0</v>
          </cell>
          <cell r="F2315">
            <v>0</v>
          </cell>
          <cell r="G2315">
            <v>0</v>
          </cell>
        </row>
        <row r="2316">
          <cell r="D2316">
            <v>0</v>
          </cell>
          <cell r="E2316">
            <v>0</v>
          </cell>
          <cell r="F2316">
            <v>0</v>
          </cell>
          <cell r="G2316">
            <v>0</v>
          </cell>
        </row>
        <row r="2317">
          <cell r="D2317">
            <v>0</v>
          </cell>
          <cell r="E2317">
            <v>0</v>
          </cell>
          <cell r="F2317">
            <v>0</v>
          </cell>
          <cell r="G2317">
            <v>0</v>
          </cell>
        </row>
        <row r="2318">
          <cell r="D2318">
            <v>0</v>
          </cell>
          <cell r="E2318">
            <v>0</v>
          </cell>
          <cell r="F2318">
            <v>0</v>
          </cell>
          <cell r="G2318">
            <v>0</v>
          </cell>
        </row>
        <row r="2319">
          <cell r="D2319">
            <v>0</v>
          </cell>
          <cell r="E2319">
            <v>0</v>
          </cell>
          <cell r="F2319">
            <v>0</v>
          </cell>
          <cell r="G2319">
            <v>0</v>
          </cell>
        </row>
        <row r="2320">
          <cell r="D2320">
            <v>0</v>
          </cell>
          <cell r="E2320">
            <v>0</v>
          </cell>
          <cell r="F2320">
            <v>0</v>
          </cell>
          <cell r="G2320">
            <v>0</v>
          </cell>
        </row>
        <row r="2321">
          <cell r="D2321">
            <v>0</v>
          </cell>
          <cell r="E2321">
            <v>0</v>
          </cell>
          <cell r="F2321">
            <v>0</v>
          </cell>
          <cell r="G2321">
            <v>0</v>
          </cell>
        </row>
        <row r="2322">
          <cell r="D2322">
            <v>0</v>
          </cell>
          <cell r="E2322">
            <v>0</v>
          </cell>
          <cell r="F2322">
            <v>0</v>
          </cell>
          <cell r="G2322">
            <v>0</v>
          </cell>
        </row>
        <row r="2323">
          <cell r="D2323">
            <v>0</v>
          </cell>
          <cell r="E2323">
            <v>0</v>
          </cell>
          <cell r="F2323">
            <v>0</v>
          </cell>
          <cell r="G2323">
            <v>0</v>
          </cell>
        </row>
        <row r="2324">
          <cell r="D2324">
            <v>0</v>
          </cell>
          <cell r="E2324">
            <v>0</v>
          </cell>
          <cell r="F2324">
            <v>0</v>
          </cell>
          <cell r="G2324">
            <v>0</v>
          </cell>
        </row>
        <row r="2325">
          <cell r="D2325">
            <v>0</v>
          </cell>
          <cell r="E2325">
            <v>0</v>
          </cell>
          <cell r="F2325">
            <v>0</v>
          </cell>
          <cell r="G2325">
            <v>0</v>
          </cell>
        </row>
        <row r="2326">
          <cell r="D2326">
            <v>0</v>
          </cell>
          <cell r="E2326">
            <v>0</v>
          </cell>
          <cell r="F2326">
            <v>0</v>
          </cell>
          <cell r="G2326">
            <v>0</v>
          </cell>
        </row>
        <row r="2327">
          <cell r="D2327">
            <v>0</v>
          </cell>
          <cell r="E2327">
            <v>0</v>
          </cell>
          <cell r="F2327">
            <v>0</v>
          </cell>
          <cell r="G2327">
            <v>0</v>
          </cell>
        </row>
        <row r="2328">
          <cell r="D2328">
            <v>0</v>
          </cell>
          <cell r="E2328">
            <v>0</v>
          </cell>
          <cell r="F2328">
            <v>0</v>
          </cell>
          <cell r="G2328">
            <v>0</v>
          </cell>
        </row>
        <row r="2329">
          <cell r="D2329">
            <v>0</v>
          </cell>
          <cell r="E2329">
            <v>0</v>
          </cell>
          <cell r="F2329">
            <v>0</v>
          </cell>
          <cell r="G2329">
            <v>0</v>
          </cell>
        </row>
        <row r="2330">
          <cell r="D2330">
            <v>0</v>
          </cell>
          <cell r="E2330">
            <v>0</v>
          </cell>
          <cell r="F2330">
            <v>0</v>
          </cell>
          <cell r="G2330">
            <v>0</v>
          </cell>
        </row>
        <row r="2331">
          <cell r="D2331">
            <v>0</v>
          </cell>
          <cell r="E2331">
            <v>0</v>
          </cell>
          <cell r="F2331">
            <v>0</v>
          </cell>
          <cell r="G2331">
            <v>0</v>
          </cell>
        </row>
        <row r="2332">
          <cell r="D2332">
            <v>0</v>
          </cell>
          <cell r="E2332">
            <v>0</v>
          </cell>
          <cell r="F2332">
            <v>0</v>
          </cell>
          <cell r="G2332">
            <v>0</v>
          </cell>
        </row>
        <row r="2333">
          <cell r="D2333">
            <v>0</v>
          </cell>
          <cell r="E2333">
            <v>0</v>
          </cell>
          <cell r="F2333">
            <v>0</v>
          </cell>
          <cell r="G2333">
            <v>0</v>
          </cell>
        </row>
        <row r="2334">
          <cell r="D2334">
            <v>0</v>
          </cell>
          <cell r="E2334">
            <v>0</v>
          </cell>
          <cell r="F2334">
            <v>0</v>
          </cell>
          <cell r="G2334">
            <v>0</v>
          </cell>
        </row>
        <row r="2335">
          <cell r="D2335">
            <v>0</v>
          </cell>
          <cell r="E2335">
            <v>0</v>
          </cell>
          <cell r="F2335">
            <v>0</v>
          </cell>
          <cell r="G2335">
            <v>0</v>
          </cell>
        </row>
        <row r="2336">
          <cell r="D2336">
            <v>0</v>
          </cell>
          <cell r="E2336">
            <v>0</v>
          </cell>
          <cell r="F2336">
            <v>0</v>
          </cell>
          <cell r="G2336">
            <v>0</v>
          </cell>
        </row>
        <row r="2337">
          <cell r="D2337">
            <v>0</v>
          </cell>
          <cell r="E2337">
            <v>0</v>
          </cell>
          <cell r="F2337">
            <v>0</v>
          </cell>
          <cell r="G2337">
            <v>0</v>
          </cell>
        </row>
        <row r="2338">
          <cell r="D2338">
            <v>0</v>
          </cell>
          <cell r="E2338">
            <v>0</v>
          </cell>
          <cell r="F2338">
            <v>0</v>
          </cell>
          <cell r="G2338">
            <v>0</v>
          </cell>
        </row>
        <row r="2339">
          <cell r="D2339">
            <v>0</v>
          </cell>
          <cell r="E2339">
            <v>0</v>
          </cell>
          <cell r="F2339">
            <v>0</v>
          </cell>
          <cell r="G2339">
            <v>0</v>
          </cell>
        </row>
        <row r="2340">
          <cell r="D2340">
            <v>0</v>
          </cell>
          <cell r="E2340">
            <v>0</v>
          </cell>
          <cell r="F2340">
            <v>0</v>
          </cell>
          <cell r="G2340">
            <v>0</v>
          </cell>
        </row>
        <row r="2341">
          <cell r="D2341">
            <v>0</v>
          </cell>
          <cell r="E2341">
            <v>0</v>
          </cell>
          <cell r="F2341">
            <v>0</v>
          </cell>
          <cell r="G2341">
            <v>0</v>
          </cell>
        </row>
        <row r="2342">
          <cell r="D2342">
            <v>0</v>
          </cell>
          <cell r="E2342">
            <v>0</v>
          </cell>
          <cell r="F2342">
            <v>0</v>
          </cell>
          <cell r="G2342">
            <v>0</v>
          </cell>
        </row>
        <row r="2343">
          <cell r="D2343">
            <v>0</v>
          </cell>
          <cell r="E2343">
            <v>0</v>
          </cell>
          <cell r="F2343">
            <v>0</v>
          </cell>
          <cell r="G2343">
            <v>0</v>
          </cell>
        </row>
        <row r="2344">
          <cell r="D2344">
            <v>0</v>
          </cell>
          <cell r="E2344">
            <v>0</v>
          </cell>
          <cell r="F2344">
            <v>0</v>
          </cell>
          <cell r="G2344">
            <v>0</v>
          </cell>
        </row>
        <row r="2345">
          <cell r="D2345">
            <v>0</v>
          </cell>
          <cell r="E2345">
            <v>0</v>
          </cell>
          <cell r="F2345">
            <v>0</v>
          </cell>
          <cell r="G2345">
            <v>0</v>
          </cell>
        </row>
        <row r="2346">
          <cell r="D2346">
            <v>0</v>
          </cell>
          <cell r="E2346">
            <v>0</v>
          </cell>
          <cell r="F2346">
            <v>0</v>
          </cell>
          <cell r="G2346">
            <v>0</v>
          </cell>
        </row>
        <row r="2347">
          <cell r="D2347">
            <v>0</v>
          </cell>
          <cell r="E2347">
            <v>0</v>
          </cell>
          <cell r="F2347">
            <v>0</v>
          </cell>
          <cell r="G2347">
            <v>0</v>
          </cell>
        </row>
        <row r="2348">
          <cell r="D2348">
            <v>0</v>
          </cell>
          <cell r="E2348">
            <v>0</v>
          </cell>
          <cell r="F2348">
            <v>0</v>
          </cell>
          <cell r="G2348">
            <v>0</v>
          </cell>
        </row>
        <row r="2349">
          <cell r="D2349">
            <v>0</v>
          </cell>
          <cell r="E2349">
            <v>0</v>
          </cell>
          <cell r="F2349">
            <v>0</v>
          </cell>
          <cell r="G2349">
            <v>0</v>
          </cell>
        </row>
        <row r="2350">
          <cell r="D2350">
            <v>0</v>
          </cell>
          <cell r="E2350">
            <v>0</v>
          </cell>
          <cell r="F2350">
            <v>0</v>
          </cell>
          <cell r="G2350">
            <v>0</v>
          </cell>
        </row>
        <row r="2351">
          <cell r="D2351">
            <v>0</v>
          </cell>
          <cell r="E2351">
            <v>0</v>
          </cell>
          <cell r="F2351">
            <v>0</v>
          </cell>
          <cell r="G2351">
            <v>0</v>
          </cell>
        </row>
        <row r="2352">
          <cell r="D2352">
            <v>0</v>
          </cell>
          <cell r="E2352">
            <v>0</v>
          </cell>
          <cell r="F2352">
            <v>0</v>
          </cell>
          <cell r="G2352">
            <v>0</v>
          </cell>
        </row>
        <row r="2353">
          <cell r="D2353">
            <v>0</v>
          </cell>
          <cell r="E2353">
            <v>0</v>
          </cell>
          <cell r="F2353">
            <v>0</v>
          </cell>
          <cell r="G2353">
            <v>0</v>
          </cell>
        </row>
        <row r="2354">
          <cell r="D2354">
            <v>0</v>
          </cell>
          <cell r="E2354">
            <v>0</v>
          </cell>
          <cell r="F2354">
            <v>0</v>
          </cell>
          <cell r="G2354">
            <v>0</v>
          </cell>
        </row>
        <row r="2355">
          <cell r="D2355">
            <v>0</v>
          </cell>
          <cell r="E2355">
            <v>0</v>
          </cell>
          <cell r="F2355">
            <v>0</v>
          </cell>
          <cell r="G2355">
            <v>0</v>
          </cell>
        </row>
        <row r="2356">
          <cell r="D2356">
            <v>0</v>
          </cell>
          <cell r="E2356">
            <v>0</v>
          </cell>
          <cell r="F2356">
            <v>0</v>
          </cell>
          <cell r="G2356">
            <v>0</v>
          </cell>
        </row>
        <row r="2357">
          <cell r="D2357">
            <v>0</v>
          </cell>
          <cell r="E2357">
            <v>0</v>
          </cell>
          <cell r="F2357">
            <v>0</v>
          </cell>
          <cell r="G2357">
            <v>0</v>
          </cell>
        </row>
        <row r="2358">
          <cell r="D2358">
            <v>0</v>
          </cell>
          <cell r="E2358">
            <v>0</v>
          </cell>
          <cell r="F2358">
            <v>0</v>
          </cell>
          <cell r="G2358">
            <v>0</v>
          </cell>
        </row>
        <row r="2359">
          <cell r="D2359">
            <v>0</v>
          </cell>
          <cell r="E2359">
            <v>0</v>
          </cell>
          <cell r="F2359">
            <v>0</v>
          </cell>
          <cell r="G2359">
            <v>0</v>
          </cell>
        </row>
        <row r="2360">
          <cell r="D2360">
            <v>0</v>
          </cell>
          <cell r="E2360">
            <v>0</v>
          </cell>
          <cell r="F2360">
            <v>0</v>
          </cell>
          <cell r="G2360">
            <v>0</v>
          </cell>
        </row>
        <row r="2361">
          <cell r="D2361">
            <v>0</v>
          </cell>
          <cell r="E2361">
            <v>0</v>
          </cell>
          <cell r="F2361">
            <v>0</v>
          </cell>
          <cell r="G2361">
            <v>0</v>
          </cell>
        </row>
        <row r="2362">
          <cell r="D2362">
            <v>0</v>
          </cell>
          <cell r="E2362">
            <v>0</v>
          </cell>
          <cell r="F2362">
            <v>0</v>
          </cell>
          <cell r="G2362">
            <v>0</v>
          </cell>
        </row>
        <row r="2363">
          <cell r="D2363">
            <v>0</v>
          </cell>
          <cell r="E2363">
            <v>0</v>
          </cell>
          <cell r="F2363">
            <v>0</v>
          </cell>
          <cell r="G2363">
            <v>0</v>
          </cell>
        </row>
        <row r="2364">
          <cell r="D2364">
            <v>0</v>
          </cell>
          <cell r="E2364">
            <v>0</v>
          </cell>
          <cell r="F2364">
            <v>0</v>
          </cell>
          <cell r="G2364">
            <v>0</v>
          </cell>
        </row>
        <row r="2365">
          <cell r="D2365">
            <v>0</v>
          </cell>
          <cell r="E2365">
            <v>0</v>
          </cell>
          <cell r="F2365">
            <v>0</v>
          </cell>
          <cell r="G2365">
            <v>0</v>
          </cell>
        </row>
        <row r="2366">
          <cell r="D2366">
            <v>0</v>
          </cell>
          <cell r="E2366">
            <v>0</v>
          </cell>
          <cell r="F2366">
            <v>0</v>
          </cell>
          <cell r="G2366">
            <v>0</v>
          </cell>
        </row>
        <row r="2367">
          <cell r="D2367">
            <v>0</v>
          </cell>
          <cell r="E2367">
            <v>0</v>
          </cell>
          <cell r="F2367">
            <v>0</v>
          </cell>
          <cell r="G2367">
            <v>0</v>
          </cell>
        </row>
        <row r="2368">
          <cell r="D2368">
            <v>0</v>
          </cell>
          <cell r="E2368">
            <v>0</v>
          </cell>
          <cell r="F2368">
            <v>0</v>
          </cell>
          <cell r="G2368">
            <v>0</v>
          </cell>
        </row>
        <row r="2369">
          <cell r="D2369">
            <v>0</v>
          </cell>
          <cell r="E2369">
            <v>0</v>
          </cell>
          <cell r="F2369">
            <v>0</v>
          </cell>
          <cell r="G2369">
            <v>0</v>
          </cell>
        </row>
        <row r="2370">
          <cell r="D2370">
            <v>0</v>
          </cell>
          <cell r="E2370">
            <v>0</v>
          </cell>
          <cell r="F2370">
            <v>0</v>
          </cell>
          <cell r="G2370">
            <v>0</v>
          </cell>
        </row>
        <row r="2371">
          <cell r="D2371">
            <v>0</v>
          </cell>
          <cell r="E2371">
            <v>0</v>
          </cell>
          <cell r="F2371">
            <v>0</v>
          </cell>
          <cell r="G2371">
            <v>0</v>
          </cell>
        </row>
        <row r="2372">
          <cell r="D2372">
            <v>0</v>
          </cell>
          <cell r="E2372">
            <v>0</v>
          </cell>
          <cell r="F2372">
            <v>0</v>
          </cell>
          <cell r="G2372">
            <v>0</v>
          </cell>
        </row>
        <row r="2373">
          <cell r="D2373">
            <v>0</v>
          </cell>
          <cell r="E2373">
            <v>0</v>
          </cell>
          <cell r="F2373">
            <v>0</v>
          </cell>
          <cell r="G2373">
            <v>0</v>
          </cell>
        </row>
        <row r="2374">
          <cell r="D2374">
            <v>0</v>
          </cell>
          <cell r="E2374">
            <v>0</v>
          </cell>
          <cell r="F2374">
            <v>0</v>
          </cell>
          <cell r="G2374">
            <v>0</v>
          </cell>
        </row>
        <row r="2375">
          <cell r="D2375">
            <v>0</v>
          </cell>
          <cell r="E2375">
            <v>0</v>
          </cell>
          <cell r="F2375">
            <v>0</v>
          </cell>
          <cell r="G2375">
            <v>0</v>
          </cell>
        </row>
        <row r="2376">
          <cell r="D2376">
            <v>0</v>
          </cell>
          <cell r="E2376">
            <v>0</v>
          </cell>
          <cell r="F2376">
            <v>0</v>
          </cell>
          <cell r="G2376">
            <v>0</v>
          </cell>
        </row>
        <row r="2377">
          <cell r="D2377">
            <v>0</v>
          </cell>
          <cell r="E2377">
            <v>0</v>
          </cell>
          <cell r="F2377">
            <v>0</v>
          </cell>
          <cell r="G2377">
            <v>0</v>
          </cell>
        </row>
        <row r="2378">
          <cell r="D2378">
            <v>0</v>
          </cell>
          <cell r="E2378">
            <v>0</v>
          </cell>
          <cell r="F2378">
            <v>0</v>
          </cell>
          <cell r="G2378">
            <v>0</v>
          </cell>
        </row>
        <row r="2379">
          <cell r="D2379">
            <v>0</v>
          </cell>
          <cell r="E2379">
            <v>0</v>
          </cell>
          <cell r="F2379">
            <v>0</v>
          </cell>
          <cell r="G2379">
            <v>0</v>
          </cell>
        </row>
        <row r="2380">
          <cell r="D2380">
            <v>0</v>
          </cell>
          <cell r="E2380">
            <v>0</v>
          </cell>
          <cell r="F2380">
            <v>0</v>
          </cell>
          <cell r="G2380">
            <v>0</v>
          </cell>
        </row>
        <row r="2381">
          <cell r="D2381">
            <v>0</v>
          </cell>
          <cell r="E2381">
            <v>0</v>
          </cell>
          <cell r="F2381">
            <v>0</v>
          </cell>
          <cell r="G2381">
            <v>0</v>
          </cell>
        </row>
        <row r="2382">
          <cell r="D2382">
            <v>0</v>
          </cell>
          <cell r="E2382">
            <v>0</v>
          </cell>
          <cell r="F2382">
            <v>0</v>
          </cell>
          <cell r="G2382">
            <v>0</v>
          </cell>
        </row>
        <row r="2383">
          <cell r="D2383">
            <v>0</v>
          </cell>
          <cell r="E2383">
            <v>0</v>
          </cell>
          <cell r="F2383">
            <v>0</v>
          </cell>
          <cell r="G2383">
            <v>0</v>
          </cell>
        </row>
        <row r="2384">
          <cell r="D2384">
            <v>0</v>
          </cell>
          <cell r="E2384">
            <v>0</v>
          </cell>
          <cell r="F2384">
            <v>0</v>
          </cell>
          <cell r="G2384">
            <v>0</v>
          </cell>
        </row>
        <row r="2385">
          <cell r="D2385">
            <v>0</v>
          </cell>
          <cell r="E2385">
            <v>0</v>
          </cell>
          <cell r="F2385">
            <v>0</v>
          </cell>
          <cell r="G2385">
            <v>0</v>
          </cell>
        </row>
        <row r="2386">
          <cell r="D2386">
            <v>0</v>
          </cell>
          <cell r="E2386">
            <v>0</v>
          </cell>
          <cell r="F2386">
            <v>0</v>
          </cell>
          <cell r="G2386">
            <v>0</v>
          </cell>
        </row>
        <row r="2387">
          <cell r="D2387">
            <v>0</v>
          </cell>
          <cell r="E2387">
            <v>0</v>
          </cell>
          <cell r="F2387">
            <v>0</v>
          </cell>
          <cell r="G2387">
            <v>0</v>
          </cell>
        </row>
        <row r="2388">
          <cell r="D2388">
            <v>0</v>
          </cell>
          <cell r="E2388">
            <v>0</v>
          </cell>
          <cell r="F2388">
            <v>0</v>
          </cell>
          <cell r="G2388">
            <v>0</v>
          </cell>
        </row>
        <row r="2389">
          <cell r="D2389">
            <v>0</v>
          </cell>
          <cell r="E2389">
            <v>0</v>
          </cell>
          <cell r="F2389">
            <v>0</v>
          </cell>
          <cell r="G2389">
            <v>0</v>
          </cell>
        </row>
        <row r="2390">
          <cell r="D2390">
            <v>0</v>
          </cell>
          <cell r="E2390">
            <v>0</v>
          </cell>
          <cell r="F2390">
            <v>0</v>
          </cell>
          <cell r="G2390">
            <v>0</v>
          </cell>
        </row>
        <row r="2391">
          <cell r="D2391">
            <v>0</v>
          </cell>
          <cell r="E2391">
            <v>0</v>
          </cell>
          <cell r="F2391">
            <v>0</v>
          </cell>
          <cell r="G2391">
            <v>0</v>
          </cell>
        </row>
        <row r="2392">
          <cell r="D2392">
            <v>0</v>
          </cell>
          <cell r="E2392">
            <v>0</v>
          </cell>
          <cell r="F2392">
            <v>0</v>
          </cell>
          <cell r="G2392">
            <v>0</v>
          </cell>
        </row>
        <row r="2393">
          <cell r="D2393">
            <v>0</v>
          </cell>
          <cell r="E2393">
            <v>0</v>
          </cell>
          <cell r="F2393">
            <v>0</v>
          </cell>
          <cell r="G2393">
            <v>0</v>
          </cell>
        </row>
        <row r="2394">
          <cell r="D2394">
            <v>0</v>
          </cell>
          <cell r="E2394">
            <v>0</v>
          </cell>
          <cell r="F2394">
            <v>0</v>
          </cell>
          <cell r="G2394">
            <v>0</v>
          </cell>
        </row>
        <row r="2395">
          <cell r="D2395">
            <v>0</v>
          </cell>
          <cell r="E2395">
            <v>0</v>
          </cell>
          <cell r="F2395">
            <v>0</v>
          </cell>
          <cell r="G2395">
            <v>0</v>
          </cell>
        </row>
        <row r="2396">
          <cell r="D2396">
            <v>0</v>
          </cell>
          <cell r="E2396">
            <v>0</v>
          </cell>
          <cell r="F2396">
            <v>0</v>
          </cell>
          <cell r="G2396">
            <v>0</v>
          </cell>
        </row>
        <row r="2397">
          <cell r="D2397">
            <v>0</v>
          </cell>
          <cell r="E2397">
            <v>0</v>
          </cell>
          <cell r="F2397">
            <v>0</v>
          </cell>
          <cell r="G2397">
            <v>0</v>
          </cell>
        </row>
        <row r="2398">
          <cell r="D2398">
            <v>0</v>
          </cell>
          <cell r="E2398">
            <v>0</v>
          </cell>
          <cell r="F2398">
            <v>0</v>
          </cell>
          <cell r="G2398">
            <v>0</v>
          </cell>
        </row>
        <row r="2399">
          <cell r="D2399">
            <v>0</v>
          </cell>
          <cell r="E2399">
            <v>0</v>
          </cell>
          <cell r="F2399">
            <v>0</v>
          </cell>
          <cell r="G2399">
            <v>0</v>
          </cell>
        </row>
        <row r="2400">
          <cell r="D2400">
            <v>0</v>
          </cell>
          <cell r="E2400">
            <v>0</v>
          </cell>
          <cell r="F2400">
            <v>0</v>
          </cell>
          <cell r="G2400">
            <v>0</v>
          </cell>
        </row>
        <row r="2401">
          <cell r="D2401">
            <v>0</v>
          </cell>
          <cell r="E2401">
            <v>0</v>
          </cell>
          <cell r="F2401">
            <v>0</v>
          </cell>
          <cell r="G2401">
            <v>0</v>
          </cell>
        </row>
        <row r="2402">
          <cell r="D2402">
            <v>0</v>
          </cell>
          <cell r="E2402">
            <v>0</v>
          </cell>
          <cell r="F2402">
            <v>0</v>
          </cell>
          <cell r="G2402">
            <v>0</v>
          </cell>
        </row>
        <row r="2403">
          <cell r="D2403">
            <v>0</v>
          </cell>
          <cell r="E2403">
            <v>0</v>
          </cell>
          <cell r="F2403">
            <v>0</v>
          </cell>
          <cell r="G2403">
            <v>0</v>
          </cell>
        </row>
        <row r="2404">
          <cell r="D2404">
            <v>0</v>
          </cell>
          <cell r="E2404">
            <v>0</v>
          </cell>
          <cell r="F2404">
            <v>0</v>
          </cell>
          <cell r="G2404">
            <v>0</v>
          </cell>
        </row>
        <row r="2405">
          <cell r="D2405">
            <v>0</v>
          </cell>
          <cell r="E2405">
            <v>0</v>
          </cell>
          <cell r="F2405">
            <v>0</v>
          </cell>
          <cell r="G2405">
            <v>0</v>
          </cell>
        </row>
        <row r="2406">
          <cell r="D2406">
            <v>0</v>
          </cell>
          <cell r="E2406">
            <v>0</v>
          </cell>
          <cell r="F2406">
            <v>0</v>
          </cell>
          <cell r="G2406">
            <v>0</v>
          </cell>
        </row>
        <row r="2407">
          <cell r="D2407">
            <v>0</v>
          </cell>
          <cell r="E2407">
            <v>0</v>
          </cell>
          <cell r="F2407">
            <v>0</v>
          </cell>
          <cell r="G2407">
            <v>0</v>
          </cell>
        </row>
        <row r="2408">
          <cell r="D2408">
            <v>0</v>
          </cell>
          <cell r="E2408">
            <v>0</v>
          </cell>
          <cell r="F2408">
            <v>0</v>
          </cell>
          <cell r="G2408">
            <v>0</v>
          </cell>
        </row>
        <row r="2409">
          <cell r="D2409">
            <v>0</v>
          </cell>
          <cell r="E2409">
            <v>0</v>
          </cell>
          <cell r="F2409">
            <v>0</v>
          </cell>
          <cell r="G2409">
            <v>0</v>
          </cell>
        </row>
        <row r="2410">
          <cell r="D2410">
            <v>0</v>
          </cell>
          <cell r="E2410">
            <v>0</v>
          </cell>
          <cell r="F2410">
            <v>0</v>
          </cell>
          <cell r="G2410">
            <v>0</v>
          </cell>
        </row>
        <row r="2411">
          <cell r="D2411">
            <v>0</v>
          </cell>
          <cell r="E2411">
            <v>0</v>
          </cell>
          <cell r="F2411">
            <v>0</v>
          </cell>
          <cell r="G2411">
            <v>0</v>
          </cell>
        </row>
        <row r="2412">
          <cell r="D2412">
            <v>0</v>
          </cell>
          <cell r="E2412">
            <v>0</v>
          </cell>
          <cell r="F2412">
            <v>0</v>
          </cell>
          <cell r="G2412">
            <v>0</v>
          </cell>
        </row>
        <row r="2413">
          <cell r="D2413">
            <v>0</v>
          </cell>
          <cell r="E2413">
            <v>0</v>
          </cell>
          <cell r="F2413">
            <v>0</v>
          </cell>
          <cell r="G2413">
            <v>0</v>
          </cell>
        </row>
        <row r="2414">
          <cell r="D2414">
            <v>0</v>
          </cell>
          <cell r="E2414">
            <v>0</v>
          </cell>
          <cell r="F2414">
            <v>0</v>
          </cell>
          <cell r="G2414">
            <v>0</v>
          </cell>
        </row>
        <row r="2415">
          <cell r="D2415">
            <v>0</v>
          </cell>
          <cell r="E2415">
            <v>0</v>
          </cell>
          <cell r="F2415">
            <v>0</v>
          </cell>
          <cell r="G2415">
            <v>0</v>
          </cell>
        </row>
        <row r="2416">
          <cell r="D2416">
            <v>0</v>
          </cell>
          <cell r="E2416">
            <v>0</v>
          </cell>
          <cell r="F2416">
            <v>0</v>
          </cell>
          <cell r="G2416">
            <v>0</v>
          </cell>
        </row>
        <row r="2417">
          <cell r="D2417">
            <v>0</v>
          </cell>
          <cell r="E2417">
            <v>0</v>
          </cell>
          <cell r="F2417">
            <v>0</v>
          </cell>
          <cell r="G2417">
            <v>0</v>
          </cell>
        </row>
        <row r="2418">
          <cell r="D2418">
            <v>0</v>
          </cell>
          <cell r="E2418">
            <v>0</v>
          </cell>
          <cell r="F2418">
            <v>0</v>
          </cell>
          <cell r="G2418">
            <v>0</v>
          </cell>
        </row>
        <row r="2419">
          <cell r="D2419">
            <v>0</v>
          </cell>
          <cell r="E2419">
            <v>0</v>
          </cell>
          <cell r="F2419">
            <v>0</v>
          </cell>
          <cell r="G2419">
            <v>0</v>
          </cell>
        </row>
        <row r="2420">
          <cell r="D2420">
            <v>0</v>
          </cell>
          <cell r="E2420">
            <v>0</v>
          </cell>
          <cell r="F2420">
            <v>0</v>
          </cell>
          <cell r="G2420">
            <v>0</v>
          </cell>
        </row>
        <row r="2421">
          <cell r="D2421">
            <v>0</v>
          </cell>
          <cell r="E2421">
            <v>0</v>
          </cell>
          <cell r="F2421">
            <v>0</v>
          </cell>
          <cell r="G2421">
            <v>0</v>
          </cell>
        </row>
        <row r="2422">
          <cell r="D2422">
            <v>0</v>
          </cell>
          <cell r="E2422">
            <v>0</v>
          </cell>
          <cell r="F2422">
            <v>0</v>
          </cell>
          <cell r="G2422">
            <v>0</v>
          </cell>
        </row>
        <row r="2423">
          <cell r="D2423">
            <v>0</v>
          </cell>
          <cell r="E2423">
            <v>0</v>
          </cell>
          <cell r="F2423">
            <v>0</v>
          </cell>
          <cell r="G2423">
            <v>0</v>
          </cell>
        </row>
        <row r="2424">
          <cell r="D2424">
            <v>0</v>
          </cell>
          <cell r="E2424">
            <v>0</v>
          </cell>
          <cell r="F2424">
            <v>0</v>
          </cell>
          <cell r="G2424">
            <v>0</v>
          </cell>
        </row>
        <row r="2425">
          <cell r="D2425">
            <v>0</v>
          </cell>
          <cell r="E2425">
            <v>0</v>
          </cell>
          <cell r="F2425">
            <v>0</v>
          </cell>
          <cell r="G2425">
            <v>0</v>
          </cell>
        </row>
        <row r="2426">
          <cell r="D2426">
            <v>0</v>
          </cell>
          <cell r="E2426">
            <v>0</v>
          </cell>
          <cell r="F2426">
            <v>0</v>
          </cell>
          <cell r="G2426">
            <v>0</v>
          </cell>
        </row>
        <row r="2427">
          <cell r="D2427">
            <v>0</v>
          </cell>
          <cell r="E2427">
            <v>0</v>
          </cell>
          <cell r="F2427">
            <v>0</v>
          </cell>
          <cell r="G2427">
            <v>0</v>
          </cell>
        </row>
        <row r="2428">
          <cell r="D2428">
            <v>0</v>
          </cell>
          <cell r="E2428">
            <v>0</v>
          </cell>
          <cell r="F2428">
            <v>0</v>
          </cell>
          <cell r="G2428">
            <v>0</v>
          </cell>
        </row>
        <row r="2429">
          <cell r="D2429">
            <v>0</v>
          </cell>
          <cell r="E2429">
            <v>0</v>
          </cell>
          <cell r="F2429">
            <v>0</v>
          </cell>
          <cell r="G2429">
            <v>0</v>
          </cell>
        </row>
        <row r="2430">
          <cell r="D2430">
            <v>0</v>
          </cell>
          <cell r="E2430">
            <v>0</v>
          </cell>
          <cell r="F2430">
            <v>0</v>
          </cell>
          <cell r="G2430">
            <v>0</v>
          </cell>
        </row>
        <row r="2431">
          <cell r="D2431">
            <v>0</v>
          </cell>
          <cell r="E2431">
            <v>0</v>
          </cell>
          <cell r="F2431">
            <v>0</v>
          </cell>
          <cell r="G2431">
            <v>0</v>
          </cell>
        </row>
        <row r="2432">
          <cell r="D2432">
            <v>0</v>
          </cell>
          <cell r="E2432">
            <v>0</v>
          </cell>
          <cell r="F2432">
            <v>0</v>
          </cell>
          <cell r="G2432">
            <v>0</v>
          </cell>
        </row>
        <row r="2433">
          <cell r="D2433">
            <v>0</v>
          </cell>
          <cell r="E2433">
            <v>0</v>
          </cell>
          <cell r="F2433">
            <v>0</v>
          </cell>
          <cell r="G2433">
            <v>0</v>
          </cell>
        </row>
        <row r="2434">
          <cell r="D2434">
            <v>0</v>
          </cell>
          <cell r="E2434">
            <v>0</v>
          </cell>
          <cell r="F2434">
            <v>0</v>
          </cell>
          <cell r="G2434">
            <v>0</v>
          </cell>
        </row>
        <row r="2435">
          <cell r="D2435">
            <v>0</v>
          </cell>
          <cell r="E2435">
            <v>0</v>
          </cell>
          <cell r="F2435">
            <v>0</v>
          </cell>
          <cell r="G2435">
            <v>0</v>
          </cell>
        </row>
        <row r="2436">
          <cell r="D2436">
            <v>0</v>
          </cell>
          <cell r="E2436">
            <v>0</v>
          </cell>
          <cell r="F2436">
            <v>0</v>
          </cell>
          <cell r="G2436">
            <v>0</v>
          </cell>
        </row>
        <row r="2437">
          <cell r="D2437">
            <v>0</v>
          </cell>
          <cell r="E2437">
            <v>0</v>
          </cell>
          <cell r="F2437">
            <v>0</v>
          </cell>
          <cell r="G2437">
            <v>0</v>
          </cell>
        </row>
        <row r="2438">
          <cell r="D2438">
            <v>0</v>
          </cell>
          <cell r="E2438">
            <v>0</v>
          </cell>
          <cell r="F2438">
            <v>0</v>
          </cell>
          <cell r="G2438">
            <v>0</v>
          </cell>
        </row>
        <row r="2439">
          <cell r="D2439">
            <v>0</v>
          </cell>
          <cell r="E2439">
            <v>0</v>
          </cell>
          <cell r="F2439">
            <v>0</v>
          </cell>
          <cell r="G2439">
            <v>0</v>
          </cell>
        </row>
        <row r="2440">
          <cell r="D2440">
            <v>0</v>
          </cell>
          <cell r="E2440">
            <v>0</v>
          </cell>
          <cell r="F2440">
            <v>0</v>
          </cell>
          <cell r="G2440">
            <v>0</v>
          </cell>
        </row>
        <row r="2441">
          <cell r="D2441">
            <v>0</v>
          </cell>
          <cell r="E2441">
            <v>0</v>
          </cell>
          <cell r="F2441">
            <v>0</v>
          </cell>
          <cell r="G2441">
            <v>0</v>
          </cell>
        </row>
        <row r="2442">
          <cell r="D2442">
            <v>0</v>
          </cell>
          <cell r="E2442">
            <v>0</v>
          </cell>
          <cell r="F2442">
            <v>0</v>
          </cell>
          <cell r="G2442">
            <v>0</v>
          </cell>
        </row>
        <row r="2443">
          <cell r="D2443">
            <v>0</v>
          </cell>
          <cell r="E2443">
            <v>0</v>
          </cell>
          <cell r="F2443">
            <v>0</v>
          </cell>
          <cell r="G2443">
            <v>0</v>
          </cell>
        </row>
        <row r="2444">
          <cell r="D2444">
            <v>0</v>
          </cell>
          <cell r="E2444">
            <v>0</v>
          </cell>
          <cell r="F2444">
            <v>0</v>
          </cell>
          <cell r="G2444">
            <v>0</v>
          </cell>
        </row>
        <row r="2445">
          <cell r="D2445">
            <v>0</v>
          </cell>
          <cell r="E2445">
            <v>0</v>
          </cell>
          <cell r="F2445">
            <v>0</v>
          </cell>
          <cell r="G2445">
            <v>0</v>
          </cell>
        </row>
        <row r="2446">
          <cell r="D2446">
            <v>0</v>
          </cell>
          <cell r="E2446">
            <v>0</v>
          </cell>
          <cell r="F2446">
            <v>0</v>
          </cell>
          <cell r="G2446">
            <v>0</v>
          </cell>
        </row>
        <row r="2447">
          <cell r="D2447">
            <v>0</v>
          </cell>
          <cell r="E2447">
            <v>0</v>
          </cell>
          <cell r="F2447">
            <v>0</v>
          </cell>
          <cell r="G2447">
            <v>0</v>
          </cell>
        </row>
        <row r="2448">
          <cell r="D2448">
            <v>0</v>
          </cell>
          <cell r="E2448">
            <v>0</v>
          </cell>
          <cell r="F2448">
            <v>0</v>
          </cell>
          <cell r="G2448">
            <v>0</v>
          </cell>
        </row>
        <row r="2449">
          <cell r="D2449">
            <v>0</v>
          </cell>
          <cell r="E2449">
            <v>0</v>
          </cell>
          <cell r="F2449">
            <v>0</v>
          </cell>
          <cell r="G2449">
            <v>0</v>
          </cell>
        </row>
        <row r="2450">
          <cell r="D2450">
            <v>0</v>
          </cell>
          <cell r="E2450">
            <v>0</v>
          </cell>
          <cell r="F2450">
            <v>0</v>
          </cell>
          <cell r="G2450">
            <v>0</v>
          </cell>
        </row>
        <row r="2451">
          <cell r="D2451">
            <v>0</v>
          </cell>
          <cell r="E2451">
            <v>0</v>
          </cell>
          <cell r="F2451">
            <v>0</v>
          </cell>
          <cell r="G2451">
            <v>0</v>
          </cell>
        </row>
        <row r="2452">
          <cell r="D2452">
            <v>0</v>
          </cell>
          <cell r="E2452">
            <v>0</v>
          </cell>
          <cell r="F2452">
            <v>0</v>
          </cell>
          <cell r="G2452">
            <v>0</v>
          </cell>
        </row>
        <row r="2453">
          <cell r="D2453">
            <v>0</v>
          </cell>
          <cell r="E2453">
            <v>0</v>
          </cell>
          <cell r="F2453">
            <v>0</v>
          </cell>
          <cell r="G2453">
            <v>0</v>
          </cell>
        </row>
        <row r="2454">
          <cell r="D2454">
            <v>0</v>
          </cell>
          <cell r="E2454">
            <v>0</v>
          </cell>
          <cell r="F2454">
            <v>0</v>
          </cell>
          <cell r="G2454">
            <v>0</v>
          </cell>
        </row>
        <row r="2455">
          <cell r="D2455">
            <v>0</v>
          </cell>
          <cell r="E2455">
            <v>0</v>
          </cell>
          <cell r="F2455">
            <v>0</v>
          </cell>
          <cell r="G2455">
            <v>0</v>
          </cell>
        </row>
        <row r="2456">
          <cell r="D2456">
            <v>0</v>
          </cell>
          <cell r="E2456">
            <v>0</v>
          </cell>
          <cell r="F2456">
            <v>0</v>
          </cell>
          <cell r="G2456">
            <v>0</v>
          </cell>
        </row>
        <row r="2457">
          <cell r="D2457">
            <v>0</v>
          </cell>
          <cell r="E2457">
            <v>0</v>
          </cell>
          <cell r="F2457">
            <v>0</v>
          </cell>
          <cell r="G2457">
            <v>0</v>
          </cell>
        </row>
        <row r="2458">
          <cell r="D2458">
            <v>0</v>
          </cell>
          <cell r="E2458">
            <v>0</v>
          </cell>
          <cell r="F2458">
            <v>0</v>
          </cell>
          <cell r="G2458">
            <v>0</v>
          </cell>
        </row>
        <row r="2459">
          <cell r="D2459">
            <v>0</v>
          </cell>
          <cell r="E2459">
            <v>0</v>
          </cell>
          <cell r="F2459">
            <v>0</v>
          </cell>
          <cell r="G2459">
            <v>0</v>
          </cell>
        </row>
        <row r="2460">
          <cell r="D2460">
            <v>0</v>
          </cell>
          <cell r="E2460">
            <v>0</v>
          </cell>
          <cell r="F2460">
            <v>0</v>
          </cell>
          <cell r="G2460">
            <v>0</v>
          </cell>
        </row>
        <row r="2461">
          <cell r="D2461">
            <v>0</v>
          </cell>
          <cell r="E2461">
            <v>0</v>
          </cell>
          <cell r="F2461">
            <v>0</v>
          </cell>
          <cell r="G2461">
            <v>0</v>
          </cell>
        </row>
        <row r="2462">
          <cell r="D2462">
            <v>0</v>
          </cell>
          <cell r="E2462">
            <v>0</v>
          </cell>
          <cell r="F2462">
            <v>0</v>
          </cell>
          <cell r="G2462">
            <v>0</v>
          </cell>
        </row>
        <row r="2463">
          <cell r="D2463">
            <v>0</v>
          </cell>
          <cell r="E2463">
            <v>0</v>
          </cell>
          <cell r="F2463">
            <v>0</v>
          </cell>
          <cell r="G2463">
            <v>0</v>
          </cell>
        </row>
        <row r="2464">
          <cell r="D2464">
            <v>0</v>
          </cell>
          <cell r="E2464">
            <v>0</v>
          </cell>
          <cell r="F2464">
            <v>0</v>
          </cell>
          <cell r="G2464">
            <v>0</v>
          </cell>
        </row>
        <row r="2465">
          <cell r="D2465">
            <v>0</v>
          </cell>
          <cell r="E2465">
            <v>0</v>
          </cell>
          <cell r="F2465">
            <v>0</v>
          </cell>
          <cell r="G2465">
            <v>0</v>
          </cell>
        </row>
        <row r="2466">
          <cell r="D2466">
            <v>0</v>
          </cell>
          <cell r="E2466">
            <v>0</v>
          </cell>
          <cell r="F2466">
            <v>0</v>
          </cell>
          <cell r="G2466">
            <v>0</v>
          </cell>
        </row>
        <row r="2467">
          <cell r="D2467">
            <v>0</v>
          </cell>
          <cell r="E2467">
            <v>0</v>
          </cell>
          <cell r="F2467">
            <v>0</v>
          </cell>
          <cell r="G2467">
            <v>0</v>
          </cell>
        </row>
        <row r="2468">
          <cell r="D2468">
            <v>0</v>
          </cell>
          <cell r="E2468">
            <v>0</v>
          </cell>
          <cell r="F2468">
            <v>0</v>
          </cell>
          <cell r="G2468">
            <v>0</v>
          </cell>
        </row>
        <row r="2469">
          <cell r="D2469">
            <v>0</v>
          </cell>
          <cell r="E2469">
            <v>0</v>
          </cell>
          <cell r="F2469">
            <v>0</v>
          </cell>
          <cell r="G2469">
            <v>0</v>
          </cell>
        </row>
        <row r="2470">
          <cell r="D2470">
            <v>0</v>
          </cell>
          <cell r="E2470">
            <v>0</v>
          </cell>
          <cell r="F2470">
            <v>0</v>
          </cell>
          <cell r="G2470">
            <v>0</v>
          </cell>
        </row>
        <row r="2471">
          <cell r="D2471">
            <v>0</v>
          </cell>
          <cell r="E2471">
            <v>0</v>
          </cell>
          <cell r="F2471">
            <v>0</v>
          </cell>
          <cell r="G2471">
            <v>0</v>
          </cell>
        </row>
        <row r="2472">
          <cell r="D2472">
            <v>0</v>
          </cell>
          <cell r="E2472">
            <v>0</v>
          </cell>
          <cell r="F2472">
            <v>0</v>
          </cell>
          <cell r="G2472">
            <v>0</v>
          </cell>
        </row>
        <row r="2473">
          <cell r="D2473">
            <v>0</v>
          </cell>
          <cell r="E2473">
            <v>0</v>
          </cell>
          <cell r="F2473">
            <v>0</v>
          </cell>
          <cell r="G2473">
            <v>0</v>
          </cell>
        </row>
        <row r="2474">
          <cell r="D2474">
            <v>0</v>
          </cell>
          <cell r="E2474">
            <v>0</v>
          </cell>
          <cell r="F2474">
            <v>0</v>
          </cell>
          <cell r="G2474">
            <v>0</v>
          </cell>
        </row>
        <row r="2475">
          <cell r="D2475">
            <v>0</v>
          </cell>
          <cell r="E2475">
            <v>0</v>
          </cell>
          <cell r="F2475">
            <v>0</v>
          </cell>
          <cell r="G2475">
            <v>0</v>
          </cell>
        </row>
        <row r="2476">
          <cell r="D2476">
            <v>0</v>
          </cell>
          <cell r="E2476">
            <v>0</v>
          </cell>
          <cell r="F2476">
            <v>0</v>
          </cell>
          <cell r="G2476">
            <v>0</v>
          </cell>
        </row>
        <row r="2477">
          <cell r="D2477">
            <v>0</v>
          </cell>
          <cell r="E2477">
            <v>0</v>
          </cell>
          <cell r="F2477">
            <v>0</v>
          </cell>
          <cell r="G2477">
            <v>0</v>
          </cell>
        </row>
        <row r="2478">
          <cell r="D2478">
            <v>0</v>
          </cell>
          <cell r="E2478">
            <v>0</v>
          </cell>
          <cell r="F2478">
            <v>0</v>
          </cell>
          <cell r="G2478">
            <v>0</v>
          </cell>
        </row>
        <row r="2479">
          <cell r="D2479">
            <v>0</v>
          </cell>
          <cell r="E2479">
            <v>0</v>
          </cell>
          <cell r="F2479">
            <v>0</v>
          </cell>
          <cell r="G2479">
            <v>0</v>
          </cell>
        </row>
        <row r="2480">
          <cell r="D2480">
            <v>0</v>
          </cell>
          <cell r="E2480">
            <v>0</v>
          </cell>
          <cell r="F2480">
            <v>0</v>
          </cell>
          <cell r="G2480">
            <v>0</v>
          </cell>
        </row>
        <row r="2481">
          <cell r="D2481">
            <v>0</v>
          </cell>
          <cell r="E2481">
            <v>0</v>
          </cell>
          <cell r="F2481">
            <v>0</v>
          </cell>
          <cell r="G2481">
            <v>0</v>
          </cell>
        </row>
        <row r="2482">
          <cell r="D2482">
            <v>0</v>
          </cell>
          <cell r="E2482">
            <v>0</v>
          </cell>
          <cell r="F2482">
            <v>0</v>
          </cell>
          <cell r="G2482">
            <v>0</v>
          </cell>
        </row>
        <row r="2483">
          <cell r="D2483">
            <v>0</v>
          </cell>
          <cell r="E2483">
            <v>0</v>
          </cell>
          <cell r="F2483">
            <v>0</v>
          </cell>
          <cell r="G2483">
            <v>0</v>
          </cell>
        </row>
        <row r="2484">
          <cell r="D2484">
            <v>0</v>
          </cell>
          <cell r="E2484">
            <v>0</v>
          </cell>
          <cell r="F2484">
            <v>0</v>
          </cell>
          <cell r="G2484">
            <v>0</v>
          </cell>
        </row>
        <row r="2485">
          <cell r="D2485">
            <v>0</v>
          </cell>
          <cell r="E2485">
            <v>0</v>
          </cell>
          <cell r="F2485">
            <v>0</v>
          </cell>
          <cell r="G2485">
            <v>0</v>
          </cell>
        </row>
        <row r="2486">
          <cell r="D2486">
            <v>0</v>
          </cell>
          <cell r="E2486">
            <v>0</v>
          </cell>
          <cell r="F2486">
            <v>0</v>
          </cell>
          <cell r="G2486">
            <v>0</v>
          </cell>
        </row>
        <row r="2487">
          <cell r="D2487">
            <v>0</v>
          </cell>
          <cell r="E2487">
            <v>0</v>
          </cell>
          <cell r="F2487">
            <v>0</v>
          </cell>
          <cell r="G2487">
            <v>0</v>
          </cell>
        </row>
        <row r="2488">
          <cell r="D2488">
            <v>0</v>
          </cell>
          <cell r="E2488">
            <v>0</v>
          </cell>
          <cell r="F2488">
            <v>0</v>
          </cell>
          <cell r="G2488">
            <v>0</v>
          </cell>
        </row>
        <row r="2489">
          <cell r="D2489">
            <v>0</v>
          </cell>
          <cell r="E2489">
            <v>0</v>
          </cell>
          <cell r="F2489">
            <v>0</v>
          </cell>
          <cell r="G2489">
            <v>0</v>
          </cell>
        </row>
        <row r="2490">
          <cell r="D2490">
            <v>0</v>
          </cell>
          <cell r="E2490">
            <v>0</v>
          </cell>
          <cell r="F2490">
            <v>0</v>
          </cell>
          <cell r="G2490">
            <v>0</v>
          </cell>
        </row>
        <row r="2491">
          <cell r="D2491">
            <v>0</v>
          </cell>
          <cell r="E2491">
            <v>0</v>
          </cell>
          <cell r="F2491">
            <v>0</v>
          </cell>
          <cell r="G2491">
            <v>0</v>
          </cell>
        </row>
        <row r="2492">
          <cell r="D2492">
            <v>0</v>
          </cell>
          <cell r="E2492">
            <v>0</v>
          </cell>
          <cell r="F2492">
            <v>0</v>
          </cell>
          <cell r="G2492">
            <v>0</v>
          </cell>
        </row>
        <row r="2493">
          <cell r="D2493">
            <v>0</v>
          </cell>
          <cell r="E2493">
            <v>0</v>
          </cell>
          <cell r="F2493">
            <v>0</v>
          </cell>
          <cell r="G2493">
            <v>0</v>
          </cell>
        </row>
        <row r="2494">
          <cell r="D2494">
            <v>0</v>
          </cell>
          <cell r="E2494">
            <v>0</v>
          </cell>
          <cell r="F2494">
            <v>0</v>
          </cell>
          <cell r="G2494">
            <v>0</v>
          </cell>
        </row>
        <row r="2495">
          <cell r="D2495">
            <v>0</v>
          </cell>
          <cell r="E2495">
            <v>0</v>
          </cell>
          <cell r="F2495">
            <v>0</v>
          </cell>
          <cell r="G2495">
            <v>0</v>
          </cell>
        </row>
        <row r="2496">
          <cell r="D2496">
            <v>0</v>
          </cell>
          <cell r="E2496">
            <v>0</v>
          </cell>
          <cell r="F2496">
            <v>0</v>
          </cell>
          <cell r="G2496">
            <v>0</v>
          </cell>
        </row>
        <row r="2497">
          <cell r="D2497">
            <v>0</v>
          </cell>
          <cell r="E2497">
            <v>0</v>
          </cell>
          <cell r="F2497">
            <v>0</v>
          </cell>
          <cell r="G2497">
            <v>0</v>
          </cell>
        </row>
        <row r="2498">
          <cell r="D2498">
            <v>0</v>
          </cell>
          <cell r="E2498">
            <v>0</v>
          </cell>
          <cell r="F2498">
            <v>0</v>
          </cell>
          <cell r="G2498">
            <v>0</v>
          </cell>
        </row>
        <row r="2499">
          <cell r="D2499">
            <v>0</v>
          </cell>
          <cell r="E2499">
            <v>0</v>
          </cell>
          <cell r="F2499">
            <v>0</v>
          </cell>
          <cell r="G2499">
            <v>0</v>
          </cell>
        </row>
        <row r="2500">
          <cell r="D2500">
            <v>0</v>
          </cell>
          <cell r="E2500">
            <v>0</v>
          </cell>
          <cell r="F2500">
            <v>0</v>
          </cell>
          <cell r="G2500">
            <v>0</v>
          </cell>
        </row>
        <row r="2501">
          <cell r="D2501">
            <v>0</v>
          </cell>
          <cell r="E2501">
            <v>0</v>
          </cell>
          <cell r="F2501">
            <v>0</v>
          </cell>
          <cell r="G2501">
            <v>0</v>
          </cell>
        </row>
        <row r="2502">
          <cell r="D2502">
            <v>0</v>
          </cell>
          <cell r="E2502">
            <v>0</v>
          </cell>
          <cell r="F2502">
            <v>0</v>
          </cell>
          <cell r="G2502">
            <v>0</v>
          </cell>
        </row>
        <row r="2503">
          <cell r="D2503">
            <v>0</v>
          </cell>
          <cell r="E2503">
            <v>0</v>
          </cell>
          <cell r="F2503">
            <v>0</v>
          </cell>
          <cell r="G2503">
            <v>0</v>
          </cell>
        </row>
        <row r="2504">
          <cell r="D2504">
            <v>0</v>
          </cell>
          <cell r="E2504">
            <v>0</v>
          </cell>
          <cell r="F2504">
            <v>0</v>
          </cell>
          <cell r="G2504">
            <v>0</v>
          </cell>
        </row>
        <row r="2505">
          <cell r="D2505">
            <v>0</v>
          </cell>
          <cell r="E2505">
            <v>0</v>
          </cell>
          <cell r="F2505">
            <v>0</v>
          </cell>
          <cell r="G2505">
            <v>0</v>
          </cell>
        </row>
        <row r="2506">
          <cell r="D2506">
            <v>0</v>
          </cell>
          <cell r="E2506">
            <v>0</v>
          </cell>
          <cell r="F2506">
            <v>0</v>
          </cell>
          <cell r="G2506">
            <v>0</v>
          </cell>
        </row>
        <row r="2507">
          <cell r="D2507">
            <v>0</v>
          </cell>
          <cell r="E2507">
            <v>0</v>
          </cell>
          <cell r="F2507">
            <v>0</v>
          </cell>
          <cell r="G2507">
            <v>0</v>
          </cell>
        </row>
        <row r="2508">
          <cell r="D2508">
            <v>0</v>
          </cell>
          <cell r="E2508">
            <v>0</v>
          </cell>
          <cell r="F2508">
            <v>0</v>
          </cell>
          <cell r="G2508">
            <v>0</v>
          </cell>
        </row>
        <row r="2509">
          <cell r="D2509">
            <v>0</v>
          </cell>
          <cell r="E2509">
            <v>0</v>
          </cell>
          <cell r="F2509">
            <v>0</v>
          </cell>
          <cell r="G2509">
            <v>0</v>
          </cell>
        </row>
        <row r="2510">
          <cell r="D2510">
            <v>0</v>
          </cell>
          <cell r="E2510">
            <v>0</v>
          </cell>
          <cell r="F2510">
            <v>0</v>
          </cell>
          <cell r="G2510">
            <v>0</v>
          </cell>
        </row>
        <row r="2511">
          <cell r="D2511">
            <v>0</v>
          </cell>
          <cell r="E2511">
            <v>0</v>
          </cell>
          <cell r="F2511">
            <v>0</v>
          </cell>
          <cell r="G2511">
            <v>0</v>
          </cell>
        </row>
        <row r="2512">
          <cell r="D2512">
            <v>0</v>
          </cell>
          <cell r="E2512">
            <v>0</v>
          </cell>
          <cell r="F2512">
            <v>0</v>
          </cell>
          <cell r="G2512">
            <v>0</v>
          </cell>
        </row>
        <row r="2513">
          <cell r="D2513">
            <v>0</v>
          </cell>
          <cell r="E2513">
            <v>0</v>
          </cell>
          <cell r="F2513">
            <v>0</v>
          </cell>
          <cell r="G2513">
            <v>0</v>
          </cell>
        </row>
        <row r="2514">
          <cell r="D2514">
            <v>0</v>
          </cell>
          <cell r="E2514">
            <v>0</v>
          </cell>
          <cell r="F2514">
            <v>0</v>
          </cell>
          <cell r="G2514">
            <v>0</v>
          </cell>
        </row>
        <row r="2515">
          <cell r="D2515">
            <v>0</v>
          </cell>
          <cell r="E2515">
            <v>0</v>
          </cell>
          <cell r="F2515">
            <v>0</v>
          </cell>
          <cell r="G2515">
            <v>0</v>
          </cell>
        </row>
        <row r="2516">
          <cell r="D2516">
            <v>0</v>
          </cell>
          <cell r="E2516">
            <v>0</v>
          </cell>
          <cell r="F2516">
            <v>0</v>
          </cell>
          <cell r="G2516">
            <v>0</v>
          </cell>
        </row>
        <row r="2517">
          <cell r="D2517">
            <v>0</v>
          </cell>
          <cell r="E2517">
            <v>0</v>
          </cell>
          <cell r="F2517">
            <v>0</v>
          </cell>
          <cell r="G2517">
            <v>0</v>
          </cell>
        </row>
        <row r="2518">
          <cell r="D2518">
            <v>0</v>
          </cell>
          <cell r="E2518">
            <v>0</v>
          </cell>
          <cell r="F2518">
            <v>0</v>
          </cell>
          <cell r="G2518">
            <v>0</v>
          </cell>
        </row>
        <row r="2519">
          <cell r="D2519">
            <v>0</v>
          </cell>
          <cell r="E2519">
            <v>0</v>
          </cell>
          <cell r="F2519">
            <v>0</v>
          </cell>
          <cell r="G2519">
            <v>0</v>
          </cell>
        </row>
        <row r="2520">
          <cell r="D2520">
            <v>0</v>
          </cell>
          <cell r="E2520">
            <v>0</v>
          </cell>
          <cell r="F2520">
            <v>0</v>
          </cell>
          <cell r="G2520">
            <v>0</v>
          </cell>
        </row>
        <row r="2521">
          <cell r="D2521">
            <v>0</v>
          </cell>
          <cell r="E2521">
            <v>0</v>
          </cell>
          <cell r="F2521">
            <v>0</v>
          </cell>
          <cell r="G2521">
            <v>0</v>
          </cell>
        </row>
        <row r="2522">
          <cell r="D2522">
            <v>0</v>
          </cell>
          <cell r="E2522">
            <v>0</v>
          </cell>
          <cell r="F2522">
            <v>0</v>
          </cell>
          <cell r="G2522">
            <v>0</v>
          </cell>
        </row>
        <row r="2523">
          <cell r="D2523">
            <v>0</v>
          </cell>
          <cell r="E2523">
            <v>0</v>
          </cell>
          <cell r="F2523">
            <v>0</v>
          </cell>
          <cell r="G2523">
            <v>0</v>
          </cell>
        </row>
        <row r="2524">
          <cell r="D2524">
            <v>0</v>
          </cell>
          <cell r="E2524">
            <v>0</v>
          </cell>
          <cell r="F2524">
            <v>0</v>
          </cell>
          <cell r="G2524">
            <v>0</v>
          </cell>
        </row>
        <row r="2525">
          <cell r="D2525">
            <v>0</v>
          </cell>
          <cell r="E2525">
            <v>0</v>
          </cell>
          <cell r="F2525">
            <v>0</v>
          </cell>
          <cell r="G2525">
            <v>0</v>
          </cell>
        </row>
        <row r="2526">
          <cell r="D2526">
            <v>0</v>
          </cell>
          <cell r="E2526">
            <v>0</v>
          </cell>
          <cell r="F2526">
            <v>0</v>
          </cell>
          <cell r="G2526">
            <v>0</v>
          </cell>
        </row>
        <row r="2527">
          <cell r="D2527">
            <v>0</v>
          </cell>
          <cell r="E2527">
            <v>0</v>
          </cell>
          <cell r="F2527">
            <v>0</v>
          </cell>
          <cell r="G2527">
            <v>0</v>
          </cell>
        </row>
        <row r="2528">
          <cell r="D2528">
            <v>0</v>
          </cell>
          <cell r="E2528">
            <v>0</v>
          </cell>
          <cell r="F2528">
            <v>0</v>
          </cell>
          <cell r="G2528">
            <v>0</v>
          </cell>
        </row>
        <row r="2529">
          <cell r="D2529">
            <v>0</v>
          </cell>
          <cell r="E2529">
            <v>0</v>
          </cell>
          <cell r="F2529">
            <v>0</v>
          </cell>
          <cell r="G2529">
            <v>0</v>
          </cell>
        </row>
        <row r="2530">
          <cell r="D2530">
            <v>0</v>
          </cell>
          <cell r="E2530">
            <v>0</v>
          </cell>
          <cell r="F2530">
            <v>0</v>
          </cell>
          <cell r="G2530">
            <v>0</v>
          </cell>
        </row>
        <row r="2531">
          <cell r="D2531">
            <v>0</v>
          </cell>
          <cell r="E2531">
            <v>0</v>
          </cell>
          <cell r="F2531">
            <v>0</v>
          </cell>
          <cell r="G2531">
            <v>0</v>
          </cell>
        </row>
        <row r="2532">
          <cell r="D2532">
            <v>0</v>
          </cell>
          <cell r="E2532">
            <v>0</v>
          </cell>
          <cell r="F2532">
            <v>0</v>
          </cell>
          <cell r="G2532">
            <v>0</v>
          </cell>
        </row>
        <row r="2533">
          <cell r="D2533">
            <v>0</v>
          </cell>
          <cell r="E2533">
            <v>0</v>
          </cell>
          <cell r="F2533">
            <v>0</v>
          </cell>
          <cell r="G2533">
            <v>0</v>
          </cell>
        </row>
        <row r="2534">
          <cell r="D2534">
            <v>0</v>
          </cell>
          <cell r="E2534">
            <v>0</v>
          </cell>
          <cell r="F2534">
            <v>0</v>
          </cell>
          <cell r="G2534">
            <v>0</v>
          </cell>
        </row>
        <row r="2535">
          <cell r="D2535">
            <v>0</v>
          </cell>
          <cell r="E2535">
            <v>0</v>
          </cell>
          <cell r="F2535">
            <v>0</v>
          </cell>
          <cell r="G2535">
            <v>0</v>
          </cell>
        </row>
        <row r="2536">
          <cell r="D2536">
            <v>0</v>
          </cell>
          <cell r="E2536">
            <v>0</v>
          </cell>
          <cell r="F2536">
            <v>0</v>
          </cell>
          <cell r="G2536">
            <v>0</v>
          </cell>
        </row>
        <row r="2537">
          <cell r="D2537">
            <v>0</v>
          </cell>
          <cell r="E2537">
            <v>0</v>
          </cell>
          <cell r="F2537">
            <v>0</v>
          </cell>
          <cell r="G2537">
            <v>0</v>
          </cell>
        </row>
        <row r="2538">
          <cell r="D2538">
            <v>0</v>
          </cell>
          <cell r="E2538">
            <v>0</v>
          </cell>
          <cell r="F2538">
            <v>0</v>
          </cell>
          <cell r="G2538">
            <v>0</v>
          </cell>
        </row>
        <row r="2539">
          <cell r="D2539">
            <v>0</v>
          </cell>
          <cell r="E2539">
            <v>0</v>
          </cell>
          <cell r="F2539">
            <v>0</v>
          </cell>
          <cell r="G2539">
            <v>0</v>
          </cell>
        </row>
        <row r="2540">
          <cell r="D2540">
            <v>0</v>
          </cell>
          <cell r="E2540">
            <v>0</v>
          </cell>
          <cell r="F2540">
            <v>0</v>
          </cell>
          <cell r="G2540">
            <v>0</v>
          </cell>
        </row>
        <row r="2541">
          <cell r="D2541">
            <v>0</v>
          </cell>
          <cell r="E2541">
            <v>0</v>
          </cell>
          <cell r="F2541">
            <v>0</v>
          </cell>
          <cell r="G2541">
            <v>0</v>
          </cell>
        </row>
        <row r="2542">
          <cell r="D2542">
            <v>0</v>
          </cell>
          <cell r="E2542">
            <v>0</v>
          </cell>
          <cell r="F2542">
            <v>0</v>
          </cell>
          <cell r="G2542">
            <v>0</v>
          </cell>
        </row>
        <row r="2543">
          <cell r="D2543">
            <v>0</v>
          </cell>
          <cell r="E2543">
            <v>0</v>
          </cell>
          <cell r="F2543">
            <v>0</v>
          </cell>
          <cell r="G2543">
            <v>0</v>
          </cell>
        </row>
        <row r="2544">
          <cell r="D2544">
            <v>0</v>
          </cell>
          <cell r="E2544">
            <v>0</v>
          </cell>
          <cell r="F2544">
            <v>0</v>
          </cell>
          <cell r="G2544">
            <v>0</v>
          </cell>
        </row>
        <row r="2545">
          <cell r="D2545">
            <v>0</v>
          </cell>
          <cell r="E2545">
            <v>0</v>
          </cell>
          <cell r="F2545">
            <v>0</v>
          </cell>
          <cell r="G2545">
            <v>0</v>
          </cell>
        </row>
        <row r="2546">
          <cell r="D2546">
            <v>0</v>
          </cell>
          <cell r="E2546">
            <v>0</v>
          </cell>
          <cell r="F2546">
            <v>0</v>
          </cell>
          <cell r="G2546">
            <v>0</v>
          </cell>
        </row>
        <row r="2547">
          <cell r="D2547">
            <v>0</v>
          </cell>
          <cell r="E2547">
            <v>0</v>
          </cell>
          <cell r="F2547">
            <v>0</v>
          </cell>
          <cell r="G2547">
            <v>0</v>
          </cell>
        </row>
        <row r="2548">
          <cell r="D2548">
            <v>0</v>
          </cell>
          <cell r="E2548">
            <v>0</v>
          </cell>
          <cell r="F2548">
            <v>0</v>
          </cell>
          <cell r="G2548">
            <v>0</v>
          </cell>
        </row>
        <row r="2549">
          <cell r="D2549">
            <v>0</v>
          </cell>
          <cell r="E2549">
            <v>0</v>
          </cell>
          <cell r="F2549">
            <v>0</v>
          </cell>
          <cell r="G2549">
            <v>0</v>
          </cell>
        </row>
        <row r="2550">
          <cell r="D2550">
            <v>0</v>
          </cell>
          <cell r="E2550">
            <v>0</v>
          </cell>
          <cell r="F2550">
            <v>0</v>
          </cell>
          <cell r="G2550">
            <v>0</v>
          </cell>
        </row>
        <row r="2551">
          <cell r="D2551">
            <v>0</v>
          </cell>
          <cell r="E2551">
            <v>0</v>
          </cell>
          <cell r="F2551">
            <v>0</v>
          </cell>
          <cell r="G2551">
            <v>0</v>
          </cell>
        </row>
        <row r="2552">
          <cell r="D2552">
            <v>0</v>
          </cell>
          <cell r="E2552">
            <v>0</v>
          </cell>
          <cell r="F2552">
            <v>0</v>
          </cell>
          <cell r="G2552">
            <v>0</v>
          </cell>
        </row>
        <row r="2553">
          <cell r="D2553">
            <v>0</v>
          </cell>
          <cell r="E2553">
            <v>0</v>
          </cell>
          <cell r="F2553">
            <v>0</v>
          </cell>
          <cell r="G2553">
            <v>0</v>
          </cell>
        </row>
        <row r="2554">
          <cell r="D2554">
            <v>0</v>
          </cell>
          <cell r="E2554">
            <v>0</v>
          </cell>
          <cell r="F2554">
            <v>0</v>
          </cell>
          <cell r="G2554">
            <v>0</v>
          </cell>
        </row>
        <row r="2555">
          <cell r="D2555">
            <v>0</v>
          </cell>
          <cell r="E2555">
            <v>0</v>
          </cell>
          <cell r="F2555">
            <v>0</v>
          </cell>
          <cell r="G2555">
            <v>0</v>
          </cell>
        </row>
        <row r="2556">
          <cell r="D2556">
            <v>0</v>
          </cell>
          <cell r="E2556">
            <v>0</v>
          </cell>
          <cell r="F2556">
            <v>0</v>
          </cell>
          <cell r="G2556">
            <v>0</v>
          </cell>
        </row>
        <row r="2557">
          <cell r="D2557">
            <v>0</v>
          </cell>
          <cell r="E2557">
            <v>0</v>
          </cell>
          <cell r="F2557">
            <v>0</v>
          </cell>
          <cell r="G2557">
            <v>0</v>
          </cell>
        </row>
        <row r="2558">
          <cell r="D2558">
            <v>0</v>
          </cell>
          <cell r="E2558">
            <v>0</v>
          </cell>
          <cell r="F2558">
            <v>0</v>
          </cell>
          <cell r="G2558">
            <v>0</v>
          </cell>
        </row>
        <row r="2559">
          <cell r="D2559">
            <v>0</v>
          </cell>
          <cell r="E2559">
            <v>0</v>
          </cell>
          <cell r="F2559">
            <v>0</v>
          </cell>
          <cell r="G2559">
            <v>0</v>
          </cell>
        </row>
        <row r="2560">
          <cell r="D2560">
            <v>0</v>
          </cell>
          <cell r="E2560">
            <v>0</v>
          </cell>
          <cell r="F2560">
            <v>0</v>
          </cell>
          <cell r="G2560">
            <v>0</v>
          </cell>
        </row>
        <row r="2561">
          <cell r="D2561">
            <v>0</v>
          </cell>
          <cell r="E2561">
            <v>0</v>
          </cell>
          <cell r="F2561">
            <v>0</v>
          </cell>
          <cell r="G2561">
            <v>0</v>
          </cell>
        </row>
        <row r="2562">
          <cell r="D2562">
            <v>0</v>
          </cell>
          <cell r="E2562">
            <v>0</v>
          </cell>
          <cell r="F2562">
            <v>0</v>
          </cell>
          <cell r="G2562">
            <v>0</v>
          </cell>
        </row>
        <row r="2563">
          <cell r="D2563">
            <v>0</v>
          </cell>
          <cell r="E2563">
            <v>0</v>
          </cell>
          <cell r="F2563">
            <v>0</v>
          </cell>
          <cell r="G2563">
            <v>0</v>
          </cell>
        </row>
        <row r="2564">
          <cell r="D2564">
            <v>0</v>
          </cell>
          <cell r="E2564">
            <v>0</v>
          </cell>
          <cell r="F2564">
            <v>0</v>
          </cell>
          <cell r="G2564">
            <v>0</v>
          </cell>
        </row>
        <row r="2565">
          <cell r="D2565">
            <v>0</v>
          </cell>
          <cell r="E2565">
            <v>0</v>
          </cell>
          <cell r="F2565">
            <v>0</v>
          </cell>
          <cell r="G2565">
            <v>0</v>
          </cell>
        </row>
        <row r="2566">
          <cell r="D2566">
            <v>0</v>
          </cell>
          <cell r="E2566">
            <v>0</v>
          </cell>
          <cell r="F2566">
            <v>0</v>
          </cell>
          <cell r="G2566">
            <v>0</v>
          </cell>
        </row>
        <row r="2567">
          <cell r="D2567">
            <v>0</v>
          </cell>
          <cell r="E2567">
            <v>0</v>
          </cell>
          <cell r="F2567">
            <v>0</v>
          </cell>
          <cell r="G2567">
            <v>0</v>
          </cell>
        </row>
        <row r="2568">
          <cell r="D2568">
            <v>0</v>
          </cell>
          <cell r="E2568">
            <v>0</v>
          </cell>
          <cell r="F2568">
            <v>0</v>
          </cell>
          <cell r="G2568">
            <v>0</v>
          </cell>
        </row>
        <row r="2569">
          <cell r="D2569">
            <v>0</v>
          </cell>
          <cell r="E2569">
            <v>0</v>
          </cell>
          <cell r="F2569">
            <v>0</v>
          </cell>
          <cell r="G2569">
            <v>0</v>
          </cell>
        </row>
        <row r="2570">
          <cell r="D2570">
            <v>0</v>
          </cell>
          <cell r="E2570">
            <v>0</v>
          </cell>
          <cell r="F2570">
            <v>0</v>
          </cell>
          <cell r="G2570">
            <v>0</v>
          </cell>
        </row>
        <row r="2571">
          <cell r="D2571">
            <v>0</v>
          </cell>
          <cell r="E2571">
            <v>0</v>
          </cell>
          <cell r="F2571">
            <v>0</v>
          </cell>
          <cell r="G2571">
            <v>0</v>
          </cell>
        </row>
        <row r="2572">
          <cell r="D2572">
            <v>0</v>
          </cell>
          <cell r="E2572">
            <v>0</v>
          </cell>
          <cell r="F2572">
            <v>0</v>
          </cell>
          <cell r="G2572">
            <v>0</v>
          </cell>
        </row>
        <row r="2573">
          <cell r="D2573">
            <v>0</v>
          </cell>
          <cell r="E2573">
            <v>0</v>
          </cell>
          <cell r="F2573">
            <v>0</v>
          </cell>
          <cell r="G2573">
            <v>0</v>
          </cell>
        </row>
        <row r="2574">
          <cell r="D2574">
            <v>0</v>
          </cell>
          <cell r="E2574">
            <v>0</v>
          </cell>
          <cell r="F2574">
            <v>0</v>
          </cell>
          <cell r="G2574">
            <v>0</v>
          </cell>
        </row>
        <row r="2575">
          <cell r="D2575">
            <v>0</v>
          </cell>
          <cell r="E2575">
            <v>0</v>
          </cell>
          <cell r="F2575">
            <v>0</v>
          </cell>
          <cell r="G2575">
            <v>0</v>
          </cell>
        </row>
        <row r="2576">
          <cell r="D2576">
            <v>0</v>
          </cell>
          <cell r="E2576">
            <v>0</v>
          </cell>
          <cell r="F2576">
            <v>0</v>
          </cell>
          <cell r="G2576">
            <v>0</v>
          </cell>
        </row>
        <row r="2577">
          <cell r="D2577">
            <v>0</v>
          </cell>
          <cell r="E2577">
            <v>0</v>
          </cell>
          <cell r="F2577">
            <v>0</v>
          </cell>
          <cell r="G2577">
            <v>0</v>
          </cell>
        </row>
        <row r="2578">
          <cell r="D2578">
            <v>0</v>
          </cell>
          <cell r="E2578">
            <v>0</v>
          </cell>
          <cell r="F2578">
            <v>0</v>
          </cell>
          <cell r="G2578">
            <v>0</v>
          </cell>
        </row>
        <row r="2579">
          <cell r="D2579">
            <v>0</v>
          </cell>
          <cell r="E2579">
            <v>0</v>
          </cell>
          <cell r="F2579">
            <v>0</v>
          </cell>
          <cell r="G2579">
            <v>0</v>
          </cell>
        </row>
        <row r="2580">
          <cell r="D2580">
            <v>0</v>
          </cell>
          <cell r="E2580">
            <v>0</v>
          </cell>
          <cell r="F2580">
            <v>0</v>
          </cell>
          <cell r="G2580">
            <v>0</v>
          </cell>
        </row>
        <row r="2581">
          <cell r="D2581">
            <v>0</v>
          </cell>
          <cell r="E2581">
            <v>0</v>
          </cell>
          <cell r="F2581">
            <v>0</v>
          </cell>
          <cell r="G2581">
            <v>0</v>
          </cell>
        </row>
        <row r="2582">
          <cell r="D2582">
            <v>0</v>
          </cell>
          <cell r="E2582">
            <v>0</v>
          </cell>
          <cell r="F2582">
            <v>0</v>
          </cell>
          <cell r="G2582">
            <v>0</v>
          </cell>
        </row>
        <row r="2583">
          <cell r="D2583">
            <v>0</v>
          </cell>
          <cell r="E2583">
            <v>0</v>
          </cell>
          <cell r="F2583">
            <v>0</v>
          </cell>
          <cell r="G2583">
            <v>0</v>
          </cell>
        </row>
        <row r="2584">
          <cell r="D2584">
            <v>0</v>
          </cell>
          <cell r="E2584">
            <v>0</v>
          </cell>
          <cell r="F2584">
            <v>0</v>
          </cell>
          <cell r="G2584">
            <v>0</v>
          </cell>
        </row>
        <row r="2585">
          <cell r="D2585">
            <v>0</v>
          </cell>
          <cell r="E2585">
            <v>0</v>
          </cell>
          <cell r="F2585">
            <v>0</v>
          </cell>
          <cell r="G2585">
            <v>0</v>
          </cell>
        </row>
        <row r="2586">
          <cell r="D2586">
            <v>0</v>
          </cell>
          <cell r="E2586">
            <v>0</v>
          </cell>
          <cell r="F2586">
            <v>0</v>
          </cell>
          <cell r="G2586">
            <v>0</v>
          </cell>
        </row>
        <row r="2587">
          <cell r="D2587">
            <v>0</v>
          </cell>
          <cell r="E2587">
            <v>0</v>
          </cell>
          <cell r="F2587">
            <v>0</v>
          </cell>
          <cell r="G2587">
            <v>0</v>
          </cell>
        </row>
        <row r="2588">
          <cell r="D2588">
            <v>0</v>
          </cell>
          <cell r="E2588">
            <v>0</v>
          </cell>
          <cell r="F2588">
            <v>0</v>
          </cell>
          <cell r="G2588">
            <v>0</v>
          </cell>
        </row>
        <row r="2589">
          <cell r="D2589">
            <v>0</v>
          </cell>
          <cell r="E2589">
            <v>0</v>
          </cell>
          <cell r="F2589">
            <v>0</v>
          </cell>
          <cell r="G2589">
            <v>0</v>
          </cell>
        </row>
        <row r="2590">
          <cell r="D2590">
            <v>0</v>
          </cell>
          <cell r="E2590">
            <v>0</v>
          </cell>
          <cell r="F2590">
            <v>0</v>
          </cell>
          <cell r="G2590">
            <v>0</v>
          </cell>
        </row>
        <row r="2591">
          <cell r="D2591">
            <v>0</v>
          </cell>
          <cell r="E2591">
            <v>0</v>
          </cell>
          <cell r="F2591">
            <v>0</v>
          </cell>
          <cell r="G2591">
            <v>0</v>
          </cell>
        </row>
        <row r="2592">
          <cell r="D2592">
            <v>0</v>
          </cell>
          <cell r="E2592">
            <v>0</v>
          </cell>
          <cell r="F2592">
            <v>0</v>
          </cell>
          <cell r="G2592">
            <v>0</v>
          </cell>
        </row>
        <row r="2593">
          <cell r="D2593">
            <v>0</v>
          </cell>
          <cell r="E2593">
            <v>0</v>
          </cell>
          <cell r="F2593">
            <v>0</v>
          </cell>
          <cell r="G2593">
            <v>0</v>
          </cell>
        </row>
        <row r="2594">
          <cell r="D2594">
            <v>0</v>
          </cell>
          <cell r="E2594">
            <v>0</v>
          </cell>
          <cell r="F2594">
            <v>0</v>
          </cell>
          <cell r="G2594">
            <v>0</v>
          </cell>
        </row>
        <row r="2595">
          <cell r="D2595">
            <v>0</v>
          </cell>
          <cell r="E2595">
            <v>0</v>
          </cell>
          <cell r="F2595">
            <v>0</v>
          </cell>
          <cell r="G2595">
            <v>0</v>
          </cell>
        </row>
        <row r="2596">
          <cell r="D2596">
            <v>0</v>
          </cell>
          <cell r="E2596">
            <v>0</v>
          </cell>
          <cell r="F2596">
            <v>0</v>
          </cell>
          <cell r="G2596">
            <v>0</v>
          </cell>
        </row>
        <row r="2597">
          <cell r="D2597">
            <v>0</v>
          </cell>
          <cell r="E2597">
            <v>0</v>
          </cell>
          <cell r="F2597">
            <v>0</v>
          </cell>
          <cell r="G2597">
            <v>0</v>
          </cell>
        </row>
        <row r="2598">
          <cell r="D2598">
            <v>0</v>
          </cell>
          <cell r="E2598">
            <v>0</v>
          </cell>
          <cell r="F2598">
            <v>0</v>
          </cell>
          <cell r="G2598">
            <v>0</v>
          </cell>
        </row>
        <row r="2599">
          <cell r="D2599">
            <v>0</v>
          </cell>
          <cell r="E2599">
            <v>0</v>
          </cell>
          <cell r="F2599">
            <v>0</v>
          </cell>
          <cell r="G2599">
            <v>0</v>
          </cell>
        </row>
        <row r="2600">
          <cell r="D2600">
            <v>0</v>
          </cell>
          <cell r="E2600">
            <v>0</v>
          </cell>
          <cell r="F2600">
            <v>0</v>
          </cell>
          <cell r="G2600">
            <v>0</v>
          </cell>
        </row>
        <row r="2601">
          <cell r="D2601">
            <v>0</v>
          </cell>
          <cell r="E2601">
            <v>0</v>
          </cell>
          <cell r="F2601">
            <v>0</v>
          </cell>
          <cell r="G2601">
            <v>0</v>
          </cell>
        </row>
        <row r="2602">
          <cell r="D2602">
            <v>0</v>
          </cell>
          <cell r="E2602">
            <v>0</v>
          </cell>
          <cell r="F2602">
            <v>0</v>
          </cell>
          <cell r="G2602">
            <v>0</v>
          </cell>
        </row>
        <row r="2603">
          <cell r="D2603">
            <v>0</v>
          </cell>
          <cell r="E2603">
            <v>0</v>
          </cell>
          <cell r="F2603">
            <v>0</v>
          </cell>
          <cell r="G2603">
            <v>0</v>
          </cell>
        </row>
        <row r="2604">
          <cell r="D2604">
            <v>0</v>
          </cell>
          <cell r="E2604">
            <v>0</v>
          </cell>
          <cell r="F2604">
            <v>0</v>
          </cell>
          <cell r="G2604">
            <v>0</v>
          </cell>
        </row>
        <row r="2605">
          <cell r="D2605">
            <v>0</v>
          </cell>
          <cell r="E2605">
            <v>0</v>
          </cell>
          <cell r="F2605">
            <v>0</v>
          </cell>
          <cell r="G2605">
            <v>0</v>
          </cell>
        </row>
        <row r="2606">
          <cell r="D2606">
            <v>0</v>
          </cell>
          <cell r="E2606">
            <v>0</v>
          </cell>
          <cell r="F2606">
            <v>0</v>
          </cell>
          <cell r="G2606">
            <v>0</v>
          </cell>
        </row>
        <row r="2607">
          <cell r="D2607">
            <v>0</v>
          </cell>
          <cell r="E2607">
            <v>0</v>
          </cell>
          <cell r="F2607">
            <v>0</v>
          </cell>
          <cell r="G2607">
            <v>0</v>
          </cell>
        </row>
        <row r="2608">
          <cell r="D2608">
            <v>0</v>
          </cell>
          <cell r="E2608">
            <v>0</v>
          </cell>
          <cell r="F2608">
            <v>0</v>
          </cell>
          <cell r="G2608">
            <v>0</v>
          </cell>
        </row>
        <row r="2609">
          <cell r="D2609">
            <v>0</v>
          </cell>
          <cell r="E2609">
            <v>0</v>
          </cell>
          <cell r="F2609">
            <v>0</v>
          </cell>
          <cell r="G2609">
            <v>0</v>
          </cell>
        </row>
        <row r="2610">
          <cell r="D2610">
            <v>0</v>
          </cell>
          <cell r="E2610">
            <v>0</v>
          </cell>
          <cell r="F2610">
            <v>0</v>
          </cell>
          <cell r="G2610">
            <v>0</v>
          </cell>
        </row>
        <row r="2611">
          <cell r="D2611">
            <v>0</v>
          </cell>
          <cell r="E2611">
            <v>0</v>
          </cell>
          <cell r="F2611">
            <v>0</v>
          </cell>
          <cell r="G2611">
            <v>0</v>
          </cell>
        </row>
        <row r="2612">
          <cell r="D2612">
            <v>0</v>
          </cell>
          <cell r="E2612">
            <v>0</v>
          </cell>
          <cell r="F2612">
            <v>0</v>
          </cell>
          <cell r="G2612">
            <v>0</v>
          </cell>
        </row>
        <row r="2613">
          <cell r="D2613">
            <v>0</v>
          </cell>
          <cell r="E2613">
            <v>0</v>
          </cell>
          <cell r="F2613">
            <v>0</v>
          </cell>
          <cell r="G2613">
            <v>0</v>
          </cell>
        </row>
        <row r="2614">
          <cell r="D2614">
            <v>0</v>
          </cell>
          <cell r="E2614">
            <v>0</v>
          </cell>
          <cell r="F2614">
            <v>0</v>
          </cell>
          <cell r="G2614">
            <v>0</v>
          </cell>
        </row>
        <row r="2615">
          <cell r="D2615">
            <v>0</v>
          </cell>
          <cell r="E2615">
            <v>0</v>
          </cell>
          <cell r="F2615">
            <v>0</v>
          </cell>
          <cell r="G2615">
            <v>0</v>
          </cell>
        </row>
        <row r="2616">
          <cell r="D2616">
            <v>0</v>
          </cell>
          <cell r="E2616">
            <v>0</v>
          </cell>
          <cell r="F2616">
            <v>0</v>
          </cell>
          <cell r="G2616">
            <v>0</v>
          </cell>
        </row>
        <row r="2617">
          <cell r="D2617">
            <v>0</v>
          </cell>
          <cell r="E2617">
            <v>0</v>
          </cell>
          <cell r="F2617">
            <v>0</v>
          </cell>
          <cell r="G2617">
            <v>0</v>
          </cell>
        </row>
        <row r="2618">
          <cell r="D2618">
            <v>0</v>
          </cell>
          <cell r="E2618">
            <v>0</v>
          </cell>
          <cell r="F2618">
            <v>0</v>
          </cell>
          <cell r="G2618">
            <v>0</v>
          </cell>
        </row>
        <row r="2619">
          <cell r="D2619">
            <v>0</v>
          </cell>
          <cell r="E2619">
            <v>0</v>
          </cell>
          <cell r="F2619">
            <v>0</v>
          </cell>
          <cell r="G2619">
            <v>0</v>
          </cell>
        </row>
        <row r="2620">
          <cell r="D2620">
            <v>0</v>
          </cell>
          <cell r="E2620">
            <v>0</v>
          </cell>
          <cell r="F2620">
            <v>0</v>
          </cell>
          <cell r="G2620">
            <v>0</v>
          </cell>
        </row>
        <row r="2621">
          <cell r="D2621">
            <v>0</v>
          </cell>
          <cell r="E2621">
            <v>0</v>
          </cell>
          <cell r="F2621">
            <v>0</v>
          </cell>
          <cell r="G2621">
            <v>0</v>
          </cell>
        </row>
        <row r="2622">
          <cell r="D2622">
            <v>0</v>
          </cell>
          <cell r="E2622">
            <v>0</v>
          </cell>
          <cell r="F2622">
            <v>0</v>
          </cell>
          <cell r="G2622">
            <v>0</v>
          </cell>
        </row>
        <row r="2623">
          <cell r="D2623">
            <v>0</v>
          </cell>
          <cell r="E2623">
            <v>0</v>
          </cell>
          <cell r="F2623">
            <v>0</v>
          </cell>
          <cell r="G2623">
            <v>0</v>
          </cell>
        </row>
        <row r="2624">
          <cell r="D2624">
            <v>0</v>
          </cell>
          <cell r="E2624">
            <v>0</v>
          </cell>
          <cell r="F2624">
            <v>0</v>
          </cell>
          <cell r="G2624">
            <v>0</v>
          </cell>
        </row>
        <row r="2625">
          <cell r="D2625">
            <v>0</v>
          </cell>
          <cell r="E2625">
            <v>0</v>
          </cell>
          <cell r="F2625">
            <v>0</v>
          </cell>
          <cell r="G2625">
            <v>0</v>
          </cell>
        </row>
        <row r="2626">
          <cell r="D2626">
            <v>0</v>
          </cell>
          <cell r="E2626">
            <v>0</v>
          </cell>
          <cell r="F2626">
            <v>0</v>
          </cell>
          <cell r="G2626">
            <v>0</v>
          </cell>
        </row>
        <row r="2627">
          <cell r="D2627">
            <v>0</v>
          </cell>
          <cell r="E2627">
            <v>0</v>
          </cell>
          <cell r="F2627">
            <v>0</v>
          </cell>
          <cell r="G2627">
            <v>0</v>
          </cell>
        </row>
        <row r="2628">
          <cell r="D2628">
            <v>0</v>
          </cell>
          <cell r="E2628">
            <v>0</v>
          </cell>
          <cell r="F2628">
            <v>0</v>
          </cell>
          <cell r="G2628">
            <v>0</v>
          </cell>
        </row>
        <row r="2629">
          <cell r="D2629">
            <v>0</v>
          </cell>
          <cell r="E2629">
            <v>0</v>
          </cell>
          <cell r="F2629">
            <v>0</v>
          </cell>
          <cell r="G2629">
            <v>0</v>
          </cell>
        </row>
        <row r="2630">
          <cell r="D2630">
            <v>0</v>
          </cell>
          <cell r="E2630">
            <v>0</v>
          </cell>
          <cell r="F2630">
            <v>0</v>
          </cell>
          <cell r="G2630">
            <v>0</v>
          </cell>
        </row>
        <row r="2631">
          <cell r="D2631">
            <v>0</v>
          </cell>
          <cell r="E2631">
            <v>0</v>
          </cell>
          <cell r="F2631">
            <v>0</v>
          </cell>
          <cell r="G2631">
            <v>0</v>
          </cell>
        </row>
        <row r="2632">
          <cell r="D2632">
            <v>0</v>
          </cell>
          <cell r="E2632">
            <v>0</v>
          </cell>
          <cell r="F2632">
            <v>0</v>
          </cell>
          <cell r="G2632">
            <v>0</v>
          </cell>
        </row>
        <row r="2633">
          <cell r="D2633">
            <v>0</v>
          </cell>
          <cell r="E2633">
            <v>0</v>
          </cell>
          <cell r="F2633">
            <v>0</v>
          </cell>
          <cell r="G2633">
            <v>0</v>
          </cell>
        </row>
        <row r="2634">
          <cell r="D2634">
            <v>0</v>
          </cell>
          <cell r="E2634">
            <v>0</v>
          </cell>
          <cell r="F2634">
            <v>0</v>
          </cell>
          <cell r="G2634">
            <v>0</v>
          </cell>
        </row>
        <row r="2635">
          <cell r="D2635">
            <v>0</v>
          </cell>
          <cell r="E2635">
            <v>0</v>
          </cell>
          <cell r="F2635">
            <v>0</v>
          </cell>
          <cell r="G2635">
            <v>0</v>
          </cell>
        </row>
        <row r="2636">
          <cell r="D2636">
            <v>0</v>
          </cell>
          <cell r="E2636">
            <v>0</v>
          </cell>
          <cell r="F2636">
            <v>0</v>
          </cell>
          <cell r="G2636">
            <v>0</v>
          </cell>
        </row>
        <row r="2637">
          <cell r="D2637">
            <v>0</v>
          </cell>
          <cell r="E2637">
            <v>0</v>
          </cell>
          <cell r="F2637">
            <v>0</v>
          </cell>
          <cell r="G2637">
            <v>0</v>
          </cell>
        </row>
        <row r="2638">
          <cell r="D2638">
            <v>0</v>
          </cell>
          <cell r="E2638">
            <v>0</v>
          </cell>
          <cell r="F2638">
            <v>0</v>
          </cell>
          <cell r="G2638">
            <v>0</v>
          </cell>
        </row>
        <row r="2639">
          <cell r="D2639">
            <v>0</v>
          </cell>
          <cell r="E2639">
            <v>0</v>
          </cell>
          <cell r="F2639">
            <v>0</v>
          </cell>
          <cell r="G2639">
            <v>0</v>
          </cell>
        </row>
        <row r="2640">
          <cell r="D2640">
            <v>0</v>
          </cell>
          <cell r="E2640">
            <v>0</v>
          </cell>
          <cell r="F2640">
            <v>0</v>
          </cell>
          <cell r="G2640">
            <v>0</v>
          </cell>
        </row>
        <row r="2641">
          <cell r="D2641">
            <v>0</v>
          </cell>
          <cell r="E2641">
            <v>0</v>
          </cell>
          <cell r="F2641">
            <v>0</v>
          </cell>
          <cell r="G2641">
            <v>0</v>
          </cell>
        </row>
        <row r="2642">
          <cell r="D2642">
            <v>0</v>
          </cell>
          <cell r="E2642">
            <v>0</v>
          </cell>
          <cell r="F2642">
            <v>0</v>
          </cell>
          <cell r="G2642">
            <v>0</v>
          </cell>
        </row>
        <row r="2643">
          <cell r="D2643">
            <v>0</v>
          </cell>
          <cell r="E2643">
            <v>0</v>
          </cell>
          <cell r="F2643">
            <v>0</v>
          </cell>
          <cell r="G2643">
            <v>0</v>
          </cell>
        </row>
        <row r="2644">
          <cell r="D2644">
            <v>0</v>
          </cell>
          <cell r="E2644">
            <v>0</v>
          </cell>
          <cell r="F2644">
            <v>0</v>
          </cell>
          <cell r="G2644">
            <v>0</v>
          </cell>
        </row>
        <row r="2645">
          <cell r="D2645">
            <v>0</v>
          </cell>
          <cell r="E2645">
            <v>0</v>
          </cell>
          <cell r="F2645">
            <v>0</v>
          </cell>
          <cell r="G2645">
            <v>0</v>
          </cell>
        </row>
        <row r="2646">
          <cell r="D2646">
            <v>0</v>
          </cell>
          <cell r="E2646">
            <v>0</v>
          </cell>
          <cell r="F2646">
            <v>0</v>
          </cell>
          <cell r="G2646">
            <v>0</v>
          </cell>
        </row>
        <row r="2647">
          <cell r="D2647">
            <v>0</v>
          </cell>
          <cell r="E2647">
            <v>0</v>
          </cell>
          <cell r="F2647">
            <v>0</v>
          </cell>
          <cell r="G2647">
            <v>0</v>
          </cell>
        </row>
        <row r="2648">
          <cell r="D2648">
            <v>0</v>
          </cell>
          <cell r="E2648">
            <v>0</v>
          </cell>
          <cell r="F2648">
            <v>0</v>
          </cell>
          <cell r="G2648">
            <v>0</v>
          </cell>
        </row>
        <row r="2649">
          <cell r="D2649">
            <v>0</v>
          </cell>
          <cell r="E2649">
            <v>0</v>
          </cell>
          <cell r="F2649">
            <v>0</v>
          </cell>
          <cell r="G2649">
            <v>0</v>
          </cell>
        </row>
        <row r="2650">
          <cell r="D2650">
            <v>0</v>
          </cell>
          <cell r="E2650">
            <v>0</v>
          </cell>
          <cell r="F2650">
            <v>0</v>
          </cell>
          <cell r="G2650">
            <v>0</v>
          </cell>
        </row>
        <row r="2651">
          <cell r="D2651">
            <v>0</v>
          </cell>
          <cell r="E2651">
            <v>0</v>
          </cell>
          <cell r="F2651">
            <v>0</v>
          </cell>
          <cell r="G2651">
            <v>0</v>
          </cell>
        </row>
        <row r="2652">
          <cell r="D2652">
            <v>0</v>
          </cell>
          <cell r="E2652">
            <v>0</v>
          </cell>
          <cell r="F2652">
            <v>0</v>
          </cell>
          <cell r="G2652">
            <v>0</v>
          </cell>
        </row>
        <row r="2653">
          <cell r="D2653">
            <v>0</v>
          </cell>
          <cell r="E2653">
            <v>0</v>
          </cell>
          <cell r="F2653">
            <v>0</v>
          </cell>
          <cell r="G2653">
            <v>0</v>
          </cell>
        </row>
        <row r="2654">
          <cell r="D2654">
            <v>0</v>
          </cell>
          <cell r="E2654">
            <v>0</v>
          </cell>
          <cell r="F2654">
            <v>0</v>
          </cell>
          <cell r="G2654">
            <v>0</v>
          </cell>
        </row>
        <row r="2655">
          <cell r="D2655">
            <v>0</v>
          </cell>
          <cell r="E2655">
            <v>0</v>
          </cell>
          <cell r="F2655">
            <v>0</v>
          </cell>
          <cell r="G2655">
            <v>0</v>
          </cell>
        </row>
        <row r="2656">
          <cell r="D2656">
            <v>0</v>
          </cell>
          <cell r="E2656">
            <v>0</v>
          </cell>
          <cell r="F2656">
            <v>0</v>
          </cell>
          <cell r="G2656">
            <v>0</v>
          </cell>
        </row>
        <row r="2657">
          <cell r="D2657">
            <v>0</v>
          </cell>
          <cell r="E2657">
            <v>0</v>
          </cell>
          <cell r="F2657">
            <v>0</v>
          </cell>
          <cell r="G2657">
            <v>0</v>
          </cell>
        </row>
        <row r="2658">
          <cell r="D2658">
            <v>0</v>
          </cell>
          <cell r="E2658">
            <v>0</v>
          </cell>
          <cell r="F2658">
            <v>0</v>
          </cell>
          <cell r="G2658">
            <v>0</v>
          </cell>
        </row>
        <row r="2659">
          <cell r="D2659">
            <v>0</v>
          </cell>
          <cell r="E2659">
            <v>0</v>
          </cell>
          <cell r="F2659">
            <v>0</v>
          </cell>
          <cell r="G2659">
            <v>0</v>
          </cell>
        </row>
        <row r="2660">
          <cell r="D2660">
            <v>0</v>
          </cell>
          <cell r="E2660">
            <v>0</v>
          </cell>
          <cell r="F2660">
            <v>0</v>
          </cell>
          <cell r="G2660">
            <v>0</v>
          </cell>
        </row>
        <row r="2661">
          <cell r="D2661">
            <v>0</v>
          </cell>
          <cell r="E2661">
            <v>0</v>
          </cell>
          <cell r="F2661">
            <v>0</v>
          </cell>
          <cell r="G2661">
            <v>0</v>
          </cell>
        </row>
        <row r="2662">
          <cell r="D2662">
            <v>0</v>
          </cell>
          <cell r="E2662">
            <v>0</v>
          </cell>
          <cell r="F2662">
            <v>0</v>
          </cell>
          <cell r="G2662">
            <v>0</v>
          </cell>
        </row>
        <row r="2663">
          <cell r="D2663">
            <v>0</v>
          </cell>
          <cell r="E2663">
            <v>0</v>
          </cell>
          <cell r="F2663">
            <v>0</v>
          </cell>
          <cell r="G2663">
            <v>0</v>
          </cell>
        </row>
        <row r="2664">
          <cell r="D2664">
            <v>0</v>
          </cell>
          <cell r="E2664">
            <v>0</v>
          </cell>
          <cell r="F2664">
            <v>0</v>
          </cell>
          <cell r="G2664">
            <v>0</v>
          </cell>
        </row>
        <row r="2665">
          <cell r="D2665">
            <v>0</v>
          </cell>
          <cell r="E2665">
            <v>0</v>
          </cell>
          <cell r="F2665">
            <v>0</v>
          </cell>
          <cell r="G2665">
            <v>0</v>
          </cell>
        </row>
        <row r="2666">
          <cell r="D2666">
            <v>0</v>
          </cell>
          <cell r="E2666">
            <v>0</v>
          </cell>
          <cell r="F2666">
            <v>0</v>
          </cell>
          <cell r="G2666">
            <v>0</v>
          </cell>
        </row>
        <row r="2667">
          <cell r="D2667">
            <v>0</v>
          </cell>
          <cell r="E2667">
            <v>0</v>
          </cell>
          <cell r="F2667">
            <v>0</v>
          </cell>
          <cell r="G2667">
            <v>0</v>
          </cell>
        </row>
        <row r="2668">
          <cell r="D2668">
            <v>0</v>
          </cell>
          <cell r="E2668">
            <v>0</v>
          </cell>
          <cell r="F2668">
            <v>0</v>
          </cell>
          <cell r="G2668">
            <v>0</v>
          </cell>
        </row>
        <row r="2669">
          <cell r="D2669">
            <v>0</v>
          </cell>
          <cell r="E2669">
            <v>0</v>
          </cell>
          <cell r="F2669">
            <v>0</v>
          </cell>
          <cell r="G2669">
            <v>0</v>
          </cell>
        </row>
        <row r="2670">
          <cell r="D2670">
            <v>0</v>
          </cell>
          <cell r="E2670">
            <v>0</v>
          </cell>
          <cell r="F2670">
            <v>0</v>
          </cell>
          <cell r="G2670">
            <v>0</v>
          </cell>
        </row>
        <row r="2671">
          <cell r="D2671">
            <v>0</v>
          </cell>
          <cell r="E2671">
            <v>0</v>
          </cell>
          <cell r="F2671">
            <v>0</v>
          </cell>
          <cell r="G2671">
            <v>0</v>
          </cell>
        </row>
        <row r="2672">
          <cell r="D2672">
            <v>0</v>
          </cell>
          <cell r="E2672">
            <v>0</v>
          </cell>
          <cell r="F2672">
            <v>0</v>
          </cell>
          <cell r="G2672">
            <v>0</v>
          </cell>
        </row>
        <row r="2673">
          <cell r="D2673">
            <v>0</v>
          </cell>
          <cell r="E2673">
            <v>0</v>
          </cell>
          <cell r="F2673">
            <v>0</v>
          </cell>
          <cell r="G2673">
            <v>0</v>
          </cell>
        </row>
        <row r="2674">
          <cell r="D2674">
            <v>0</v>
          </cell>
          <cell r="E2674">
            <v>0</v>
          </cell>
          <cell r="F2674">
            <v>0</v>
          </cell>
          <cell r="G2674">
            <v>0</v>
          </cell>
        </row>
        <row r="2675">
          <cell r="D2675">
            <v>0</v>
          </cell>
          <cell r="E2675">
            <v>0</v>
          </cell>
          <cell r="F2675">
            <v>0</v>
          </cell>
          <cell r="G2675">
            <v>0</v>
          </cell>
        </row>
        <row r="2676">
          <cell r="D2676">
            <v>0</v>
          </cell>
          <cell r="E2676">
            <v>0</v>
          </cell>
          <cell r="F2676">
            <v>0</v>
          </cell>
          <cell r="G2676">
            <v>0</v>
          </cell>
        </row>
        <row r="2677">
          <cell r="D2677">
            <v>0</v>
          </cell>
          <cell r="E2677">
            <v>0</v>
          </cell>
          <cell r="F2677">
            <v>0</v>
          </cell>
          <cell r="G2677">
            <v>0</v>
          </cell>
        </row>
        <row r="2678">
          <cell r="D2678">
            <v>0</v>
          </cell>
          <cell r="E2678">
            <v>0</v>
          </cell>
          <cell r="F2678">
            <v>0</v>
          </cell>
          <cell r="G2678">
            <v>0</v>
          </cell>
        </row>
        <row r="2679">
          <cell r="D2679">
            <v>0</v>
          </cell>
          <cell r="E2679">
            <v>0</v>
          </cell>
          <cell r="F2679">
            <v>0</v>
          </cell>
          <cell r="G2679">
            <v>0</v>
          </cell>
        </row>
        <row r="2680">
          <cell r="D2680">
            <v>0</v>
          </cell>
          <cell r="E2680">
            <v>0</v>
          </cell>
          <cell r="F2680">
            <v>0</v>
          </cell>
          <cell r="G2680">
            <v>0</v>
          </cell>
        </row>
        <row r="2681">
          <cell r="D2681">
            <v>0</v>
          </cell>
          <cell r="E2681">
            <v>0</v>
          </cell>
          <cell r="F2681">
            <v>0</v>
          </cell>
          <cell r="G2681">
            <v>0</v>
          </cell>
        </row>
        <row r="2682">
          <cell r="D2682">
            <v>0</v>
          </cell>
          <cell r="E2682">
            <v>0</v>
          </cell>
          <cell r="F2682">
            <v>0</v>
          </cell>
          <cell r="G2682">
            <v>0</v>
          </cell>
        </row>
        <row r="2683">
          <cell r="D2683">
            <v>0</v>
          </cell>
          <cell r="E2683">
            <v>0</v>
          </cell>
          <cell r="F2683">
            <v>0</v>
          </cell>
          <cell r="G2683">
            <v>0</v>
          </cell>
        </row>
        <row r="2684">
          <cell r="D2684">
            <v>0</v>
          </cell>
          <cell r="E2684">
            <v>0</v>
          </cell>
          <cell r="F2684">
            <v>0</v>
          </cell>
          <cell r="G2684">
            <v>0</v>
          </cell>
        </row>
        <row r="2685">
          <cell r="D2685">
            <v>0</v>
          </cell>
          <cell r="E2685">
            <v>0</v>
          </cell>
          <cell r="F2685">
            <v>0</v>
          </cell>
          <cell r="G2685">
            <v>0</v>
          </cell>
        </row>
        <row r="2686">
          <cell r="D2686">
            <v>0</v>
          </cell>
          <cell r="E2686">
            <v>0</v>
          </cell>
          <cell r="F2686">
            <v>0</v>
          </cell>
          <cell r="G2686">
            <v>0</v>
          </cell>
        </row>
        <row r="2687">
          <cell r="D2687">
            <v>0</v>
          </cell>
          <cell r="E2687">
            <v>0</v>
          </cell>
          <cell r="F2687">
            <v>0</v>
          </cell>
          <cell r="G2687">
            <v>0</v>
          </cell>
        </row>
        <row r="2688">
          <cell r="D2688">
            <v>0</v>
          </cell>
          <cell r="E2688">
            <v>0</v>
          </cell>
          <cell r="F2688">
            <v>0</v>
          </cell>
          <cell r="G2688">
            <v>0</v>
          </cell>
        </row>
        <row r="2689">
          <cell r="D2689">
            <v>0</v>
          </cell>
          <cell r="E2689">
            <v>0</v>
          </cell>
          <cell r="F2689">
            <v>0</v>
          </cell>
          <cell r="G2689">
            <v>0</v>
          </cell>
        </row>
        <row r="2690">
          <cell r="D2690">
            <v>0</v>
          </cell>
          <cell r="E2690">
            <v>0</v>
          </cell>
          <cell r="F2690">
            <v>0</v>
          </cell>
          <cell r="G2690">
            <v>0</v>
          </cell>
        </row>
        <row r="2691">
          <cell r="D2691">
            <v>0</v>
          </cell>
          <cell r="E2691">
            <v>0</v>
          </cell>
          <cell r="F2691">
            <v>0</v>
          </cell>
          <cell r="G2691">
            <v>0</v>
          </cell>
        </row>
        <row r="2692">
          <cell r="D2692">
            <v>0</v>
          </cell>
          <cell r="E2692">
            <v>0</v>
          </cell>
          <cell r="F2692">
            <v>0</v>
          </cell>
          <cell r="G2692">
            <v>0</v>
          </cell>
        </row>
        <row r="2693">
          <cell r="D2693">
            <v>0</v>
          </cell>
          <cell r="E2693">
            <v>0</v>
          </cell>
          <cell r="F2693">
            <v>0</v>
          </cell>
          <cell r="G2693">
            <v>0</v>
          </cell>
        </row>
        <row r="2694">
          <cell r="D2694">
            <v>0</v>
          </cell>
          <cell r="E2694">
            <v>0</v>
          </cell>
          <cell r="F2694">
            <v>0</v>
          </cell>
          <cell r="G2694">
            <v>0</v>
          </cell>
        </row>
        <row r="2695">
          <cell r="D2695">
            <v>0</v>
          </cell>
          <cell r="E2695">
            <v>0</v>
          </cell>
          <cell r="F2695">
            <v>0</v>
          </cell>
          <cell r="G2695">
            <v>0</v>
          </cell>
        </row>
        <row r="2696">
          <cell r="D2696">
            <v>0</v>
          </cell>
          <cell r="E2696">
            <v>0</v>
          </cell>
          <cell r="F2696">
            <v>0</v>
          </cell>
          <cell r="G2696">
            <v>0</v>
          </cell>
        </row>
        <row r="2697">
          <cell r="D2697">
            <v>0</v>
          </cell>
          <cell r="E2697">
            <v>0</v>
          </cell>
          <cell r="F2697">
            <v>0</v>
          </cell>
          <cell r="G2697">
            <v>0</v>
          </cell>
        </row>
        <row r="2698">
          <cell r="D2698">
            <v>0</v>
          </cell>
          <cell r="E2698">
            <v>0</v>
          </cell>
          <cell r="F2698">
            <v>0</v>
          </cell>
          <cell r="G2698">
            <v>0</v>
          </cell>
        </row>
        <row r="2699">
          <cell r="D2699">
            <v>0</v>
          </cell>
          <cell r="E2699">
            <v>0</v>
          </cell>
          <cell r="F2699">
            <v>0</v>
          </cell>
          <cell r="G2699">
            <v>0</v>
          </cell>
        </row>
        <row r="2700">
          <cell r="D2700">
            <v>0</v>
          </cell>
          <cell r="E2700">
            <v>0</v>
          </cell>
          <cell r="F2700">
            <v>0</v>
          </cell>
          <cell r="G2700">
            <v>0</v>
          </cell>
        </row>
        <row r="2701">
          <cell r="D2701">
            <v>0</v>
          </cell>
          <cell r="E2701">
            <v>0</v>
          </cell>
          <cell r="F2701">
            <v>0</v>
          </cell>
          <cell r="G2701">
            <v>0</v>
          </cell>
        </row>
        <row r="2702">
          <cell r="D2702">
            <v>0</v>
          </cell>
          <cell r="E2702">
            <v>0</v>
          </cell>
          <cell r="F2702">
            <v>0</v>
          </cell>
          <cell r="G2702">
            <v>0</v>
          </cell>
        </row>
        <row r="2703">
          <cell r="D2703">
            <v>0</v>
          </cell>
          <cell r="E2703">
            <v>0</v>
          </cell>
          <cell r="F2703">
            <v>0</v>
          </cell>
          <cell r="G2703">
            <v>0</v>
          </cell>
        </row>
        <row r="2704">
          <cell r="D2704">
            <v>0</v>
          </cell>
          <cell r="E2704">
            <v>0</v>
          </cell>
          <cell r="F2704">
            <v>0</v>
          </cell>
          <cell r="G2704">
            <v>0</v>
          </cell>
        </row>
        <row r="2705">
          <cell r="D2705">
            <v>0</v>
          </cell>
          <cell r="E2705">
            <v>0</v>
          </cell>
          <cell r="F2705">
            <v>0</v>
          </cell>
          <cell r="G2705">
            <v>0</v>
          </cell>
        </row>
        <row r="2706">
          <cell r="D2706">
            <v>0</v>
          </cell>
          <cell r="E2706">
            <v>0</v>
          </cell>
          <cell r="F2706">
            <v>0</v>
          </cell>
          <cell r="G2706">
            <v>0</v>
          </cell>
        </row>
        <row r="2707">
          <cell r="D2707">
            <v>0</v>
          </cell>
          <cell r="E2707">
            <v>0</v>
          </cell>
          <cell r="F2707">
            <v>0</v>
          </cell>
          <cell r="G2707">
            <v>0</v>
          </cell>
        </row>
        <row r="2708">
          <cell r="D2708">
            <v>0</v>
          </cell>
          <cell r="E2708">
            <v>0</v>
          </cell>
          <cell r="F2708">
            <v>0</v>
          </cell>
          <cell r="G2708">
            <v>0</v>
          </cell>
        </row>
        <row r="2709">
          <cell r="D2709">
            <v>0</v>
          </cell>
          <cell r="E2709">
            <v>0</v>
          </cell>
          <cell r="F2709">
            <v>0</v>
          </cell>
          <cell r="G2709">
            <v>0</v>
          </cell>
        </row>
        <row r="2710">
          <cell r="D2710">
            <v>0</v>
          </cell>
          <cell r="E2710">
            <v>0</v>
          </cell>
          <cell r="F2710">
            <v>0</v>
          </cell>
          <cell r="G2710">
            <v>0</v>
          </cell>
        </row>
        <row r="2711">
          <cell r="D2711">
            <v>0</v>
          </cell>
          <cell r="E2711">
            <v>0</v>
          </cell>
          <cell r="F2711">
            <v>0</v>
          </cell>
          <cell r="G2711">
            <v>0</v>
          </cell>
        </row>
        <row r="2712">
          <cell r="D2712">
            <v>0</v>
          </cell>
          <cell r="E2712">
            <v>0</v>
          </cell>
          <cell r="F2712">
            <v>0</v>
          </cell>
          <cell r="G2712">
            <v>0</v>
          </cell>
        </row>
        <row r="2713">
          <cell r="D2713">
            <v>0</v>
          </cell>
          <cell r="E2713">
            <v>0</v>
          </cell>
          <cell r="F2713">
            <v>0</v>
          </cell>
          <cell r="G2713">
            <v>0</v>
          </cell>
        </row>
        <row r="2714">
          <cell r="D2714">
            <v>0</v>
          </cell>
          <cell r="E2714">
            <v>0</v>
          </cell>
          <cell r="F2714">
            <v>0</v>
          </cell>
          <cell r="G2714">
            <v>0</v>
          </cell>
        </row>
        <row r="2715">
          <cell r="D2715">
            <v>0</v>
          </cell>
          <cell r="E2715">
            <v>0</v>
          </cell>
          <cell r="F2715">
            <v>0</v>
          </cell>
          <cell r="G2715">
            <v>0</v>
          </cell>
        </row>
        <row r="2716">
          <cell r="D2716">
            <v>0</v>
          </cell>
          <cell r="E2716">
            <v>0</v>
          </cell>
          <cell r="F2716">
            <v>0</v>
          </cell>
          <cell r="G2716">
            <v>0</v>
          </cell>
        </row>
        <row r="2717">
          <cell r="D2717">
            <v>0</v>
          </cell>
          <cell r="E2717">
            <v>0</v>
          </cell>
          <cell r="F2717">
            <v>0</v>
          </cell>
          <cell r="G2717">
            <v>0</v>
          </cell>
        </row>
        <row r="2718">
          <cell r="D2718">
            <v>0</v>
          </cell>
          <cell r="E2718">
            <v>0</v>
          </cell>
          <cell r="F2718">
            <v>0</v>
          </cell>
          <cell r="G2718">
            <v>0</v>
          </cell>
        </row>
        <row r="2719">
          <cell r="D2719">
            <v>0</v>
          </cell>
          <cell r="E2719">
            <v>0</v>
          </cell>
          <cell r="F2719">
            <v>0</v>
          </cell>
          <cell r="G2719">
            <v>0</v>
          </cell>
        </row>
        <row r="2720">
          <cell r="D2720">
            <v>0</v>
          </cell>
          <cell r="E2720">
            <v>0</v>
          </cell>
          <cell r="F2720">
            <v>0</v>
          </cell>
          <cell r="G2720">
            <v>0</v>
          </cell>
        </row>
        <row r="2721">
          <cell r="D2721">
            <v>0</v>
          </cell>
          <cell r="E2721">
            <v>0</v>
          </cell>
          <cell r="F2721">
            <v>0</v>
          </cell>
          <cell r="G2721">
            <v>0</v>
          </cell>
        </row>
        <row r="2722">
          <cell r="D2722">
            <v>0</v>
          </cell>
          <cell r="E2722">
            <v>0</v>
          </cell>
          <cell r="F2722">
            <v>0</v>
          </cell>
          <cell r="G2722">
            <v>0</v>
          </cell>
        </row>
        <row r="2723">
          <cell r="D2723">
            <v>0</v>
          </cell>
          <cell r="E2723">
            <v>0</v>
          </cell>
          <cell r="F2723">
            <v>0</v>
          </cell>
          <cell r="G2723">
            <v>0</v>
          </cell>
        </row>
        <row r="2724">
          <cell r="D2724">
            <v>0</v>
          </cell>
          <cell r="E2724">
            <v>0</v>
          </cell>
          <cell r="F2724">
            <v>0</v>
          </cell>
          <cell r="G2724">
            <v>0</v>
          </cell>
        </row>
        <row r="2725">
          <cell r="D2725">
            <v>0</v>
          </cell>
          <cell r="E2725">
            <v>0</v>
          </cell>
          <cell r="F2725">
            <v>0</v>
          </cell>
          <cell r="G2725">
            <v>0</v>
          </cell>
        </row>
        <row r="2726">
          <cell r="D2726">
            <v>0</v>
          </cell>
          <cell r="E2726">
            <v>0</v>
          </cell>
          <cell r="F2726">
            <v>0</v>
          </cell>
          <cell r="G2726">
            <v>0</v>
          </cell>
        </row>
        <row r="2727">
          <cell r="D2727">
            <v>0</v>
          </cell>
          <cell r="E2727">
            <v>0</v>
          </cell>
          <cell r="F2727">
            <v>0</v>
          </cell>
          <cell r="G2727">
            <v>0</v>
          </cell>
        </row>
        <row r="2728">
          <cell r="D2728">
            <v>0</v>
          </cell>
          <cell r="E2728">
            <v>0</v>
          </cell>
          <cell r="F2728">
            <v>0</v>
          </cell>
          <cell r="G2728">
            <v>0</v>
          </cell>
        </row>
        <row r="2729">
          <cell r="D2729">
            <v>0</v>
          </cell>
          <cell r="E2729">
            <v>0</v>
          </cell>
          <cell r="F2729">
            <v>0</v>
          </cell>
          <cell r="G2729">
            <v>0</v>
          </cell>
        </row>
        <row r="2730">
          <cell r="D2730">
            <v>0</v>
          </cell>
          <cell r="E2730">
            <v>0</v>
          </cell>
          <cell r="F2730">
            <v>0</v>
          </cell>
          <cell r="G2730">
            <v>0</v>
          </cell>
        </row>
        <row r="2731">
          <cell r="D2731">
            <v>0</v>
          </cell>
          <cell r="E2731">
            <v>0</v>
          </cell>
          <cell r="F2731">
            <v>0</v>
          </cell>
          <cell r="G2731">
            <v>0</v>
          </cell>
        </row>
        <row r="2732">
          <cell r="D2732">
            <v>0</v>
          </cell>
          <cell r="E2732">
            <v>0</v>
          </cell>
          <cell r="F2732">
            <v>0</v>
          </cell>
          <cell r="G2732">
            <v>0</v>
          </cell>
        </row>
        <row r="2733">
          <cell r="D2733">
            <v>0</v>
          </cell>
          <cell r="E2733">
            <v>0</v>
          </cell>
          <cell r="F2733">
            <v>0</v>
          </cell>
          <cell r="G2733">
            <v>0</v>
          </cell>
        </row>
        <row r="2734">
          <cell r="D2734">
            <v>0</v>
          </cell>
          <cell r="E2734">
            <v>0</v>
          </cell>
          <cell r="F2734">
            <v>0</v>
          </cell>
          <cell r="G2734">
            <v>0</v>
          </cell>
        </row>
        <row r="2735">
          <cell r="D2735">
            <v>0</v>
          </cell>
          <cell r="E2735">
            <v>0</v>
          </cell>
          <cell r="F2735">
            <v>0</v>
          </cell>
          <cell r="G2735">
            <v>0</v>
          </cell>
        </row>
        <row r="2736">
          <cell r="D2736">
            <v>0</v>
          </cell>
          <cell r="E2736">
            <v>0</v>
          </cell>
          <cell r="F2736">
            <v>0</v>
          </cell>
          <cell r="G2736">
            <v>0</v>
          </cell>
        </row>
        <row r="2737">
          <cell r="D2737">
            <v>0</v>
          </cell>
          <cell r="E2737">
            <v>0</v>
          </cell>
          <cell r="F2737">
            <v>0</v>
          </cell>
          <cell r="G2737">
            <v>0</v>
          </cell>
        </row>
        <row r="2738">
          <cell r="D2738">
            <v>0</v>
          </cell>
          <cell r="E2738">
            <v>0</v>
          </cell>
          <cell r="F2738">
            <v>0</v>
          </cell>
          <cell r="G2738">
            <v>0</v>
          </cell>
        </row>
        <row r="2739">
          <cell r="D2739">
            <v>0</v>
          </cell>
          <cell r="E2739">
            <v>0</v>
          </cell>
          <cell r="F2739">
            <v>0</v>
          </cell>
          <cell r="G2739">
            <v>0</v>
          </cell>
        </row>
        <row r="2740">
          <cell r="D2740">
            <v>0</v>
          </cell>
          <cell r="E2740">
            <v>0</v>
          </cell>
          <cell r="F2740">
            <v>0</v>
          </cell>
          <cell r="G2740">
            <v>0</v>
          </cell>
        </row>
        <row r="2741">
          <cell r="D2741">
            <v>0</v>
          </cell>
          <cell r="E2741">
            <v>0</v>
          </cell>
          <cell r="F2741">
            <v>0</v>
          </cell>
          <cell r="G2741">
            <v>0</v>
          </cell>
        </row>
        <row r="2742">
          <cell r="D2742">
            <v>0</v>
          </cell>
          <cell r="E2742">
            <v>0</v>
          </cell>
          <cell r="F2742">
            <v>0</v>
          </cell>
          <cell r="G2742">
            <v>0</v>
          </cell>
        </row>
        <row r="2743">
          <cell r="D2743">
            <v>0</v>
          </cell>
          <cell r="E2743">
            <v>0</v>
          </cell>
          <cell r="F2743">
            <v>0</v>
          </cell>
          <cell r="G2743">
            <v>0</v>
          </cell>
        </row>
        <row r="2744">
          <cell r="D2744">
            <v>0</v>
          </cell>
          <cell r="E2744">
            <v>0</v>
          </cell>
          <cell r="F2744">
            <v>0</v>
          </cell>
          <cell r="G2744">
            <v>0</v>
          </cell>
        </row>
        <row r="2745">
          <cell r="D2745">
            <v>0</v>
          </cell>
          <cell r="E2745">
            <v>0</v>
          </cell>
          <cell r="F2745">
            <v>0</v>
          </cell>
          <cell r="G2745">
            <v>0</v>
          </cell>
        </row>
        <row r="2746">
          <cell r="D2746">
            <v>0</v>
          </cell>
          <cell r="E2746">
            <v>0</v>
          </cell>
          <cell r="F2746">
            <v>0</v>
          </cell>
          <cell r="G2746">
            <v>0</v>
          </cell>
        </row>
        <row r="2747">
          <cell r="D2747">
            <v>0</v>
          </cell>
          <cell r="E2747">
            <v>0</v>
          </cell>
          <cell r="F2747">
            <v>0</v>
          </cell>
          <cell r="G2747">
            <v>0</v>
          </cell>
        </row>
        <row r="2748">
          <cell r="D2748">
            <v>0</v>
          </cell>
          <cell r="E2748">
            <v>0</v>
          </cell>
          <cell r="F2748">
            <v>0</v>
          </cell>
          <cell r="G2748">
            <v>0</v>
          </cell>
        </row>
        <row r="2749">
          <cell r="D2749">
            <v>0</v>
          </cell>
          <cell r="E2749">
            <v>0</v>
          </cell>
          <cell r="F2749">
            <v>0</v>
          </cell>
          <cell r="G2749">
            <v>0</v>
          </cell>
        </row>
        <row r="2750">
          <cell r="D2750">
            <v>0</v>
          </cell>
          <cell r="E2750">
            <v>0</v>
          </cell>
          <cell r="F2750">
            <v>0</v>
          </cell>
          <cell r="G2750">
            <v>0</v>
          </cell>
        </row>
        <row r="2751">
          <cell r="D2751">
            <v>0</v>
          </cell>
          <cell r="E2751">
            <v>0</v>
          </cell>
          <cell r="F2751">
            <v>0</v>
          </cell>
          <cell r="G2751">
            <v>0</v>
          </cell>
        </row>
        <row r="2752">
          <cell r="D2752">
            <v>0</v>
          </cell>
          <cell r="E2752">
            <v>0</v>
          </cell>
          <cell r="F2752">
            <v>0</v>
          </cell>
          <cell r="G2752">
            <v>0</v>
          </cell>
        </row>
        <row r="2753">
          <cell r="D2753">
            <v>0</v>
          </cell>
          <cell r="E2753">
            <v>0</v>
          </cell>
          <cell r="F2753">
            <v>0</v>
          </cell>
          <cell r="G2753">
            <v>0</v>
          </cell>
        </row>
        <row r="2754">
          <cell r="D2754">
            <v>0</v>
          </cell>
          <cell r="E2754">
            <v>0</v>
          </cell>
          <cell r="F2754">
            <v>0</v>
          </cell>
          <cell r="G2754">
            <v>0</v>
          </cell>
        </row>
        <row r="2755">
          <cell r="D2755">
            <v>0</v>
          </cell>
          <cell r="E2755">
            <v>0</v>
          </cell>
          <cell r="F2755">
            <v>0</v>
          </cell>
          <cell r="G2755">
            <v>0</v>
          </cell>
        </row>
        <row r="2756">
          <cell r="D2756">
            <v>0</v>
          </cell>
          <cell r="E2756">
            <v>0</v>
          </cell>
          <cell r="F2756">
            <v>0</v>
          </cell>
          <cell r="G2756">
            <v>0</v>
          </cell>
        </row>
        <row r="2757">
          <cell r="D2757">
            <v>0</v>
          </cell>
          <cell r="E2757">
            <v>0</v>
          </cell>
          <cell r="F2757">
            <v>0</v>
          </cell>
          <cell r="G2757">
            <v>0</v>
          </cell>
        </row>
        <row r="2758">
          <cell r="D2758">
            <v>0</v>
          </cell>
          <cell r="E2758">
            <v>0</v>
          </cell>
          <cell r="F2758">
            <v>0</v>
          </cell>
          <cell r="G2758">
            <v>0</v>
          </cell>
        </row>
        <row r="2759">
          <cell r="D2759">
            <v>0</v>
          </cell>
          <cell r="E2759">
            <v>0</v>
          </cell>
          <cell r="F2759">
            <v>0</v>
          </cell>
          <cell r="G2759">
            <v>0</v>
          </cell>
        </row>
        <row r="2760">
          <cell r="D2760">
            <v>0</v>
          </cell>
          <cell r="E2760">
            <v>0</v>
          </cell>
          <cell r="F2760">
            <v>0</v>
          </cell>
          <cell r="G2760">
            <v>0</v>
          </cell>
        </row>
        <row r="2761">
          <cell r="D2761">
            <v>0</v>
          </cell>
          <cell r="E2761">
            <v>0</v>
          </cell>
          <cell r="F2761">
            <v>0</v>
          </cell>
          <cell r="G2761">
            <v>0</v>
          </cell>
        </row>
        <row r="2762">
          <cell r="D2762">
            <v>0</v>
          </cell>
          <cell r="E2762">
            <v>0</v>
          </cell>
          <cell r="F2762">
            <v>0</v>
          </cell>
          <cell r="G2762">
            <v>0</v>
          </cell>
        </row>
        <row r="2763">
          <cell r="D2763">
            <v>0</v>
          </cell>
          <cell r="E2763">
            <v>0</v>
          </cell>
          <cell r="F2763">
            <v>0</v>
          </cell>
          <cell r="G2763">
            <v>0</v>
          </cell>
        </row>
        <row r="2764">
          <cell r="D2764">
            <v>0</v>
          </cell>
          <cell r="E2764">
            <v>0</v>
          </cell>
          <cell r="F2764">
            <v>0</v>
          </cell>
          <cell r="G2764">
            <v>0</v>
          </cell>
        </row>
        <row r="2765">
          <cell r="D2765">
            <v>0</v>
          </cell>
          <cell r="E2765">
            <v>0</v>
          </cell>
          <cell r="F2765">
            <v>0</v>
          </cell>
          <cell r="G2765">
            <v>0</v>
          </cell>
        </row>
        <row r="2766">
          <cell r="D2766">
            <v>0</v>
          </cell>
          <cell r="E2766">
            <v>0</v>
          </cell>
          <cell r="F2766">
            <v>0</v>
          </cell>
          <cell r="G2766">
            <v>0</v>
          </cell>
        </row>
        <row r="2767">
          <cell r="D2767">
            <v>0</v>
          </cell>
          <cell r="E2767">
            <v>0</v>
          </cell>
          <cell r="F2767">
            <v>0</v>
          </cell>
          <cell r="G2767">
            <v>0</v>
          </cell>
        </row>
        <row r="2768">
          <cell r="D2768">
            <v>0</v>
          </cell>
          <cell r="E2768">
            <v>0</v>
          </cell>
          <cell r="F2768">
            <v>0</v>
          </cell>
          <cell r="G2768">
            <v>0</v>
          </cell>
        </row>
        <row r="2769">
          <cell r="D2769">
            <v>0</v>
          </cell>
          <cell r="E2769">
            <v>0</v>
          </cell>
          <cell r="F2769">
            <v>0</v>
          </cell>
          <cell r="G2769">
            <v>0</v>
          </cell>
        </row>
        <row r="2770">
          <cell r="D2770">
            <v>0</v>
          </cell>
          <cell r="E2770">
            <v>0</v>
          </cell>
          <cell r="F2770">
            <v>0</v>
          </cell>
          <cell r="G2770">
            <v>0</v>
          </cell>
        </row>
        <row r="2771">
          <cell r="D2771">
            <v>0</v>
          </cell>
          <cell r="E2771">
            <v>0</v>
          </cell>
          <cell r="F2771">
            <v>0</v>
          </cell>
          <cell r="G2771">
            <v>0</v>
          </cell>
        </row>
        <row r="2772">
          <cell r="D2772">
            <v>0</v>
          </cell>
          <cell r="E2772">
            <v>0</v>
          </cell>
          <cell r="F2772">
            <v>0</v>
          </cell>
          <cell r="G2772">
            <v>0</v>
          </cell>
        </row>
        <row r="2773">
          <cell r="D2773">
            <v>0</v>
          </cell>
          <cell r="E2773">
            <v>0</v>
          </cell>
          <cell r="F2773">
            <v>0</v>
          </cell>
          <cell r="G2773">
            <v>0</v>
          </cell>
        </row>
        <row r="2774">
          <cell r="D2774">
            <v>0</v>
          </cell>
          <cell r="E2774">
            <v>0</v>
          </cell>
          <cell r="F2774">
            <v>0</v>
          </cell>
          <cell r="G2774">
            <v>0</v>
          </cell>
        </row>
        <row r="2775">
          <cell r="D2775">
            <v>0</v>
          </cell>
          <cell r="E2775">
            <v>0</v>
          </cell>
          <cell r="F2775">
            <v>0</v>
          </cell>
          <cell r="G2775">
            <v>0</v>
          </cell>
        </row>
        <row r="2776">
          <cell r="D2776">
            <v>0</v>
          </cell>
          <cell r="E2776">
            <v>0</v>
          </cell>
          <cell r="F2776">
            <v>0</v>
          </cell>
          <cell r="G2776">
            <v>0</v>
          </cell>
        </row>
        <row r="2777">
          <cell r="D2777">
            <v>0</v>
          </cell>
          <cell r="E2777">
            <v>0</v>
          </cell>
          <cell r="F2777">
            <v>0</v>
          </cell>
          <cell r="G2777">
            <v>0</v>
          </cell>
        </row>
        <row r="2778">
          <cell r="D2778">
            <v>0</v>
          </cell>
          <cell r="E2778">
            <v>0</v>
          </cell>
          <cell r="F2778">
            <v>0</v>
          </cell>
          <cell r="G2778">
            <v>0</v>
          </cell>
        </row>
        <row r="2779">
          <cell r="D2779">
            <v>0</v>
          </cell>
          <cell r="E2779">
            <v>0</v>
          </cell>
          <cell r="F2779">
            <v>0</v>
          </cell>
          <cell r="G2779">
            <v>0</v>
          </cell>
        </row>
        <row r="2780">
          <cell r="D2780">
            <v>0</v>
          </cell>
          <cell r="E2780">
            <v>0</v>
          </cell>
          <cell r="F2780">
            <v>0</v>
          </cell>
          <cell r="G2780">
            <v>0</v>
          </cell>
        </row>
        <row r="2781">
          <cell r="D2781">
            <v>0</v>
          </cell>
          <cell r="E2781">
            <v>0</v>
          </cell>
          <cell r="F2781">
            <v>0</v>
          </cell>
          <cell r="G2781">
            <v>0</v>
          </cell>
        </row>
        <row r="2782">
          <cell r="D2782">
            <v>0</v>
          </cell>
          <cell r="E2782">
            <v>0</v>
          </cell>
          <cell r="F2782">
            <v>0</v>
          </cell>
          <cell r="G2782">
            <v>0</v>
          </cell>
        </row>
        <row r="2783">
          <cell r="D2783">
            <v>0</v>
          </cell>
          <cell r="E2783">
            <v>0</v>
          </cell>
          <cell r="F2783">
            <v>0</v>
          </cell>
          <cell r="G2783">
            <v>0</v>
          </cell>
        </row>
        <row r="2784">
          <cell r="D2784">
            <v>0</v>
          </cell>
          <cell r="E2784">
            <v>0</v>
          </cell>
          <cell r="F2784">
            <v>0</v>
          </cell>
          <cell r="G2784">
            <v>0</v>
          </cell>
        </row>
        <row r="2785">
          <cell r="D2785">
            <v>0</v>
          </cell>
          <cell r="E2785">
            <v>0</v>
          </cell>
          <cell r="F2785">
            <v>0</v>
          </cell>
          <cell r="G2785">
            <v>0</v>
          </cell>
        </row>
        <row r="2786">
          <cell r="D2786">
            <v>0</v>
          </cell>
          <cell r="E2786">
            <v>0</v>
          </cell>
          <cell r="F2786">
            <v>0</v>
          </cell>
          <cell r="G2786">
            <v>0</v>
          </cell>
        </row>
        <row r="2787">
          <cell r="D2787">
            <v>0</v>
          </cell>
          <cell r="E2787">
            <v>0</v>
          </cell>
          <cell r="F2787">
            <v>0</v>
          </cell>
          <cell r="G2787">
            <v>0</v>
          </cell>
        </row>
        <row r="2788">
          <cell r="D2788">
            <v>0</v>
          </cell>
          <cell r="E2788">
            <v>0</v>
          </cell>
          <cell r="F2788">
            <v>0</v>
          </cell>
          <cell r="G2788">
            <v>0</v>
          </cell>
        </row>
        <row r="2789">
          <cell r="D2789">
            <v>0</v>
          </cell>
          <cell r="E2789">
            <v>0</v>
          </cell>
          <cell r="F2789">
            <v>0</v>
          </cell>
          <cell r="G2789">
            <v>0</v>
          </cell>
        </row>
        <row r="2790">
          <cell r="D2790">
            <v>0</v>
          </cell>
          <cell r="E2790">
            <v>0</v>
          </cell>
          <cell r="F2790">
            <v>0</v>
          </cell>
          <cell r="G2790">
            <v>0</v>
          </cell>
        </row>
        <row r="2791">
          <cell r="D2791">
            <v>0</v>
          </cell>
          <cell r="E2791">
            <v>0</v>
          </cell>
          <cell r="F2791">
            <v>0</v>
          </cell>
          <cell r="G2791">
            <v>0</v>
          </cell>
        </row>
        <row r="2792">
          <cell r="D2792">
            <v>0</v>
          </cell>
          <cell r="E2792">
            <v>0</v>
          </cell>
          <cell r="F2792">
            <v>0</v>
          </cell>
          <cell r="G2792">
            <v>0</v>
          </cell>
        </row>
        <row r="2793">
          <cell r="D2793">
            <v>0</v>
          </cell>
          <cell r="E2793">
            <v>0</v>
          </cell>
          <cell r="F2793">
            <v>0</v>
          </cell>
          <cell r="G2793">
            <v>0</v>
          </cell>
        </row>
        <row r="2794">
          <cell r="D2794">
            <v>0</v>
          </cell>
          <cell r="E2794">
            <v>0</v>
          </cell>
          <cell r="F2794">
            <v>0</v>
          </cell>
          <cell r="G2794">
            <v>0</v>
          </cell>
        </row>
        <row r="2795">
          <cell r="D2795">
            <v>0</v>
          </cell>
          <cell r="E2795">
            <v>0</v>
          </cell>
          <cell r="F2795">
            <v>0</v>
          </cell>
          <cell r="G2795">
            <v>0</v>
          </cell>
        </row>
        <row r="2796">
          <cell r="D2796">
            <v>0</v>
          </cell>
          <cell r="E2796">
            <v>0</v>
          </cell>
          <cell r="F2796">
            <v>0</v>
          </cell>
          <cell r="G2796">
            <v>0</v>
          </cell>
        </row>
        <row r="2797">
          <cell r="D2797">
            <v>0</v>
          </cell>
          <cell r="E2797">
            <v>0</v>
          </cell>
          <cell r="F2797">
            <v>0</v>
          </cell>
          <cell r="G2797">
            <v>0</v>
          </cell>
        </row>
        <row r="2798">
          <cell r="D2798">
            <v>0</v>
          </cell>
          <cell r="E2798">
            <v>0</v>
          </cell>
          <cell r="F2798">
            <v>0</v>
          </cell>
          <cell r="G2798">
            <v>0</v>
          </cell>
        </row>
        <row r="2799">
          <cell r="D2799">
            <v>0</v>
          </cell>
          <cell r="E2799">
            <v>0</v>
          </cell>
          <cell r="F2799">
            <v>0</v>
          </cell>
          <cell r="G2799">
            <v>0</v>
          </cell>
        </row>
        <row r="2800">
          <cell r="D2800">
            <v>0</v>
          </cell>
          <cell r="E2800">
            <v>0</v>
          </cell>
          <cell r="F2800">
            <v>0</v>
          </cell>
          <cell r="G2800">
            <v>0</v>
          </cell>
        </row>
        <row r="2801">
          <cell r="D2801">
            <v>0</v>
          </cell>
          <cell r="E2801">
            <v>0</v>
          </cell>
          <cell r="F2801">
            <v>0</v>
          </cell>
          <cell r="G2801">
            <v>0</v>
          </cell>
        </row>
        <row r="2802">
          <cell r="D2802">
            <v>0</v>
          </cell>
          <cell r="E2802">
            <v>0</v>
          </cell>
          <cell r="F2802">
            <v>0</v>
          </cell>
          <cell r="G2802">
            <v>0</v>
          </cell>
        </row>
        <row r="2803">
          <cell r="D2803">
            <v>0</v>
          </cell>
          <cell r="E2803">
            <v>0</v>
          </cell>
          <cell r="F2803">
            <v>0</v>
          </cell>
          <cell r="G2803">
            <v>0</v>
          </cell>
        </row>
        <row r="2804">
          <cell r="D2804">
            <v>0</v>
          </cell>
          <cell r="E2804">
            <v>0</v>
          </cell>
          <cell r="F2804">
            <v>0</v>
          </cell>
          <cell r="G2804">
            <v>0</v>
          </cell>
        </row>
        <row r="2805">
          <cell r="D2805">
            <v>0</v>
          </cell>
          <cell r="E2805">
            <v>0</v>
          </cell>
          <cell r="F2805">
            <v>0</v>
          </cell>
          <cell r="G2805">
            <v>0</v>
          </cell>
        </row>
        <row r="2806">
          <cell r="D2806">
            <v>0</v>
          </cell>
          <cell r="E2806">
            <v>0</v>
          </cell>
          <cell r="F2806">
            <v>0</v>
          </cell>
          <cell r="G2806">
            <v>0</v>
          </cell>
        </row>
        <row r="2807">
          <cell r="D2807">
            <v>0</v>
          </cell>
          <cell r="E2807">
            <v>0</v>
          </cell>
          <cell r="F2807">
            <v>0</v>
          </cell>
          <cell r="G2807">
            <v>0</v>
          </cell>
        </row>
        <row r="2808">
          <cell r="D2808">
            <v>0</v>
          </cell>
          <cell r="E2808">
            <v>0</v>
          </cell>
          <cell r="F2808">
            <v>0</v>
          </cell>
          <cell r="G2808">
            <v>0</v>
          </cell>
        </row>
        <row r="2809">
          <cell r="D2809">
            <v>0</v>
          </cell>
          <cell r="E2809">
            <v>0</v>
          </cell>
          <cell r="F2809">
            <v>0</v>
          </cell>
          <cell r="G2809">
            <v>0</v>
          </cell>
        </row>
        <row r="2810">
          <cell r="D2810">
            <v>0</v>
          </cell>
          <cell r="E2810">
            <v>0</v>
          </cell>
          <cell r="F2810">
            <v>0</v>
          </cell>
          <cell r="G2810">
            <v>0</v>
          </cell>
        </row>
        <row r="2811">
          <cell r="D2811">
            <v>0</v>
          </cell>
          <cell r="E2811">
            <v>0</v>
          </cell>
          <cell r="F2811">
            <v>0</v>
          </cell>
          <cell r="G2811">
            <v>0</v>
          </cell>
        </row>
        <row r="2812">
          <cell r="D2812">
            <v>0</v>
          </cell>
          <cell r="E2812">
            <v>0</v>
          </cell>
          <cell r="F2812">
            <v>0</v>
          </cell>
          <cell r="G2812">
            <v>0</v>
          </cell>
        </row>
        <row r="2813">
          <cell r="D2813">
            <v>0</v>
          </cell>
          <cell r="E2813">
            <v>0</v>
          </cell>
          <cell r="F2813">
            <v>0</v>
          </cell>
          <cell r="G2813">
            <v>0</v>
          </cell>
        </row>
        <row r="2814">
          <cell r="D2814">
            <v>0</v>
          </cell>
          <cell r="E2814">
            <v>0</v>
          </cell>
          <cell r="F2814">
            <v>0</v>
          </cell>
          <cell r="G2814">
            <v>0</v>
          </cell>
        </row>
        <row r="2815">
          <cell r="D2815">
            <v>0</v>
          </cell>
          <cell r="E2815">
            <v>0</v>
          </cell>
          <cell r="F2815">
            <v>0</v>
          </cell>
          <cell r="G2815">
            <v>0</v>
          </cell>
        </row>
        <row r="2816">
          <cell r="D2816">
            <v>0</v>
          </cell>
          <cell r="E2816">
            <v>0</v>
          </cell>
          <cell r="F2816">
            <v>0</v>
          </cell>
          <cell r="G2816">
            <v>0</v>
          </cell>
        </row>
        <row r="2817">
          <cell r="D2817">
            <v>0</v>
          </cell>
          <cell r="E2817">
            <v>0</v>
          </cell>
          <cell r="F2817">
            <v>0</v>
          </cell>
          <cell r="G2817">
            <v>0</v>
          </cell>
        </row>
        <row r="2818">
          <cell r="D2818">
            <v>0</v>
          </cell>
          <cell r="E2818">
            <v>0</v>
          </cell>
          <cell r="F2818">
            <v>0</v>
          </cell>
          <cell r="G2818">
            <v>0</v>
          </cell>
        </row>
        <row r="2819">
          <cell r="D2819">
            <v>0</v>
          </cell>
          <cell r="E2819">
            <v>0</v>
          </cell>
          <cell r="F2819">
            <v>0</v>
          </cell>
          <cell r="G2819">
            <v>0</v>
          </cell>
        </row>
        <row r="2820">
          <cell r="D2820">
            <v>0</v>
          </cell>
          <cell r="E2820">
            <v>0</v>
          </cell>
          <cell r="F2820">
            <v>0</v>
          </cell>
          <cell r="G2820">
            <v>0</v>
          </cell>
        </row>
        <row r="2821">
          <cell r="D2821">
            <v>0</v>
          </cell>
          <cell r="E2821">
            <v>0</v>
          </cell>
          <cell r="F2821">
            <v>0</v>
          </cell>
          <cell r="G2821">
            <v>0</v>
          </cell>
        </row>
        <row r="2822">
          <cell r="D2822">
            <v>0</v>
          </cell>
          <cell r="E2822">
            <v>0</v>
          </cell>
          <cell r="F2822">
            <v>0</v>
          </cell>
          <cell r="G2822">
            <v>0</v>
          </cell>
        </row>
        <row r="2823">
          <cell r="D2823">
            <v>0</v>
          </cell>
          <cell r="E2823">
            <v>0</v>
          </cell>
          <cell r="F2823">
            <v>0</v>
          </cell>
          <cell r="G2823">
            <v>0</v>
          </cell>
        </row>
        <row r="2824">
          <cell r="D2824">
            <v>0</v>
          </cell>
          <cell r="E2824">
            <v>0</v>
          </cell>
          <cell r="F2824">
            <v>0</v>
          </cell>
          <cell r="G2824">
            <v>0</v>
          </cell>
        </row>
        <row r="2825">
          <cell r="D2825">
            <v>0</v>
          </cell>
          <cell r="E2825">
            <v>0</v>
          </cell>
          <cell r="F2825">
            <v>0</v>
          </cell>
          <cell r="G2825">
            <v>0</v>
          </cell>
        </row>
        <row r="2826">
          <cell r="D2826">
            <v>0</v>
          </cell>
          <cell r="E2826">
            <v>0</v>
          </cell>
          <cell r="F2826">
            <v>0</v>
          </cell>
          <cell r="G2826">
            <v>0</v>
          </cell>
        </row>
        <row r="2827">
          <cell r="D2827">
            <v>0</v>
          </cell>
          <cell r="E2827">
            <v>0</v>
          </cell>
          <cell r="F2827">
            <v>0</v>
          </cell>
          <cell r="G2827">
            <v>0</v>
          </cell>
        </row>
        <row r="2828">
          <cell r="D2828">
            <v>0</v>
          </cell>
          <cell r="E2828">
            <v>0</v>
          </cell>
          <cell r="F2828">
            <v>0</v>
          </cell>
          <cell r="G2828">
            <v>0</v>
          </cell>
        </row>
        <row r="2829">
          <cell r="D2829">
            <v>0</v>
          </cell>
          <cell r="E2829">
            <v>0</v>
          </cell>
          <cell r="F2829">
            <v>0</v>
          </cell>
          <cell r="G2829">
            <v>0</v>
          </cell>
        </row>
        <row r="2830">
          <cell r="D2830">
            <v>0</v>
          </cell>
          <cell r="E2830">
            <v>0</v>
          </cell>
          <cell r="F2830">
            <v>0</v>
          </cell>
          <cell r="G2830">
            <v>0</v>
          </cell>
        </row>
        <row r="2831">
          <cell r="D2831">
            <v>0</v>
          </cell>
          <cell r="E2831">
            <v>0</v>
          </cell>
          <cell r="F2831">
            <v>0</v>
          </cell>
          <cell r="G2831">
            <v>0</v>
          </cell>
        </row>
        <row r="2832">
          <cell r="D2832">
            <v>0</v>
          </cell>
          <cell r="E2832">
            <v>0</v>
          </cell>
          <cell r="F2832">
            <v>0</v>
          </cell>
          <cell r="G2832">
            <v>0</v>
          </cell>
        </row>
        <row r="2833">
          <cell r="D2833">
            <v>0</v>
          </cell>
          <cell r="E2833">
            <v>0</v>
          </cell>
          <cell r="F2833">
            <v>0</v>
          </cell>
          <cell r="G2833">
            <v>0</v>
          </cell>
        </row>
        <row r="2834">
          <cell r="D2834">
            <v>0</v>
          </cell>
          <cell r="E2834">
            <v>0</v>
          </cell>
          <cell r="F2834">
            <v>0</v>
          </cell>
          <cell r="G2834">
            <v>0</v>
          </cell>
        </row>
        <row r="2835">
          <cell r="D2835">
            <v>0</v>
          </cell>
          <cell r="E2835">
            <v>0</v>
          </cell>
          <cell r="F2835">
            <v>0</v>
          </cell>
          <cell r="G2835">
            <v>0</v>
          </cell>
        </row>
        <row r="2836">
          <cell r="D2836">
            <v>0</v>
          </cell>
          <cell r="E2836">
            <v>0</v>
          </cell>
          <cell r="F2836">
            <v>0</v>
          </cell>
          <cell r="G2836">
            <v>0</v>
          </cell>
        </row>
        <row r="2837">
          <cell r="D2837">
            <v>0</v>
          </cell>
          <cell r="E2837">
            <v>0</v>
          </cell>
          <cell r="F2837">
            <v>0</v>
          </cell>
          <cell r="G2837">
            <v>0</v>
          </cell>
        </row>
        <row r="2838">
          <cell r="D2838">
            <v>0</v>
          </cell>
          <cell r="E2838">
            <v>0</v>
          </cell>
          <cell r="F2838">
            <v>0</v>
          </cell>
          <cell r="G2838">
            <v>0</v>
          </cell>
        </row>
        <row r="2839">
          <cell r="D2839">
            <v>0</v>
          </cell>
          <cell r="E2839">
            <v>0</v>
          </cell>
          <cell r="F2839">
            <v>0</v>
          </cell>
          <cell r="G2839">
            <v>0</v>
          </cell>
        </row>
        <row r="2840">
          <cell r="D2840">
            <v>0</v>
          </cell>
          <cell r="E2840">
            <v>0</v>
          </cell>
          <cell r="F2840">
            <v>0</v>
          </cell>
          <cell r="G2840">
            <v>0</v>
          </cell>
        </row>
        <row r="2841">
          <cell r="D2841">
            <v>0</v>
          </cell>
          <cell r="E2841">
            <v>0</v>
          </cell>
          <cell r="F2841">
            <v>0</v>
          </cell>
          <cell r="G2841">
            <v>0</v>
          </cell>
        </row>
        <row r="2842">
          <cell r="D2842">
            <v>0</v>
          </cell>
          <cell r="E2842">
            <v>0</v>
          </cell>
          <cell r="F2842">
            <v>0</v>
          </cell>
          <cell r="G2842">
            <v>0</v>
          </cell>
        </row>
        <row r="2843">
          <cell r="D2843">
            <v>0</v>
          </cell>
          <cell r="E2843">
            <v>0</v>
          </cell>
          <cell r="F2843">
            <v>0</v>
          </cell>
          <cell r="G2843">
            <v>0</v>
          </cell>
        </row>
        <row r="2844">
          <cell r="D2844">
            <v>0</v>
          </cell>
          <cell r="E2844">
            <v>0</v>
          </cell>
          <cell r="F2844">
            <v>0</v>
          </cell>
          <cell r="G2844">
            <v>0</v>
          </cell>
        </row>
        <row r="2845">
          <cell r="D2845">
            <v>0</v>
          </cell>
          <cell r="E2845">
            <v>0</v>
          </cell>
          <cell r="F2845">
            <v>0</v>
          </cell>
          <cell r="G2845">
            <v>0</v>
          </cell>
        </row>
        <row r="2846">
          <cell r="D2846">
            <v>0</v>
          </cell>
          <cell r="E2846">
            <v>0</v>
          </cell>
          <cell r="F2846">
            <v>0</v>
          </cell>
          <cell r="G2846">
            <v>0</v>
          </cell>
        </row>
        <row r="2847">
          <cell r="D2847">
            <v>0</v>
          </cell>
          <cell r="E2847">
            <v>0</v>
          </cell>
          <cell r="F2847">
            <v>0</v>
          </cell>
          <cell r="G2847">
            <v>0</v>
          </cell>
        </row>
        <row r="2848">
          <cell r="D2848">
            <v>0</v>
          </cell>
          <cell r="E2848">
            <v>0</v>
          </cell>
          <cell r="F2848">
            <v>0</v>
          </cell>
          <cell r="G2848">
            <v>0</v>
          </cell>
        </row>
        <row r="2849">
          <cell r="D2849">
            <v>0</v>
          </cell>
          <cell r="E2849">
            <v>0</v>
          </cell>
          <cell r="F2849">
            <v>0</v>
          </cell>
          <cell r="G2849">
            <v>0</v>
          </cell>
        </row>
        <row r="2850">
          <cell r="D2850">
            <v>0</v>
          </cell>
          <cell r="E2850">
            <v>0</v>
          </cell>
          <cell r="F2850">
            <v>0</v>
          </cell>
          <cell r="G2850">
            <v>0</v>
          </cell>
        </row>
        <row r="2851">
          <cell r="D2851">
            <v>0</v>
          </cell>
          <cell r="E2851">
            <v>0</v>
          </cell>
          <cell r="F2851">
            <v>0</v>
          </cell>
          <cell r="G2851">
            <v>0</v>
          </cell>
        </row>
        <row r="2852">
          <cell r="D2852">
            <v>0</v>
          </cell>
          <cell r="E2852">
            <v>0</v>
          </cell>
          <cell r="F2852">
            <v>0</v>
          </cell>
          <cell r="G2852">
            <v>0</v>
          </cell>
        </row>
        <row r="2853">
          <cell r="D2853">
            <v>0</v>
          </cell>
          <cell r="E2853">
            <v>0</v>
          </cell>
          <cell r="F2853">
            <v>0</v>
          </cell>
          <cell r="G2853">
            <v>0</v>
          </cell>
        </row>
        <row r="2854">
          <cell r="D2854">
            <v>0</v>
          </cell>
          <cell r="E2854">
            <v>0</v>
          </cell>
          <cell r="F2854">
            <v>0</v>
          </cell>
          <cell r="G2854">
            <v>0</v>
          </cell>
        </row>
        <row r="2855">
          <cell r="D2855">
            <v>0</v>
          </cell>
          <cell r="E2855">
            <v>0</v>
          </cell>
          <cell r="F2855">
            <v>0</v>
          </cell>
          <cell r="G2855">
            <v>0</v>
          </cell>
        </row>
        <row r="2856">
          <cell r="D2856">
            <v>0</v>
          </cell>
          <cell r="E2856">
            <v>0</v>
          </cell>
          <cell r="F2856">
            <v>0</v>
          </cell>
          <cell r="G2856">
            <v>0</v>
          </cell>
        </row>
        <row r="2857">
          <cell r="D2857">
            <v>0</v>
          </cell>
          <cell r="E2857">
            <v>0</v>
          </cell>
          <cell r="F2857">
            <v>0</v>
          </cell>
          <cell r="G2857">
            <v>0</v>
          </cell>
        </row>
        <row r="2858">
          <cell r="D2858">
            <v>0</v>
          </cell>
          <cell r="E2858">
            <v>0</v>
          </cell>
          <cell r="F2858">
            <v>0</v>
          </cell>
          <cell r="G2858">
            <v>0</v>
          </cell>
        </row>
        <row r="2859">
          <cell r="D2859">
            <v>0</v>
          </cell>
          <cell r="E2859">
            <v>0</v>
          </cell>
          <cell r="F2859">
            <v>0</v>
          </cell>
          <cell r="G2859">
            <v>0</v>
          </cell>
        </row>
        <row r="2860">
          <cell r="D2860">
            <v>0</v>
          </cell>
          <cell r="E2860">
            <v>0</v>
          </cell>
          <cell r="F2860">
            <v>0</v>
          </cell>
          <cell r="G2860">
            <v>0</v>
          </cell>
        </row>
        <row r="2861">
          <cell r="D2861">
            <v>0</v>
          </cell>
          <cell r="E2861">
            <v>0</v>
          </cell>
          <cell r="F2861">
            <v>0</v>
          </cell>
          <cell r="G2861">
            <v>0</v>
          </cell>
        </row>
        <row r="2862">
          <cell r="D2862">
            <v>0</v>
          </cell>
          <cell r="E2862">
            <v>0</v>
          </cell>
          <cell r="F2862">
            <v>0</v>
          </cell>
          <cell r="G2862">
            <v>0</v>
          </cell>
        </row>
        <row r="2863">
          <cell r="D2863">
            <v>0</v>
          </cell>
          <cell r="E2863">
            <v>0</v>
          </cell>
          <cell r="F2863">
            <v>0</v>
          </cell>
          <cell r="G2863">
            <v>0</v>
          </cell>
        </row>
        <row r="2864">
          <cell r="D2864">
            <v>0</v>
          </cell>
          <cell r="E2864">
            <v>0</v>
          </cell>
          <cell r="F2864">
            <v>0</v>
          </cell>
          <cell r="G2864">
            <v>0</v>
          </cell>
        </row>
        <row r="2865">
          <cell r="D2865">
            <v>0</v>
          </cell>
          <cell r="E2865">
            <v>0</v>
          </cell>
          <cell r="F2865">
            <v>0</v>
          </cell>
          <cell r="G2865">
            <v>0</v>
          </cell>
        </row>
        <row r="2866">
          <cell r="D2866">
            <v>0</v>
          </cell>
          <cell r="E2866">
            <v>0</v>
          </cell>
          <cell r="F2866">
            <v>0</v>
          </cell>
          <cell r="G2866">
            <v>0</v>
          </cell>
        </row>
        <row r="2867">
          <cell r="D2867">
            <v>0</v>
          </cell>
          <cell r="E2867">
            <v>0</v>
          </cell>
          <cell r="F2867">
            <v>0</v>
          </cell>
          <cell r="G2867">
            <v>0</v>
          </cell>
        </row>
        <row r="2868">
          <cell r="D2868">
            <v>0</v>
          </cell>
          <cell r="E2868">
            <v>0</v>
          </cell>
          <cell r="F2868">
            <v>0</v>
          </cell>
          <cell r="G2868">
            <v>0</v>
          </cell>
        </row>
        <row r="2869">
          <cell r="D2869">
            <v>0</v>
          </cell>
          <cell r="E2869">
            <v>0</v>
          </cell>
          <cell r="F2869">
            <v>0</v>
          </cell>
          <cell r="G2869">
            <v>0</v>
          </cell>
        </row>
        <row r="2870">
          <cell r="D2870">
            <v>0</v>
          </cell>
          <cell r="E2870">
            <v>0</v>
          </cell>
          <cell r="F2870">
            <v>0</v>
          </cell>
          <cell r="G2870">
            <v>0</v>
          </cell>
        </row>
        <row r="2871">
          <cell r="D2871">
            <v>0</v>
          </cell>
          <cell r="E2871">
            <v>0</v>
          </cell>
          <cell r="F2871">
            <v>0</v>
          </cell>
          <cell r="G2871">
            <v>0</v>
          </cell>
        </row>
        <row r="2872">
          <cell r="D2872">
            <v>0</v>
          </cell>
          <cell r="E2872">
            <v>0</v>
          </cell>
          <cell r="F2872">
            <v>0</v>
          </cell>
          <cell r="G2872">
            <v>0</v>
          </cell>
        </row>
        <row r="2873">
          <cell r="D2873">
            <v>0</v>
          </cell>
          <cell r="E2873">
            <v>0</v>
          </cell>
          <cell r="F2873">
            <v>0</v>
          </cell>
          <cell r="G2873">
            <v>0</v>
          </cell>
        </row>
        <row r="2874">
          <cell r="D2874">
            <v>0</v>
          </cell>
          <cell r="E2874">
            <v>0</v>
          </cell>
          <cell r="F2874">
            <v>0</v>
          </cell>
          <cell r="G2874">
            <v>0</v>
          </cell>
        </row>
        <row r="2875">
          <cell r="D2875">
            <v>0</v>
          </cell>
          <cell r="E2875">
            <v>0</v>
          </cell>
          <cell r="F2875">
            <v>0</v>
          </cell>
          <cell r="G2875">
            <v>0</v>
          </cell>
        </row>
        <row r="2876">
          <cell r="D2876">
            <v>0</v>
          </cell>
          <cell r="E2876">
            <v>0</v>
          </cell>
          <cell r="F2876">
            <v>0</v>
          </cell>
          <cell r="G2876">
            <v>0</v>
          </cell>
        </row>
        <row r="2877">
          <cell r="D2877">
            <v>0</v>
          </cell>
          <cell r="E2877">
            <v>0</v>
          </cell>
          <cell r="F2877">
            <v>0</v>
          </cell>
          <cell r="G2877">
            <v>0</v>
          </cell>
        </row>
        <row r="2878">
          <cell r="D2878">
            <v>0</v>
          </cell>
          <cell r="E2878">
            <v>0</v>
          </cell>
          <cell r="F2878">
            <v>0</v>
          </cell>
          <cell r="G2878">
            <v>0</v>
          </cell>
        </row>
        <row r="2879">
          <cell r="D2879">
            <v>0</v>
          </cell>
          <cell r="E2879">
            <v>0</v>
          </cell>
          <cell r="F2879">
            <v>0</v>
          </cell>
          <cell r="G2879">
            <v>0</v>
          </cell>
        </row>
        <row r="2880">
          <cell r="D2880">
            <v>0</v>
          </cell>
          <cell r="E2880">
            <v>0</v>
          </cell>
          <cell r="F2880">
            <v>0</v>
          </cell>
          <cell r="G2880">
            <v>0</v>
          </cell>
        </row>
        <row r="2881">
          <cell r="D2881">
            <v>0</v>
          </cell>
          <cell r="E2881">
            <v>0</v>
          </cell>
          <cell r="F2881">
            <v>0</v>
          </cell>
          <cell r="G2881">
            <v>0</v>
          </cell>
        </row>
        <row r="2882">
          <cell r="D2882">
            <v>0</v>
          </cell>
          <cell r="E2882">
            <v>0</v>
          </cell>
          <cell r="F2882">
            <v>0</v>
          </cell>
          <cell r="G2882">
            <v>0</v>
          </cell>
        </row>
        <row r="2883">
          <cell r="D2883">
            <v>0</v>
          </cell>
          <cell r="E2883">
            <v>0</v>
          </cell>
          <cell r="F2883">
            <v>0</v>
          </cell>
          <cell r="G2883">
            <v>0</v>
          </cell>
        </row>
        <row r="2884">
          <cell r="D2884">
            <v>0</v>
          </cell>
          <cell r="E2884">
            <v>0</v>
          </cell>
          <cell r="F2884">
            <v>0</v>
          </cell>
          <cell r="G2884">
            <v>0</v>
          </cell>
        </row>
        <row r="2885">
          <cell r="D2885">
            <v>0</v>
          </cell>
          <cell r="E2885">
            <v>0</v>
          </cell>
          <cell r="F2885">
            <v>0</v>
          </cell>
          <cell r="G2885">
            <v>0</v>
          </cell>
        </row>
        <row r="2886">
          <cell r="D2886">
            <v>0</v>
          </cell>
          <cell r="E2886">
            <v>0</v>
          </cell>
          <cell r="F2886">
            <v>0</v>
          </cell>
          <cell r="G2886">
            <v>0</v>
          </cell>
        </row>
        <row r="2887">
          <cell r="D2887">
            <v>0</v>
          </cell>
          <cell r="E2887">
            <v>0</v>
          </cell>
          <cell r="F2887">
            <v>0</v>
          </cell>
          <cell r="G2887">
            <v>0</v>
          </cell>
        </row>
        <row r="2888">
          <cell r="D2888">
            <v>0</v>
          </cell>
          <cell r="E2888">
            <v>0</v>
          </cell>
          <cell r="F2888">
            <v>0</v>
          </cell>
          <cell r="G2888">
            <v>0</v>
          </cell>
        </row>
        <row r="2889">
          <cell r="D2889">
            <v>0</v>
          </cell>
          <cell r="E2889">
            <v>0</v>
          </cell>
          <cell r="F2889">
            <v>0</v>
          </cell>
          <cell r="G2889">
            <v>0</v>
          </cell>
        </row>
        <row r="2890">
          <cell r="D2890">
            <v>0</v>
          </cell>
          <cell r="E2890">
            <v>0</v>
          </cell>
          <cell r="F2890">
            <v>0</v>
          </cell>
          <cell r="G2890">
            <v>0</v>
          </cell>
        </row>
        <row r="2891">
          <cell r="D2891">
            <v>0</v>
          </cell>
          <cell r="E2891">
            <v>0</v>
          </cell>
          <cell r="F2891">
            <v>0</v>
          </cell>
          <cell r="G2891">
            <v>0</v>
          </cell>
        </row>
        <row r="2892">
          <cell r="D2892">
            <v>0</v>
          </cell>
          <cell r="E2892">
            <v>0</v>
          </cell>
          <cell r="F2892">
            <v>0</v>
          </cell>
          <cell r="G2892">
            <v>0</v>
          </cell>
        </row>
        <row r="2893">
          <cell r="D2893">
            <v>0</v>
          </cell>
          <cell r="E2893">
            <v>0</v>
          </cell>
          <cell r="F2893">
            <v>0</v>
          </cell>
          <cell r="G2893">
            <v>0</v>
          </cell>
        </row>
        <row r="2894">
          <cell r="D2894">
            <v>0</v>
          </cell>
          <cell r="E2894">
            <v>0</v>
          </cell>
          <cell r="F2894">
            <v>0</v>
          </cell>
          <cell r="G2894">
            <v>0</v>
          </cell>
        </row>
        <row r="2895">
          <cell r="D2895">
            <v>0</v>
          </cell>
          <cell r="E2895">
            <v>0</v>
          </cell>
          <cell r="F2895">
            <v>0</v>
          </cell>
          <cell r="G2895">
            <v>0</v>
          </cell>
        </row>
        <row r="2896">
          <cell r="D2896">
            <v>0</v>
          </cell>
          <cell r="E2896">
            <v>0</v>
          </cell>
          <cell r="F2896">
            <v>0</v>
          </cell>
          <cell r="G2896">
            <v>0</v>
          </cell>
        </row>
        <row r="2897">
          <cell r="D2897">
            <v>0</v>
          </cell>
          <cell r="E2897">
            <v>0</v>
          </cell>
          <cell r="F2897">
            <v>0</v>
          </cell>
          <cell r="G2897">
            <v>0</v>
          </cell>
        </row>
        <row r="2898">
          <cell r="D2898">
            <v>0</v>
          </cell>
          <cell r="E2898">
            <v>0</v>
          </cell>
          <cell r="F2898">
            <v>0</v>
          </cell>
          <cell r="G2898">
            <v>0</v>
          </cell>
        </row>
        <row r="2899">
          <cell r="D2899">
            <v>0</v>
          </cell>
          <cell r="E2899">
            <v>0</v>
          </cell>
          <cell r="F2899">
            <v>0</v>
          </cell>
          <cell r="G2899">
            <v>0</v>
          </cell>
        </row>
        <row r="2900">
          <cell r="D2900">
            <v>0</v>
          </cell>
          <cell r="E2900">
            <v>0</v>
          </cell>
          <cell r="F2900">
            <v>0</v>
          </cell>
          <cell r="G2900">
            <v>0</v>
          </cell>
        </row>
        <row r="2901">
          <cell r="D2901">
            <v>0</v>
          </cell>
          <cell r="E2901">
            <v>0</v>
          </cell>
          <cell r="F2901">
            <v>0</v>
          </cell>
          <cell r="G2901">
            <v>0</v>
          </cell>
        </row>
        <row r="2902">
          <cell r="D2902">
            <v>0</v>
          </cell>
          <cell r="E2902">
            <v>0</v>
          </cell>
          <cell r="F2902">
            <v>0</v>
          </cell>
          <cell r="G2902">
            <v>0</v>
          </cell>
        </row>
        <row r="2903">
          <cell r="D2903">
            <v>0</v>
          </cell>
          <cell r="E2903">
            <v>0</v>
          </cell>
          <cell r="F2903">
            <v>0</v>
          </cell>
          <cell r="G2903">
            <v>0</v>
          </cell>
        </row>
        <row r="2904">
          <cell r="D2904">
            <v>0</v>
          </cell>
          <cell r="E2904">
            <v>0</v>
          </cell>
          <cell r="F2904">
            <v>0</v>
          </cell>
          <cell r="G2904">
            <v>0</v>
          </cell>
        </row>
        <row r="2905">
          <cell r="D2905">
            <v>0</v>
          </cell>
          <cell r="E2905">
            <v>0</v>
          </cell>
          <cell r="F2905">
            <v>0</v>
          </cell>
          <cell r="G2905">
            <v>0</v>
          </cell>
        </row>
        <row r="2906">
          <cell r="D2906">
            <v>0</v>
          </cell>
          <cell r="E2906">
            <v>0</v>
          </cell>
          <cell r="F2906">
            <v>0</v>
          </cell>
          <cell r="G2906">
            <v>0</v>
          </cell>
        </row>
        <row r="2907">
          <cell r="D2907">
            <v>0</v>
          </cell>
          <cell r="E2907">
            <v>0</v>
          </cell>
          <cell r="F2907">
            <v>0</v>
          </cell>
          <cell r="G2907">
            <v>0</v>
          </cell>
        </row>
        <row r="2908">
          <cell r="D2908">
            <v>0</v>
          </cell>
          <cell r="E2908">
            <v>0</v>
          </cell>
          <cell r="F2908">
            <v>0</v>
          </cell>
          <cell r="G2908">
            <v>0</v>
          </cell>
        </row>
        <row r="2909">
          <cell r="D2909">
            <v>0</v>
          </cell>
          <cell r="E2909">
            <v>0</v>
          </cell>
          <cell r="F2909">
            <v>0</v>
          </cell>
          <cell r="G2909">
            <v>0</v>
          </cell>
        </row>
        <row r="2910">
          <cell r="D2910">
            <v>0</v>
          </cell>
          <cell r="E2910">
            <v>0</v>
          </cell>
          <cell r="F2910">
            <v>0</v>
          </cell>
          <cell r="G2910">
            <v>0</v>
          </cell>
        </row>
        <row r="2911">
          <cell r="D2911">
            <v>0</v>
          </cell>
          <cell r="E2911">
            <v>0</v>
          </cell>
          <cell r="F2911">
            <v>0</v>
          </cell>
          <cell r="G2911">
            <v>0</v>
          </cell>
        </row>
        <row r="2912">
          <cell r="D2912">
            <v>0</v>
          </cell>
          <cell r="E2912">
            <v>0</v>
          </cell>
          <cell r="F2912">
            <v>0</v>
          </cell>
          <cell r="G2912">
            <v>0</v>
          </cell>
        </row>
        <row r="2913">
          <cell r="D2913">
            <v>0</v>
          </cell>
          <cell r="E2913">
            <v>0</v>
          </cell>
          <cell r="F2913">
            <v>0</v>
          </cell>
          <cell r="G2913">
            <v>0</v>
          </cell>
        </row>
        <row r="2914">
          <cell r="D2914">
            <v>0</v>
          </cell>
          <cell r="E2914">
            <v>0</v>
          </cell>
          <cell r="F2914">
            <v>0</v>
          </cell>
          <cell r="G2914">
            <v>0</v>
          </cell>
        </row>
        <row r="2915">
          <cell r="D2915">
            <v>0</v>
          </cell>
          <cell r="E2915">
            <v>0</v>
          </cell>
          <cell r="F2915">
            <v>0</v>
          </cell>
          <cell r="G2915">
            <v>0</v>
          </cell>
        </row>
        <row r="2916">
          <cell r="D2916">
            <v>0</v>
          </cell>
          <cell r="E2916">
            <v>0</v>
          </cell>
          <cell r="F2916">
            <v>0</v>
          </cell>
          <cell r="G2916">
            <v>0</v>
          </cell>
        </row>
        <row r="2917">
          <cell r="D2917">
            <v>0</v>
          </cell>
          <cell r="E2917">
            <v>0</v>
          </cell>
          <cell r="F2917">
            <v>0</v>
          </cell>
          <cell r="G2917">
            <v>0</v>
          </cell>
        </row>
        <row r="2918">
          <cell r="D2918">
            <v>0</v>
          </cell>
          <cell r="E2918">
            <v>0</v>
          </cell>
          <cell r="F2918">
            <v>0</v>
          </cell>
          <cell r="G2918">
            <v>0</v>
          </cell>
        </row>
        <row r="2919">
          <cell r="D2919">
            <v>0</v>
          </cell>
          <cell r="E2919">
            <v>0</v>
          </cell>
          <cell r="F2919">
            <v>0</v>
          </cell>
          <cell r="G2919">
            <v>0</v>
          </cell>
        </row>
        <row r="2920">
          <cell r="D2920">
            <v>0</v>
          </cell>
          <cell r="E2920">
            <v>0</v>
          </cell>
          <cell r="F2920">
            <v>0</v>
          </cell>
          <cell r="G2920">
            <v>0</v>
          </cell>
        </row>
        <row r="2921">
          <cell r="D2921">
            <v>0</v>
          </cell>
          <cell r="E2921">
            <v>0</v>
          </cell>
          <cell r="F2921">
            <v>0</v>
          </cell>
          <cell r="G2921">
            <v>0</v>
          </cell>
        </row>
        <row r="2922">
          <cell r="D2922">
            <v>0</v>
          </cell>
          <cell r="E2922">
            <v>0</v>
          </cell>
          <cell r="F2922">
            <v>0</v>
          </cell>
          <cell r="G2922">
            <v>0</v>
          </cell>
        </row>
        <row r="2923">
          <cell r="D2923">
            <v>0</v>
          </cell>
          <cell r="E2923">
            <v>0</v>
          </cell>
          <cell r="F2923">
            <v>0</v>
          </cell>
          <cell r="G2923">
            <v>0</v>
          </cell>
        </row>
        <row r="2924">
          <cell r="D2924">
            <v>0</v>
          </cell>
          <cell r="E2924">
            <v>0</v>
          </cell>
          <cell r="F2924">
            <v>0</v>
          </cell>
          <cell r="G2924">
            <v>0</v>
          </cell>
        </row>
        <row r="2925">
          <cell r="D2925">
            <v>0</v>
          </cell>
          <cell r="E2925">
            <v>0</v>
          </cell>
          <cell r="F2925">
            <v>0</v>
          </cell>
          <cell r="G2925">
            <v>0</v>
          </cell>
        </row>
        <row r="2926">
          <cell r="D2926">
            <v>0</v>
          </cell>
          <cell r="E2926">
            <v>0</v>
          </cell>
          <cell r="F2926">
            <v>0</v>
          </cell>
          <cell r="G2926">
            <v>0</v>
          </cell>
        </row>
        <row r="2927">
          <cell r="D2927">
            <v>0</v>
          </cell>
          <cell r="E2927">
            <v>0</v>
          </cell>
          <cell r="F2927">
            <v>0</v>
          </cell>
          <cell r="G2927">
            <v>0</v>
          </cell>
        </row>
        <row r="2928">
          <cell r="D2928">
            <v>0</v>
          </cell>
          <cell r="E2928">
            <v>0</v>
          </cell>
          <cell r="F2928">
            <v>0</v>
          </cell>
          <cell r="G2928">
            <v>0</v>
          </cell>
        </row>
        <row r="2929">
          <cell r="D2929">
            <v>0</v>
          </cell>
          <cell r="E2929">
            <v>0</v>
          </cell>
          <cell r="F2929">
            <v>0</v>
          </cell>
          <cell r="G2929">
            <v>0</v>
          </cell>
        </row>
        <row r="2930">
          <cell r="D2930">
            <v>0</v>
          </cell>
          <cell r="E2930">
            <v>0</v>
          </cell>
          <cell r="F2930">
            <v>0</v>
          </cell>
          <cell r="G2930">
            <v>0</v>
          </cell>
        </row>
        <row r="2931">
          <cell r="D2931">
            <v>0</v>
          </cell>
          <cell r="E2931">
            <v>0</v>
          </cell>
          <cell r="F2931">
            <v>0</v>
          </cell>
          <cell r="G2931">
            <v>0</v>
          </cell>
        </row>
        <row r="2932">
          <cell r="D2932">
            <v>0</v>
          </cell>
          <cell r="E2932">
            <v>0</v>
          </cell>
          <cell r="F2932">
            <v>0</v>
          </cell>
          <cell r="G2932">
            <v>0</v>
          </cell>
        </row>
        <row r="2933">
          <cell r="D2933">
            <v>0</v>
          </cell>
          <cell r="E2933">
            <v>0</v>
          </cell>
          <cell r="F2933">
            <v>0</v>
          </cell>
          <cell r="G2933">
            <v>0</v>
          </cell>
        </row>
        <row r="2934">
          <cell r="D2934">
            <v>0</v>
          </cell>
          <cell r="E2934">
            <v>0</v>
          </cell>
          <cell r="F2934">
            <v>0</v>
          </cell>
          <cell r="G2934">
            <v>0</v>
          </cell>
        </row>
        <row r="2935">
          <cell r="D2935">
            <v>0</v>
          </cell>
          <cell r="E2935">
            <v>0</v>
          </cell>
          <cell r="F2935">
            <v>0</v>
          </cell>
          <cell r="G2935">
            <v>0</v>
          </cell>
        </row>
        <row r="2936">
          <cell r="D2936">
            <v>0</v>
          </cell>
          <cell r="E2936">
            <v>0</v>
          </cell>
          <cell r="F2936">
            <v>0</v>
          </cell>
          <cell r="G2936">
            <v>0</v>
          </cell>
        </row>
        <row r="2937">
          <cell r="D2937">
            <v>0</v>
          </cell>
          <cell r="E2937">
            <v>0</v>
          </cell>
          <cell r="F2937">
            <v>0</v>
          </cell>
          <cell r="G2937">
            <v>0</v>
          </cell>
        </row>
        <row r="2938">
          <cell r="D2938">
            <v>0</v>
          </cell>
          <cell r="E2938">
            <v>0</v>
          </cell>
          <cell r="F2938">
            <v>0</v>
          </cell>
          <cell r="G2938">
            <v>0</v>
          </cell>
        </row>
        <row r="2939">
          <cell r="D2939">
            <v>0</v>
          </cell>
          <cell r="E2939">
            <v>0</v>
          </cell>
          <cell r="F2939">
            <v>0</v>
          </cell>
          <cell r="G2939">
            <v>0</v>
          </cell>
        </row>
        <row r="2940">
          <cell r="D2940">
            <v>0</v>
          </cell>
          <cell r="E2940">
            <v>0</v>
          </cell>
          <cell r="F2940">
            <v>0</v>
          </cell>
          <cell r="G2940">
            <v>0</v>
          </cell>
        </row>
        <row r="2941">
          <cell r="D2941">
            <v>0</v>
          </cell>
          <cell r="E2941">
            <v>0</v>
          </cell>
          <cell r="F2941">
            <v>0</v>
          </cell>
          <cell r="G2941">
            <v>0</v>
          </cell>
        </row>
        <row r="2942">
          <cell r="D2942">
            <v>0</v>
          </cell>
          <cell r="E2942">
            <v>0</v>
          </cell>
          <cell r="F2942">
            <v>0</v>
          </cell>
          <cell r="G2942">
            <v>0</v>
          </cell>
        </row>
        <row r="2943">
          <cell r="D2943">
            <v>0</v>
          </cell>
          <cell r="E2943">
            <v>0</v>
          </cell>
          <cell r="F2943">
            <v>0</v>
          </cell>
          <cell r="G2943">
            <v>0</v>
          </cell>
        </row>
        <row r="2944">
          <cell r="D2944">
            <v>0</v>
          </cell>
          <cell r="E2944">
            <v>0</v>
          </cell>
          <cell r="F2944">
            <v>0</v>
          </cell>
          <cell r="G2944">
            <v>0</v>
          </cell>
        </row>
        <row r="2945">
          <cell r="D2945">
            <v>0</v>
          </cell>
          <cell r="E2945">
            <v>0</v>
          </cell>
          <cell r="F2945">
            <v>0</v>
          </cell>
          <cell r="G2945">
            <v>0</v>
          </cell>
        </row>
        <row r="2946">
          <cell r="D2946">
            <v>0</v>
          </cell>
          <cell r="E2946">
            <v>0</v>
          </cell>
          <cell r="F2946">
            <v>0</v>
          </cell>
          <cell r="G2946">
            <v>0</v>
          </cell>
        </row>
        <row r="2947">
          <cell r="D2947">
            <v>0</v>
          </cell>
          <cell r="E2947">
            <v>0</v>
          </cell>
          <cell r="F2947">
            <v>0</v>
          </cell>
          <cell r="G2947">
            <v>0</v>
          </cell>
        </row>
        <row r="2948">
          <cell r="D2948">
            <v>0</v>
          </cell>
          <cell r="E2948">
            <v>0</v>
          </cell>
          <cell r="F2948">
            <v>0</v>
          </cell>
          <cell r="G2948">
            <v>0</v>
          </cell>
        </row>
        <row r="2949">
          <cell r="D2949">
            <v>0</v>
          </cell>
          <cell r="E2949">
            <v>0</v>
          </cell>
          <cell r="F2949">
            <v>0</v>
          </cell>
          <cell r="G2949">
            <v>0</v>
          </cell>
        </row>
        <row r="2950">
          <cell r="D2950">
            <v>0</v>
          </cell>
          <cell r="E2950">
            <v>0</v>
          </cell>
          <cell r="F2950">
            <v>0</v>
          </cell>
          <cell r="G2950">
            <v>0</v>
          </cell>
        </row>
        <row r="2951">
          <cell r="D2951">
            <v>0</v>
          </cell>
          <cell r="E2951">
            <v>0</v>
          </cell>
          <cell r="F2951">
            <v>0</v>
          </cell>
          <cell r="G2951">
            <v>0</v>
          </cell>
        </row>
        <row r="2952">
          <cell r="D2952">
            <v>0</v>
          </cell>
          <cell r="E2952">
            <v>0</v>
          </cell>
          <cell r="F2952">
            <v>0</v>
          </cell>
          <cell r="G2952">
            <v>0</v>
          </cell>
        </row>
        <row r="2953">
          <cell r="D2953">
            <v>0</v>
          </cell>
          <cell r="E2953">
            <v>0</v>
          </cell>
          <cell r="F2953">
            <v>0</v>
          </cell>
          <cell r="G2953">
            <v>0</v>
          </cell>
        </row>
        <row r="2954">
          <cell r="D2954">
            <v>0</v>
          </cell>
          <cell r="E2954">
            <v>0</v>
          </cell>
          <cell r="F2954">
            <v>0</v>
          </cell>
          <cell r="G2954">
            <v>0</v>
          </cell>
        </row>
        <row r="2955">
          <cell r="D2955">
            <v>0</v>
          </cell>
          <cell r="E2955">
            <v>0</v>
          </cell>
          <cell r="F2955">
            <v>0</v>
          </cell>
          <cell r="G2955">
            <v>0</v>
          </cell>
        </row>
        <row r="2956">
          <cell r="D2956">
            <v>0</v>
          </cell>
          <cell r="E2956">
            <v>0</v>
          </cell>
          <cell r="F2956">
            <v>0</v>
          </cell>
          <cell r="G2956">
            <v>0</v>
          </cell>
        </row>
        <row r="2957">
          <cell r="D2957">
            <v>0</v>
          </cell>
          <cell r="E2957">
            <v>0</v>
          </cell>
          <cell r="F2957">
            <v>0</v>
          </cell>
          <cell r="G2957">
            <v>0</v>
          </cell>
        </row>
        <row r="2958">
          <cell r="D2958">
            <v>0</v>
          </cell>
          <cell r="E2958">
            <v>0</v>
          </cell>
          <cell r="F2958">
            <v>0</v>
          </cell>
          <cell r="G2958">
            <v>0</v>
          </cell>
        </row>
        <row r="2959">
          <cell r="D2959">
            <v>0</v>
          </cell>
          <cell r="E2959">
            <v>0</v>
          </cell>
          <cell r="F2959">
            <v>0</v>
          </cell>
          <cell r="G2959">
            <v>0</v>
          </cell>
        </row>
        <row r="2960">
          <cell r="D2960">
            <v>0</v>
          </cell>
          <cell r="E2960">
            <v>0</v>
          </cell>
          <cell r="F2960">
            <v>0</v>
          </cell>
          <cell r="G2960">
            <v>0</v>
          </cell>
        </row>
        <row r="2961">
          <cell r="D2961">
            <v>0</v>
          </cell>
          <cell r="E2961">
            <v>0</v>
          </cell>
          <cell r="F2961">
            <v>0</v>
          </cell>
          <cell r="G2961">
            <v>0</v>
          </cell>
        </row>
        <row r="2962">
          <cell r="D2962">
            <v>0</v>
          </cell>
          <cell r="E2962">
            <v>0</v>
          </cell>
          <cell r="F2962">
            <v>0</v>
          </cell>
          <cell r="G2962">
            <v>0</v>
          </cell>
        </row>
        <row r="2963">
          <cell r="D2963">
            <v>0</v>
          </cell>
          <cell r="E2963">
            <v>0</v>
          </cell>
          <cell r="F2963">
            <v>0</v>
          </cell>
          <cell r="G2963">
            <v>0</v>
          </cell>
        </row>
        <row r="2964">
          <cell r="D2964">
            <v>0</v>
          </cell>
          <cell r="E2964">
            <v>0</v>
          </cell>
          <cell r="F2964">
            <v>0</v>
          </cell>
          <cell r="G2964">
            <v>0</v>
          </cell>
        </row>
        <row r="2965">
          <cell r="D2965">
            <v>0</v>
          </cell>
          <cell r="E2965">
            <v>0</v>
          </cell>
          <cell r="F2965">
            <v>0</v>
          </cell>
          <cell r="G2965">
            <v>0</v>
          </cell>
        </row>
        <row r="2966">
          <cell r="D2966">
            <v>0</v>
          </cell>
          <cell r="E2966">
            <v>0</v>
          </cell>
          <cell r="F2966">
            <v>0</v>
          </cell>
          <cell r="G2966">
            <v>0</v>
          </cell>
        </row>
        <row r="2967">
          <cell r="D2967">
            <v>0</v>
          </cell>
          <cell r="E2967">
            <v>0</v>
          </cell>
          <cell r="F2967">
            <v>0</v>
          </cell>
          <cell r="G2967">
            <v>0</v>
          </cell>
        </row>
        <row r="2968">
          <cell r="D2968">
            <v>0</v>
          </cell>
          <cell r="E2968">
            <v>0</v>
          </cell>
          <cell r="F2968">
            <v>0</v>
          </cell>
          <cell r="G2968">
            <v>0</v>
          </cell>
        </row>
        <row r="2969">
          <cell r="D2969">
            <v>0</v>
          </cell>
          <cell r="E2969">
            <v>0</v>
          </cell>
          <cell r="F2969">
            <v>0</v>
          </cell>
          <cell r="G2969">
            <v>0</v>
          </cell>
        </row>
        <row r="2970">
          <cell r="D2970">
            <v>0</v>
          </cell>
          <cell r="E2970">
            <v>0</v>
          </cell>
          <cell r="F2970">
            <v>0</v>
          </cell>
          <cell r="G2970">
            <v>0</v>
          </cell>
        </row>
        <row r="2971">
          <cell r="D2971">
            <v>0</v>
          </cell>
          <cell r="E2971">
            <v>0</v>
          </cell>
          <cell r="F2971">
            <v>0</v>
          </cell>
          <cell r="G2971">
            <v>0</v>
          </cell>
        </row>
        <row r="2972">
          <cell r="D2972">
            <v>0</v>
          </cell>
          <cell r="E2972">
            <v>0</v>
          </cell>
          <cell r="F2972">
            <v>0</v>
          </cell>
          <cell r="G2972">
            <v>0</v>
          </cell>
        </row>
        <row r="2973">
          <cell r="D2973">
            <v>0</v>
          </cell>
          <cell r="E2973">
            <v>0</v>
          </cell>
          <cell r="F2973">
            <v>0</v>
          </cell>
          <cell r="G2973">
            <v>0</v>
          </cell>
        </row>
        <row r="2974">
          <cell r="D2974">
            <v>0</v>
          </cell>
          <cell r="E2974">
            <v>0</v>
          </cell>
          <cell r="F2974">
            <v>0</v>
          </cell>
          <cell r="G2974">
            <v>0</v>
          </cell>
        </row>
        <row r="2975">
          <cell r="D2975">
            <v>0</v>
          </cell>
          <cell r="E2975">
            <v>0</v>
          </cell>
          <cell r="F2975">
            <v>0</v>
          </cell>
          <cell r="G2975">
            <v>0</v>
          </cell>
        </row>
        <row r="2976">
          <cell r="D2976">
            <v>0</v>
          </cell>
          <cell r="E2976">
            <v>0</v>
          </cell>
          <cell r="F2976">
            <v>0</v>
          </cell>
          <cell r="G2976">
            <v>0</v>
          </cell>
        </row>
        <row r="2977">
          <cell r="D2977">
            <v>0</v>
          </cell>
          <cell r="E2977">
            <v>0</v>
          </cell>
          <cell r="F2977">
            <v>0</v>
          </cell>
          <cell r="G2977">
            <v>0</v>
          </cell>
        </row>
        <row r="2978">
          <cell r="D2978">
            <v>0</v>
          </cell>
          <cell r="E2978">
            <v>0</v>
          </cell>
          <cell r="F2978">
            <v>0</v>
          </cell>
          <cell r="G2978">
            <v>0</v>
          </cell>
        </row>
        <row r="2979">
          <cell r="D2979">
            <v>0</v>
          </cell>
          <cell r="E2979">
            <v>0</v>
          </cell>
          <cell r="F2979">
            <v>0</v>
          </cell>
          <cell r="G2979">
            <v>0</v>
          </cell>
        </row>
        <row r="2980">
          <cell r="D2980">
            <v>0</v>
          </cell>
          <cell r="E2980">
            <v>0</v>
          </cell>
          <cell r="F2980">
            <v>0</v>
          </cell>
          <cell r="G2980">
            <v>0</v>
          </cell>
        </row>
        <row r="2981">
          <cell r="D2981">
            <v>0</v>
          </cell>
          <cell r="E2981">
            <v>0</v>
          </cell>
          <cell r="F2981">
            <v>0</v>
          </cell>
          <cell r="G2981">
            <v>0</v>
          </cell>
        </row>
        <row r="2982">
          <cell r="D2982">
            <v>0</v>
          </cell>
          <cell r="E2982">
            <v>0</v>
          </cell>
          <cell r="F2982">
            <v>0</v>
          </cell>
          <cell r="G2982">
            <v>0</v>
          </cell>
        </row>
        <row r="2983">
          <cell r="D2983">
            <v>0</v>
          </cell>
          <cell r="E2983">
            <v>0</v>
          </cell>
          <cell r="F2983">
            <v>0</v>
          </cell>
          <cell r="G2983">
            <v>0</v>
          </cell>
        </row>
        <row r="2984">
          <cell r="D2984">
            <v>0</v>
          </cell>
          <cell r="E2984">
            <v>0</v>
          </cell>
          <cell r="F2984">
            <v>0</v>
          </cell>
          <cell r="G2984">
            <v>0</v>
          </cell>
        </row>
        <row r="2985">
          <cell r="D2985">
            <v>0</v>
          </cell>
          <cell r="E2985">
            <v>0</v>
          </cell>
          <cell r="F2985">
            <v>0</v>
          </cell>
          <cell r="G2985">
            <v>0</v>
          </cell>
        </row>
        <row r="2986">
          <cell r="D2986">
            <v>0</v>
          </cell>
          <cell r="E2986">
            <v>0</v>
          </cell>
          <cell r="F2986">
            <v>0</v>
          </cell>
          <cell r="G2986">
            <v>0</v>
          </cell>
        </row>
        <row r="2987">
          <cell r="D2987">
            <v>0</v>
          </cell>
          <cell r="E2987">
            <v>0</v>
          </cell>
          <cell r="F2987">
            <v>0</v>
          </cell>
          <cell r="G2987">
            <v>0</v>
          </cell>
        </row>
        <row r="2988">
          <cell r="D2988">
            <v>0</v>
          </cell>
          <cell r="E2988">
            <v>0</v>
          </cell>
          <cell r="F2988">
            <v>0</v>
          </cell>
          <cell r="G2988">
            <v>0</v>
          </cell>
        </row>
        <row r="2989">
          <cell r="D2989">
            <v>0</v>
          </cell>
          <cell r="E2989">
            <v>0</v>
          </cell>
          <cell r="F2989">
            <v>0</v>
          </cell>
          <cell r="G2989">
            <v>0</v>
          </cell>
        </row>
        <row r="2990">
          <cell r="D2990">
            <v>0</v>
          </cell>
          <cell r="E2990">
            <v>0</v>
          </cell>
          <cell r="F2990">
            <v>0</v>
          </cell>
          <cell r="G2990">
            <v>0</v>
          </cell>
        </row>
        <row r="2991">
          <cell r="D2991">
            <v>0</v>
          </cell>
          <cell r="E2991">
            <v>0</v>
          </cell>
          <cell r="F2991">
            <v>0</v>
          </cell>
          <cell r="G2991">
            <v>0</v>
          </cell>
        </row>
        <row r="2992">
          <cell r="D2992">
            <v>0</v>
          </cell>
          <cell r="E2992">
            <v>0</v>
          </cell>
          <cell r="F2992">
            <v>0</v>
          </cell>
          <cell r="G2992">
            <v>0</v>
          </cell>
        </row>
        <row r="2993">
          <cell r="D2993">
            <v>0</v>
          </cell>
          <cell r="E2993">
            <v>0</v>
          </cell>
          <cell r="F2993">
            <v>0</v>
          </cell>
          <cell r="G2993">
            <v>0</v>
          </cell>
        </row>
        <row r="2994">
          <cell r="D2994">
            <v>0</v>
          </cell>
          <cell r="E2994">
            <v>0</v>
          </cell>
          <cell r="F2994">
            <v>0</v>
          </cell>
          <cell r="G2994">
            <v>0</v>
          </cell>
        </row>
        <row r="2995">
          <cell r="D2995">
            <v>0</v>
          </cell>
          <cell r="E2995">
            <v>0</v>
          </cell>
          <cell r="F2995">
            <v>0</v>
          </cell>
          <cell r="G2995">
            <v>0</v>
          </cell>
        </row>
        <row r="2996">
          <cell r="D2996">
            <v>0</v>
          </cell>
          <cell r="E2996">
            <v>0</v>
          </cell>
          <cell r="F2996">
            <v>0</v>
          </cell>
          <cell r="G2996">
            <v>0</v>
          </cell>
        </row>
        <row r="2997">
          <cell r="D2997">
            <v>0</v>
          </cell>
          <cell r="E2997">
            <v>0</v>
          </cell>
          <cell r="F2997">
            <v>0</v>
          </cell>
          <cell r="G2997">
            <v>0</v>
          </cell>
        </row>
        <row r="2998">
          <cell r="D2998">
            <v>0</v>
          </cell>
          <cell r="E2998">
            <v>0</v>
          </cell>
          <cell r="F2998">
            <v>0</v>
          </cell>
          <cell r="G2998">
            <v>0</v>
          </cell>
        </row>
        <row r="2999">
          <cell r="D2999">
            <v>0</v>
          </cell>
          <cell r="E2999">
            <v>0</v>
          </cell>
          <cell r="F2999">
            <v>0</v>
          </cell>
          <cell r="G2999">
            <v>0</v>
          </cell>
        </row>
        <row r="3000">
          <cell r="D3000">
            <v>0</v>
          </cell>
          <cell r="E3000">
            <v>0</v>
          </cell>
          <cell r="F3000">
            <v>0</v>
          </cell>
          <cell r="G3000">
            <v>0</v>
          </cell>
        </row>
        <row r="3001">
          <cell r="D3001">
            <v>0</v>
          </cell>
          <cell r="E3001">
            <v>0</v>
          </cell>
          <cell r="F3001">
            <v>0</v>
          </cell>
          <cell r="G3001">
            <v>0</v>
          </cell>
        </row>
        <row r="3002">
          <cell r="D3002">
            <v>0</v>
          </cell>
          <cell r="E3002">
            <v>0</v>
          </cell>
          <cell r="F3002">
            <v>0</v>
          </cell>
          <cell r="G3002">
            <v>0</v>
          </cell>
        </row>
        <row r="3003">
          <cell r="D3003">
            <v>0</v>
          </cell>
          <cell r="E3003">
            <v>0</v>
          </cell>
          <cell r="F3003">
            <v>0</v>
          </cell>
          <cell r="G3003">
            <v>0</v>
          </cell>
        </row>
        <row r="3004">
          <cell r="D3004">
            <v>0</v>
          </cell>
          <cell r="E3004">
            <v>0</v>
          </cell>
          <cell r="F3004">
            <v>0</v>
          </cell>
          <cell r="G3004">
            <v>0</v>
          </cell>
        </row>
        <row r="3005">
          <cell r="D3005">
            <v>0</v>
          </cell>
          <cell r="E3005">
            <v>0</v>
          </cell>
          <cell r="F3005">
            <v>0</v>
          </cell>
          <cell r="G3005">
            <v>0</v>
          </cell>
        </row>
        <row r="3006">
          <cell r="D3006">
            <v>0</v>
          </cell>
          <cell r="E3006">
            <v>0</v>
          </cell>
          <cell r="F3006">
            <v>0</v>
          </cell>
          <cell r="G3006">
            <v>0</v>
          </cell>
        </row>
        <row r="3007">
          <cell r="D3007">
            <v>0</v>
          </cell>
          <cell r="E3007">
            <v>0</v>
          </cell>
          <cell r="F3007">
            <v>0</v>
          </cell>
          <cell r="G3007">
            <v>0</v>
          </cell>
        </row>
        <row r="3008">
          <cell r="D3008">
            <v>0</v>
          </cell>
          <cell r="E3008">
            <v>0</v>
          </cell>
          <cell r="F3008">
            <v>0</v>
          </cell>
          <cell r="G3008">
            <v>0</v>
          </cell>
        </row>
        <row r="3009">
          <cell r="D3009">
            <v>0</v>
          </cell>
          <cell r="E3009">
            <v>0</v>
          </cell>
          <cell r="F3009">
            <v>0</v>
          </cell>
          <cell r="G3009">
            <v>0</v>
          </cell>
        </row>
        <row r="3010">
          <cell r="D3010">
            <v>0</v>
          </cell>
          <cell r="E3010">
            <v>0</v>
          </cell>
          <cell r="F3010">
            <v>0</v>
          </cell>
          <cell r="G3010">
            <v>0</v>
          </cell>
        </row>
        <row r="3011">
          <cell r="D3011">
            <v>0</v>
          </cell>
          <cell r="E3011">
            <v>0</v>
          </cell>
          <cell r="F3011">
            <v>0</v>
          </cell>
          <cell r="G3011">
            <v>0</v>
          </cell>
        </row>
        <row r="3012">
          <cell r="D3012">
            <v>0</v>
          </cell>
          <cell r="E3012">
            <v>0</v>
          </cell>
          <cell r="F3012">
            <v>0</v>
          </cell>
          <cell r="G3012">
            <v>0</v>
          </cell>
        </row>
        <row r="3013">
          <cell r="D3013">
            <v>0</v>
          </cell>
          <cell r="E3013">
            <v>0</v>
          </cell>
          <cell r="F3013">
            <v>0</v>
          </cell>
          <cell r="G3013">
            <v>0</v>
          </cell>
        </row>
        <row r="3014">
          <cell r="D3014">
            <v>0</v>
          </cell>
          <cell r="E3014">
            <v>0</v>
          </cell>
          <cell r="F3014">
            <v>0</v>
          </cell>
          <cell r="G3014">
            <v>0</v>
          </cell>
        </row>
        <row r="3015">
          <cell r="D3015">
            <v>0</v>
          </cell>
          <cell r="E3015">
            <v>0</v>
          </cell>
          <cell r="F3015">
            <v>0</v>
          </cell>
          <cell r="G3015">
            <v>0</v>
          </cell>
        </row>
        <row r="3016">
          <cell r="D3016">
            <v>0</v>
          </cell>
          <cell r="E3016">
            <v>0</v>
          </cell>
          <cell r="F3016">
            <v>0</v>
          </cell>
          <cell r="G3016">
            <v>0</v>
          </cell>
        </row>
        <row r="3017">
          <cell r="D3017">
            <v>0</v>
          </cell>
          <cell r="E3017">
            <v>0</v>
          </cell>
          <cell r="F3017">
            <v>0</v>
          </cell>
          <cell r="G3017">
            <v>0</v>
          </cell>
        </row>
        <row r="3018">
          <cell r="D3018">
            <v>0</v>
          </cell>
          <cell r="E3018">
            <v>0</v>
          </cell>
          <cell r="F3018">
            <v>0</v>
          </cell>
          <cell r="G3018">
            <v>0</v>
          </cell>
        </row>
        <row r="3019">
          <cell r="D3019">
            <v>0</v>
          </cell>
          <cell r="E3019">
            <v>0</v>
          </cell>
          <cell r="F3019">
            <v>0</v>
          </cell>
          <cell r="G3019">
            <v>0</v>
          </cell>
        </row>
        <row r="3020">
          <cell r="D3020">
            <v>0</v>
          </cell>
          <cell r="E3020">
            <v>0</v>
          </cell>
          <cell r="F3020">
            <v>0</v>
          </cell>
          <cell r="G3020">
            <v>0</v>
          </cell>
        </row>
        <row r="3021">
          <cell r="D3021">
            <v>0</v>
          </cell>
          <cell r="E3021">
            <v>0</v>
          </cell>
          <cell r="F3021">
            <v>0</v>
          </cell>
          <cell r="G3021">
            <v>0</v>
          </cell>
        </row>
        <row r="3022">
          <cell r="D3022">
            <v>0</v>
          </cell>
          <cell r="E3022">
            <v>0</v>
          </cell>
          <cell r="F3022">
            <v>0</v>
          </cell>
          <cell r="G3022">
            <v>0</v>
          </cell>
        </row>
        <row r="3023">
          <cell r="D3023">
            <v>0</v>
          </cell>
          <cell r="E3023">
            <v>0</v>
          </cell>
          <cell r="F3023">
            <v>0</v>
          </cell>
          <cell r="G3023">
            <v>0</v>
          </cell>
        </row>
        <row r="3024">
          <cell r="D3024">
            <v>0</v>
          </cell>
          <cell r="E3024">
            <v>0</v>
          </cell>
          <cell r="F3024">
            <v>0</v>
          </cell>
          <cell r="G3024">
            <v>0</v>
          </cell>
        </row>
        <row r="3025">
          <cell r="D3025">
            <v>0</v>
          </cell>
          <cell r="E3025">
            <v>0</v>
          </cell>
          <cell r="F3025">
            <v>0</v>
          </cell>
          <cell r="G3025">
            <v>0</v>
          </cell>
        </row>
        <row r="3026">
          <cell r="D3026">
            <v>0</v>
          </cell>
          <cell r="E3026">
            <v>0</v>
          </cell>
          <cell r="F3026">
            <v>0</v>
          </cell>
          <cell r="G3026">
            <v>0</v>
          </cell>
        </row>
        <row r="3027">
          <cell r="D3027">
            <v>0</v>
          </cell>
          <cell r="E3027">
            <v>0</v>
          </cell>
          <cell r="F3027">
            <v>0</v>
          </cell>
          <cell r="G3027">
            <v>0</v>
          </cell>
        </row>
        <row r="3028">
          <cell r="D3028">
            <v>0</v>
          </cell>
          <cell r="E3028">
            <v>0</v>
          </cell>
          <cell r="F3028">
            <v>0</v>
          </cell>
          <cell r="G3028">
            <v>0</v>
          </cell>
        </row>
        <row r="3029">
          <cell r="D3029">
            <v>0</v>
          </cell>
          <cell r="E3029">
            <v>0</v>
          </cell>
          <cell r="F3029">
            <v>0</v>
          </cell>
          <cell r="G3029">
            <v>0</v>
          </cell>
        </row>
        <row r="3030">
          <cell r="D3030">
            <v>0</v>
          </cell>
          <cell r="E3030">
            <v>0</v>
          </cell>
          <cell r="F3030">
            <v>0</v>
          </cell>
          <cell r="G3030">
            <v>0</v>
          </cell>
        </row>
        <row r="3031">
          <cell r="D3031">
            <v>0</v>
          </cell>
          <cell r="E3031">
            <v>0</v>
          </cell>
          <cell r="F3031">
            <v>0</v>
          </cell>
          <cell r="G3031">
            <v>0</v>
          </cell>
        </row>
        <row r="3032">
          <cell r="D3032">
            <v>0</v>
          </cell>
          <cell r="E3032">
            <v>0</v>
          </cell>
          <cell r="F3032">
            <v>0</v>
          </cell>
          <cell r="G3032">
            <v>0</v>
          </cell>
        </row>
        <row r="3033">
          <cell r="D3033">
            <v>0</v>
          </cell>
          <cell r="E3033">
            <v>0</v>
          </cell>
          <cell r="F3033">
            <v>0</v>
          </cell>
          <cell r="G3033">
            <v>0</v>
          </cell>
        </row>
        <row r="3034">
          <cell r="D3034">
            <v>0</v>
          </cell>
          <cell r="E3034">
            <v>0</v>
          </cell>
          <cell r="F3034">
            <v>0</v>
          </cell>
          <cell r="G3034">
            <v>0</v>
          </cell>
        </row>
        <row r="3035">
          <cell r="D3035">
            <v>0</v>
          </cell>
          <cell r="E3035">
            <v>0</v>
          </cell>
          <cell r="F3035">
            <v>0</v>
          </cell>
          <cell r="G3035">
            <v>0</v>
          </cell>
        </row>
        <row r="3036">
          <cell r="D3036">
            <v>0</v>
          </cell>
          <cell r="E3036">
            <v>0</v>
          </cell>
          <cell r="F3036">
            <v>0</v>
          </cell>
          <cell r="G3036">
            <v>0</v>
          </cell>
        </row>
        <row r="3037">
          <cell r="D3037">
            <v>0</v>
          </cell>
          <cell r="E3037">
            <v>0</v>
          </cell>
          <cell r="F3037">
            <v>0</v>
          </cell>
          <cell r="G3037">
            <v>0</v>
          </cell>
        </row>
        <row r="3038">
          <cell r="D3038">
            <v>0</v>
          </cell>
          <cell r="E3038">
            <v>0</v>
          </cell>
          <cell r="F3038">
            <v>0</v>
          </cell>
          <cell r="G3038">
            <v>0</v>
          </cell>
        </row>
        <row r="3039">
          <cell r="D3039">
            <v>0</v>
          </cell>
          <cell r="E3039">
            <v>0</v>
          </cell>
          <cell r="F3039">
            <v>0</v>
          </cell>
          <cell r="G3039">
            <v>0</v>
          </cell>
        </row>
        <row r="3040">
          <cell r="D3040">
            <v>0</v>
          </cell>
          <cell r="E3040">
            <v>0</v>
          </cell>
          <cell r="F3040">
            <v>0</v>
          </cell>
          <cell r="G3040">
            <v>0</v>
          </cell>
        </row>
        <row r="3041">
          <cell r="D3041">
            <v>0</v>
          </cell>
          <cell r="E3041">
            <v>0</v>
          </cell>
          <cell r="F3041">
            <v>0</v>
          </cell>
          <cell r="G3041">
            <v>0</v>
          </cell>
        </row>
        <row r="3042">
          <cell r="D3042">
            <v>0</v>
          </cell>
          <cell r="E3042">
            <v>0</v>
          </cell>
          <cell r="F3042">
            <v>0</v>
          </cell>
          <cell r="G3042">
            <v>0</v>
          </cell>
        </row>
        <row r="3043">
          <cell r="D3043">
            <v>0</v>
          </cell>
          <cell r="E3043">
            <v>0</v>
          </cell>
          <cell r="F3043">
            <v>0</v>
          </cell>
          <cell r="G3043">
            <v>0</v>
          </cell>
        </row>
        <row r="3044">
          <cell r="D3044">
            <v>0</v>
          </cell>
          <cell r="E3044">
            <v>0</v>
          </cell>
          <cell r="F3044">
            <v>0</v>
          </cell>
          <cell r="G3044">
            <v>0</v>
          </cell>
        </row>
        <row r="3045">
          <cell r="D3045">
            <v>0</v>
          </cell>
          <cell r="E3045">
            <v>0</v>
          </cell>
          <cell r="F3045">
            <v>0</v>
          </cell>
          <cell r="G3045">
            <v>0</v>
          </cell>
        </row>
        <row r="3046">
          <cell r="D3046">
            <v>0</v>
          </cell>
          <cell r="E3046">
            <v>0</v>
          </cell>
          <cell r="F3046">
            <v>0</v>
          </cell>
          <cell r="G3046">
            <v>0</v>
          </cell>
        </row>
        <row r="3047">
          <cell r="D3047">
            <v>0</v>
          </cell>
          <cell r="E3047">
            <v>0</v>
          </cell>
          <cell r="F3047">
            <v>0</v>
          </cell>
          <cell r="G3047">
            <v>0</v>
          </cell>
        </row>
        <row r="3048">
          <cell r="D3048">
            <v>0</v>
          </cell>
          <cell r="E3048">
            <v>0</v>
          </cell>
          <cell r="F3048">
            <v>0</v>
          </cell>
          <cell r="G3048">
            <v>0</v>
          </cell>
        </row>
        <row r="3049">
          <cell r="D3049">
            <v>0</v>
          </cell>
          <cell r="E3049">
            <v>0</v>
          </cell>
          <cell r="F3049">
            <v>0</v>
          </cell>
          <cell r="G3049">
            <v>0</v>
          </cell>
        </row>
        <row r="3050">
          <cell r="D3050">
            <v>0</v>
          </cell>
          <cell r="E3050">
            <v>0</v>
          </cell>
          <cell r="F3050">
            <v>0</v>
          </cell>
          <cell r="G3050">
            <v>0</v>
          </cell>
        </row>
        <row r="3051">
          <cell r="D3051">
            <v>0</v>
          </cell>
          <cell r="E3051">
            <v>0</v>
          </cell>
          <cell r="F3051">
            <v>0</v>
          </cell>
          <cell r="G3051">
            <v>0</v>
          </cell>
        </row>
        <row r="3052">
          <cell r="D3052">
            <v>0</v>
          </cell>
          <cell r="E3052">
            <v>0</v>
          </cell>
          <cell r="F3052">
            <v>0</v>
          </cell>
          <cell r="G3052">
            <v>0</v>
          </cell>
        </row>
        <row r="3053">
          <cell r="D3053">
            <v>0</v>
          </cell>
          <cell r="E3053">
            <v>0</v>
          </cell>
          <cell r="F3053">
            <v>0</v>
          </cell>
          <cell r="G3053">
            <v>0</v>
          </cell>
        </row>
        <row r="3054">
          <cell r="D3054">
            <v>0</v>
          </cell>
          <cell r="E3054">
            <v>0</v>
          </cell>
          <cell r="F3054">
            <v>0</v>
          </cell>
          <cell r="G3054">
            <v>0</v>
          </cell>
        </row>
        <row r="3055">
          <cell r="D3055">
            <v>0</v>
          </cell>
          <cell r="E3055">
            <v>0</v>
          </cell>
          <cell r="F3055">
            <v>0</v>
          </cell>
          <cell r="G3055">
            <v>0</v>
          </cell>
        </row>
        <row r="3056">
          <cell r="D3056">
            <v>0</v>
          </cell>
          <cell r="E3056">
            <v>0</v>
          </cell>
          <cell r="F3056">
            <v>0</v>
          </cell>
          <cell r="G3056">
            <v>0</v>
          </cell>
        </row>
        <row r="3057">
          <cell r="D3057">
            <v>0</v>
          </cell>
          <cell r="E3057">
            <v>0</v>
          </cell>
          <cell r="F3057">
            <v>0</v>
          </cell>
          <cell r="G3057">
            <v>0</v>
          </cell>
        </row>
        <row r="3058">
          <cell r="D3058">
            <v>0</v>
          </cell>
          <cell r="E3058">
            <v>0</v>
          </cell>
          <cell r="F3058">
            <v>0</v>
          </cell>
          <cell r="G3058">
            <v>0</v>
          </cell>
        </row>
        <row r="3059">
          <cell r="D3059">
            <v>0</v>
          </cell>
          <cell r="E3059">
            <v>0</v>
          </cell>
          <cell r="F3059">
            <v>0</v>
          </cell>
          <cell r="G3059">
            <v>0</v>
          </cell>
        </row>
        <row r="3060">
          <cell r="D3060">
            <v>0</v>
          </cell>
          <cell r="E3060">
            <v>0</v>
          </cell>
          <cell r="F3060">
            <v>0</v>
          </cell>
          <cell r="G3060">
            <v>0</v>
          </cell>
        </row>
        <row r="3061">
          <cell r="D3061">
            <v>0</v>
          </cell>
          <cell r="E3061">
            <v>0</v>
          </cell>
          <cell r="F3061">
            <v>0</v>
          </cell>
          <cell r="G3061">
            <v>0</v>
          </cell>
        </row>
        <row r="3062">
          <cell r="D3062">
            <v>0</v>
          </cell>
          <cell r="E3062">
            <v>0</v>
          </cell>
          <cell r="F3062">
            <v>0</v>
          </cell>
          <cell r="G3062">
            <v>0</v>
          </cell>
        </row>
        <row r="3063">
          <cell r="D3063">
            <v>0</v>
          </cell>
          <cell r="E3063">
            <v>0</v>
          </cell>
          <cell r="F3063">
            <v>0</v>
          </cell>
          <cell r="G3063">
            <v>0</v>
          </cell>
        </row>
        <row r="3064">
          <cell r="D3064">
            <v>0</v>
          </cell>
          <cell r="E3064">
            <v>0</v>
          </cell>
          <cell r="F3064">
            <v>0</v>
          </cell>
          <cell r="G3064">
            <v>0</v>
          </cell>
        </row>
        <row r="3065">
          <cell r="D3065">
            <v>0</v>
          </cell>
          <cell r="E3065">
            <v>0</v>
          </cell>
          <cell r="F3065">
            <v>0</v>
          </cell>
          <cell r="G3065">
            <v>0</v>
          </cell>
        </row>
        <row r="3066">
          <cell r="D3066">
            <v>0</v>
          </cell>
          <cell r="E3066">
            <v>0</v>
          </cell>
          <cell r="F3066">
            <v>0</v>
          </cell>
          <cell r="G3066">
            <v>0</v>
          </cell>
        </row>
        <row r="3067">
          <cell r="D3067">
            <v>0</v>
          </cell>
          <cell r="E3067">
            <v>0</v>
          </cell>
          <cell r="F3067">
            <v>0</v>
          </cell>
          <cell r="G3067">
            <v>0</v>
          </cell>
        </row>
        <row r="3068">
          <cell r="D3068">
            <v>0</v>
          </cell>
          <cell r="E3068">
            <v>0</v>
          </cell>
          <cell r="F3068">
            <v>0</v>
          </cell>
          <cell r="G3068">
            <v>0</v>
          </cell>
        </row>
        <row r="3069">
          <cell r="D3069">
            <v>0</v>
          </cell>
          <cell r="E3069">
            <v>0</v>
          </cell>
          <cell r="F3069">
            <v>0</v>
          </cell>
          <cell r="G3069">
            <v>0</v>
          </cell>
        </row>
        <row r="3070">
          <cell r="D3070">
            <v>0</v>
          </cell>
          <cell r="E3070">
            <v>0</v>
          </cell>
          <cell r="F3070">
            <v>0</v>
          </cell>
          <cell r="G3070">
            <v>0</v>
          </cell>
        </row>
        <row r="3071">
          <cell r="D3071">
            <v>0</v>
          </cell>
          <cell r="E3071">
            <v>0</v>
          </cell>
          <cell r="F3071">
            <v>0</v>
          </cell>
          <cell r="G3071">
            <v>0</v>
          </cell>
        </row>
        <row r="3072">
          <cell r="D3072">
            <v>0</v>
          </cell>
          <cell r="E3072">
            <v>0</v>
          </cell>
          <cell r="F3072">
            <v>0</v>
          </cell>
          <cell r="G3072">
            <v>0</v>
          </cell>
        </row>
        <row r="3073">
          <cell r="D3073">
            <v>0</v>
          </cell>
          <cell r="E3073">
            <v>0</v>
          </cell>
          <cell r="F3073">
            <v>0</v>
          </cell>
          <cell r="G3073">
            <v>0</v>
          </cell>
        </row>
        <row r="3074">
          <cell r="D3074">
            <v>0</v>
          </cell>
          <cell r="E3074">
            <v>0</v>
          </cell>
          <cell r="F3074">
            <v>0</v>
          </cell>
          <cell r="G3074">
            <v>0</v>
          </cell>
        </row>
        <row r="3075">
          <cell r="D3075">
            <v>0</v>
          </cell>
          <cell r="E3075">
            <v>0</v>
          </cell>
          <cell r="F3075">
            <v>0</v>
          </cell>
          <cell r="G3075">
            <v>0</v>
          </cell>
        </row>
        <row r="3076">
          <cell r="D3076">
            <v>0</v>
          </cell>
          <cell r="E3076">
            <v>0</v>
          </cell>
          <cell r="F3076">
            <v>0</v>
          </cell>
          <cell r="G3076">
            <v>0</v>
          </cell>
        </row>
        <row r="3077">
          <cell r="D3077">
            <v>0</v>
          </cell>
          <cell r="E3077">
            <v>0</v>
          </cell>
          <cell r="F3077">
            <v>0</v>
          </cell>
          <cell r="G3077">
            <v>0</v>
          </cell>
        </row>
        <row r="3078">
          <cell r="D3078">
            <v>0</v>
          </cell>
          <cell r="E3078">
            <v>0</v>
          </cell>
          <cell r="F3078">
            <v>0</v>
          </cell>
          <cell r="G3078">
            <v>0</v>
          </cell>
        </row>
        <row r="3079">
          <cell r="D3079">
            <v>0</v>
          </cell>
          <cell r="E3079">
            <v>0</v>
          </cell>
          <cell r="F3079">
            <v>0</v>
          </cell>
          <cell r="G3079">
            <v>0</v>
          </cell>
        </row>
        <row r="3080">
          <cell r="D3080">
            <v>0</v>
          </cell>
          <cell r="E3080">
            <v>0</v>
          </cell>
          <cell r="F3080">
            <v>0</v>
          </cell>
          <cell r="G3080">
            <v>0</v>
          </cell>
        </row>
        <row r="3081">
          <cell r="D3081">
            <v>0</v>
          </cell>
          <cell r="E3081">
            <v>0</v>
          </cell>
          <cell r="F3081">
            <v>0</v>
          </cell>
          <cell r="G3081">
            <v>0</v>
          </cell>
        </row>
        <row r="3082">
          <cell r="D3082">
            <v>0</v>
          </cell>
          <cell r="E3082">
            <v>0</v>
          </cell>
          <cell r="F3082">
            <v>0</v>
          </cell>
          <cell r="G3082">
            <v>0</v>
          </cell>
        </row>
        <row r="3083">
          <cell r="D3083">
            <v>0</v>
          </cell>
          <cell r="E3083">
            <v>0</v>
          </cell>
          <cell r="F3083">
            <v>0</v>
          </cell>
          <cell r="G3083">
            <v>0</v>
          </cell>
        </row>
        <row r="3084">
          <cell r="D3084">
            <v>0</v>
          </cell>
          <cell r="E3084">
            <v>0</v>
          </cell>
          <cell r="F3084">
            <v>0</v>
          </cell>
          <cell r="G3084">
            <v>0</v>
          </cell>
        </row>
        <row r="3085">
          <cell r="D3085">
            <v>0</v>
          </cell>
          <cell r="E3085">
            <v>0</v>
          </cell>
          <cell r="F3085">
            <v>0</v>
          </cell>
          <cell r="G3085">
            <v>0</v>
          </cell>
        </row>
        <row r="3086">
          <cell r="D3086">
            <v>0</v>
          </cell>
          <cell r="E3086">
            <v>0</v>
          </cell>
          <cell r="F3086">
            <v>0</v>
          </cell>
          <cell r="G3086">
            <v>0</v>
          </cell>
        </row>
        <row r="3087">
          <cell r="D3087">
            <v>0</v>
          </cell>
          <cell r="E3087">
            <v>0</v>
          </cell>
          <cell r="F3087">
            <v>0</v>
          </cell>
          <cell r="G3087">
            <v>0</v>
          </cell>
        </row>
        <row r="3088">
          <cell r="D3088">
            <v>0</v>
          </cell>
          <cell r="E3088">
            <v>0</v>
          </cell>
          <cell r="F3088">
            <v>0</v>
          </cell>
          <cell r="G3088">
            <v>0</v>
          </cell>
        </row>
        <row r="3089">
          <cell r="D3089">
            <v>0</v>
          </cell>
          <cell r="E3089">
            <v>0</v>
          </cell>
          <cell r="F3089">
            <v>0</v>
          </cell>
          <cell r="G3089">
            <v>0</v>
          </cell>
        </row>
        <row r="3090">
          <cell r="D3090">
            <v>0</v>
          </cell>
          <cell r="E3090">
            <v>0</v>
          </cell>
          <cell r="F3090">
            <v>0</v>
          </cell>
          <cell r="G3090">
            <v>0</v>
          </cell>
        </row>
        <row r="3091">
          <cell r="D3091">
            <v>0</v>
          </cell>
          <cell r="E3091">
            <v>0</v>
          </cell>
          <cell r="F3091">
            <v>0</v>
          </cell>
          <cell r="G3091">
            <v>0</v>
          </cell>
        </row>
        <row r="3092">
          <cell r="D3092">
            <v>0</v>
          </cell>
          <cell r="E3092">
            <v>0</v>
          </cell>
          <cell r="F3092">
            <v>0</v>
          </cell>
          <cell r="G3092">
            <v>0</v>
          </cell>
        </row>
        <row r="3093">
          <cell r="D3093">
            <v>0</v>
          </cell>
          <cell r="E3093">
            <v>0</v>
          </cell>
          <cell r="F3093">
            <v>0</v>
          </cell>
          <cell r="G3093">
            <v>0</v>
          </cell>
        </row>
        <row r="3094">
          <cell r="D3094">
            <v>0</v>
          </cell>
          <cell r="E3094">
            <v>0</v>
          </cell>
          <cell r="F3094">
            <v>0</v>
          </cell>
          <cell r="G3094">
            <v>0</v>
          </cell>
        </row>
        <row r="3095">
          <cell r="D3095">
            <v>0</v>
          </cell>
          <cell r="E3095">
            <v>0</v>
          </cell>
          <cell r="F3095">
            <v>0</v>
          </cell>
          <cell r="G3095">
            <v>0</v>
          </cell>
        </row>
        <row r="3096">
          <cell r="D3096">
            <v>0</v>
          </cell>
          <cell r="E3096">
            <v>0</v>
          </cell>
          <cell r="F3096">
            <v>0</v>
          </cell>
          <cell r="G3096">
            <v>0</v>
          </cell>
        </row>
        <row r="3097">
          <cell r="D3097">
            <v>0</v>
          </cell>
          <cell r="E3097">
            <v>0</v>
          </cell>
          <cell r="F3097">
            <v>0</v>
          </cell>
          <cell r="G3097">
            <v>0</v>
          </cell>
        </row>
        <row r="3098">
          <cell r="D3098">
            <v>0</v>
          </cell>
          <cell r="E3098">
            <v>0</v>
          </cell>
          <cell r="F3098">
            <v>0</v>
          </cell>
          <cell r="G3098">
            <v>0</v>
          </cell>
        </row>
        <row r="3099">
          <cell r="D3099">
            <v>0</v>
          </cell>
          <cell r="E3099">
            <v>0</v>
          </cell>
          <cell r="F3099">
            <v>0</v>
          </cell>
          <cell r="G3099">
            <v>0</v>
          </cell>
        </row>
        <row r="3100">
          <cell r="D3100">
            <v>0</v>
          </cell>
          <cell r="E3100">
            <v>0</v>
          </cell>
          <cell r="F3100">
            <v>0</v>
          </cell>
          <cell r="G3100">
            <v>0</v>
          </cell>
        </row>
        <row r="3101">
          <cell r="D3101">
            <v>0</v>
          </cell>
          <cell r="E3101">
            <v>0</v>
          </cell>
          <cell r="F3101">
            <v>0</v>
          </cell>
          <cell r="G3101">
            <v>0</v>
          </cell>
        </row>
        <row r="3102">
          <cell r="D3102">
            <v>0</v>
          </cell>
          <cell r="E3102">
            <v>0</v>
          </cell>
          <cell r="F3102">
            <v>0</v>
          </cell>
          <cell r="G3102">
            <v>0</v>
          </cell>
        </row>
        <row r="3103">
          <cell r="D3103">
            <v>0</v>
          </cell>
          <cell r="E3103">
            <v>0</v>
          </cell>
          <cell r="F3103">
            <v>0</v>
          </cell>
          <cell r="G3103">
            <v>0</v>
          </cell>
        </row>
        <row r="3104">
          <cell r="D3104">
            <v>0</v>
          </cell>
          <cell r="E3104">
            <v>0</v>
          </cell>
          <cell r="F3104">
            <v>0</v>
          </cell>
          <cell r="G3104">
            <v>0</v>
          </cell>
        </row>
        <row r="3105">
          <cell r="D3105">
            <v>0</v>
          </cell>
          <cell r="E3105">
            <v>0</v>
          </cell>
          <cell r="F3105">
            <v>0</v>
          </cell>
          <cell r="G3105">
            <v>0</v>
          </cell>
        </row>
        <row r="3106">
          <cell r="D3106">
            <v>0</v>
          </cell>
          <cell r="E3106">
            <v>0</v>
          </cell>
          <cell r="F3106">
            <v>0</v>
          </cell>
          <cell r="G3106">
            <v>0</v>
          </cell>
        </row>
        <row r="3107">
          <cell r="D3107">
            <v>0</v>
          </cell>
          <cell r="E3107">
            <v>0</v>
          </cell>
          <cell r="F3107">
            <v>0</v>
          </cell>
          <cell r="G3107">
            <v>0</v>
          </cell>
        </row>
        <row r="3108">
          <cell r="D3108">
            <v>0</v>
          </cell>
          <cell r="E3108">
            <v>0</v>
          </cell>
          <cell r="F3108">
            <v>0</v>
          </cell>
          <cell r="G3108">
            <v>0</v>
          </cell>
        </row>
        <row r="3109">
          <cell r="D3109">
            <v>0</v>
          </cell>
          <cell r="E3109">
            <v>0</v>
          </cell>
          <cell r="F3109">
            <v>0</v>
          </cell>
          <cell r="G3109">
            <v>0</v>
          </cell>
        </row>
        <row r="3110">
          <cell r="D3110">
            <v>0</v>
          </cell>
          <cell r="E3110">
            <v>0</v>
          </cell>
          <cell r="F3110">
            <v>0</v>
          </cell>
          <cell r="G3110">
            <v>0</v>
          </cell>
        </row>
        <row r="3111">
          <cell r="D3111">
            <v>0</v>
          </cell>
          <cell r="E3111">
            <v>0</v>
          </cell>
          <cell r="F3111">
            <v>0</v>
          </cell>
          <cell r="G3111">
            <v>0</v>
          </cell>
        </row>
        <row r="3112">
          <cell r="D3112">
            <v>0</v>
          </cell>
          <cell r="E3112">
            <v>0</v>
          </cell>
          <cell r="F3112">
            <v>0</v>
          </cell>
          <cell r="G3112">
            <v>0</v>
          </cell>
        </row>
        <row r="3113">
          <cell r="D3113">
            <v>0</v>
          </cell>
          <cell r="E3113">
            <v>0</v>
          </cell>
          <cell r="F3113">
            <v>0</v>
          </cell>
          <cell r="G3113">
            <v>0</v>
          </cell>
        </row>
        <row r="3114">
          <cell r="D3114">
            <v>0</v>
          </cell>
          <cell r="E3114">
            <v>0</v>
          </cell>
          <cell r="F3114">
            <v>0</v>
          </cell>
          <cell r="G3114">
            <v>0</v>
          </cell>
        </row>
        <row r="3115">
          <cell r="D3115">
            <v>0</v>
          </cell>
          <cell r="E3115">
            <v>0</v>
          </cell>
          <cell r="F3115">
            <v>0</v>
          </cell>
          <cell r="G3115">
            <v>0</v>
          </cell>
        </row>
        <row r="3116">
          <cell r="D3116">
            <v>0</v>
          </cell>
          <cell r="E3116">
            <v>0</v>
          </cell>
          <cell r="F3116">
            <v>0</v>
          </cell>
          <cell r="G3116">
            <v>0</v>
          </cell>
        </row>
        <row r="3117">
          <cell r="D3117">
            <v>0</v>
          </cell>
          <cell r="E3117">
            <v>0</v>
          </cell>
          <cell r="F3117">
            <v>0</v>
          </cell>
          <cell r="G3117">
            <v>0</v>
          </cell>
        </row>
        <row r="3118">
          <cell r="D3118">
            <v>0</v>
          </cell>
          <cell r="E3118">
            <v>0</v>
          </cell>
          <cell r="F3118">
            <v>0</v>
          </cell>
          <cell r="G3118">
            <v>0</v>
          </cell>
        </row>
        <row r="3119">
          <cell r="D3119">
            <v>0</v>
          </cell>
          <cell r="E3119">
            <v>0</v>
          </cell>
          <cell r="F3119">
            <v>0</v>
          </cell>
          <cell r="G3119">
            <v>0</v>
          </cell>
        </row>
        <row r="3120">
          <cell r="D3120">
            <v>0</v>
          </cell>
          <cell r="E3120">
            <v>0</v>
          </cell>
          <cell r="F3120">
            <v>0</v>
          </cell>
          <cell r="G3120">
            <v>0</v>
          </cell>
        </row>
        <row r="3121">
          <cell r="D3121">
            <v>0</v>
          </cell>
          <cell r="E3121">
            <v>0</v>
          </cell>
          <cell r="F3121">
            <v>0</v>
          </cell>
          <cell r="G3121">
            <v>0</v>
          </cell>
        </row>
        <row r="3122">
          <cell r="D3122">
            <v>0</v>
          </cell>
          <cell r="E3122">
            <v>0</v>
          </cell>
          <cell r="F3122">
            <v>0</v>
          </cell>
          <cell r="G3122">
            <v>0</v>
          </cell>
        </row>
        <row r="3123">
          <cell r="D3123">
            <v>0</v>
          </cell>
          <cell r="E3123">
            <v>0</v>
          </cell>
          <cell r="F3123">
            <v>0</v>
          </cell>
          <cell r="G3123">
            <v>0</v>
          </cell>
        </row>
        <row r="3124">
          <cell r="D3124">
            <v>0</v>
          </cell>
          <cell r="E3124">
            <v>0</v>
          </cell>
          <cell r="F3124">
            <v>0</v>
          </cell>
          <cell r="G3124">
            <v>0</v>
          </cell>
        </row>
        <row r="3125">
          <cell r="D3125">
            <v>0</v>
          </cell>
          <cell r="E3125">
            <v>0</v>
          </cell>
          <cell r="F3125">
            <v>0</v>
          </cell>
          <cell r="G3125">
            <v>0</v>
          </cell>
        </row>
        <row r="3126">
          <cell r="D3126">
            <v>0</v>
          </cell>
          <cell r="E3126">
            <v>0</v>
          </cell>
          <cell r="F3126">
            <v>0</v>
          </cell>
          <cell r="G3126">
            <v>0</v>
          </cell>
        </row>
        <row r="3127">
          <cell r="D3127">
            <v>0</v>
          </cell>
          <cell r="E3127">
            <v>0</v>
          </cell>
          <cell r="F3127">
            <v>0</v>
          </cell>
          <cell r="G3127">
            <v>0</v>
          </cell>
        </row>
        <row r="3128">
          <cell r="D3128">
            <v>0</v>
          </cell>
          <cell r="E3128">
            <v>0</v>
          </cell>
          <cell r="F3128">
            <v>0</v>
          </cell>
          <cell r="G3128">
            <v>0</v>
          </cell>
        </row>
        <row r="3129">
          <cell r="D3129">
            <v>0</v>
          </cell>
          <cell r="E3129">
            <v>0</v>
          </cell>
          <cell r="F3129">
            <v>0</v>
          </cell>
          <cell r="G3129">
            <v>0</v>
          </cell>
        </row>
        <row r="3130">
          <cell r="D3130">
            <v>0</v>
          </cell>
          <cell r="E3130">
            <v>0</v>
          </cell>
          <cell r="F3130">
            <v>0</v>
          </cell>
          <cell r="G3130">
            <v>0</v>
          </cell>
        </row>
        <row r="3131">
          <cell r="D3131">
            <v>0</v>
          </cell>
          <cell r="E3131">
            <v>0</v>
          </cell>
          <cell r="F3131">
            <v>0</v>
          </cell>
          <cell r="G3131">
            <v>0</v>
          </cell>
        </row>
        <row r="3132">
          <cell r="D3132">
            <v>0</v>
          </cell>
          <cell r="E3132">
            <v>0</v>
          </cell>
          <cell r="F3132">
            <v>0</v>
          </cell>
          <cell r="G3132">
            <v>0</v>
          </cell>
        </row>
        <row r="3133">
          <cell r="D3133">
            <v>0</v>
          </cell>
          <cell r="E3133">
            <v>0</v>
          </cell>
          <cell r="F3133">
            <v>0</v>
          </cell>
          <cell r="G3133">
            <v>0</v>
          </cell>
        </row>
        <row r="3134">
          <cell r="D3134">
            <v>0</v>
          </cell>
          <cell r="E3134">
            <v>0</v>
          </cell>
          <cell r="F3134">
            <v>0</v>
          </cell>
          <cell r="G3134">
            <v>0</v>
          </cell>
        </row>
        <row r="3135">
          <cell r="D3135">
            <v>0</v>
          </cell>
          <cell r="E3135">
            <v>0</v>
          </cell>
          <cell r="F3135">
            <v>0</v>
          </cell>
          <cell r="G3135">
            <v>0</v>
          </cell>
        </row>
        <row r="3136">
          <cell r="D3136">
            <v>0</v>
          </cell>
          <cell r="E3136">
            <v>0</v>
          </cell>
          <cell r="F3136">
            <v>0</v>
          </cell>
          <cell r="G3136">
            <v>0</v>
          </cell>
        </row>
        <row r="3137">
          <cell r="D3137">
            <v>0</v>
          </cell>
          <cell r="E3137">
            <v>0</v>
          </cell>
          <cell r="F3137">
            <v>0</v>
          </cell>
          <cell r="G3137">
            <v>0</v>
          </cell>
        </row>
        <row r="3138">
          <cell r="D3138">
            <v>0</v>
          </cell>
          <cell r="E3138">
            <v>0</v>
          </cell>
          <cell r="F3138">
            <v>0</v>
          </cell>
          <cell r="G3138">
            <v>0</v>
          </cell>
        </row>
        <row r="3139">
          <cell r="D3139">
            <v>0</v>
          </cell>
          <cell r="E3139">
            <v>0</v>
          </cell>
          <cell r="F3139">
            <v>0</v>
          </cell>
          <cell r="G3139">
            <v>0</v>
          </cell>
        </row>
        <row r="3140">
          <cell r="D3140">
            <v>0</v>
          </cell>
          <cell r="E3140">
            <v>0</v>
          </cell>
          <cell r="F3140">
            <v>0</v>
          </cell>
          <cell r="G3140">
            <v>0</v>
          </cell>
        </row>
        <row r="3141">
          <cell r="D3141">
            <v>0</v>
          </cell>
          <cell r="E3141">
            <v>0</v>
          </cell>
          <cell r="F3141">
            <v>0</v>
          </cell>
          <cell r="G3141">
            <v>0</v>
          </cell>
        </row>
        <row r="3142">
          <cell r="D3142">
            <v>0</v>
          </cell>
          <cell r="E3142">
            <v>0</v>
          </cell>
          <cell r="F3142">
            <v>0</v>
          </cell>
          <cell r="G3142">
            <v>0</v>
          </cell>
        </row>
        <row r="3143">
          <cell r="D3143">
            <v>0</v>
          </cell>
          <cell r="E3143">
            <v>0</v>
          </cell>
          <cell r="F3143">
            <v>0</v>
          </cell>
          <cell r="G3143">
            <v>0</v>
          </cell>
        </row>
        <row r="3144">
          <cell r="D3144">
            <v>0</v>
          </cell>
          <cell r="E3144">
            <v>0</v>
          </cell>
          <cell r="F3144">
            <v>0</v>
          </cell>
          <cell r="G3144">
            <v>0</v>
          </cell>
        </row>
        <row r="3145">
          <cell r="D3145">
            <v>0</v>
          </cell>
          <cell r="E3145">
            <v>0</v>
          </cell>
          <cell r="F3145">
            <v>0</v>
          </cell>
          <cell r="G3145">
            <v>0</v>
          </cell>
        </row>
        <row r="3146">
          <cell r="D3146">
            <v>0</v>
          </cell>
          <cell r="E3146">
            <v>0</v>
          </cell>
          <cell r="F3146">
            <v>0</v>
          </cell>
          <cell r="G3146">
            <v>0</v>
          </cell>
        </row>
        <row r="3147">
          <cell r="D3147">
            <v>0</v>
          </cell>
          <cell r="E3147">
            <v>0</v>
          </cell>
          <cell r="F3147">
            <v>0</v>
          </cell>
          <cell r="G3147">
            <v>0</v>
          </cell>
        </row>
        <row r="3148">
          <cell r="D3148">
            <v>0</v>
          </cell>
          <cell r="E3148">
            <v>0</v>
          </cell>
          <cell r="F3148">
            <v>0</v>
          </cell>
          <cell r="G3148">
            <v>0</v>
          </cell>
        </row>
        <row r="3149">
          <cell r="D3149">
            <v>0</v>
          </cell>
          <cell r="E3149">
            <v>0</v>
          </cell>
          <cell r="F3149">
            <v>0</v>
          </cell>
          <cell r="G3149">
            <v>0</v>
          </cell>
        </row>
        <row r="3150">
          <cell r="D3150">
            <v>0</v>
          </cell>
          <cell r="E3150">
            <v>0</v>
          </cell>
          <cell r="F3150">
            <v>0</v>
          </cell>
          <cell r="G3150">
            <v>0</v>
          </cell>
        </row>
        <row r="3151">
          <cell r="D3151">
            <v>0</v>
          </cell>
          <cell r="E3151">
            <v>0</v>
          </cell>
          <cell r="F3151">
            <v>0</v>
          </cell>
          <cell r="G3151">
            <v>0</v>
          </cell>
        </row>
        <row r="3152">
          <cell r="D3152">
            <v>0</v>
          </cell>
          <cell r="E3152">
            <v>0</v>
          </cell>
          <cell r="F3152">
            <v>0</v>
          </cell>
          <cell r="G3152">
            <v>0</v>
          </cell>
        </row>
        <row r="3153">
          <cell r="D3153">
            <v>0</v>
          </cell>
          <cell r="E3153">
            <v>0</v>
          </cell>
          <cell r="F3153">
            <v>0</v>
          </cell>
          <cell r="G3153">
            <v>0</v>
          </cell>
        </row>
        <row r="3154">
          <cell r="D3154">
            <v>0</v>
          </cell>
          <cell r="E3154">
            <v>0</v>
          </cell>
          <cell r="F3154">
            <v>0</v>
          </cell>
          <cell r="G3154">
            <v>0</v>
          </cell>
        </row>
        <row r="3155">
          <cell r="D3155">
            <v>0</v>
          </cell>
          <cell r="E3155">
            <v>0</v>
          </cell>
          <cell r="F3155">
            <v>0</v>
          </cell>
          <cell r="G3155">
            <v>0</v>
          </cell>
        </row>
        <row r="3156">
          <cell r="D3156">
            <v>0</v>
          </cell>
          <cell r="E3156">
            <v>0</v>
          </cell>
          <cell r="F3156">
            <v>0</v>
          </cell>
          <cell r="G3156">
            <v>0</v>
          </cell>
        </row>
        <row r="3157">
          <cell r="D3157">
            <v>0</v>
          </cell>
          <cell r="E3157">
            <v>0</v>
          </cell>
          <cell r="F3157">
            <v>0</v>
          </cell>
          <cell r="G3157">
            <v>0</v>
          </cell>
        </row>
        <row r="3158">
          <cell r="D3158">
            <v>0</v>
          </cell>
          <cell r="E3158">
            <v>0</v>
          </cell>
          <cell r="F3158">
            <v>0</v>
          </cell>
          <cell r="G3158">
            <v>0</v>
          </cell>
        </row>
        <row r="3159">
          <cell r="D3159">
            <v>0</v>
          </cell>
          <cell r="E3159">
            <v>0</v>
          </cell>
          <cell r="F3159">
            <v>0</v>
          </cell>
          <cell r="G3159">
            <v>0</v>
          </cell>
        </row>
        <row r="3160">
          <cell r="D3160">
            <v>0</v>
          </cell>
          <cell r="E3160">
            <v>0</v>
          </cell>
          <cell r="F3160">
            <v>0</v>
          </cell>
          <cell r="G3160">
            <v>0</v>
          </cell>
        </row>
        <row r="3161">
          <cell r="D3161">
            <v>0</v>
          </cell>
          <cell r="E3161">
            <v>0</v>
          </cell>
          <cell r="F3161">
            <v>0</v>
          </cell>
          <cell r="G3161">
            <v>0</v>
          </cell>
        </row>
        <row r="3162">
          <cell r="D3162">
            <v>0</v>
          </cell>
          <cell r="E3162">
            <v>0</v>
          </cell>
          <cell r="F3162">
            <v>0</v>
          </cell>
          <cell r="G3162">
            <v>0</v>
          </cell>
        </row>
        <row r="3163">
          <cell r="D3163">
            <v>0</v>
          </cell>
          <cell r="E3163">
            <v>0</v>
          </cell>
          <cell r="F3163">
            <v>0</v>
          </cell>
          <cell r="G3163">
            <v>0</v>
          </cell>
        </row>
        <row r="3164">
          <cell r="D3164">
            <v>0</v>
          </cell>
          <cell r="E3164">
            <v>0</v>
          </cell>
          <cell r="F3164">
            <v>0</v>
          </cell>
          <cell r="G3164">
            <v>0</v>
          </cell>
        </row>
        <row r="3165">
          <cell r="D3165">
            <v>0</v>
          </cell>
          <cell r="E3165">
            <v>0</v>
          </cell>
          <cell r="F3165">
            <v>0</v>
          </cell>
          <cell r="G3165">
            <v>0</v>
          </cell>
        </row>
        <row r="3166">
          <cell r="D3166">
            <v>0</v>
          </cell>
          <cell r="E3166">
            <v>0</v>
          </cell>
          <cell r="F3166">
            <v>0</v>
          </cell>
          <cell r="G3166">
            <v>0</v>
          </cell>
        </row>
        <row r="3167">
          <cell r="D3167">
            <v>0</v>
          </cell>
          <cell r="E3167">
            <v>0</v>
          </cell>
          <cell r="F3167">
            <v>0</v>
          </cell>
          <cell r="G3167">
            <v>0</v>
          </cell>
        </row>
        <row r="3168">
          <cell r="D3168">
            <v>0</v>
          </cell>
          <cell r="E3168">
            <v>0</v>
          </cell>
          <cell r="F3168">
            <v>0</v>
          </cell>
          <cell r="G3168">
            <v>0</v>
          </cell>
        </row>
        <row r="3169">
          <cell r="D3169">
            <v>0</v>
          </cell>
          <cell r="E3169">
            <v>0</v>
          </cell>
          <cell r="F3169">
            <v>0</v>
          </cell>
          <cell r="G3169">
            <v>0</v>
          </cell>
        </row>
        <row r="3170">
          <cell r="D3170">
            <v>0</v>
          </cell>
          <cell r="E3170">
            <v>0</v>
          </cell>
          <cell r="F3170">
            <v>0</v>
          </cell>
          <cell r="G3170">
            <v>0</v>
          </cell>
        </row>
        <row r="3171">
          <cell r="D3171">
            <v>0</v>
          </cell>
          <cell r="E3171">
            <v>0</v>
          </cell>
          <cell r="F3171">
            <v>0</v>
          </cell>
          <cell r="G3171">
            <v>0</v>
          </cell>
        </row>
        <row r="3172">
          <cell r="D3172">
            <v>0</v>
          </cell>
          <cell r="E3172">
            <v>0</v>
          </cell>
          <cell r="F3172">
            <v>0</v>
          </cell>
          <cell r="G3172">
            <v>0</v>
          </cell>
        </row>
        <row r="3173">
          <cell r="D3173">
            <v>0</v>
          </cell>
          <cell r="E3173">
            <v>0</v>
          </cell>
          <cell r="F3173">
            <v>0</v>
          </cell>
          <cell r="G3173">
            <v>0</v>
          </cell>
        </row>
        <row r="3174">
          <cell r="D3174">
            <v>0</v>
          </cell>
          <cell r="E3174">
            <v>0</v>
          </cell>
          <cell r="F3174">
            <v>0</v>
          </cell>
          <cell r="G3174">
            <v>0</v>
          </cell>
        </row>
        <row r="3175">
          <cell r="D3175">
            <v>0</v>
          </cell>
          <cell r="E3175">
            <v>0</v>
          </cell>
          <cell r="F3175">
            <v>0</v>
          </cell>
          <cell r="G3175">
            <v>0</v>
          </cell>
        </row>
        <row r="3176">
          <cell r="D3176">
            <v>0</v>
          </cell>
          <cell r="E3176">
            <v>0</v>
          </cell>
          <cell r="F3176">
            <v>0</v>
          </cell>
          <cell r="G3176">
            <v>0</v>
          </cell>
        </row>
        <row r="3177">
          <cell r="D3177">
            <v>0</v>
          </cell>
          <cell r="E3177">
            <v>0</v>
          </cell>
          <cell r="F3177">
            <v>0</v>
          </cell>
          <cell r="G3177">
            <v>0</v>
          </cell>
        </row>
        <row r="3178">
          <cell r="D3178">
            <v>0</v>
          </cell>
          <cell r="E3178">
            <v>0</v>
          </cell>
          <cell r="F3178">
            <v>0</v>
          </cell>
          <cell r="G3178">
            <v>0</v>
          </cell>
        </row>
        <row r="3179">
          <cell r="D3179">
            <v>0</v>
          </cell>
          <cell r="E3179">
            <v>0</v>
          </cell>
          <cell r="F3179">
            <v>0</v>
          </cell>
          <cell r="G3179">
            <v>0</v>
          </cell>
        </row>
        <row r="3180">
          <cell r="D3180">
            <v>0</v>
          </cell>
          <cell r="E3180">
            <v>0</v>
          </cell>
          <cell r="F3180">
            <v>0</v>
          </cell>
          <cell r="G3180">
            <v>0</v>
          </cell>
        </row>
        <row r="3181">
          <cell r="D3181">
            <v>0</v>
          </cell>
          <cell r="E3181">
            <v>0</v>
          </cell>
          <cell r="F3181">
            <v>0</v>
          </cell>
          <cell r="G3181">
            <v>0</v>
          </cell>
        </row>
        <row r="3182">
          <cell r="D3182">
            <v>0</v>
          </cell>
          <cell r="E3182">
            <v>0</v>
          </cell>
          <cell r="F3182">
            <v>0</v>
          </cell>
          <cell r="G3182">
            <v>0</v>
          </cell>
        </row>
        <row r="3183">
          <cell r="D3183">
            <v>0</v>
          </cell>
          <cell r="E3183">
            <v>0</v>
          </cell>
          <cell r="F3183">
            <v>0</v>
          </cell>
          <cell r="G3183">
            <v>0</v>
          </cell>
        </row>
        <row r="3184">
          <cell r="D3184">
            <v>0</v>
          </cell>
          <cell r="E3184">
            <v>0</v>
          </cell>
          <cell r="F3184">
            <v>0</v>
          </cell>
          <cell r="G3184">
            <v>0</v>
          </cell>
        </row>
        <row r="3185">
          <cell r="D3185">
            <v>0</v>
          </cell>
          <cell r="E3185">
            <v>0</v>
          </cell>
          <cell r="F3185">
            <v>0</v>
          </cell>
          <cell r="G3185">
            <v>0</v>
          </cell>
        </row>
        <row r="3186">
          <cell r="D3186">
            <v>0</v>
          </cell>
          <cell r="E3186">
            <v>0</v>
          </cell>
          <cell r="F3186">
            <v>0</v>
          </cell>
          <cell r="G3186">
            <v>0</v>
          </cell>
        </row>
        <row r="3187">
          <cell r="D3187">
            <v>0</v>
          </cell>
          <cell r="E3187">
            <v>0</v>
          </cell>
          <cell r="F3187">
            <v>0</v>
          </cell>
          <cell r="G3187">
            <v>0</v>
          </cell>
        </row>
        <row r="3188">
          <cell r="D3188">
            <v>0</v>
          </cell>
          <cell r="E3188">
            <v>0</v>
          </cell>
          <cell r="F3188">
            <v>0</v>
          </cell>
          <cell r="G3188">
            <v>0</v>
          </cell>
        </row>
        <row r="3189">
          <cell r="D3189">
            <v>0</v>
          </cell>
          <cell r="E3189">
            <v>0</v>
          </cell>
          <cell r="F3189">
            <v>0</v>
          </cell>
          <cell r="G3189">
            <v>0</v>
          </cell>
        </row>
        <row r="3190">
          <cell r="D3190">
            <v>0</v>
          </cell>
          <cell r="E3190">
            <v>0</v>
          </cell>
          <cell r="F3190">
            <v>0</v>
          </cell>
          <cell r="G3190">
            <v>0</v>
          </cell>
        </row>
        <row r="3191">
          <cell r="D3191">
            <v>0</v>
          </cell>
          <cell r="E3191">
            <v>0</v>
          </cell>
          <cell r="F3191">
            <v>0</v>
          </cell>
          <cell r="G3191">
            <v>0</v>
          </cell>
        </row>
        <row r="3192">
          <cell r="D3192">
            <v>0</v>
          </cell>
          <cell r="E3192">
            <v>0</v>
          </cell>
          <cell r="F3192">
            <v>0</v>
          </cell>
          <cell r="G3192">
            <v>0</v>
          </cell>
        </row>
        <row r="3193">
          <cell r="D3193">
            <v>0</v>
          </cell>
          <cell r="E3193">
            <v>0</v>
          </cell>
          <cell r="F3193">
            <v>0</v>
          </cell>
          <cell r="G3193">
            <v>0</v>
          </cell>
        </row>
        <row r="3194">
          <cell r="D3194">
            <v>0</v>
          </cell>
          <cell r="E3194">
            <v>0</v>
          </cell>
          <cell r="F3194">
            <v>0</v>
          </cell>
          <cell r="G3194">
            <v>0</v>
          </cell>
        </row>
        <row r="3195">
          <cell r="D3195">
            <v>0</v>
          </cell>
          <cell r="E3195">
            <v>0</v>
          </cell>
          <cell r="F3195">
            <v>0</v>
          </cell>
          <cell r="G3195">
            <v>0</v>
          </cell>
        </row>
        <row r="3196">
          <cell r="D3196">
            <v>0</v>
          </cell>
          <cell r="E3196">
            <v>0</v>
          </cell>
          <cell r="F3196">
            <v>0</v>
          </cell>
          <cell r="G3196">
            <v>0</v>
          </cell>
        </row>
        <row r="3197">
          <cell r="D3197">
            <v>0</v>
          </cell>
          <cell r="E3197">
            <v>0</v>
          </cell>
          <cell r="F3197">
            <v>0</v>
          </cell>
          <cell r="G3197">
            <v>0</v>
          </cell>
        </row>
        <row r="3198">
          <cell r="D3198">
            <v>0</v>
          </cell>
          <cell r="E3198">
            <v>0</v>
          </cell>
          <cell r="F3198">
            <v>0</v>
          </cell>
          <cell r="G3198">
            <v>0</v>
          </cell>
        </row>
        <row r="3199">
          <cell r="D3199">
            <v>0</v>
          </cell>
          <cell r="E3199">
            <v>0</v>
          </cell>
          <cell r="F3199">
            <v>0</v>
          </cell>
          <cell r="G3199">
            <v>0</v>
          </cell>
        </row>
        <row r="3200">
          <cell r="D3200">
            <v>0</v>
          </cell>
          <cell r="E3200">
            <v>0</v>
          </cell>
          <cell r="F3200">
            <v>0</v>
          </cell>
          <cell r="G3200">
            <v>0</v>
          </cell>
        </row>
        <row r="3201">
          <cell r="D3201">
            <v>0</v>
          </cell>
          <cell r="E3201">
            <v>0</v>
          </cell>
          <cell r="F3201">
            <v>0</v>
          </cell>
          <cell r="G3201">
            <v>0</v>
          </cell>
        </row>
        <row r="3202">
          <cell r="D3202">
            <v>0</v>
          </cell>
          <cell r="E3202">
            <v>0</v>
          </cell>
          <cell r="F3202">
            <v>0</v>
          </cell>
          <cell r="G3202">
            <v>0</v>
          </cell>
        </row>
        <row r="3203">
          <cell r="D3203">
            <v>0</v>
          </cell>
          <cell r="E3203">
            <v>0</v>
          </cell>
          <cell r="F3203">
            <v>0</v>
          </cell>
          <cell r="G3203">
            <v>0</v>
          </cell>
        </row>
        <row r="3204">
          <cell r="D3204">
            <v>0</v>
          </cell>
          <cell r="E3204">
            <v>0</v>
          </cell>
          <cell r="F3204">
            <v>0</v>
          </cell>
          <cell r="G3204">
            <v>0</v>
          </cell>
        </row>
        <row r="3205">
          <cell r="D3205">
            <v>0</v>
          </cell>
          <cell r="E3205">
            <v>0</v>
          </cell>
          <cell r="F3205">
            <v>0</v>
          </cell>
          <cell r="G3205">
            <v>0</v>
          </cell>
        </row>
        <row r="3206">
          <cell r="D3206">
            <v>0</v>
          </cell>
          <cell r="E3206">
            <v>0</v>
          </cell>
          <cell r="F3206">
            <v>0</v>
          </cell>
          <cell r="G3206">
            <v>0</v>
          </cell>
        </row>
        <row r="3207">
          <cell r="D3207">
            <v>0</v>
          </cell>
          <cell r="E3207">
            <v>0</v>
          </cell>
          <cell r="F3207">
            <v>0</v>
          </cell>
          <cell r="G3207">
            <v>0</v>
          </cell>
        </row>
        <row r="3208">
          <cell r="D3208">
            <v>0</v>
          </cell>
          <cell r="E3208">
            <v>0</v>
          </cell>
          <cell r="F3208">
            <v>0</v>
          </cell>
          <cell r="G3208">
            <v>0</v>
          </cell>
        </row>
        <row r="3209">
          <cell r="D3209">
            <v>0</v>
          </cell>
          <cell r="E3209">
            <v>0</v>
          </cell>
          <cell r="F3209">
            <v>0</v>
          </cell>
          <cell r="G3209">
            <v>0</v>
          </cell>
        </row>
        <row r="3210">
          <cell r="D3210">
            <v>0</v>
          </cell>
          <cell r="E3210">
            <v>0</v>
          </cell>
          <cell r="F3210">
            <v>0</v>
          </cell>
          <cell r="G3210">
            <v>0</v>
          </cell>
        </row>
        <row r="3211">
          <cell r="D3211">
            <v>0</v>
          </cell>
          <cell r="E3211">
            <v>0</v>
          </cell>
          <cell r="F3211">
            <v>0</v>
          </cell>
          <cell r="G3211">
            <v>0</v>
          </cell>
        </row>
        <row r="3212">
          <cell r="D3212">
            <v>0</v>
          </cell>
          <cell r="E3212">
            <v>0</v>
          </cell>
          <cell r="F3212">
            <v>0</v>
          </cell>
          <cell r="G3212">
            <v>0</v>
          </cell>
        </row>
        <row r="3213">
          <cell r="D3213">
            <v>0</v>
          </cell>
          <cell r="E3213">
            <v>0</v>
          </cell>
          <cell r="F3213">
            <v>0</v>
          </cell>
          <cell r="G3213">
            <v>0</v>
          </cell>
        </row>
        <row r="3214">
          <cell r="D3214">
            <v>0</v>
          </cell>
          <cell r="E3214">
            <v>0</v>
          </cell>
          <cell r="F3214">
            <v>0</v>
          </cell>
          <cell r="G3214">
            <v>0</v>
          </cell>
        </row>
        <row r="3215">
          <cell r="D3215">
            <v>0</v>
          </cell>
          <cell r="E3215">
            <v>0</v>
          </cell>
          <cell r="F3215">
            <v>0</v>
          </cell>
          <cell r="G3215">
            <v>0</v>
          </cell>
        </row>
        <row r="3216">
          <cell r="D3216">
            <v>0</v>
          </cell>
          <cell r="E3216">
            <v>0</v>
          </cell>
          <cell r="F3216">
            <v>0</v>
          </cell>
          <cell r="G3216">
            <v>0</v>
          </cell>
        </row>
        <row r="3217">
          <cell r="D3217">
            <v>0</v>
          </cell>
          <cell r="E3217">
            <v>0</v>
          </cell>
          <cell r="F3217">
            <v>0</v>
          </cell>
          <cell r="G3217">
            <v>0</v>
          </cell>
        </row>
        <row r="3218">
          <cell r="D3218">
            <v>0</v>
          </cell>
          <cell r="E3218">
            <v>0</v>
          </cell>
          <cell r="F3218">
            <v>0</v>
          </cell>
          <cell r="G3218">
            <v>0</v>
          </cell>
        </row>
        <row r="3219">
          <cell r="D3219">
            <v>0</v>
          </cell>
          <cell r="E3219">
            <v>0</v>
          </cell>
          <cell r="F3219">
            <v>0</v>
          </cell>
          <cell r="G3219">
            <v>0</v>
          </cell>
        </row>
        <row r="3220">
          <cell r="D3220">
            <v>0</v>
          </cell>
          <cell r="E3220">
            <v>0</v>
          </cell>
          <cell r="F3220">
            <v>0</v>
          </cell>
          <cell r="G3220">
            <v>0</v>
          </cell>
        </row>
        <row r="3221">
          <cell r="D3221">
            <v>0</v>
          </cell>
          <cell r="E3221">
            <v>0</v>
          </cell>
          <cell r="F3221">
            <v>0</v>
          </cell>
          <cell r="G3221">
            <v>0</v>
          </cell>
        </row>
        <row r="3222">
          <cell r="D3222">
            <v>0</v>
          </cell>
          <cell r="E3222">
            <v>0</v>
          </cell>
          <cell r="F3222">
            <v>0</v>
          </cell>
          <cell r="G3222">
            <v>0</v>
          </cell>
        </row>
        <row r="3223">
          <cell r="D3223">
            <v>0</v>
          </cell>
          <cell r="E3223">
            <v>0</v>
          </cell>
          <cell r="F3223">
            <v>0</v>
          </cell>
          <cell r="G3223">
            <v>0</v>
          </cell>
        </row>
        <row r="3224">
          <cell r="D3224">
            <v>0</v>
          </cell>
          <cell r="E3224">
            <v>0</v>
          </cell>
          <cell r="F3224">
            <v>0</v>
          </cell>
          <cell r="G3224">
            <v>0</v>
          </cell>
        </row>
        <row r="3225">
          <cell r="D3225">
            <v>0</v>
          </cell>
          <cell r="E3225">
            <v>0</v>
          </cell>
          <cell r="F3225">
            <v>0</v>
          </cell>
          <cell r="G3225">
            <v>0</v>
          </cell>
        </row>
        <row r="3226">
          <cell r="D3226">
            <v>0</v>
          </cell>
          <cell r="E3226">
            <v>0</v>
          </cell>
          <cell r="F3226">
            <v>0</v>
          </cell>
          <cell r="G3226">
            <v>0</v>
          </cell>
        </row>
        <row r="3227">
          <cell r="D3227">
            <v>0</v>
          </cell>
          <cell r="E3227">
            <v>0</v>
          </cell>
          <cell r="F3227">
            <v>0</v>
          </cell>
          <cell r="G3227">
            <v>0</v>
          </cell>
        </row>
        <row r="3228">
          <cell r="D3228">
            <v>0</v>
          </cell>
          <cell r="E3228">
            <v>0</v>
          </cell>
          <cell r="F3228">
            <v>0</v>
          </cell>
          <cell r="G3228">
            <v>0</v>
          </cell>
        </row>
        <row r="3229">
          <cell r="D3229">
            <v>0</v>
          </cell>
          <cell r="E3229">
            <v>0</v>
          </cell>
          <cell r="F3229">
            <v>0</v>
          </cell>
          <cell r="G3229">
            <v>0</v>
          </cell>
        </row>
        <row r="3230">
          <cell r="D3230">
            <v>0</v>
          </cell>
          <cell r="E3230">
            <v>0</v>
          </cell>
          <cell r="F3230">
            <v>0</v>
          </cell>
          <cell r="G3230">
            <v>0</v>
          </cell>
        </row>
        <row r="3231">
          <cell r="D3231">
            <v>0</v>
          </cell>
          <cell r="E3231">
            <v>0</v>
          </cell>
          <cell r="F3231">
            <v>0</v>
          </cell>
          <cell r="G3231">
            <v>0</v>
          </cell>
        </row>
        <row r="3232">
          <cell r="D3232">
            <v>0</v>
          </cell>
          <cell r="E3232">
            <v>0</v>
          </cell>
          <cell r="F3232">
            <v>0</v>
          </cell>
          <cell r="G3232">
            <v>0</v>
          </cell>
        </row>
        <row r="3233">
          <cell r="D3233">
            <v>0</v>
          </cell>
          <cell r="E3233">
            <v>0</v>
          </cell>
          <cell r="F3233">
            <v>0</v>
          </cell>
          <cell r="G3233">
            <v>0</v>
          </cell>
        </row>
        <row r="3234">
          <cell r="D3234">
            <v>0</v>
          </cell>
          <cell r="E3234">
            <v>0</v>
          </cell>
          <cell r="F3234">
            <v>0</v>
          </cell>
          <cell r="G3234">
            <v>0</v>
          </cell>
        </row>
        <row r="3235">
          <cell r="D3235">
            <v>0</v>
          </cell>
          <cell r="E3235">
            <v>0</v>
          </cell>
          <cell r="F3235">
            <v>0</v>
          </cell>
          <cell r="G3235">
            <v>0</v>
          </cell>
        </row>
        <row r="3236">
          <cell r="D3236">
            <v>0</v>
          </cell>
          <cell r="E3236">
            <v>0</v>
          </cell>
          <cell r="F3236">
            <v>0</v>
          </cell>
          <cell r="G3236">
            <v>0</v>
          </cell>
        </row>
        <row r="3237">
          <cell r="D3237">
            <v>0</v>
          </cell>
          <cell r="E3237">
            <v>0</v>
          </cell>
          <cell r="F3237">
            <v>0</v>
          </cell>
          <cell r="G3237">
            <v>0</v>
          </cell>
        </row>
        <row r="3238">
          <cell r="D3238">
            <v>0</v>
          </cell>
          <cell r="E3238">
            <v>0</v>
          </cell>
          <cell r="F3238">
            <v>0</v>
          </cell>
          <cell r="G3238">
            <v>0</v>
          </cell>
        </row>
        <row r="3239">
          <cell r="D3239">
            <v>0</v>
          </cell>
          <cell r="E3239">
            <v>0</v>
          </cell>
          <cell r="F3239">
            <v>0</v>
          </cell>
          <cell r="G3239">
            <v>0</v>
          </cell>
        </row>
        <row r="3240">
          <cell r="D3240">
            <v>0</v>
          </cell>
          <cell r="E3240">
            <v>0</v>
          </cell>
          <cell r="F3240">
            <v>0</v>
          </cell>
          <cell r="G3240">
            <v>0</v>
          </cell>
        </row>
        <row r="3241">
          <cell r="D3241">
            <v>0</v>
          </cell>
          <cell r="E3241">
            <v>0</v>
          </cell>
          <cell r="F3241">
            <v>0</v>
          </cell>
          <cell r="G3241">
            <v>0</v>
          </cell>
        </row>
        <row r="3242">
          <cell r="D3242">
            <v>0</v>
          </cell>
          <cell r="E3242">
            <v>0</v>
          </cell>
          <cell r="F3242">
            <v>0</v>
          </cell>
          <cell r="G3242">
            <v>0</v>
          </cell>
        </row>
        <row r="3243">
          <cell r="D3243">
            <v>0</v>
          </cell>
          <cell r="E3243">
            <v>0</v>
          </cell>
          <cell r="F3243">
            <v>0</v>
          </cell>
          <cell r="G3243">
            <v>0</v>
          </cell>
        </row>
        <row r="3244">
          <cell r="D3244">
            <v>0</v>
          </cell>
          <cell r="E3244">
            <v>0</v>
          </cell>
          <cell r="F3244">
            <v>0</v>
          </cell>
          <cell r="G3244">
            <v>0</v>
          </cell>
        </row>
        <row r="3245">
          <cell r="D3245">
            <v>0</v>
          </cell>
          <cell r="E3245">
            <v>0</v>
          </cell>
          <cell r="F3245">
            <v>0</v>
          </cell>
          <cell r="G3245">
            <v>0</v>
          </cell>
        </row>
        <row r="3246">
          <cell r="D3246">
            <v>0</v>
          </cell>
          <cell r="E3246">
            <v>0</v>
          </cell>
          <cell r="F3246">
            <v>0</v>
          </cell>
          <cell r="G3246">
            <v>0</v>
          </cell>
        </row>
        <row r="3247">
          <cell r="D3247">
            <v>0</v>
          </cell>
          <cell r="E3247">
            <v>0</v>
          </cell>
          <cell r="F3247">
            <v>0</v>
          </cell>
          <cell r="G3247">
            <v>0</v>
          </cell>
        </row>
        <row r="3248">
          <cell r="D3248">
            <v>0</v>
          </cell>
          <cell r="E3248">
            <v>0</v>
          </cell>
          <cell r="F3248">
            <v>0</v>
          </cell>
          <cell r="G3248">
            <v>0</v>
          </cell>
        </row>
        <row r="3249">
          <cell r="D3249">
            <v>0</v>
          </cell>
          <cell r="E3249">
            <v>0</v>
          </cell>
          <cell r="F3249">
            <v>0</v>
          </cell>
          <cell r="G3249">
            <v>0</v>
          </cell>
        </row>
        <row r="3250">
          <cell r="D3250">
            <v>0</v>
          </cell>
          <cell r="E3250">
            <v>0</v>
          </cell>
          <cell r="F3250">
            <v>0</v>
          </cell>
          <cell r="G3250">
            <v>0</v>
          </cell>
        </row>
        <row r="3251">
          <cell r="D3251">
            <v>0</v>
          </cell>
          <cell r="E3251">
            <v>0</v>
          </cell>
          <cell r="F3251">
            <v>0</v>
          </cell>
          <cell r="G3251">
            <v>0</v>
          </cell>
        </row>
        <row r="3252">
          <cell r="D3252">
            <v>0</v>
          </cell>
          <cell r="E3252">
            <v>0</v>
          </cell>
          <cell r="F3252">
            <v>0</v>
          </cell>
          <cell r="G3252">
            <v>0</v>
          </cell>
        </row>
        <row r="3253">
          <cell r="D3253">
            <v>0</v>
          </cell>
          <cell r="E3253">
            <v>0</v>
          </cell>
          <cell r="F3253">
            <v>0</v>
          </cell>
          <cell r="G3253">
            <v>0</v>
          </cell>
        </row>
        <row r="3254">
          <cell r="D3254">
            <v>0</v>
          </cell>
          <cell r="E3254">
            <v>0</v>
          </cell>
          <cell r="F3254">
            <v>0</v>
          </cell>
          <cell r="G3254">
            <v>0</v>
          </cell>
        </row>
        <row r="3255">
          <cell r="D3255">
            <v>0</v>
          </cell>
          <cell r="E3255">
            <v>0</v>
          </cell>
          <cell r="F3255">
            <v>0</v>
          </cell>
          <cell r="G3255">
            <v>0</v>
          </cell>
        </row>
        <row r="3256">
          <cell r="D3256">
            <v>0</v>
          </cell>
          <cell r="E3256">
            <v>0</v>
          </cell>
          <cell r="F3256">
            <v>0</v>
          </cell>
          <cell r="G3256">
            <v>0</v>
          </cell>
        </row>
        <row r="3257">
          <cell r="D3257">
            <v>0</v>
          </cell>
          <cell r="E3257">
            <v>0</v>
          </cell>
          <cell r="F3257">
            <v>0</v>
          </cell>
          <cell r="G3257">
            <v>0</v>
          </cell>
        </row>
        <row r="3258">
          <cell r="D3258">
            <v>0</v>
          </cell>
          <cell r="E3258">
            <v>0</v>
          </cell>
          <cell r="F3258">
            <v>0</v>
          </cell>
          <cell r="G3258">
            <v>0</v>
          </cell>
        </row>
        <row r="3259">
          <cell r="D3259">
            <v>0</v>
          </cell>
          <cell r="E3259">
            <v>0</v>
          </cell>
          <cell r="F3259">
            <v>0</v>
          </cell>
          <cell r="G3259">
            <v>0</v>
          </cell>
        </row>
        <row r="3260">
          <cell r="D3260">
            <v>0</v>
          </cell>
          <cell r="E3260">
            <v>0</v>
          </cell>
          <cell r="F3260">
            <v>0</v>
          </cell>
          <cell r="G3260">
            <v>0</v>
          </cell>
        </row>
        <row r="3261">
          <cell r="D3261">
            <v>0</v>
          </cell>
          <cell r="E3261">
            <v>0</v>
          </cell>
          <cell r="F3261">
            <v>0</v>
          </cell>
          <cell r="G3261">
            <v>0</v>
          </cell>
        </row>
        <row r="3262">
          <cell r="D3262">
            <v>0</v>
          </cell>
          <cell r="E3262">
            <v>0</v>
          </cell>
          <cell r="F3262">
            <v>0</v>
          </cell>
          <cell r="G3262">
            <v>0</v>
          </cell>
        </row>
        <row r="3263">
          <cell r="D3263">
            <v>0</v>
          </cell>
          <cell r="E3263">
            <v>0</v>
          </cell>
          <cell r="F3263">
            <v>0</v>
          </cell>
          <cell r="G3263">
            <v>0</v>
          </cell>
        </row>
        <row r="3264">
          <cell r="D3264">
            <v>0</v>
          </cell>
          <cell r="E3264">
            <v>0</v>
          </cell>
          <cell r="F3264">
            <v>0</v>
          </cell>
          <cell r="G3264">
            <v>0</v>
          </cell>
        </row>
        <row r="3265">
          <cell r="D3265">
            <v>0</v>
          </cell>
          <cell r="E3265">
            <v>0</v>
          </cell>
          <cell r="F3265">
            <v>0</v>
          </cell>
          <cell r="G3265">
            <v>0</v>
          </cell>
        </row>
        <row r="3266">
          <cell r="D3266">
            <v>0</v>
          </cell>
          <cell r="E3266">
            <v>0</v>
          </cell>
          <cell r="F3266">
            <v>0</v>
          </cell>
          <cell r="G3266">
            <v>0</v>
          </cell>
        </row>
        <row r="3267">
          <cell r="D3267">
            <v>0</v>
          </cell>
          <cell r="E3267">
            <v>0</v>
          </cell>
          <cell r="F3267">
            <v>0</v>
          </cell>
          <cell r="G3267">
            <v>0</v>
          </cell>
        </row>
        <row r="3268">
          <cell r="D3268">
            <v>0</v>
          </cell>
          <cell r="E3268">
            <v>0</v>
          </cell>
          <cell r="F3268">
            <v>0</v>
          </cell>
          <cell r="G3268">
            <v>0</v>
          </cell>
        </row>
        <row r="3269">
          <cell r="D3269">
            <v>0</v>
          </cell>
          <cell r="E3269">
            <v>0</v>
          </cell>
          <cell r="F3269">
            <v>0</v>
          </cell>
          <cell r="G3269">
            <v>0</v>
          </cell>
        </row>
        <row r="3270">
          <cell r="D3270">
            <v>0</v>
          </cell>
          <cell r="E3270">
            <v>0</v>
          </cell>
          <cell r="F3270">
            <v>0</v>
          </cell>
          <cell r="G3270">
            <v>0</v>
          </cell>
        </row>
        <row r="3271">
          <cell r="D3271">
            <v>0</v>
          </cell>
          <cell r="E3271">
            <v>0</v>
          </cell>
          <cell r="F3271">
            <v>0</v>
          </cell>
          <cell r="G3271">
            <v>0</v>
          </cell>
        </row>
        <row r="3272">
          <cell r="D3272">
            <v>0</v>
          </cell>
          <cell r="E3272">
            <v>0</v>
          </cell>
          <cell r="F3272">
            <v>0</v>
          </cell>
          <cell r="G3272">
            <v>0</v>
          </cell>
        </row>
        <row r="3273">
          <cell r="D3273">
            <v>0</v>
          </cell>
          <cell r="E3273">
            <v>0</v>
          </cell>
          <cell r="F3273">
            <v>0</v>
          </cell>
          <cell r="G3273">
            <v>0</v>
          </cell>
        </row>
        <row r="3274">
          <cell r="D3274">
            <v>0</v>
          </cell>
          <cell r="E3274">
            <v>0</v>
          </cell>
          <cell r="F3274">
            <v>0</v>
          </cell>
          <cell r="G3274">
            <v>0</v>
          </cell>
        </row>
        <row r="3275">
          <cell r="D3275">
            <v>0</v>
          </cell>
          <cell r="E3275">
            <v>0</v>
          </cell>
          <cell r="F3275">
            <v>0</v>
          </cell>
          <cell r="G3275">
            <v>0</v>
          </cell>
        </row>
        <row r="3276">
          <cell r="D3276">
            <v>0</v>
          </cell>
          <cell r="E3276">
            <v>0</v>
          </cell>
          <cell r="F3276">
            <v>0</v>
          </cell>
          <cell r="G3276">
            <v>0</v>
          </cell>
        </row>
        <row r="3277">
          <cell r="D3277">
            <v>0</v>
          </cell>
          <cell r="E3277">
            <v>0</v>
          </cell>
          <cell r="F3277">
            <v>0</v>
          </cell>
          <cell r="G3277">
            <v>0</v>
          </cell>
        </row>
        <row r="3278">
          <cell r="D3278">
            <v>0</v>
          </cell>
          <cell r="E3278">
            <v>0</v>
          </cell>
          <cell r="F3278">
            <v>0</v>
          </cell>
          <cell r="G3278">
            <v>0</v>
          </cell>
        </row>
        <row r="3279">
          <cell r="D3279">
            <v>0</v>
          </cell>
          <cell r="E3279">
            <v>0</v>
          </cell>
          <cell r="F3279">
            <v>0</v>
          </cell>
          <cell r="G3279">
            <v>0</v>
          </cell>
        </row>
        <row r="3280">
          <cell r="D3280">
            <v>0</v>
          </cell>
          <cell r="E3280">
            <v>0</v>
          </cell>
          <cell r="F3280">
            <v>0</v>
          </cell>
          <cell r="G3280">
            <v>0</v>
          </cell>
        </row>
        <row r="3281">
          <cell r="D3281">
            <v>0</v>
          </cell>
          <cell r="E3281">
            <v>0</v>
          </cell>
          <cell r="F3281">
            <v>0</v>
          </cell>
          <cell r="G3281">
            <v>0</v>
          </cell>
        </row>
        <row r="3282">
          <cell r="D3282">
            <v>0</v>
          </cell>
          <cell r="E3282">
            <v>0</v>
          </cell>
          <cell r="F3282">
            <v>0</v>
          </cell>
          <cell r="G3282">
            <v>0</v>
          </cell>
        </row>
        <row r="3283">
          <cell r="D3283">
            <v>0</v>
          </cell>
          <cell r="E3283">
            <v>0</v>
          </cell>
          <cell r="F3283">
            <v>0</v>
          </cell>
          <cell r="G3283">
            <v>0</v>
          </cell>
        </row>
        <row r="3284">
          <cell r="D3284">
            <v>0</v>
          </cell>
          <cell r="E3284">
            <v>0</v>
          </cell>
          <cell r="F3284">
            <v>0</v>
          </cell>
          <cell r="G3284">
            <v>0</v>
          </cell>
        </row>
        <row r="3285">
          <cell r="D3285">
            <v>0</v>
          </cell>
          <cell r="E3285">
            <v>0</v>
          </cell>
          <cell r="F3285">
            <v>0</v>
          </cell>
          <cell r="G3285">
            <v>0</v>
          </cell>
        </row>
        <row r="3286">
          <cell r="D3286">
            <v>0</v>
          </cell>
          <cell r="E3286">
            <v>0</v>
          </cell>
          <cell r="F3286">
            <v>0</v>
          </cell>
          <cell r="G3286">
            <v>0</v>
          </cell>
        </row>
        <row r="3287">
          <cell r="D3287">
            <v>0</v>
          </cell>
          <cell r="E3287">
            <v>0</v>
          </cell>
          <cell r="F3287">
            <v>0</v>
          </cell>
          <cell r="G3287">
            <v>0</v>
          </cell>
        </row>
        <row r="3288">
          <cell r="D3288">
            <v>0</v>
          </cell>
          <cell r="E3288">
            <v>0</v>
          </cell>
          <cell r="F3288">
            <v>0</v>
          </cell>
          <cell r="G3288">
            <v>0</v>
          </cell>
        </row>
        <row r="3289">
          <cell r="D3289">
            <v>0</v>
          </cell>
          <cell r="E3289">
            <v>0</v>
          </cell>
          <cell r="F3289">
            <v>0</v>
          </cell>
          <cell r="G3289">
            <v>0</v>
          </cell>
        </row>
        <row r="3290">
          <cell r="D3290">
            <v>0</v>
          </cell>
          <cell r="E3290">
            <v>0</v>
          </cell>
          <cell r="F3290">
            <v>0</v>
          </cell>
          <cell r="G3290">
            <v>0</v>
          </cell>
        </row>
        <row r="3291">
          <cell r="D3291">
            <v>0</v>
          </cell>
          <cell r="E3291">
            <v>0</v>
          </cell>
          <cell r="F3291">
            <v>0</v>
          </cell>
          <cell r="G3291">
            <v>0</v>
          </cell>
        </row>
        <row r="3292">
          <cell r="D3292">
            <v>0</v>
          </cell>
          <cell r="E3292">
            <v>0</v>
          </cell>
          <cell r="F3292">
            <v>0</v>
          </cell>
          <cell r="G3292">
            <v>0</v>
          </cell>
        </row>
        <row r="3293">
          <cell r="D3293">
            <v>0</v>
          </cell>
          <cell r="E3293">
            <v>0</v>
          </cell>
          <cell r="F3293">
            <v>0</v>
          </cell>
          <cell r="G3293">
            <v>0</v>
          </cell>
        </row>
        <row r="3294">
          <cell r="D3294">
            <v>0</v>
          </cell>
          <cell r="E3294">
            <v>0</v>
          </cell>
          <cell r="F3294">
            <v>0</v>
          </cell>
          <cell r="G3294">
            <v>0</v>
          </cell>
        </row>
        <row r="3295">
          <cell r="D3295">
            <v>0</v>
          </cell>
          <cell r="E3295">
            <v>0</v>
          </cell>
          <cell r="F3295">
            <v>0</v>
          </cell>
          <cell r="G3295">
            <v>0</v>
          </cell>
        </row>
        <row r="3296">
          <cell r="D3296">
            <v>0</v>
          </cell>
          <cell r="E3296">
            <v>0</v>
          </cell>
          <cell r="F3296">
            <v>0</v>
          </cell>
          <cell r="G3296">
            <v>0</v>
          </cell>
        </row>
        <row r="3297">
          <cell r="D3297">
            <v>0</v>
          </cell>
          <cell r="E3297">
            <v>0</v>
          </cell>
          <cell r="F3297">
            <v>0</v>
          </cell>
          <cell r="G3297">
            <v>0</v>
          </cell>
        </row>
        <row r="3298">
          <cell r="D3298">
            <v>0</v>
          </cell>
          <cell r="E3298">
            <v>0</v>
          </cell>
          <cell r="F3298">
            <v>0</v>
          </cell>
          <cell r="G3298">
            <v>0</v>
          </cell>
        </row>
        <row r="3299">
          <cell r="D3299">
            <v>0</v>
          </cell>
          <cell r="E3299">
            <v>0</v>
          </cell>
          <cell r="F3299">
            <v>0</v>
          </cell>
          <cell r="G3299">
            <v>0</v>
          </cell>
        </row>
        <row r="3300">
          <cell r="D3300">
            <v>0</v>
          </cell>
          <cell r="E3300">
            <v>0</v>
          </cell>
          <cell r="F3300">
            <v>0</v>
          </cell>
          <cell r="G3300">
            <v>0</v>
          </cell>
        </row>
        <row r="3301">
          <cell r="D3301">
            <v>0</v>
          </cell>
          <cell r="E3301">
            <v>0</v>
          </cell>
          <cell r="F3301">
            <v>0</v>
          </cell>
          <cell r="G3301">
            <v>0</v>
          </cell>
        </row>
        <row r="3302">
          <cell r="D3302">
            <v>0</v>
          </cell>
          <cell r="E3302">
            <v>0</v>
          </cell>
          <cell r="F3302">
            <v>0</v>
          </cell>
          <cell r="G3302">
            <v>0</v>
          </cell>
        </row>
        <row r="3303">
          <cell r="D3303">
            <v>0</v>
          </cell>
          <cell r="E3303">
            <v>0</v>
          </cell>
          <cell r="F3303">
            <v>0</v>
          </cell>
          <cell r="G3303">
            <v>0</v>
          </cell>
        </row>
        <row r="3304">
          <cell r="D3304">
            <v>0</v>
          </cell>
          <cell r="E3304">
            <v>0</v>
          </cell>
          <cell r="F3304">
            <v>0</v>
          </cell>
          <cell r="G3304">
            <v>0</v>
          </cell>
        </row>
        <row r="3305">
          <cell r="D3305">
            <v>0</v>
          </cell>
          <cell r="E3305">
            <v>0</v>
          </cell>
          <cell r="F3305">
            <v>0</v>
          </cell>
          <cell r="G3305">
            <v>0</v>
          </cell>
        </row>
        <row r="3306">
          <cell r="D3306">
            <v>0</v>
          </cell>
          <cell r="E3306">
            <v>0</v>
          </cell>
          <cell r="F3306">
            <v>0</v>
          </cell>
          <cell r="G3306">
            <v>0</v>
          </cell>
        </row>
        <row r="3307">
          <cell r="D3307">
            <v>0</v>
          </cell>
          <cell r="E3307">
            <v>0</v>
          </cell>
          <cell r="F3307">
            <v>0</v>
          </cell>
          <cell r="G3307">
            <v>0</v>
          </cell>
        </row>
        <row r="3308">
          <cell r="D3308">
            <v>0</v>
          </cell>
          <cell r="E3308">
            <v>0</v>
          </cell>
          <cell r="F3308">
            <v>0</v>
          </cell>
          <cell r="G3308">
            <v>0</v>
          </cell>
        </row>
        <row r="3309">
          <cell r="D3309">
            <v>0</v>
          </cell>
          <cell r="E3309">
            <v>0</v>
          </cell>
          <cell r="F3309">
            <v>0</v>
          </cell>
          <cell r="G3309">
            <v>0</v>
          </cell>
        </row>
        <row r="3310">
          <cell r="D3310">
            <v>0</v>
          </cell>
          <cell r="E3310">
            <v>0</v>
          </cell>
          <cell r="F3310">
            <v>0</v>
          </cell>
          <cell r="G3310">
            <v>0</v>
          </cell>
        </row>
        <row r="3311">
          <cell r="D3311">
            <v>0</v>
          </cell>
          <cell r="E3311">
            <v>0</v>
          </cell>
          <cell r="F3311">
            <v>0</v>
          </cell>
          <cell r="G3311">
            <v>0</v>
          </cell>
        </row>
        <row r="3312">
          <cell r="D3312">
            <v>0</v>
          </cell>
          <cell r="E3312">
            <v>0</v>
          </cell>
          <cell r="F3312">
            <v>0</v>
          </cell>
          <cell r="G3312">
            <v>0</v>
          </cell>
        </row>
        <row r="3313">
          <cell r="D3313">
            <v>0</v>
          </cell>
          <cell r="E3313">
            <v>0</v>
          </cell>
          <cell r="F3313">
            <v>0</v>
          </cell>
          <cell r="G3313">
            <v>0</v>
          </cell>
        </row>
        <row r="3314">
          <cell r="D3314">
            <v>0</v>
          </cell>
          <cell r="E3314">
            <v>0</v>
          </cell>
          <cell r="F3314">
            <v>0</v>
          </cell>
          <cell r="G3314">
            <v>0</v>
          </cell>
        </row>
        <row r="3315">
          <cell r="D3315">
            <v>0</v>
          </cell>
          <cell r="E3315">
            <v>0</v>
          </cell>
          <cell r="F3315">
            <v>0</v>
          </cell>
          <cell r="G3315">
            <v>0</v>
          </cell>
        </row>
        <row r="3316">
          <cell r="D3316">
            <v>0</v>
          </cell>
          <cell r="E3316">
            <v>0</v>
          </cell>
          <cell r="F3316">
            <v>0</v>
          </cell>
          <cell r="G3316">
            <v>0</v>
          </cell>
        </row>
        <row r="3317">
          <cell r="D3317">
            <v>0</v>
          </cell>
          <cell r="E3317">
            <v>0</v>
          </cell>
          <cell r="F3317">
            <v>0</v>
          </cell>
          <cell r="G3317">
            <v>0</v>
          </cell>
        </row>
        <row r="3318">
          <cell r="D3318">
            <v>0</v>
          </cell>
          <cell r="E3318">
            <v>0</v>
          </cell>
          <cell r="F3318">
            <v>0</v>
          </cell>
          <cell r="G3318">
            <v>0</v>
          </cell>
        </row>
        <row r="3319">
          <cell r="D3319">
            <v>0</v>
          </cell>
          <cell r="E3319">
            <v>0</v>
          </cell>
          <cell r="F3319">
            <v>0</v>
          </cell>
          <cell r="G3319">
            <v>0</v>
          </cell>
        </row>
        <row r="3320">
          <cell r="D3320">
            <v>0</v>
          </cell>
          <cell r="E3320">
            <v>0</v>
          </cell>
          <cell r="F3320">
            <v>0</v>
          </cell>
          <cell r="G3320">
            <v>0</v>
          </cell>
        </row>
        <row r="3321">
          <cell r="D3321">
            <v>0</v>
          </cell>
          <cell r="E3321">
            <v>0</v>
          </cell>
          <cell r="F3321">
            <v>0</v>
          </cell>
          <cell r="G3321">
            <v>0</v>
          </cell>
        </row>
        <row r="3322">
          <cell r="D3322">
            <v>0</v>
          </cell>
          <cell r="E3322">
            <v>0</v>
          </cell>
          <cell r="F3322">
            <v>0</v>
          </cell>
          <cell r="G3322">
            <v>0</v>
          </cell>
        </row>
        <row r="3323">
          <cell r="D3323">
            <v>0</v>
          </cell>
          <cell r="E3323">
            <v>0</v>
          </cell>
          <cell r="F3323">
            <v>0</v>
          </cell>
          <cell r="G3323">
            <v>0</v>
          </cell>
        </row>
        <row r="3324">
          <cell r="D3324">
            <v>0</v>
          </cell>
          <cell r="E3324">
            <v>0</v>
          </cell>
          <cell r="F3324">
            <v>0</v>
          </cell>
          <cell r="G3324">
            <v>0</v>
          </cell>
        </row>
        <row r="3325">
          <cell r="D3325">
            <v>0</v>
          </cell>
          <cell r="E3325">
            <v>0</v>
          </cell>
          <cell r="F3325">
            <v>0</v>
          </cell>
          <cell r="G3325">
            <v>0</v>
          </cell>
        </row>
        <row r="3326">
          <cell r="D3326">
            <v>0</v>
          </cell>
          <cell r="E3326">
            <v>0</v>
          </cell>
          <cell r="F3326">
            <v>0</v>
          </cell>
          <cell r="G3326">
            <v>0</v>
          </cell>
        </row>
        <row r="3327">
          <cell r="D3327">
            <v>0</v>
          </cell>
          <cell r="E3327">
            <v>0</v>
          </cell>
          <cell r="F3327">
            <v>0</v>
          </cell>
          <cell r="G3327">
            <v>0</v>
          </cell>
        </row>
        <row r="3328">
          <cell r="D3328">
            <v>0</v>
          </cell>
          <cell r="E3328">
            <v>0</v>
          </cell>
          <cell r="F3328">
            <v>0</v>
          </cell>
          <cell r="G3328">
            <v>0</v>
          </cell>
        </row>
        <row r="3329">
          <cell r="D3329">
            <v>0</v>
          </cell>
          <cell r="E3329">
            <v>0</v>
          </cell>
          <cell r="F3329">
            <v>0</v>
          </cell>
          <cell r="G3329">
            <v>0</v>
          </cell>
        </row>
        <row r="3330">
          <cell r="D3330">
            <v>0</v>
          </cell>
          <cell r="E3330">
            <v>0</v>
          </cell>
          <cell r="F3330">
            <v>0</v>
          </cell>
          <cell r="G3330">
            <v>0</v>
          </cell>
        </row>
        <row r="3331">
          <cell r="D3331">
            <v>0</v>
          </cell>
          <cell r="E3331">
            <v>0</v>
          </cell>
          <cell r="F3331">
            <v>0</v>
          </cell>
          <cell r="G3331">
            <v>0</v>
          </cell>
        </row>
        <row r="3332">
          <cell r="D3332">
            <v>0</v>
          </cell>
          <cell r="E3332">
            <v>0</v>
          </cell>
          <cell r="F3332">
            <v>0</v>
          </cell>
          <cell r="G3332">
            <v>0</v>
          </cell>
        </row>
        <row r="3333">
          <cell r="D3333">
            <v>0</v>
          </cell>
          <cell r="E3333">
            <v>0</v>
          </cell>
          <cell r="F3333">
            <v>0</v>
          </cell>
          <cell r="G3333">
            <v>0</v>
          </cell>
        </row>
        <row r="3334">
          <cell r="D3334">
            <v>0</v>
          </cell>
          <cell r="E3334">
            <v>0</v>
          </cell>
          <cell r="F3334">
            <v>0</v>
          </cell>
          <cell r="G3334">
            <v>0</v>
          </cell>
        </row>
        <row r="3335">
          <cell r="D3335">
            <v>0</v>
          </cell>
          <cell r="E3335">
            <v>0</v>
          </cell>
          <cell r="F3335">
            <v>0</v>
          </cell>
          <cell r="G3335">
            <v>0</v>
          </cell>
        </row>
        <row r="3336">
          <cell r="D3336">
            <v>0</v>
          </cell>
          <cell r="E3336">
            <v>0</v>
          </cell>
          <cell r="F3336">
            <v>0</v>
          </cell>
          <cell r="G3336">
            <v>0</v>
          </cell>
        </row>
        <row r="3337">
          <cell r="D3337">
            <v>0</v>
          </cell>
          <cell r="E3337">
            <v>0</v>
          </cell>
          <cell r="F3337">
            <v>0</v>
          </cell>
          <cell r="G3337">
            <v>0</v>
          </cell>
        </row>
        <row r="3338">
          <cell r="D3338">
            <v>0</v>
          </cell>
          <cell r="E3338">
            <v>0</v>
          </cell>
          <cell r="F3338">
            <v>0</v>
          </cell>
          <cell r="G3338">
            <v>0</v>
          </cell>
        </row>
        <row r="3339">
          <cell r="D3339">
            <v>0</v>
          </cell>
          <cell r="E3339">
            <v>0</v>
          </cell>
          <cell r="F3339">
            <v>0</v>
          </cell>
          <cell r="G3339">
            <v>0</v>
          </cell>
        </row>
        <row r="3340">
          <cell r="D3340">
            <v>0</v>
          </cell>
          <cell r="E3340">
            <v>0</v>
          </cell>
          <cell r="F3340">
            <v>0</v>
          </cell>
          <cell r="G3340">
            <v>0</v>
          </cell>
        </row>
        <row r="3341">
          <cell r="D3341">
            <v>0</v>
          </cell>
          <cell r="E3341">
            <v>0</v>
          </cell>
          <cell r="F3341">
            <v>0</v>
          </cell>
          <cell r="G3341">
            <v>0</v>
          </cell>
        </row>
        <row r="3342">
          <cell r="D3342">
            <v>0</v>
          </cell>
          <cell r="E3342">
            <v>0</v>
          </cell>
          <cell r="F3342">
            <v>0</v>
          </cell>
          <cell r="G3342">
            <v>0</v>
          </cell>
        </row>
        <row r="3343">
          <cell r="D3343">
            <v>0</v>
          </cell>
          <cell r="E3343">
            <v>0</v>
          </cell>
          <cell r="F3343">
            <v>0</v>
          </cell>
          <cell r="G3343">
            <v>0</v>
          </cell>
        </row>
        <row r="3344">
          <cell r="D3344">
            <v>0</v>
          </cell>
          <cell r="E3344">
            <v>0</v>
          </cell>
          <cell r="F3344">
            <v>0</v>
          </cell>
          <cell r="G3344">
            <v>0</v>
          </cell>
        </row>
        <row r="3345">
          <cell r="D3345">
            <v>0</v>
          </cell>
          <cell r="E3345">
            <v>0</v>
          </cell>
          <cell r="F3345">
            <v>0</v>
          </cell>
          <cell r="G3345">
            <v>0</v>
          </cell>
        </row>
        <row r="3346">
          <cell r="D3346">
            <v>0</v>
          </cell>
          <cell r="E3346">
            <v>0</v>
          </cell>
          <cell r="F3346">
            <v>0</v>
          </cell>
          <cell r="G3346">
            <v>0</v>
          </cell>
        </row>
        <row r="3347">
          <cell r="D3347">
            <v>0</v>
          </cell>
          <cell r="E3347">
            <v>0</v>
          </cell>
          <cell r="F3347">
            <v>0</v>
          </cell>
          <cell r="G3347">
            <v>0</v>
          </cell>
        </row>
        <row r="3348">
          <cell r="D3348">
            <v>0</v>
          </cell>
          <cell r="E3348">
            <v>0</v>
          </cell>
          <cell r="F3348">
            <v>0</v>
          </cell>
          <cell r="G3348">
            <v>0</v>
          </cell>
        </row>
        <row r="3349">
          <cell r="D3349">
            <v>0</v>
          </cell>
          <cell r="E3349">
            <v>0</v>
          </cell>
          <cell r="F3349">
            <v>0</v>
          </cell>
          <cell r="G3349">
            <v>0</v>
          </cell>
        </row>
        <row r="3350">
          <cell r="D3350">
            <v>0</v>
          </cell>
          <cell r="E3350">
            <v>0</v>
          </cell>
          <cell r="F3350">
            <v>0</v>
          </cell>
          <cell r="G3350">
            <v>0</v>
          </cell>
        </row>
        <row r="3351">
          <cell r="D3351">
            <v>0</v>
          </cell>
          <cell r="E3351">
            <v>0</v>
          </cell>
          <cell r="F3351">
            <v>0</v>
          </cell>
          <cell r="G3351">
            <v>0</v>
          </cell>
        </row>
        <row r="3352">
          <cell r="D3352">
            <v>0</v>
          </cell>
          <cell r="E3352">
            <v>0</v>
          </cell>
          <cell r="F3352">
            <v>0</v>
          </cell>
          <cell r="G3352">
            <v>0</v>
          </cell>
        </row>
        <row r="3353">
          <cell r="D3353">
            <v>0</v>
          </cell>
          <cell r="E3353">
            <v>0</v>
          </cell>
          <cell r="F3353">
            <v>0</v>
          </cell>
          <cell r="G3353">
            <v>0</v>
          </cell>
        </row>
        <row r="3354">
          <cell r="D3354">
            <v>0</v>
          </cell>
          <cell r="E3354">
            <v>0</v>
          </cell>
          <cell r="F3354">
            <v>0</v>
          </cell>
          <cell r="G3354">
            <v>0</v>
          </cell>
        </row>
        <row r="3355">
          <cell r="D3355">
            <v>0</v>
          </cell>
          <cell r="E3355">
            <v>0</v>
          </cell>
          <cell r="F3355">
            <v>0</v>
          </cell>
          <cell r="G3355">
            <v>0</v>
          </cell>
        </row>
        <row r="3356">
          <cell r="D3356">
            <v>0</v>
          </cell>
          <cell r="E3356">
            <v>0</v>
          </cell>
          <cell r="F3356">
            <v>0</v>
          </cell>
          <cell r="G3356">
            <v>0</v>
          </cell>
        </row>
        <row r="3357">
          <cell r="D3357">
            <v>0</v>
          </cell>
          <cell r="E3357">
            <v>0</v>
          </cell>
          <cell r="F3357">
            <v>0</v>
          </cell>
          <cell r="G3357">
            <v>0</v>
          </cell>
        </row>
        <row r="3358">
          <cell r="D3358">
            <v>0</v>
          </cell>
          <cell r="E3358">
            <v>0</v>
          </cell>
          <cell r="F3358">
            <v>0</v>
          </cell>
          <cell r="G3358">
            <v>0</v>
          </cell>
        </row>
        <row r="3359">
          <cell r="D3359">
            <v>0</v>
          </cell>
          <cell r="E3359">
            <v>0</v>
          </cell>
          <cell r="F3359">
            <v>0</v>
          </cell>
          <cell r="G3359">
            <v>0</v>
          </cell>
        </row>
        <row r="3360">
          <cell r="D3360">
            <v>0</v>
          </cell>
          <cell r="E3360">
            <v>0</v>
          </cell>
          <cell r="F3360">
            <v>0</v>
          </cell>
          <cell r="G3360">
            <v>0</v>
          </cell>
        </row>
        <row r="3361">
          <cell r="D3361">
            <v>0</v>
          </cell>
          <cell r="E3361">
            <v>0</v>
          </cell>
          <cell r="F3361">
            <v>0</v>
          </cell>
          <cell r="G3361">
            <v>0</v>
          </cell>
        </row>
        <row r="3362">
          <cell r="D3362">
            <v>0</v>
          </cell>
          <cell r="E3362">
            <v>0</v>
          </cell>
          <cell r="F3362">
            <v>0</v>
          </cell>
          <cell r="G3362">
            <v>0</v>
          </cell>
        </row>
        <row r="3363">
          <cell r="D3363">
            <v>0</v>
          </cell>
          <cell r="E3363">
            <v>0</v>
          </cell>
          <cell r="F3363">
            <v>0</v>
          </cell>
          <cell r="G3363">
            <v>0</v>
          </cell>
        </row>
        <row r="3364">
          <cell r="D3364">
            <v>0</v>
          </cell>
          <cell r="E3364">
            <v>0</v>
          </cell>
          <cell r="F3364">
            <v>0</v>
          </cell>
          <cell r="G3364">
            <v>0</v>
          </cell>
        </row>
        <row r="3365">
          <cell r="D3365">
            <v>0</v>
          </cell>
          <cell r="E3365">
            <v>0</v>
          </cell>
          <cell r="F3365">
            <v>0</v>
          </cell>
          <cell r="G3365">
            <v>0</v>
          </cell>
        </row>
        <row r="3366">
          <cell r="D3366">
            <v>0</v>
          </cell>
          <cell r="E3366">
            <v>0</v>
          </cell>
          <cell r="F3366">
            <v>0</v>
          </cell>
          <cell r="G3366">
            <v>0</v>
          </cell>
        </row>
        <row r="3367">
          <cell r="D3367">
            <v>0</v>
          </cell>
          <cell r="E3367">
            <v>0</v>
          </cell>
          <cell r="F3367">
            <v>0</v>
          </cell>
          <cell r="G3367">
            <v>0</v>
          </cell>
        </row>
        <row r="3368">
          <cell r="D3368">
            <v>0</v>
          </cell>
          <cell r="E3368">
            <v>0</v>
          </cell>
          <cell r="F3368">
            <v>0</v>
          </cell>
          <cell r="G3368">
            <v>0</v>
          </cell>
        </row>
        <row r="3369">
          <cell r="D3369">
            <v>0</v>
          </cell>
          <cell r="E3369">
            <v>0</v>
          </cell>
          <cell r="F3369">
            <v>0</v>
          </cell>
          <cell r="G3369">
            <v>0</v>
          </cell>
        </row>
        <row r="3370">
          <cell r="D3370">
            <v>0</v>
          </cell>
          <cell r="E3370">
            <v>0</v>
          </cell>
          <cell r="F3370">
            <v>0</v>
          </cell>
          <cell r="G3370">
            <v>0</v>
          </cell>
        </row>
        <row r="3371">
          <cell r="D3371">
            <v>0</v>
          </cell>
          <cell r="E3371">
            <v>0</v>
          </cell>
          <cell r="F3371">
            <v>0</v>
          </cell>
          <cell r="G3371">
            <v>0</v>
          </cell>
        </row>
        <row r="3372">
          <cell r="D3372">
            <v>0</v>
          </cell>
          <cell r="E3372">
            <v>0</v>
          </cell>
          <cell r="F3372">
            <v>0</v>
          </cell>
          <cell r="G3372">
            <v>0</v>
          </cell>
        </row>
        <row r="3373">
          <cell r="D3373">
            <v>0</v>
          </cell>
          <cell r="E3373">
            <v>0</v>
          </cell>
          <cell r="F3373">
            <v>0</v>
          </cell>
          <cell r="G3373">
            <v>0</v>
          </cell>
        </row>
        <row r="3374">
          <cell r="D3374">
            <v>0</v>
          </cell>
          <cell r="E3374">
            <v>0</v>
          </cell>
          <cell r="F3374">
            <v>0</v>
          </cell>
          <cell r="G3374">
            <v>0</v>
          </cell>
        </row>
        <row r="3375">
          <cell r="D3375">
            <v>0</v>
          </cell>
          <cell r="E3375">
            <v>0</v>
          </cell>
          <cell r="F3375">
            <v>0</v>
          </cell>
          <cell r="G3375">
            <v>0</v>
          </cell>
        </row>
        <row r="3376">
          <cell r="D3376">
            <v>0</v>
          </cell>
          <cell r="E3376">
            <v>0</v>
          </cell>
          <cell r="F3376">
            <v>0</v>
          </cell>
          <cell r="G3376">
            <v>0</v>
          </cell>
        </row>
        <row r="3377">
          <cell r="D3377">
            <v>0</v>
          </cell>
          <cell r="E3377">
            <v>0</v>
          </cell>
          <cell r="F3377">
            <v>0</v>
          </cell>
          <cell r="G3377">
            <v>0</v>
          </cell>
        </row>
        <row r="3378">
          <cell r="D3378">
            <v>0</v>
          </cell>
          <cell r="E3378">
            <v>0</v>
          </cell>
          <cell r="F3378">
            <v>0</v>
          </cell>
          <cell r="G3378">
            <v>0</v>
          </cell>
        </row>
        <row r="3379">
          <cell r="D3379">
            <v>0</v>
          </cell>
          <cell r="E3379">
            <v>0</v>
          </cell>
          <cell r="F3379">
            <v>0</v>
          </cell>
          <cell r="G3379">
            <v>0</v>
          </cell>
        </row>
        <row r="3380">
          <cell r="D3380">
            <v>0</v>
          </cell>
          <cell r="E3380">
            <v>0</v>
          </cell>
          <cell r="F3380">
            <v>0</v>
          </cell>
          <cell r="G3380">
            <v>0</v>
          </cell>
        </row>
        <row r="3381">
          <cell r="D3381">
            <v>0</v>
          </cell>
          <cell r="E3381">
            <v>0</v>
          </cell>
          <cell r="F3381">
            <v>0</v>
          </cell>
          <cell r="G3381">
            <v>0</v>
          </cell>
        </row>
        <row r="3382">
          <cell r="D3382">
            <v>0</v>
          </cell>
          <cell r="E3382">
            <v>0</v>
          </cell>
          <cell r="F3382">
            <v>0</v>
          </cell>
          <cell r="G3382">
            <v>0</v>
          </cell>
        </row>
        <row r="3383">
          <cell r="D3383">
            <v>0</v>
          </cell>
          <cell r="E3383">
            <v>0</v>
          </cell>
          <cell r="F3383">
            <v>0</v>
          </cell>
          <cell r="G3383">
            <v>0</v>
          </cell>
        </row>
        <row r="3384">
          <cell r="D3384">
            <v>0</v>
          </cell>
          <cell r="E3384">
            <v>0</v>
          </cell>
          <cell r="F3384">
            <v>0</v>
          </cell>
          <cell r="G3384">
            <v>0</v>
          </cell>
        </row>
        <row r="3385">
          <cell r="D3385">
            <v>0</v>
          </cell>
          <cell r="E3385">
            <v>0</v>
          </cell>
          <cell r="F3385">
            <v>0</v>
          </cell>
          <cell r="G3385">
            <v>0</v>
          </cell>
        </row>
        <row r="3386">
          <cell r="D3386">
            <v>0</v>
          </cell>
          <cell r="E3386">
            <v>0</v>
          </cell>
          <cell r="F3386">
            <v>0</v>
          </cell>
          <cell r="G3386">
            <v>0</v>
          </cell>
        </row>
        <row r="3387">
          <cell r="D3387">
            <v>0</v>
          </cell>
          <cell r="E3387">
            <v>0</v>
          </cell>
          <cell r="F3387">
            <v>0</v>
          </cell>
          <cell r="G3387">
            <v>0</v>
          </cell>
        </row>
        <row r="3388">
          <cell r="D3388">
            <v>0</v>
          </cell>
          <cell r="E3388">
            <v>0</v>
          </cell>
          <cell r="F3388">
            <v>0</v>
          </cell>
          <cell r="G3388">
            <v>0</v>
          </cell>
        </row>
        <row r="3389">
          <cell r="D3389">
            <v>0</v>
          </cell>
          <cell r="E3389">
            <v>0</v>
          </cell>
          <cell r="F3389">
            <v>0</v>
          </cell>
          <cell r="G3389">
            <v>0</v>
          </cell>
        </row>
        <row r="3390">
          <cell r="D3390">
            <v>0</v>
          </cell>
          <cell r="E3390">
            <v>0</v>
          </cell>
          <cell r="F3390">
            <v>0</v>
          </cell>
          <cell r="G3390">
            <v>0</v>
          </cell>
        </row>
        <row r="3391">
          <cell r="D3391">
            <v>0</v>
          </cell>
          <cell r="E3391">
            <v>0</v>
          </cell>
          <cell r="F3391">
            <v>0</v>
          </cell>
          <cell r="G3391">
            <v>0</v>
          </cell>
        </row>
        <row r="3392">
          <cell r="D3392">
            <v>0</v>
          </cell>
          <cell r="E3392">
            <v>0</v>
          </cell>
          <cell r="F3392">
            <v>0</v>
          </cell>
          <cell r="G3392">
            <v>0</v>
          </cell>
        </row>
        <row r="3393">
          <cell r="D3393">
            <v>0</v>
          </cell>
          <cell r="E3393">
            <v>0</v>
          </cell>
          <cell r="F3393">
            <v>0</v>
          </cell>
          <cell r="G3393">
            <v>0</v>
          </cell>
        </row>
        <row r="3394">
          <cell r="D3394">
            <v>0</v>
          </cell>
          <cell r="E3394">
            <v>0</v>
          </cell>
          <cell r="F3394">
            <v>0</v>
          </cell>
          <cell r="G3394">
            <v>0</v>
          </cell>
        </row>
        <row r="3395">
          <cell r="D3395">
            <v>0</v>
          </cell>
          <cell r="E3395">
            <v>0</v>
          </cell>
          <cell r="F3395">
            <v>0</v>
          </cell>
          <cell r="G3395">
            <v>0</v>
          </cell>
        </row>
        <row r="3396">
          <cell r="D3396">
            <v>0</v>
          </cell>
          <cell r="E3396">
            <v>0</v>
          </cell>
          <cell r="F3396">
            <v>0</v>
          </cell>
          <cell r="G3396">
            <v>0</v>
          </cell>
        </row>
        <row r="3397">
          <cell r="D3397">
            <v>0</v>
          </cell>
          <cell r="E3397">
            <v>0</v>
          </cell>
          <cell r="F3397">
            <v>0</v>
          </cell>
          <cell r="G3397">
            <v>0</v>
          </cell>
        </row>
        <row r="3398">
          <cell r="D3398">
            <v>0</v>
          </cell>
          <cell r="E3398">
            <v>0</v>
          </cell>
          <cell r="F3398">
            <v>0</v>
          </cell>
          <cell r="G3398">
            <v>0</v>
          </cell>
        </row>
        <row r="3399">
          <cell r="D3399">
            <v>0</v>
          </cell>
          <cell r="E3399">
            <v>0</v>
          </cell>
          <cell r="F3399">
            <v>0</v>
          </cell>
          <cell r="G3399">
            <v>0</v>
          </cell>
        </row>
        <row r="3400">
          <cell r="D3400">
            <v>0</v>
          </cell>
          <cell r="E3400">
            <v>0</v>
          </cell>
          <cell r="F3400">
            <v>0</v>
          </cell>
          <cell r="G3400">
            <v>0</v>
          </cell>
        </row>
        <row r="3401">
          <cell r="D3401">
            <v>0</v>
          </cell>
          <cell r="E3401">
            <v>0</v>
          </cell>
          <cell r="F3401">
            <v>0</v>
          </cell>
          <cell r="G3401">
            <v>0</v>
          </cell>
        </row>
        <row r="3402">
          <cell r="D3402">
            <v>0</v>
          </cell>
          <cell r="E3402">
            <v>0</v>
          </cell>
          <cell r="F3402">
            <v>0</v>
          </cell>
          <cell r="G3402">
            <v>0</v>
          </cell>
        </row>
        <row r="3403">
          <cell r="D3403">
            <v>0</v>
          </cell>
          <cell r="E3403">
            <v>0</v>
          </cell>
          <cell r="F3403">
            <v>0</v>
          </cell>
          <cell r="G3403">
            <v>0</v>
          </cell>
        </row>
        <row r="3404">
          <cell r="D3404">
            <v>0</v>
          </cell>
          <cell r="E3404">
            <v>0</v>
          </cell>
          <cell r="F3404">
            <v>0</v>
          </cell>
          <cell r="G3404">
            <v>0</v>
          </cell>
        </row>
        <row r="3405">
          <cell r="D3405">
            <v>0</v>
          </cell>
          <cell r="E3405">
            <v>0</v>
          </cell>
          <cell r="F3405">
            <v>0</v>
          </cell>
          <cell r="G3405">
            <v>0</v>
          </cell>
        </row>
        <row r="3406">
          <cell r="D3406">
            <v>0</v>
          </cell>
          <cell r="E3406">
            <v>0</v>
          </cell>
          <cell r="F3406">
            <v>0</v>
          </cell>
          <cell r="G3406">
            <v>0</v>
          </cell>
        </row>
        <row r="3407">
          <cell r="D3407">
            <v>0</v>
          </cell>
          <cell r="E3407">
            <v>0</v>
          </cell>
          <cell r="F3407">
            <v>0</v>
          </cell>
          <cell r="G3407">
            <v>0</v>
          </cell>
        </row>
        <row r="3408">
          <cell r="D3408">
            <v>0</v>
          </cell>
          <cell r="E3408">
            <v>0</v>
          </cell>
          <cell r="F3408">
            <v>0</v>
          </cell>
          <cell r="G3408">
            <v>0</v>
          </cell>
        </row>
        <row r="3409">
          <cell r="D3409">
            <v>0</v>
          </cell>
          <cell r="E3409">
            <v>0</v>
          </cell>
          <cell r="F3409">
            <v>0</v>
          </cell>
          <cell r="G3409">
            <v>0</v>
          </cell>
        </row>
        <row r="3410">
          <cell r="D3410">
            <v>0</v>
          </cell>
          <cell r="E3410">
            <v>0</v>
          </cell>
          <cell r="F3410">
            <v>0</v>
          </cell>
          <cell r="G3410">
            <v>0</v>
          </cell>
        </row>
        <row r="3411">
          <cell r="D3411">
            <v>0</v>
          </cell>
          <cell r="E3411">
            <v>0</v>
          </cell>
          <cell r="F3411">
            <v>0</v>
          </cell>
          <cell r="G3411">
            <v>0</v>
          </cell>
        </row>
        <row r="3412">
          <cell r="D3412">
            <v>0</v>
          </cell>
          <cell r="E3412">
            <v>0</v>
          </cell>
          <cell r="F3412">
            <v>0</v>
          </cell>
          <cell r="G3412">
            <v>0</v>
          </cell>
        </row>
        <row r="3413">
          <cell r="D3413">
            <v>0</v>
          </cell>
          <cell r="E3413">
            <v>0</v>
          </cell>
          <cell r="F3413">
            <v>0</v>
          </cell>
          <cell r="G3413">
            <v>0</v>
          </cell>
        </row>
        <row r="3414">
          <cell r="D3414">
            <v>0</v>
          </cell>
          <cell r="E3414">
            <v>0</v>
          </cell>
          <cell r="F3414">
            <v>0</v>
          </cell>
          <cell r="G3414">
            <v>0</v>
          </cell>
        </row>
        <row r="3415">
          <cell r="D3415">
            <v>0</v>
          </cell>
          <cell r="E3415">
            <v>0</v>
          </cell>
          <cell r="F3415">
            <v>0</v>
          </cell>
          <cell r="G3415">
            <v>0</v>
          </cell>
        </row>
        <row r="3416">
          <cell r="D3416">
            <v>0</v>
          </cell>
          <cell r="E3416">
            <v>0</v>
          </cell>
          <cell r="F3416">
            <v>0</v>
          </cell>
          <cell r="G3416">
            <v>0</v>
          </cell>
        </row>
        <row r="3417">
          <cell r="D3417">
            <v>0</v>
          </cell>
          <cell r="E3417">
            <v>0</v>
          </cell>
          <cell r="F3417">
            <v>0</v>
          </cell>
          <cell r="G3417">
            <v>0</v>
          </cell>
        </row>
        <row r="3418">
          <cell r="D3418">
            <v>0</v>
          </cell>
          <cell r="E3418">
            <v>0</v>
          </cell>
          <cell r="F3418">
            <v>0</v>
          </cell>
          <cell r="G3418">
            <v>0</v>
          </cell>
        </row>
        <row r="3419">
          <cell r="D3419">
            <v>0</v>
          </cell>
          <cell r="E3419">
            <v>0</v>
          </cell>
          <cell r="F3419">
            <v>0</v>
          </cell>
          <cell r="G3419">
            <v>0</v>
          </cell>
        </row>
        <row r="3420">
          <cell r="D3420">
            <v>0</v>
          </cell>
          <cell r="E3420">
            <v>0</v>
          </cell>
          <cell r="F3420">
            <v>0</v>
          </cell>
          <cell r="G3420">
            <v>0</v>
          </cell>
        </row>
        <row r="3421">
          <cell r="D3421">
            <v>0</v>
          </cell>
          <cell r="E3421">
            <v>0</v>
          </cell>
          <cell r="F3421">
            <v>0</v>
          </cell>
          <cell r="G3421">
            <v>0</v>
          </cell>
        </row>
        <row r="3422">
          <cell r="D3422">
            <v>0</v>
          </cell>
          <cell r="E3422">
            <v>0</v>
          </cell>
          <cell r="F3422">
            <v>0</v>
          </cell>
          <cell r="G3422">
            <v>0</v>
          </cell>
        </row>
        <row r="3423">
          <cell r="D3423">
            <v>0</v>
          </cell>
          <cell r="E3423">
            <v>0</v>
          </cell>
          <cell r="F3423">
            <v>0</v>
          </cell>
          <cell r="G3423">
            <v>0</v>
          </cell>
        </row>
        <row r="3424">
          <cell r="D3424">
            <v>0</v>
          </cell>
          <cell r="E3424">
            <v>0</v>
          </cell>
          <cell r="F3424">
            <v>0</v>
          </cell>
          <cell r="G3424">
            <v>0</v>
          </cell>
        </row>
        <row r="3425">
          <cell r="D3425">
            <v>0</v>
          </cell>
          <cell r="E3425">
            <v>0</v>
          </cell>
          <cell r="F3425">
            <v>0</v>
          </cell>
          <cell r="G3425">
            <v>0</v>
          </cell>
        </row>
        <row r="3426">
          <cell r="D3426">
            <v>0</v>
          </cell>
          <cell r="E3426">
            <v>0</v>
          </cell>
          <cell r="F3426">
            <v>0</v>
          </cell>
          <cell r="G3426">
            <v>0</v>
          </cell>
        </row>
        <row r="3427">
          <cell r="D3427">
            <v>0</v>
          </cell>
          <cell r="E3427">
            <v>0</v>
          </cell>
          <cell r="F3427">
            <v>0</v>
          </cell>
          <cell r="G3427">
            <v>0</v>
          </cell>
        </row>
        <row r="3428">
          <cell r="D3428">
            <v>0</v>
          </cell>
          <cell r="E3428">
            <v>0</v>
          </cell>
          <cell r="F3428">
            <v>0</v>
          </cell>
          <cell r="G3428">
            <v>0</v>
          </cell>
        </row>
        <row r="3429">
          <cell r="D3429">
            <v>0</v>
          </cell>
          <cell r="E3429">
            <v>0</v>
          </cell>
          <cell r="F3429">
            <v>0</v>
          </cell>
          <cell r="G3429">
            <v>0</v>
          </cell>
        </row>
        <row r="3430">
          <cell r="D3430">
            <v>0</v>
          </cell>
          <cell r="E3430">
            <v>0</v>
          </cell>
          <cell r="F3430">
            <v>0</v>
          </cell>
          <cell r="G3430">
            <v>0</v>
          </cell>
        </row>
        <row r="3431">
          <cell r="D3431">
            <v>0</v>
          </cell>
          <cell r="E3431">
            <v>0</v>
          </cell>
          <cell r="F3431">
            <v>0</v>
          </cell>
          <cell r="G3431">
            <v>0</v>
          </cell>
        </row>
        <row r="3432">
          <cell r="D3432">
            <v>0</v>
          </cell>
          <cell r="E3432">
            <v>0</v>
          </cell>
          <cell r="F3432">
            <v>0</v>
          </cell>
          <cell r="G3432">
            <v>0</v>
          </cell>
        </row>
        <row r="3433">
          <cell r="D3433">
            <v>0</v>
          </cell>
          <cell r="E3433">
            <v>0</v>
          </cell>
          <cell r="F3433">
            <v>0</v>
          </cell>
          <cell r="G3433">
            <v>0</v>
          </cell>
        </row>
        <row r="3434">
          <cell r="D3434">
            <v>0</v>
          </cell>
          <cell r="E3434">
            <v>0</v>
          </cell>
          <cell r="F3434">
            <v>0</v>
          </cell>
          <cell r="G3434">
            <v>0</v>
          </cell>
        </row>
        <row r="3435">
          <cell r="D3435">
            <v>0</v>
          </cell>
          <cell r="E3435">
            <v>0</v>
          </cell>
          <cell r="F3435">
            <v>0</v>
          </cell>
          <cell r="G3435">
            <v>0</v>
          </cell>
        </row>
        <row r="3436">
          <cell r="D3436">
            <v>0</v>
          </cell>
          <cell r="E3436">
            <v>0</v>
          </cell>
          <cell r="F3436">
            <v>0</v>
          </cell>
          <cell r="G3436">
            <v>0</v>
          </cell>
        </row>
        <row r="3437">
          <cell r="D3437">
            <v>0</v>
          </cell>
          <cell r="E3437">
            <v>0</v>
          </cell>
          <cell r="F3437">
            <v>0</v>
          </cell>
          <cell r="G3437">
            <v>0</v>
          </cell>
        </row>
        <row r="3438">
          <cell r="D3438">
            <v>0</v>
          </cell>
          <cell r="E3438">
            <v>0</v>
          </cell>
          <cell r="F3438">
            <v>0</v>
          </cell>
          <cell r="G3438">
            <v>0</v>
          </cell>
        </row>
        <row r="3439">
          <cell r="D3439">
            <v>0</v>
          </cell>
          <cell r="E3439">
            <v>0</v>
          </cell>
          <cell r="F3439">
            <v>0</v>
          </cell>
          <cell r="G3439">
            <v>0</v>
          </cell>
        </row>
        <row r="3440">
          <cell r="D3440">
            <v>0</v>
          </cell>
          <cell r="E3440">
            <v>0</v>
          </cell>
          <cell r="F3440">
            <v>0</v>
          </cell>
          <cell r="G3440">
            <v>0</v>
          </cell>
        </row>
        <row r="3441">
          <cell r="D3441">
            <v>0</v>
          </cell>
          <cell r="E3441">
            <v>0</v>
          </cell>
          <cell r="F3441">
            <v>0</v>
          </cell>
          <cell r="G3441">
            <v>0</v>
          </cell>
        </row>
        <row r="3442">
          <cell r="D3442">
            <v>0</v>
          </cell>
          <cell r="E3442">
            <v>0</v>
          </cell>
          <cell r="F3442">
            <v>0</v>
          </cell>
          <cell r="G3442">
            <v>0</v>
          </cell>
        </row>
        <row r="3443">
          <cell r="D3443">
            <v>0</v>
          </cell>
          <cell r="E3443">
            <v>0</v>
          </cell>
          <cell r="F3443">
            <v>0</v>
          </cell>
          <cell r="G3443">
            <v>0</v>
          </cell>
        </row>
        <row r="3444">
          <cell r="D3444">
            <v>0</v>
          </cell>
          <cell r="E3444">
            <v>0</v>
          </cell>
          <cell r="F3444">
            <v>0</v>
          </cell>
          <cell r="G3444">
            <v>0</v>
          </cell>
        </row>
        <row r="3445">
          <cell r="D3445">
            <v>0</v>
          </cell>
          <cell r="E3445">
            <v>0</v>
          </cell>
          <cell r="F3445">
            <v>0</v>
          </cell>
          <cell r="G3445">
            <v>0</v>
          </cell>
        </row>
        <row r="3446">
          <cell r="D3446">
            <v>0</v>
          </cell>
          <cell r="E3446">
            <v>0</v>
          </cell>
          <cell r="F3446">
            <v>0</v>
          </cell>
          <cell r="G3446">
            <v>0</v>
          </cell>
        </row>
        <row r="3447">
          <cell r="D3447">
            <v>0</v>
          </cell>
          <cell r="E3447">
            <v>0</v>
          </cell>
          <cell r="F3447">
            <v>0</v>
          </cell>
          <cell r="G3447">
            <v>0</v>
          </cell>
        </row>
        <row r="3448">
          <cell r="D3448">
            <v>0</v>
          </cell>
          <cell r="E3448">
            <v>0</v>
          </cell>
          <cell r="F3448">
            <v>0</v>
          </cell>
          <cell r="G3448">
            <v>0</v>
          </cell>
        </row>
        <row r="3449">
          <cell r="D3449">
            <v>0</v>
          </cell>
          <cell r="E3449">
            <v>0</v>
          </cell>
          <cell r="F3449">
            <v>0</v>
          </cell>
          <cell r="G3449">
            <v>0</v>
          </cell>
        </row>
        <row r="3450">
          <cell r="D3450">
            <v>0</v>
          </cell>
          <cell r="E3450">
            <v>0</v>
          </cell>
          <cell r="F3450">
            <v>0</v>
          </cell>
          <cell r="G3450">
            <v>0</v>
          </cell>
        </row>
        <row r="3451">
          <cell r="D3451">
            <v>0</v>
          </cell>
          <cell r="E3451">
            <v>0</v>
          </cell>
          <cell r="F3451">
            <v>0</v>
          </cell>
          <cell r="G3451">
            <v>0</v>
          </cell>
        </row>
        <row r="3452">
          <cell r="D3452">
            <v>0</v>
          </cell>
          <cell r="E3452">
            <v>0</v>
          </cell>
          <cell r="F3452">
            <v>0</v>
          </cell>
          <cell r="G3452">
            <v>0</v>
          </cell>
        </row>
        <row r="3453">
          <cell r="D3453">
            <v>0</v>
          </cell>
          <cell r="E3453">
            <v>0</v>
          </cell>
          <cell r="F3453">
            <v>0</v>
          </cell>
          <cell r="G3453">
            <v>0</v>
          </cell>
        </row>
        <row r="3454">
          <cell r="D3454">
            <v>0</v>
          </cell>
          <cell r="E3454">
            <v>0</v>
          </cell>
          <cell r="F3454">
            <v>0</v>
          </cell>
          <cell r="G3454">
            <v>0</v>
          </cell>
        </row>
        <row r="3455">
          <cell r="D3455">
            <v>0</v>
          </cell>
          <cell r="E3455">
            <v>0</v>
          </cell>
          <cell r="F3455">
            <v>0</v>
          </cell>
          <cell r="G3455">
            <v>0</v>
          </cell>
        </row>
        <row r="3456">
          <cell r="D3456">
            <v>0</v>
          </cell>
          <cell r="E3456">
            <v>0</v>
          </cell>
          <cell r="F3456">
            <v>0</v>
          </cell>
          <cell r="G3456">
            <v>0</v>
          </cell>
        </row>
        <row r="3457">
          <cell r="D3457">
            <v>0</v>
          </cell>
          <cell r="E3457">
            <v>0</v>
          </cell>
          <cell r="F3457">
            <v>0</v>
          </cell>
          <cell r="G3457">
            <v>0</v>
          </cell>
        </row>
        <row r="3458">
          <cell r="D3458">
            <v>0</v>
          </cell>
          <cell r="E3458">
            <v>0</v>
          </cell>
          <cell r="F3458">
            <v>0</v>
          </cell>
          <cell r="G3458">
            <v>0</v>
          </cell>
        </row>
        <row r="3459">
          <cell r="D3459">
            <v>0</v>
          </cell>
          <cell r="E3459">
            <v>0</v>
          </cell>
          <cell r="F3459">
            <v>0</v>
          </cell>
          <cell r="G3459">
            <v>0</v>
          </cell>
        </row>
        <row r="3460">
          <cell r="D3460">
            <v>0</v>
          </cell>
          <cell r="E3460">
            <v>0</v>
          </cell>
          <cell r="F3460">
            <v>0</v>
          </cell>
          <cell r="G3460">
            <v>0</v>
          </cell>
        </row>
        <row r="3461">
          <cell r="D3461">
            <v>0</v>
          </cell>
          <cell r="E3461">
            <v>0</v>
          </cell>
          <cell r="F3461">
            <v>0</v>
          </cell>
          <cell r="G3461">
            <v>0</v>
          </cell>
        </row>
        <row r="3462">
          <cell r="D3462">
            <v>0</v>
          </cell>
          <cell r="E3462">
            <v>0</v>
          </cell>
          <cell r="F3462">
            <v>0</v>
          </cell>
          <cell r="G3462">
            <v>0</v>
          </cell>
        </row>
        <row r="3463">
          <cell r="D3463">
            <v>0</v>
          </cell>
          <cell r="E3463">
            <v>0</v>
          </cell>
          <cell r="F3463">
            <v>0</v>
          </cell>
          <cell r="G3463">
            <v>0</v>
          </cell>
        </row>
        <row r="3464">
          <cell r="D3464">
            <v>0</v>
          </cell>
          <cell r="E3464">
            <v>0</v>
          </cell>
          <cell r="F3464">
            <v>0</v>
          </cell>
          <cell r="G3464">
            <v>0</v>
          </cell>
        </row>
        <row r="3465">
          <cell r="D3465">
            <v>0</v>
          </cell>
          <cell r="E3465">
            <v>0</v>
          </cell>
          <cell r="F3465">
            <v>0</v>
          </cell>
          <cell r="G3465">
            <v>0</v>
          </cell>
        </row>
        <row r="3466">
          <cell r="D3466">
            <v>0</v>
          </cell>
          <cell r="E3466">
            <v>0</v>
          </cell>
          <cell r="F3466">
            <v>0</v>
          </cell>
          <cell r="G3466">
            <v>0</v>
          </cell>
        </row>
        <row r="3467">
          <cell r="D3467">
            <v>0</v>
          </cell>
          <cell r="E3467">
            <v>0</v>
          </cell>
          <cell r="F3467">
            <v>0</v>
          </cell>
          <cell r="G3467">
            <v>0</v>
          </cell>
        </row>
        <row r="3468">
          <cell r="D3468">
            <v>0</v>
          </cell>
          <cell r="E3468">
            <v>0</v>
          </cell>
          <cell r="F3468">
            <v>0</v>
          </cell>
          <cell r="G3468">
            <v>0</v>
          </cell>
        </row>
        <row r="3469">
          <cell r="D3469">
            <v>0</v>
          </cell>
          <cell r="E3469">
            <v>0</v>
          </cell>
          <cell r="F3469">
            <v>0</v>
          </cell>
          <cell r="G3469">
            <v>0</v>
          </cell>
        </row>
        <row r="3470">
          <cell r="D3470">
            <v>0</v>
          </cell>
          <cell r="E3470">
            <v>0</v>
          </cell>
          <cell r="F3470">
            <v>0</v>
          </cell>
          <cell r="G3470">
            <v>0</v>
          </cell>
        </row>
        <row r="3471">
          <cell r="D3471">
            <v>0</v>
          </cell>
          <cell r="E3471">
            <v>0</v>
          </cell>
          <cell r="F3471">
            <v>0</v>
          </cell>
          <cell r="G3471">
            <v>0</v>
          </cell>
        </row>
        <row r="3472">
          <cell r="D3472">
            <v>0</v>
          </cell>
          <cell r="E3472">
            <v>0</v>
          </cell>
          <cell r="F3472">
            <v>0</v>
          </cell>
          <cell r="G3472">
            <v>0</v>
          </cell>
        </row>
        <row r="3473">
          <cell r="D3473">
            <v>0</v>
          </cell>
          <cell r="E3473">
            <v>0</v>
          </cell>
          <cell r="F3473">
            <v>0</v>
          </cell>
          <cell r="G3473">
            <v>0</v>
          </cell>
        </row>
        <row r="3474">
          <cell r="D3474">
            <v>0</v>
          </cell>
          <cell r="E3474">
            <v>0</v>
          </cell>
          <cell r="F3474">
            <v>0</v>
          </cell>
          <cell r="G3474">
            <v>0</v>
          </cell>
        </row>
        <row r="3475">
          <cell r="D3475">
            <v>0</v>
          </cell>
          <cell r="E3475">
            <v>0</v>
          </cell>
          <cell r="F3475">
            <v>0</v>
          </cell>
          <cell r="G3475">
            <v>0</v>
          </cell>
        </row>
        <row r="3476">
          <cell r="D3476">
            <v>0</v>
          </cell>
          <cell r="E3476">
            <v>0</v>
          </cell>
          <cell r="F3476">
            <v>0</v>
          </cell>
          <cell r="G3476">
            <v>0</v>
          </cell>
        </row>
        <row r="3477">
          <cell r="D3477">
            <v>0</v>
          </cell>
          <cell r="E3477">
            <v>0</v>
          </cell>
          <cell r="F3477">
            <v>0</v>
          </cell>
          <cell r="G3477">
            <v>0</v>
          </cell>
        </row>
        <row r="3478">
          <cell r="D3478">
            <v>0</v>
          </cell>
          <cell r="E3478">
            <v>0</v>
          </cell>
          <cell r="F3478">
            <v>0</v>
          </cell>
          <cell r="G3478">
            <v>0</v>
          </cell>
        </row>
        <row r="3479">
          <cell r="D3479">
            <v>0</v>
          </cell>
          <cell r="E3479">
            <v>0</v>
          </cell>
          <cell r="F3479">
            <v>0</v>
          </cell>
          <cell r="G3479">
            <v>0</v>
          </cell>
        </row>
        <row r="3480">
          <cell r="D3480">
            <v>0</v>
          </cell>
          <cell r="E3480">
            <v>0</v>
          </cell>
          <cell r="F3480">
            <v>0</v>
          </cell>
          <cell r="G3480">
            <v>0</v>
          </cell>
        </row>
        <row r="3481">
          <cell r="D3481">
            <v>0</v>
          </cell>
          <cell r="E3481">
            <v>0</v>
          </cell>
          <cell r="F3481">
            <v>0</v>
          </cell>
          <cell r="G3481">
            <v>0</v>
          </cell>
        </row>
        <row r="3482">
          <cell r="D3482">
            <v>0</v>
          </cell>
          <cell r="E3482">
            <v>0</v>
          </cell>
          <cell r="F3482">
            <v>0</v>
          </cell>
          <cell r="G3482">
            <v>0</v>
          </cell>
        </row>
        <row r="3483">
          <cell r="D3483">
            <v>0</v>
          </cell>
          <cell r="E3483">
            <v>0</v>
          </cell>
          <cell r="F3483">
            <v>0</v>
          </cell>
          <cell r="G3483">
            <v>0</v>
          </cell>
        </row>
        <row r="3484">
          <cell r="D3484">
            <v>0</v>
          </cell>
          <cell r="E3484">
            <v>0</v>
          </cell>
          <cell r="F3484">
            <v>0</v>
          </cell>
          <cell r="G3484">
            <v>0</v>
          </cell>
        </row>
        <row r="3485">
          <cell r="D3485">
            <v>0</v>
          </cell>
          <cell r="E3485">
            <v>0</v>
          </cell>
          <cell r="F3485">
            <v>0</v>
          </cell>
          <cell r="G3485">
            <v>0</v>
          </cell>
        </row>
        <row r="3486">
          <cell r="D3486">
            <v>0</v>
          </cell>
          <cell r="E3486">
            <v>0</v>
          </cell>
          <cell r="F3486">
            <v>0</v>
          </cell>
          <cell r="G3486">
            <v>0</v>
          </cell>
        </row>
        <row r="3487">
          <cell r="D3487">
            <v>0</v>
          </cell>
          <cell r="E3487">
            <v>0</v>
          </cell>
          <cell r="F3487">
            <v>0</v>
          </cell>
          <cell r="G3487">
            <v>0</v>
          </cell>
        </row>
        <row r="3488">
          <cell r="D3488">
            <v>0</v>
          </cell>
          <cell r="E3488">
            <v>0</v>
          </cell>
          <cell r="F3488">
            <v>0</v>
          </cell>
          <cell r="G3488">
            <v>0</v>
          </cell>
        </row>
        <row r="3489">
          <cell r="D3489">
            <v>0</v>
          </cell>
          <cell r="E3489">
            <v>0</v>
          </cell>
          <cell r="F3489">
            <v>0</v>
          </cell>
          <cell r="G3489">
            <v>0</v>
          </cell>
        </row>
        <row r="3490">
          <cell r="D3490">
            <v>0</v>
          </cell>
          <cell r="E3490">
            <v>0</v>
          </cell>
          <cell r="F3490">
            <v>0</v>
          </cell>
          <cell r="G3490">
            <v>0</v>
          </cell>
        </row>
        <row r="3491">
          <cell r="D3491">
            <v>0</v>
          </cell>
          <cell r="E3491">
            <v>0</v>
          </cell>
          <cell r="F3491">
            <v>0</v>
          </cell>
          <cell r="G3491">
            <v>0</v>
          </cell>
        </row>
        <row r="3492">
          <cell r="D3492">
            <v>0</v>
          </cell>
          <cell r="E3492">
            <v>0</v>
          </cell>
          <cell r="F3492">
            <v>0</v>
          </cell>
          <cell r="G3492">
            <v>0</v>
          </cell>
        </row>
        <row r="3493">
          <cell r="D3493">
            <v>0</v>
          </cell>
          <cell r="E3493">
            <v>0</v>
          </cell>
          <cell r="F3493">
            <v>0</v>
          </cell>
          <cell r="G3493">
            <v>0</v>
          </cell>
        </row>
        <row r="3494">
          <cell r="D3494">
            <v>0</v>
          </cell>
          <cell r="E3494">
            <v>0</v>
          </cell>
          <cell r="F3494">
            <v>0</v>
          </cell>
          <cell r="G3494">
            <v>0</v>
          </cell>
        </row>
        <row r="3495">
          <cell r="D3495">
            <v>0</v>
          </cell>
          <cell r="E3495">
            <v>0</v>
          </cell>
          <cell r="F3495">
            <v>0</v>
          </cell>
          <cell r="G3495">
            <v>0</v>
          </cell>
        </row>
        <row r="3496">
          <cell r="D3496">
            <v>0</v>
          </cell>
          <cell r="E3496">
            <v>0</v>
          </cell>
          <cell r="F3496">
            <v>0</v>
          </cell>
          <cell r="G3496">
            <v>0</v>
          </cell>
        </row>
        <row r="3497">
          <cell r="D3497">
            <v>0</v>
          </cell>
          <cell r="E3497">
            <v>0</v>
          </cell>
          <cell r="F3497">
            <v>0</v>
          </cell>
          <cell r="G3497">
            <v>0</v>
          </cell>
        </row>
        <row r="3498">
          <cell r="D3498">
            <v>0</v>
          </cell>
          <cell r="E3498">
            <v>0</v>
          </cell>
          <cell r="F3498">
            <v>0</v>
          </cell>
          <cell r="G3498">
            <v>0</v>
          </cell>
        </row>
        <row r="3499">
          <cell r="D3499">
            <v>0</v>
          </cell>
          <cell r="E3499">
            <v>0</v>
          </cell>
          <cell r="F3499">
            <v>0</v>
          </cell>
          <cell r="G3499">
            <v>0</v>
          </cell>
        </row>
        <row r="3500">
          <cell r="D3500">
            <v>0</v>
          </cell>
          <cell r="E3500">
            <v>0</v>
          </cell>
          <cell r="F3500">
            <v>0</v>
          </cell>
          <cell r="G3500">
            <v>0</v>
          </cell>
        </row>
        <row r="3501">
          <cell r="D3501">
            <v>0</v>
          </cell>
          <cell r="E3501">
            <v>0</v>
          </cell>
          <cell r="F3501">
            <v>0</v>
          </cell>
          <cell r="G3501">
            <v>0</v>
          </cell>
        </row>
        <row r="3502">
          <cell r="D3502">
            <v>0</v>
          </cell>
          <cell r="E3502">
            <v>0</v>
          </cell>
          <cell r="F3502">
            <v>0</v>
          </cell>
          <cell r="G3502">
            <v>0</v>
          </cell>
        </row>
        <row r="3503">
          <cell r="D3503">
            <v>0</v>
          </cell>
          <cell r="E3503">
            <v>0</v>
          </cell>
          <cell r="F3503">
            <v>0</v>
          </cell>
          <cell r="G3503">
            <v>0</v>
          </cell>
        </row>
        <row r="3504">
          <cell r="D3504">
            <v>0</v>
          </cell>
          <cell r="E3504">
            <v>0</v>
          </cell>
          <cell r="F3504">
            <v>0</v>
          </cell>
          <cell r="G3504">
            <v>0</v>
          </cell>
        </row>
        <row r="3505">
          <cell r="D3505">
            <v>0</v>
          </cell>
          <cell r="E3505">
            <v>0</v>
          </cell>
          <cell r="F3505">
            <v>0</v>
          </cell>
          <cell r="G3505">
            <v>0</v>
          </cell>
        </row>
        <row r="3506">
          <cell r="D3506">
            <v>0</v>
          </cell>
          <cell r="E3506">
            <v>0</v>
          </cell>
          <cell r="F3506">
            <v>0</v>
          </cell>
          <cell r="G3506">
            <v>0</v>
          </cell>
        </row>
        <row r="3507">
          <cell r="D3507">
            <v>0</v>
          </cell>
          <cell r="E3507">
            <v>0</v>
          </cell>
          <cell r="F3507">
            <v>0</v>
          </cell>
          <cell r="G3507">
            <v>0</v>
          </cell>
        </row>
        <row r="3508">
          <cell r="D3508">
            <v>0</v>
          </cell>
          <cell r="E3508">
            <v>0</v>
          </cell>
          <cell r="F3508">
            <v>0</v>
          </cell>
          <cell r="G3508">
            <v>0</v>
          </cell>
        </row>
        <row r="3509">
          <cell r="D3509">
            <v>0</v>
          </cell>
          <cell r="E3509">
            <v>0</v>
          </cell>
          <cell r="F3509">
            <v>0</v>
          </cell>
          <cell r="G3509">
            <v>0</v>
          </cell>
        </row>
        <row r="3510">
          <cell r="D3510">
            <v>0</v>
          </cell>
          <cell r="E3510">
            <v>0</v>
          </cell>
          <cell r="F3510">
            <v>0</v>
          </cell>
          <cell r="G3510">
            <v>0</v>
          </cell>
        </row>
        <row r="3511">
          <cell r="D3511">
            <v>0</v>
          </cell>
          <cell r="E3511">
            <v>0</v>
          </cell>
          <cell r="F3511">
            <v>0</v>
          </cell>
          <cell r="G3511">
            <v>0</v>
          </cell>
        </row>
        <row r="3512">
          <cell r="D3512">
            <v>0</v>
          </cell>
          <cell r="E3512">
            <v>0</v>
          </cell>
          <cell r="F3512">
            <v>0</v>
          </cell>
          <cell r="G3512">
            <v>0</v>
          </cell>
        </row>
        <row r="3513">
          <cell r="D3513">
            <v>0</v>
          </cell>
          <cell r="E3513">
            <v>0</v>
          </cell>
          <cell r="F3513">
            <v>0</v>
          </cell>
          <cell r="G3513">
            <v>0</v>
          </cell>
        </row>
        <row r="3514">
          <cell r="D3514">
            <v>0</v>
          </cell>
          <cell r="E3514">
            <v>0</v>
          </cell>
          <cell r="F3514">
            <v>0</v>
          </cell>
          <cell r="G3514">
            <v>0</v>
          </cell>
        </row>
        <row r="3515">
          <cell r="D3515">
            <v>0</v>
          </cell>
          <cell r="E3515">
            <v>0</v>
          </cell>
          <cell r="F3515">
            <v>0</v>
          </cell>
          <cell r="G3515">
            <v>0</v>
          </cell>
        </row>
        <row r="3516">
          <cell r="D3516">
            <v>0</v>
          </cell>
          <cell r="E3516">
            <v>0</v>
          </cell>
          <cell r="F3516">
            <v>0</v>
          </cell>
          <cell r="G3516">
            <v>0</v>
          </cell>
        </row>
        <row r="3517">
          <cell r="D3517">
            <v>0</v>
          </cell>
          <cell r="E3517">
            <v>0</v>
          </cell>
          <cell r="F3517">
            <v>0</v>
          </cell>
          <cell r="G3517">
            <v>0</v>
          </cell>
        </row>
        <row r="3518">
          <cell r="D3518">
            <v>0</v>
          </cell>
          <cell r="E3518">
            <v>0</v>
          </cell>
          <cell r="F3518">
            <v>0</v>
          </cell>
          <cell r="G3518">
            <v>0</v>
          </cell>
        </row>
        <row r="3519">
          <cell r="D3519">
            <v>0</v>
          </cell>
          <cell r="E3519">
            <v>0</v>
          </cell>
          <cell r="F3519">
            <v>0</v>
          </cell>
          <cell r="G3519">
            <v>0</v>
          </cell>
        </row>
        <row r="3520">
          <cell r="D3520">
            <v>0</v>
          </cell>
          <cell r="E3520">
            <v>0</v>
          </cell>
          <cell r="F3520">
            <v>0</v>
          </cell>
          <cell r="G3520">
            <v>0</v>
          </cell>
        </row>
        <row r="3521">
          <cell r="D3521">
            <v>0</v>
          </cell>
          <cell r="E3521">
            <v>0</v>
          </cell>
          <cell r="F3521">
            <v>0</v>
          </cell>
          <cell r="G3521">
            <v>0</v>
          </cell>
        </row>
        <row r="3522">
          <cell r="D3522">
            <v>0</v>
          </cell>
          <cell r="E3522">
            <v>0</v>
          </cell>
          <cell r="F3522">
            <v>0</v>
          </cell>
          <cell r="G3522">
            <v>0</v>
          </cell>
        </row>
        <row r="3523">
          <cell r="D3523">
            <v>0</v>
          </cell>
          <cell r="E3523">
            <v>0</v>
          </cell>
          <cell r="F3523">
            <v>0</v>
          </cell>
          <cell r="G3523">
            <v>0</v>
          </cell>
        </row>
        <row r="3524">
          <cell r="D3524">
            <v>0</v>
          </cell>
          <cell r="E3524">
            <v>0</v>
          </cell>
          <cell r="F3524">
            <v>0</v>
          </cell>
          <cell r="G3524">
            <v>0</v>
          </cell>
        </row>
        <row r="3525">
          <cell r="D3525">
            <v>0</v>
          </cell>
          <cell r="E3525">
            <v>0</v>
          </cell>
          <cell r="F3525">
            <v>0</v>
          </cell>
          <cell r="G3525">
            <v>0</v>
          </cell>
        </row>
        <row r="3526">
          <cell r="D3526">
            <v>0</v>
          </cell>
          <cell r="E3526">
            <v>0</v>
          </cell>
          <cell r="F3526">
            <v>0</v>
          </cell>
          <cell r="G3526">
            <v>0</v>
          </cell>
        </row>
        <row r="3527">
          <cell r="D3527">
            <v>0</v>
          </cell>
          <cell r="E3527">
            <v>0</v>
          </cell>
          <cell r="F3527">
            <v>0</v>
          </cell>
          <cell r="G3527">
            <v>0</v>
          </cell>
        </row>
        <row r="3528">
          <cell r="D3528">
            <v>0</v>
          </cell>
          <cell r="E3528">
            <v>0</v>
          </cell>
          <cell r="F3528">
            <v>0</v>
          </cell>
          <cell r="G3528">
            <v>0</v>
          </cell>
        </row>
        <row r="3529">
          <cell r="D3529">
            <v>0</v>
          </cell>
          <cell r="E3529">
            <v>0</v>
          </cell>
          <cell r="F3529">
            <v>0</v>
          </cell>
          <cell r="G3529">
            <v>0</v>
          </cell>
        </row>
        <row r="3530">
          <cell r="D3530">
            <v>0</v>
          </cell>
          <cell r="E3530">
            <v>0</v>
          </cell>
          <cell r="F3530">
            <v>0</v>
          </cell>
          <cell r="G3530">
            <v>0</v>
          </cell>
        </row>
        <row r="3531">
          <cell r="D3531">
            <v>0</v>
          </cell>
          <cell r="E3531">
            <v>0</v>
          </cell>
          <cell r="F3531">
            <v>0</v>
          </cell>
          <cell r="G3531">
            <v>0</v>
          </cell>
        </row>
        <row r="3532">
          <cell r="D3532">
            <v>0</v>
          </cell>
          <cell r="E3532">
            <v>0</v>
          </cell>
          <cell r="F3532">
            <v>0</v>
          </cell>
          <cell r="G3532">
            <v>0</v>
          </cell>
        </row>
        <row r="3533">
          <cell r="D3533">
            <v>0</v>
          </cell>
          <cell r="E3533">
            <v>0</v>
          </cell>
          <cell r="F3533">
            <v>0</v>
          </cell>
          <cell r="G3533">
            <v>0</v>
          </cell>
        </row>
        <row r="3534">
          <cell r="D3534">
            <v>0</v>
          </cell>
          <cell r="E3534">
            <v>0</v>
          </cell>
          <cell r="F3534">
            <v>0</v>
          </cell>
          <cell r="G3534">
            <v>0</v>
          </cell>
        </row>
        <row r="3535">
          <cell r="D3535">
            <v>0</v>
          </cell>
          <cell r="E3535">
            <v>0</v>
          </cell>
          <cell r="F3535">
            <v>0</v>
          </cell>
          <cell r="G3535">
            <v>0</v>
          </cell>
        </row>
        <row r="3536">
          <cell r="D3536">
            <v>0</v>
          </cell>
          <cell r="E3536">
            <v>0</v>
          </cell>
          <cell r="F3536">
            <v>0</v>
          </cell>
          <cell r="G3536">
            <v>0</v>
          </cell>
        </row>
        <row r="3537">
          <cell r="D3537">
            <v>0</v>
          </cell>
          <cell r="E3537">
            <v>0</v>
          </cell>
          <cell r="F3537">
            <v>0</v>
          </cell>
          <cell r="G3537">
            <v>0</v>
          </cell>
        </row>
        <row r="3538">
          <cell r="D3538">
            <v>0</v>
          </cell>
          <cell r="E3538">
            <v>0</v>
          </cell>
          <cell r="F3538">
            <v>0</v>
          </cell>
          <cell r="G3538">
            <v>0</v>
          </cell>
        </row>
        <row r="3539">
          <cell r="D3539">
            <v>0</v>
          </cell>
          <cell r="E3539">
            <v>0</v>
          </cell>
          <cell r="F3539">
            <v>0</v>
          </cell>
          <cell r="G3539">
            <v>0</v>
          </cell>
        </row>
        <row r="3540">
          <cell r="D3540">
            <v>0</v>
          </cell>
          <cell r="E3540">
            <v>0</v>
          </cell>
          <cell r="F3540">
            <v>0</v>
          </cell>
          <cell r="G3540">
            <v>0</v>
          </cell>
        </row>
        <row r="3541">
          <cell r="D3541">
            <v>0</v>
          </cell>
          <cell r="E3541">
            <v>0</v>
          </cell>
          <cell r="F3541">
            <v>0</v>
          </cell>
          <cell r="G3541">
            <v>0</v>
          </cell>
        </row>
        <row r="3542">
          <cell r="D3542">
            <v>0</v>
          </cell>
          <cell r="E3542">
            <v>0</v>
          </cell>
          <cell r="F3542">
            <v>0</v>
          </cell>
          <cell r="G3542">
            <v>0</v>
          </cell>
        </row>
        <row r="3543">
          <cell r="D3543">
            <v>0</v>
          </cell>
          <cell r="E3543">
            <v>0</v>
          </cell>
          <cell r="F3543">
            <v>0</v>
          </cell>
          <cell r="G3543">
            <v>0</v>
          </cell>
        </row>
        <row r="3544">
          <cell r="D3544">
            <v>0</v>
          </cell>
          <cell r="E3544">
            <v>0</v>
          </cell>
          <cell r="F3544">
            <v>0</v>
          </cell>
          <cell r="G3544">
            <v>0</v>
          </cell>
        </row>
        <row r="3545">
          <cell r="D3545">
            <v>0</v>
          </cell>
          <cell r="E3545">
            <v>0</v>
          </cell>
          <cell r="F3545">
            <v>0</v>
          </cell>
          <cell r="G3545">
            <v>0</v>
          </cell>
        </row>
        <row r="3546">
          <cell r="D3546">
            <v>0</v>
          </cell>
          <cell r="E3546">
            <v>0</v>
          </cell>
          <cell r="F3546">
            <v>0</v>
          </cell>
          <cell r="G3546">
            <v>0</v>
          </cell>
        </row>
        <row r="3547">
          <cell r="D3547">
            <v>0</v>
          </cell>
          <cell r="E3547">
            <v>0</v>
          </cell>
          <cell r="F3547">
            <v>0</v>
          </cell>
          <cell r="G3547">
            <v>0</v>
          </cell>
        </row>
        <row r="3548">
          <cell r="D3548">
            <v>0</v>
          </cell>
          <cell r="E3548">
            <v>0</v>
          </cell>
          <cell r="F3548">
            <v>0</v>
          </cell>
          <cell r="G3548">
            <v>0</v>
          </cell>
        </row>
        <row r="3549">
          <cell r="D3549">
            <v>0</v>
          </cell>
          <cell r="E3549">
            <v>0</v>
          </cell>
          <cell r="F3549">
            <v>0</v>
          </cell>
          <cell r="G3549">
            <v>0</v>
          </cell>
        </row>
        <row r="3550">
          <cell r="D3550">
            <v>0</v>
          </cell>
          <cell r="E3550">
            <v>0</v>
          </cell>
          <cell r="F3550">
            <v>0</v>
          </cell>
          <cell r="G3550">
            <v>0</v>
          </cell>
        </row>
        <row r="3551">
          <cell r="D3551">
            <v>0</v>
          </cell>
          <cell r="E3551">
            <v>0</v>
          </cell>
          <cell r="F3551">
            <v>0</v>
          </cell>
          <cell r="G3551">
            <v>0</v>
          </cell>
        </row>
        <row r="3552">
          <cell r="D3552">
            <v>0</v>
          </cell>
          <cell r="E3552">
            <v>0</v>
          </cell>
          <cell r="F3552">
            <v>0</v>
          </cell>
          <cell r="G3552">
            <v>0</v>
          </cell>
        </row>
        <row r="3553">
          <cell r="D3553">
            <v>0</v>
          </cell>
          <cell r="E3553">
            <v>0</v>
          </cell>
          <cell r="F3553">
            <v>0</v>
          </cell>
          <cell r="G3553">
            <v>0</v>
          </cell>
        </row>
        <row r="3554">
          <cell r="D3554">
            <v>0</v>
          </cell>
          <cell r="E3554">
            <v>0</v>
          </cell>
          <cell r="F3554">
            <v>0</v>
          </cell>
          <cell r="G3554">
            <v>0</v>
          </cell>
        </row>
        <row r="3555">
          <cell r="D3555">
            <v>0</v>
          </cell>
          <cell r="E3555">
            <v>0</v>
          </cell>
          <cell r="F3555">
            <v>0</v>
          </cell>
          <cell r="G3555">
            <v>0</v>
          </cell>
        </row>
        <row r="3556">
          <cell r="D3556">
            <v>0</v>
          </cell>
          <cell r="E3556">
            <v>0</v>
          </cell>
          <cell r="F3556">
            <v>0</v>
          </cell>
          <cell r="G3556">
            <v>0</v>
          </cell>
        </row>
        <row r="3557">
          <cell r="D3557">
            <v>0</v>
          </cell>
          <cell r="E3557">
            <v>0</v>
          </cell>
          <cell r="F3557">
            <v>0</v>
          </cell>
          <cell r="G3557">
            <v>0</v>
          </cell>
        </row>
        <row r="3558">
          <cell r="D3558">
            <v>0</v>
          </cell>
          <cell r="E3558">
            <v>0</v>
          </cell>
          <cell r="F3558">
            <v>0</v>
          </cell>
          <cell r="G3558">
            <v>0</v>
          </cell>
        </row>
        <row r="3559">
          <cell r="D3559">
            <v>0</v>
          </cell>
          <cell r="E3559">
            <v>0</v>
          </cell>
          <cell r="F3559">
            <v>0</v>
          </cell>
          <cell r="G3559">
            <v>0</v>
          </cell>
        </row>
        <row r="3560">
          <cell r="D3560">
            <v>0</v>
          </cell>
          <cell r="E3560">
            <v>0</v>
          </cell>
          <cell r="F3560">
            <v>0</v>
          </cell>
          <cell r="G3560">
            <v>0</v>
          </cell>
        </row>
        <row r="3561">
          <cell r="D3561">
            <v>0</v>
          </cell>
          <cell r="E3561">
            <v>0</v>
          </cell>
          <cell r="F3561">
            <v>0</v>
          </cell>
          <cell r="G3561">
            <v>0</v>
          </cell>
        </row>
        <row r="3562">
          <cell r="D3562">
            <v>0</v>
          </cell>
          <cell r="E3562">
            <v>0</v>
          </cell>
          <cell r="F3562">
            <v>0</v>
          </cell>
          <cell r="G3562">
            <v>0</v>
          </cell>
        </row>
        <row r="3563">
          <cell r="D3563">
            <v>0</v>
          </cell>
          <cell r="E3563">
            <v>0</v>
          </cell>
          <cell r="F3563">
            <v>0</v>
          </cell>
          <cell r="G3563">
            <v>0</v>
          </cell>
        </row>
        <row r="3564">
          <cell r="D3564">
            <v>0</v>
          </cell>
          <cell r="E3564">
            <v>0</v>
          </cell>
          <cell r="F3564">
            <v>0</v>
          </cell>
          <cell r="G3564">
            <v>0</v>
          </cell>
        </row>
        <row r="3565">
          <cell r="D3565">
            <v>0</v>
          </cell>
          <cell r="E3565">
            <v>0</v>
          </cell>
          <cell r="F3565">
            <v>0</v>
          </cell>
          <cell r="G3565">
            <v>0</v>
          </cell>
        </row>
        <row r="3566">
          <cell r="D3566">
            <v>0</v>
          </cell>
          <cell r="E3566">
            <v>0</v>
          </cell>
          <cell r="F3566">
            <v>0</v>
          </cell>
          <cell r="G3566">
            <v>0</v>
          </cell>
        </row>
        <row r="3567">
          <cell r="D3567">
            <v>0</v>
          </cell>
          <cell r="E3567">
            <v>0</v>
          </cell>
          <cell r="F3567">
            <v>0</v>
          </cell>
          <cell r="G3567">
            <v>0</v>
          </cell>
        </row>
        <row r="3568">
          <cell r="D3568">
            <v>0</v>
          </cell>
          <cell r="E3568">
            <v>0</v>
          </cell>
          <cell r="F3568">
            <v>0</v>
          </cell>
          <cell r="G3568">
            <v>0</v>
          </cell>
        </row>
        <row r="3569">
          <cell r="D3569">
            <v>0</v>
          </cell>
          <cell r="E3569">
            <v>0</v>
          </cell>
          <cell r="F3569">
            <v>0</v>
          </cell>
          <cell r="G3569">
            <v>0</v>
          </cell>
        </row>
        <row r="3570">
          <cell r="D3570">
            <v>0</v>
          </cell>
          <cell r="E3570">
            <v>0</v>
          </cell>
          <cell r="F3570">
            <v>0</v>
          </cell>
          <cell r="G3570">
            <v>0</v>
          </cell>
        </row>
        <row r="3571">
          <cell r="D3571">
            <v>0</v>
          </cell>
          <cell r="E3571">
            <v>0</v>
          </cell>
          <cell r="F3571">
            <v>0</v>
          </cell>
          <cell r="G3571">
            <v>0</v>
          </cell>
        </row>
        <row r="3572">
          <cell r="D3572">
            <v>0</v>
          </cell>
          <cell r="E3572">
            <v>0</v>
          </cell>
          <cell r="F3572">
            <v>0</v>
          </cell>
          <cell r="G3572">
            <v>0</v>
          </cell>
        </row>
        <row r="3573">
          <cell r="D3573">
            <v>0</v>
          </cell>
          <cell r="E3573">
            <v>0</v>
          </cell>
          <cell r="F3573">
            <v>0</v>
          </cell>
          <cell r="G3573">
            <v>0</v>
          </cell>
        </row>
        <row r="3574">
          <cell r="D3574">
            <v>0</v>
          </cell>
          <cell r="E3574">
            <v>0</v>
          </cell>
          <cell r="F3574">
            <v>0</v>
          </cell>
          <cell r="G3574">
            <v>0</v>
          </cell>
        </row>
        <row r="3575">
          <cell r="D3575">
            <v>0</v>
          </cell>
          <cell r="E3575">
            <v>0</v>
          </cell>
          <cell r="F3575">
            <v>0</v>
          </cell>
          <cell r="G3575">
            <v>0</v>
          </cell>
        </row>
        <row r="3576">
          <cell r="D3576">
            <v>0</v>
          </cell>
          <cell r="E3576">
            <v>0</v>
          </cell>
          <cell r="F3576">
            <v>0</v>
          </cell>
          <cell r="G3576">
            <v>0</v>
          </cell>
        </row>
        <row r="3577">
          <cell r="D3577">
            <v>0</v>
          </cell>
          <cell r="E3577">
            <v>0</v>
          </cell>
          <cell r="F3577">
            <v>0</v>
          </cell>
          <cell r="G3577">
            <v>0</v>
          </cell>
        </row>
        <row r="3578">
          <cell r="D3578">
            <v>0</v>
          </cell>
          <cell r="E3578">
            <v>0</v>
          </cell>
          <cell r="F3578">
            <v>0</v>
          </cell>
          <cell r="G3578">
            <v>0</v>
          </cell>
        </row>
        <row r="3579">
          <cell r="D3579">
            <v>0</v>
          </cell>
          <cell r="E3579">
            <v>0</v>
          </cell>
          <cell r="F3579">
            <v>0</v>
          </cell>
          <cell r="G3579">
            <v>0</v>
          </cell>
        </row>
        <row r="3580">
          <cell r="D3580">
            <v>0</v>
          </cell>
          <cell r="E3580">
            <v>0</v>
          </cell>
          <cell r="F3580">
            <v>0</v>
          </cell>
          <cell r="G3580">
            <v>0</v>
          </cell>
        </row>
        <row r="3581">
          <cell r="D3581">
            <v>0</v>
          </cell>
          <cell r="E3581">
            <v>0</v>
          </cell>
          <cell r="F3581">
            <v>0</v>
          </cell>
          <cell r="G3581">
            <v>0</v>
          </cell>
        </row>
        <row r="3582">
          <cell r="D3582">
            <v>0</v>
          </cell>
          <cell r="E3582">
            <v>0</v>
          </cell>
          <cell r="F3582">
            <v>0</v>
          </cell>
          <cell r="G3582">
            <v>0</v>
          </cell>
        </row>
        <row r="3583">
          <cell r="D3583">
            <v>0</v>
          </cell>
          <cell r="E3583">
            <v>0</v>
          </cell>
          <cell r="F3583">
            <v>0</v>
          </cell>
          <cell r="G3583">
            <v>0</v>
          </cell>
        </row>
        <row r="3584">
          <cell r="D3584">
            <v>0</v>
          </cell>
          <cell r="E3584">
            <v>0</v>
          </cell>
          <cell r="F3584">
            <v>0</v>
          </cell>
          <cell r="G3584">
            <v>0</v>
          </cell>
        </row>
        <row r="3585">
          <cell r="D3585">
            <v>0</v>
          </cell>
          <cell r="E3585">
            <v>0</v>
          </cell>
          <cell r="F3585">
            <v>0</v>
          </cell>
          <cell r="G3585">
            <v>0</v>
          </cell>
        </row>
        <row r="3586">
          <cell r="D3586">
            <v>0</v>
          </cell>
          <cell r="E3586">
            <v>0</v>
          </cell>
          <cell r="F3586">
            <v>0</v>
          </cell>
          <cell r="G3586">
            <v>0</v>
          </cell>
        </row>
        <row r="3587">
          <cell r="D3587">
            <v>0</v>
          </cell>
          <cell r="E3587">
            <v>0</v>
          </cell>
          <cell r="F3587">
            <v>0</v>
          </cell>
          <cell r="G3587">
            <v>0</v>
          </cell>
        </row>
        <row r="3588">
          <cell r="D3588">
            <v>0</v>
          </cell>
          <cell r="E3588">
            <v>0</v>
          </cell>
          <cell r="F3588">
            <v>0</v>
          </cell>
          <cell r="G3588">
            <v>0</v>
          </cell>
        </row>
        <row r="3589">
          <cell r="D3589">
            <v>0</v>
          </cell>
          <cell r="E3589">
            <v>0</v>
          </cell>
          <cell r="F3589">
            <v>0</v>
          </cell>
          <cell r="G3589">
            <v>0</v>
          </cell>
        </row>
        <row r="3590">
          <cell r="D3590">
            <v>0</v>
          </cell>
          <cell r="E3590">
            <v>0</v>
          </cell>
          <cell r="F3590">
            <v>0</v>
          </cell>
          <cell r="G3590">
            <v>0</v>
          </cell>
        </row>
        <row r="3591">
          <cell r="D3591">
            <v>0</v>
          </cell>
          <cell r="E3591">
            <v>0</v>
          </cell>
          <cell r="F3591">
            <v>0</v>
          </cell>
          <cell r="G3591">
            <v>0</v>
          </cell>
        </row>
        <row r="3592">
          <cell r="D3592">
            <v>0</v>
          </cell>
          <cell r="E3592">
            <v>0</v>
          </cell>
          <cell r="F3592">
            <v>0</v>
          </cell>
          <cell r="G3592">
            <v>0</v>
          </cell>
        </row>
        <row r="3593">
          <cell r="D3593">
            <v>0</v>
          </cell>
          <cell r="E3593">
            <v>0</v>
          </cell>
          <cell r="F3593">
            <v>0</v>
          </cell>
          <cell r="G3593">
            <v>0</v>
          </cell>
        </row>
        <row r="3594">
          <cell r="D3594">
            <v>0</v>
          </cell>
          <cell r="E3594">
            <v>0</v>
          </cell>
          <cell r="F3594">
            <v>0</v>
          </cell>
          <cell r="G3594">
            <v>0</v>
          </cell>
        </row>
        <row r="3595">
          <cell r="D3595">
            <v>0</v>
          </cell>
          <cell r="E3595">
            <v>0</v>
          </cell>
          <cell r="F3595">
            <v>0</v>
          </cell>
          <cell r="G3595">
            <v>0</v>
          </cell>
        </row>
        <row r="3596">
          <cell r="D3596">
            <v>0</v>
          </cell>
          <cell r="E3596">
            <v>0</v>
          </cell>
          <cell r="F3596">
            <v>0</v>
          </cell>
          <cell r="G3596">
            <v>0</v>
          </cell>
        </row>
        <row r="3597">
          <cell r="D3597">
            <v>0</v>
          </cell>
          <cell r="E3597">
            <v>0</v>
          </cell>
          <cell r="F3597">
            <v>0</v>
          </cell>
          <cell r="G3597">
            <v>0</v>
          </cell>
        </row>
        <row r="3598">
          <cell r="D3598">
            <v>0</v>
          </cell>
          <cell r="E3598">
            <v>0</v>
          </cell>
          <cell r="F3598">
            <v>0</v>
          </cell>
          <cell r="G3598">
            <v>0</v>
          </cell>
        </row>
        <row r="3599">
          <cell r="D3599">
            <v>0</v>
          </cell>
          <cell r="E3599">
            <v>0</v>
          </cell>
          <cell r="F3599">
            <v>0</v>
          </cell>
          <cell r="G3599">
            <v>0</v>
          </cell>
        </row>
        <row r="3600">
          <cell r="D3600">
            <v>0</v>
          </cell>
          <cell r="E3600">
            <v>0</v>
          </cell>
          <cell r="F3600">
            <v>0</v>
          </cell>
          <cell r="G3600">
            <v>0</v>
          </cell>
        </row>
        <row r="3601">
          <cell r="D3601">
            <v>0</v>
          </cell>
          <cell r="E3601">
            <v>0</v>
          </cell>
          <cell r="F3601">
            <v>0</v>
          </cell>
          <cell r="G3601">
            <v>0</v>
          </cell>
        </row>
        <row r="3602">
          <cell r="D3602">
            <v>0</v>
          </cell>
          <cell r="E3602">
            <v>0</v>
          </cell>
          <cell r="F3602">
            <v>0</v>
          </cell>
          <cell r="G3602">
            <v>0</v>
          </cell>
        </row>
        <row r="3603">
          <cell r="D3603">
            <v>0</v>
          </cell>
          <cell r="E3603">
            <v>0</v>
          </cell>
          <cell r="F3603">
            <v>0</v>
          </cell>
          <cell r="G3603">
            <v>0</v>
          </cell>
        </row>
        <row r="3604">
          <cell r="D3604">
            <v>0</v>
          </cell>
          <cell r="E3604">
            <v>0</v>
          </cell>
          <cell r="F3604">
            <v>0</v>
          </cell>
          <cell r="G3604">
            <v>0</v>
          </cell>
        </row>
        <row r="3605">
          <cell r="D3605">
            <v>0</v>
          </cell>
          <cell r="E3605">
            <v>0</v>
          </cell>
          <cell r="F3605">
            <v>0</v>
          </cell>
          <cell r="G3605">
            <v>0</v>
          </cell>
        </row>
        <row r="3606">
          <cell r="D3606">
            <v>0</v>
          </cell>
          <cell r="E3606">
            <v>0</v>
          </cell>
          <cell r="F3606">
            <v>0</v>
          </cell>
          <cell r="G3606">
            <v>0</v>
          </cell>
        </row>
        <row r="3607">
          <cell r="D3607">
            <v>0</v>
          </cell>
          <cell r="E3607">
            <v>0</v>
          </cell>
          <cell r="F3607">
            <v>0</v>
          </cell>
          <cell r="G3607">
            <v>0</v>
          </cell>
        </row>
        <row r="3608">
          <cell r="D3608">
            <v>0</v>
          </cell>
          <cell r="E3608">
            <v>0</v>
          </cell>
          <cell r="F3608">
            <v>0</v>
          </cell>
          <cell r="G3608">
            <v>0</v>
          </cell>
        </row>
        <row r="3609">
          <cell r="D3609">
            <v>0</v>
          </cell>
          <cell r="E3609">
            <v>0</v>
          </cell>
          <cell r="F3609">
            <v>0</v>
          </cell>
          <cell r="G3609">
            <v>0</v>
          </cell>
        </row>
        <row r="3610">
          <cell r="D3610">
            <v>0</v>
          </cell>
          <cell r="E3610">
            <v>0</v>
          </cell>
          <cell r="F3610">
            <v>0</v>
          </cell>
          <cell r="G3610">
            <v>0</v>
          </cell>
        </row>
        <row r="3611">
          <cell r="D3611">
            <v>0</v>
          </cell>
          <cell r="E3611">
            <v>0</v>
          </cell>
          <cell r="F3611">
            <v>0</v>
          </cell>
          <cell r="G3611">
            <v>0</v>
          </cell>
        </row>
        <row r="3612">
          <cell r="D3612">
            <v>0</v>
          </cell>
          <cell r="E3612">
            <v>0</v>
          </cell>
          <cell r="F3612">
            <v>0</v>
          </cell>
          <cell r="G3612">
            <v>0</v>
          </cell>
        </row>
        <row r="3613">
          <cell r="D3613">
            <v>0</v>
          </cell>
          <cell r="E3613">
            <v>0</v>
          </cell>
          <cell r="F3613">
            <v>0</v>
          </cell>
          <cell r="G3613">
            <v>0</v>
          </cell>
        </row>
        <row r="3614">
          <cell r="D3614">
            <v>0</v>
          </cell>
          <cell r="E3614">
            <v>0</v>
          </cell>
          <cell r="F3614">
            <v>0</v>
          </cell>
          <cell r="G3614">
            <v>0</v>
          </cell>
        </row>
        <row r="3615">
          <cell r="D3615">
            <v>0</v>
          </cell>
          <cell r="E3615">
            <v>0</v>
          </cell>
          <cell r="F3615">
            <v>0</v>
          </cell>
          <cell r="G3615">
            <v>0</v>
          </cell>
        </row>
        <row r="3616">
          <cell r="D3616">
            <v>0</v>
          </cell>
          <cell r="E3616">
            <v>0</v>
          </cell>
          <cell r="F3616">
            <v>0</v>
          </cell>
          <cell r="G3616">
            <v>0</v>
          </cell>
        </row>
        <row r="3617">
          <cell r="D3617">
            <v>0</v>
          </cell>
          <cell r="E3617">
            <v>0</v>
          </cell>
          <cell r="F3617">
            <v>0</v>
          </cell>
          <cell r="G3617">
            <v>0</v>
          </cell>
        </row>
        <row r="3618">
          <cell r="D3618">
            <v>0</v>
          </cell>
          <cell r="E3618">
            <v>0</v>
          </cell>
          <cell r="F3618">
            <v>0</v>
          </cell>
          <cell r="G3618">
            <v>0</v>
          </cell>
        </row>
        <row r="3619">
          <cell r="D3619">
            <v>0</v>
          </cell>
          <cell r="E3619">
            <v>0</v>
          </cell>
          <cell r="F3619">
            <v>0</v>
          </cell>
          <cell r="G3619">
            <v>0</v>
          </cell>
        </row>
        <row r="3620">
          <cell r="D3620">
            <v>0</v>
          </cell>
          <cell r="E3620">
            <v>0</v>
          </cell>
          <cell r="F3620">
            <v>0</v>
          </cell>
          <cell r="G3620">
            <v>0</v>
          </cell>
        </row>
        <row r="3621">
          <cell r="D3621">
            <v>0</v>
          </cell>
          <cell r="E3621">
            <v>0</v>
          </cell>
          <cell r="F3621">
            <v>0</v>
          </cell>
          <cell r="G3621">
            <v>0</v>
          </cell>
        </row>
        <row r="3622">
          <cell r="D3622">
            <v>0</v>
          </cell>
          <cell r="E3622">
            <v>0</v>
          </cell>
          <cell r="F3622">
            <v>0</v>
          </cell>
          <cell r="G3622">
            <v>0</v>
          </cell>
        </row>
        <row r="3623">
          <cell r="D3623">
            <v>0</v>
          </cell>
          <cell r="E3623">
            <v>0</v>
          </cell>
          <cell r="F3623">
            <v>0</v>
          </cell>
          <cell r="G3623">
            <v>0</v>
          </cell>
        </row>
        <row r="3624">
          <cell r="D3624">
            <v>0</v>
          </cell>
          <cell r="E3624">
            <v>0</v>
          </cell>
          <cell r="F3624">
            <v>0</v>
          </cell>
          <cell r="G3624">
            <v>0</v>
          </cell>
        </row>
        <row r="3625">
          <cell r="D3625">
            <v>0</v>
          </cell>
          <cell r="E3625">
            <v>0</v>
          </cell>
          <cell r="F3625">
            <v>0</v>
          </cell>
          <cell r="G3625">
            <v>0</v>
          </cell>
        </row>
        <row r="3626">
          <cell r="D3626">
            <v>0</v>
          </cell>
          <cell r="E3626">
            <v>0</v>
          </cell>
          <cell r="F3626">
            <v>0</v>
          </cell>
          <cell r="G3626">
            <v>0</v>
          </cell>
        </row>
        <row r="3627">
          <cell r="D3627">
            <v>0</v>
          </cell>
          <cell r="E3627">
            <v>0</v>
          </cell>
          <cell r="F3627">
            <v>0</v>
          </cell>
          <cell r="G3627">
            <v>0</v>
          </cell>
        </row>
        <row r="3628">
          <cell r="D3628">
            <v>0</v>
          </cell>
          <cell r="E3628">
            <v>0</v>
          </cell>
          <cell r="F3628">
            <v>0</v>
          </cell>
          <cell r="G3628">
            <v>0</v>
          </cell>
        </row>
        <row r="3629">
          <cell r="D3629">
            <v>0</v>
          </cell>
          <cell r="E3629">
            <v>0</v>
          </cell>
          <cell r="F3629">
            <v>0</v>
          </cell>
          <cell r="G3629">
            <v>0</v>
          </cell>
        </row>
        <row r="3630">
          <cell r="D3630">
            <v>0</v>
          </cell>
          <cell r="E3630">
            <v>0</v>
          </cell>
          <cell r="F3630">
            <v>0</v>
          </cell>
          <cell r="G3630">
            <v>0</v>
          </cell>
        </row>
        <row r="3631">
          <cell r="D3631">
            <v>0</v>
          </cell>
          <cell r="E3631">
            <v>0</v>
          </cell>
          <cell r="F3631">
            <v>0</v>
          </cell>
          <cell r="G3631">
            <v>0</v>
          </cell>
        </row>
        <row r="3632">
          <cell r="D3632">
            <v>0</v>
          </cell>
          <cell r="E3632">
            <v>0</v>
          </cell>
          <cell r="F3632">
            <v>0</v>
          </cell>
          <cell r="G3632">
            <v>0</v>
          </cell>
        </row>
        <row r="3633">
          <cell r="D3633">
            <v>0</v>
          </cell>
          <cell r="E3633">
            <v>0</v>
          </cell>
          <cell r="F3633">
            <v>0</v>
          </cell>
          <cell r="G3633">
            <v>0</v>
          </cell>
        </row>
        <row r="3634">
          <cell r="D3634">
            <v>0</v>
          </cell>
          <cell r="E3634">
            <v>0</v>
          </cell>
          <cell r="F3634">
            <v>0</v>
          </cell>
          <cell r="G3634">
            <v>0</v>
          </cell>
        </row>
        <row r="3635">
          <cell r="D3635">
            <v>0</v>
          </cell>
          <cell r="E3635">
            <v>0</v>
          </cell>
          <cell r="F3635">
            <v>0</v>
          </cell>
          <cell r="G3635">
            <v>0</v>
          </cell>
        </row>
        <row r="3636">
          <cell r="D3636">
            <v>0</v>
          </cell>
          <cell r="E3636">
            <v>0</v>
          </cell>
          <cell r="F3636">
            <v>0</v>
          </cell>
          <cell r="G3636">
            <v>0</v>
          </cell>
        </row>
        <row r="3637">
          <cell r="D3637">
            <v>0</v>
          </cell>
          <cell r="E3637">
            <v>0</v>
          </cell>
          <cell r="F3637">
            <v>0</v>
          </cell>
          <cell r="G3637">
            <v>0</v>
          </cell>
        </row>
        <row r="3638">
          <cell r="D3638">
            <v>0</v>
          </cell>
          <cell r="E3638">
            <v>0</v>
          </cell>
          <cell r="F3638">
            <v>0</v>
          </cell>
          <cell r="G3638">
            <v>0</v>
          </cell>
        </row>
        <row r="3639">
          <cell r="D3639">
            <v>0</v>
          </cell>
          <cell r="E3639">
            <v>0</v>
          </cell>
          <cell r="F3639">
            <v>0</v>
          </cell>
          <cell r="G3639">
            <v>0</v>
          </cell>
        </row>
        <row r="3640">
          <cell r="D3640">
            <v>0</v>
          </cell>
          <cell r="E3640">
            <v>0</v>
          </cell>
          <cell r="F3640">
            <v>0</v>
          </cell>
          <cell r="G3640">
            <v>0</v>
          </cell>
        </row>
        <row r="3641">
          <cell r="D3641">
            <v>0</v>
          </cell>
          <cell r="E3641">
            <v>0</v>
          </cell>
          <cell r="F3641">
            <v>0</v>
          </cell>
          <cell r="G3641">
            <v>0</v>
          </cell>
        </row>
        <row r="3642">
          <cell r="D3642">
            <v>0</v>
          </cell>
          <cell r="E3642">
            <v>0</v>
          </cell>
          <cell r="F3642">
            <v>0</v>
          </cell>
          <cell r="G3642">
            <v>0</v>
          </cell>
        </row>
        <row r="3643">
          <cell r="D3643">
            <v>0</v>
          </cell>
          <cell r="E3643">
            <v>0</v>
          </cell>
          <cell r="F3643">
            <v>0</v>
          </cell>
          <cell r="G3643">
            <v>0</v>
          </cell>
        </row>
        <row r="3644">
          <cell r="D3644">
            <v>0</v>
          </cell>
          <cell r="E3644">
            <v>0</v>
          </cell>
          <cell r="F3644">
            <v>0</v>
          </cell>
          <cell r="G3644">
            <v>0</v>
          </cell>
        </row>
        <row r="3645">
          <cell r="D3645">
            <v>0</v>
          </cell>
          <cell r="E3645">
            <v>0</v>
          </cell>
          <cell r="F3645">
            <v>0</v>
          </cell>
          <cell r="G3645">
            <v>0</v>
          </cell>
        </row>
        <row r="3646">
          <cell r="D3646">
            <v>0</v>
          </cell>
          <cell r="E3646">
            <v>0</v>
          </cell>
          <cell r="F3646">
            <v>0</v>
          </cell>
          <cell r="G3646">
            <v>0</v>
          </cell>
        </row>
        <row r="3647">
          <cell r="D3647">
            <v>0</v>
          </cell>
          <cell r="E3647">
            <v>0</v>
          </cell>
          <cell r="F3647">
            <v>0</v>
          </cell>
          <cell r="G3647">
            <v>0</v>
          </cell>
        </row>
        <row r="3648">
          <cell r="D3648">
            <v>0</v>
          </cell>
          <cell r="E3648">
            <v>0</v>
          </cell>
          <cell r="F3648">
            <v>0</v>
          </cell>
          <cell r="G3648">
            <v>0</v>
          </cell>
        </row>
        <row r="3649">
          <cell r="D3649">
            <v>0</v>
          </cell>
          <cell r="E3649">
            <v>0</v>
          </cell>
          <cell r="F3649">
            <v>0</v>
          </cell>
          <cell r="G3649">
            <v>0</v>
          </cell>
        </row>
        <row r="3650">
          <cell r="D3650">
            <v>0</v>
          </cell>
          <cell r="E3650">
            <v>0</v>
          </cell>
          <cell r="F3650">
            <v>0</v>
          </cell>
          <cell r="G3650">
            <v>0</v>
          </cell>
        </row>
        <row r="3651">
          <cell r="D3651">
            <v>0</v>
          </cell>
          <cell r="E3651">
            <v>0</v>
          </cell>
          <cell r="F3651">
            <v>0</v>
          </cell>
          <cell r="G3651">
            <v>0</v>
          </cell>
        </row>
        <row r="3652">
          <cell r="D3652">
            <v>0</v>
          </cell>
          <cell r="E3652">
            <v>0</v>
          </cell>
          <cell r="F3652">
            <v>0</v>
          </cell>
          <cell r="G3652">
            <v>0</v>
          </cell>
        </row>
        <row r="3653">
          <cell r="D3653">
            <v>0</v>
          </cell>
          <cell r="E3653">
            <v>0</v>
          </cell>
          <cell r="F3653">
            <v>0</v>
          </cell>
          <cell r="G3653">
            <v>0</v>
          </cell>
        </row>
        <row r="3654">
          <cell r="D3654">
            <v>0</v>
          </cell>
          <cell r="E3654">
            <v>0</v>
          </cell>
          <cell r="F3654">
            <v>0</v>
          </cell>
          <cell r="G3654">
            <v>0</v>
          </cell>
        </row>
        <row r="3655">
          <cell r="D3655">
            <v>0</v>
          </cell>
          <cell r="E3655">
            <v>0</v>
          </cell>
          <cell r="F3655">
            <v>0</v>
          </cell>
          <cell r="G3655">
            <v>0</v>
          </cell>
        </row>
        <row r="3656">
          <cell r="D3656">
            <v>0</v>
          </cell>
          <cell r="E3656">
            <v>0</v>
          </cell>
          <cell r="F3656">
            <v>0</v>
          </cell>
          <cell r="G3656">
            <v>0</v>
          </cell>
        </row>
        <row r="3657">
          <cell r="D3657">
            <v>0</v>
          </cell>
          <cell r="E3657">
            <v>0</v>
          </cell>
          <cell r="F3657">
            <v>0</v>
          </cell>
          <cell r="G3657">
            <v>0</v>
          </cell>
        </row>
        <row r="3658">
          <cell r="D3658">
            <v>0</v>
          </cell>
          <cell r="E3658">
            <v>0</v>
          </cell>
          <cell r="F3658">
            <v>0</v>
          </cell>
          <cell r="G3658">
            <v>0</v>
          </cell>
        </row>
        <row r="3659">
          <cell r="D3659">
            <v>0</v>
          </cell>
          <cell r="E3659">
            <v>0</v>
          </cell>
          <cell r="F3659">
            <v>0</v>
          </cell>
          <cell r="G3659">
            <v>0</v>
          </cell>
        </row>
        <row r="3660">
          <cell r="D3660">
            <v>0</v>
          </cell>
          <cell r="E3660">
            <v>0</v>
          </cell>
          <cell r="F3660">
            <v>0</v>
          </cell>
          <cell r="G3660">
            <v>0</v>
          </cell>
        </row>
        <row r="3661">
          <cell r="D3661">
            <v>0</v>
          </cell>
          <cell r="E3661">
            <v>0</v>
          </cell>
          <cell r="F3661">
            <v>0</v>
          </cell>
          <cell r="G3661">
            <v>0</v>
          </cell>
        </row>
        <row r="3662">
          <cell r="D3662">
            <v>0</v>
          </cell>
          <cell r="E3662">
            <v>0</v>
          </cell>
          <cell r="F3662">
            <v>0</v>
          </cell>
          <cell r="G3662">
            <v>0</v>
          </cell>
        </row>
        <row r="3663">
          <cell r="D3663">
            <v>0</v>
          </cell>
          <cell r="E3663">
            <v>0</v>
          </cell>
          <cell r="F3663">
            <v>0</v>
          </cell>
          <cell r="G3663">
            <v>0</v>
          </cell>
        </row>
        <row r="3664">
          <cell r="D3664">
            <v>0</v>
          </cell>
          <cell r="E3664">
            <v>0</v>
          </cell>
          <cell r="F3664">
            <v>0</v>
          </cell>
          <cell r="G3664">
            <v>0</v>
          </cell>
        </row>
        <row r="3665">
          <cell r="D3665">
            <v>0</v>
          </cell>
          <cell r="E3665">
            <v>0</v>
          </cell>
          <cell r="F3665">
            <v>0</v>
          </cell>
          <cell r="G3665">
            <v>0</v>
          </cell>
        </row>
        <row r="3666">
          <cell r="D3666">
            <v>0</v>
          </cell>
          <cell r="E3666">
            <v>0</v>
          </cell>
          <cell r="F3666">
            <v>0</v>
          </cell>
          <cell r="G3666">
            <v>0</v>
          </cell>
        </row>
        <row r="3667">
          <cell r="D3667">
            <v>0</v>
          </cell>
          <cell r="E3667">
            <v>0</v>
          </cell>
          <cell r="F3667">
            <v>0</v>
          </cell>
          <cell r="G3667">
            <v>0</v>
          </cell>
        </row>
        <row r="3668">
          <cell r="D3668">
            <v>0</v>
          </cell>
          <cell r="E3668">
            <v>0</v>
          </cell>
          <cell r="F3668">
            <v>0</v>
          </cell>
          <cell r="G3668">
            <v>0</v>
          </cell>
        </row>
        <row r="3669">
          <cell r="D3669">
            <v>0</v>
          </cell>
          <cell r="E3669">
            <v>0</v>
          </cell>
          <cell r="F3669">
            <v>0</v>
          </cell>
          <cell r="G3669">
            <v>0</v>
          </cell>
        </row>
        <row r="3670">
          <cell r="D3670">
            <v>0</v>
          </cell>
          <cell r="E3670">
            <v>0</v>
          </cell>
          <cell r="F3670">
            <v>0</v>
          </cell>
          <cell r="G3670">
            <v>0</v>
          </cell>
        </row>
        <row r="3671">
          <cell r="D3671">
            <v>0</v>
          </cell>
          <cell r="E3671">
            <v>0</v>
          </cell>
          <cell r="F3671">
            <v>0</v>
          </cell>
          <cell r="G3671">
            <v>0</v>
          </cell>
        </row>
        <row r="3672">
          <cell r="D3672">
            <v>0</v>
          </cell>
          <cell r="E3672">
            <v>0</v>
          </cell>
          <cell r="F3672">
            <v>0</v>
          </cell>
          <cell r="G3672">
            <v>0</v>
          </cell>
        </row>
        <row r="3673">
          <cell r="D3673">
            <v>0</v>
          </cell>
          <cell r="E3673">
            <v>0</v>
          </cell>
          <cell r="F3673">
            <v>0</v>
          </cell>
          <cell r="G3673">
            <v>0</v>
          </cell>
        </row>
        <row r="3674">
          <cell r="D3674">
            <v>0</v>
          </cell>
          <cell r="E3674">
            <v>0</v>
          </cell>
          <cell r="F3674">
            <v>0</v>
          </cell>
          <cell r="G3674">
            <v>0</v>
          </cell>
        </row>
        <row r="3675">
          <cell r="D3675">
            <v>0</v>
          </cell>
          <cell r="E3675">
            <v>0</v>
          </cell>
          <cell r="F3675">
            <v>0</v>
          </cell>
          <cell r="G3675">
            <v>0</v>
          </cell>
        </row>
        <row r="3676">
          <cell r="D3676">
            <v>0</v>
          </cell>
          <cell r="E3676">
            <v>0</v>
          </cell>
          <cell r="F3676">
            <v>0</v>
          </cell>
          <cell r="G3676">
            <v>0</v>
          </cell>
        </row>
        <row r="3677">
          <cell r="D3677">
            <v>0</v>
          </cell>
          <cell r="E3677">
            <v>0</v>
          </cell>
          <cell r="F3677">
            <v>0</v>
          </cell>
          <cell r="G3677">
            <v>0</v>
          </cell>
        </row>
        <row r="3678">
          <cell r="D3678">
            <v>0</v>
          </cell>
          <cell r="E3678">
            <v>0</v>
          </cell>
          <cell r="F3678">
            <v>0</v>
          </cell>
          <cell r="G3678">
            <v>0</v>
          </cell>
        </row>
        <row r="3679">
          <cell r="D3679">
            <v>0</v>
          </cell>
          <cell r="E3679">
            <v>0</v>
          </cell>
          <cell r="F3679">
            <v>0</v>
          </cell>
          <cell r="G3679">
            <v>0</v>
          </cell>
        </row>
        <row r="3680">
          <cell r="D3680">
            <v>0</v>
          </cell>
          <cell r="E3680">
            <v>0</v>
          </cell>
          <cell r="F3680">
            <v>0</v>
          </cell>
          <cell r="G3680">
            <v>0</v>
          </cell>
        </row>
        <row r="3681">
          <cell r="D3681">
            <v>0</v>
          </cell>
          <cell r="E3681">
            <v>0</v>
          </cell>
          <cell r="F3681">
            <v>0</v>
          </cell>
          <cell r="G3681">
            <v>0</v>
          </cell>
        </row>
        <row r="3682">
          <cell r="D3682">
            <v>0</v>
          </cell>
          <cell r="E3682">
            <v>0</v>
          </cell>
          <cell r="F3682">
            <v>0</v>
          </cell>
          <cell r="G3682">
            <v>0</v>
          </cell>
        </row>
        <row r="3683">
          <cell r="D3683">
            <v>0</v>
          </cell>
          <cell r="E3683">
            <v>0</v>
          </cell>
          <cell r="F3683">
            <v>0</v>
          </cell>
          <cell r="G3683">
            <v>0</v>
          </cell>
        </row>
        <row r="3684">
          <cell r="D3684">
            <v>0</v>
          </cell>
          <cell r="E3684">
            <v>0</v>
          </cell>
          <cell r="F3684">
            <v>0</v>
          </cell>
          <cell r="G3684">
            <v>0</v>
          </cell>
        </row>
        <row r="3685">
          <cell r="D3685">
            <v>0</v>
          </cell>
          <cell r="E3685">
            <v>0</v>
          </cell>
          <cell r="F3685">
            <v>0</v>
          </cell>
          <cell r="G3685">
            <v>0</v>
          </cell>
        </row>
        <row r="3686">
          <cell r="D3686">
            <v>0</v>
          </cell>
          <cell r="E3686">
            <v>0</v>
          </cell>
          <cell r="F3686">
            <v>0</v>
          </cell>
          <cell r="G3686">
            <v>0</v>
          </cell>
        </row>
        <row r="3687">
          <cell r="D3687">
            <v>0</v>
          </cell>
          <cell r="E3687">
            <v>0</v>
          </cell>
          <cell r="F3687">
            <v>0</v>
          </cell>
          <cell r="G3687">
            <v>0</v>
          </cell>
        </row>
        <row r="3688">
          <cell r="D3688">
            <v>0</v>
          </cell>
          <cell r="E3688">
            <v>0</v>
          </cell>
          <cell r="F3688">
            <v>0</v>
          </cell>
          <cell r="G3688">
            <v>0</v>
          </cell>
        </row>
        <row r="3689">
          <cell r="D3689">
            <v>0</v>
          </cell>
          <cell r="E3689">
            <v>0</v>
          </cell>
          <cell r="F3689">
            <v>0</v>
          </cell>
          <cell r="G3689">
            <v>0</v>
          </cell>
        </row>
        <row r="3690">
          <cell r="D3690">
            <v>0</v>
          </cell>
          <cell r="E3690">
            <v>0</v>
          </cell>
          <cell r="F3690">
            <v>0</v>
          </cell>
          <cell r="G3690">
            <v>0</v>
          </cell>
        </row>
        <row r="3691">
          <cell r="D3691">
            <v>0</v>
          </cell>
          <cell r="E3691">
            <v>0</v>
          </cell>
          <cell r="F3691">
            <v>0</v>
          </cell>
          <cell r="G3691">
            <v>0</v>
          </cell>
        </row>
        <row r="3692">
          <cell r="D3692">
            <v>0</v>
          </cell>
          <cell r="E3692">
            <v>0</v>
          </cell>
          <cell r="F3692">
            <v>0</v>
          </cell>
          <cell r="G3692">
            <v>0</v>
          </cell>
        </row>
        <row r="3693">
          <cell r="D3693">
            <v>0</v>
          </cell>
          <cell r="E3693">
            <v>0</v>
          </cell>
          <cell r="F3693">
            <v>0</v>
          </cell>
          <cell r="G3693">
            <v>0</v>
          </cell>
        </row>
        <row r="3694">
          <cell r="D3694">
            <v>0</v>
          </cell>
          <cell r="E3694">
            <v>0</v>
          </cell>
          <cell r="F3694">
            <v>0</v>
          </cell>
          <cell r="G3694">
            <v>0</v>
          </cell>
        </row>
        <row r="3695">
          <cell r="D3695">
            <v>0</v>
          </cell>
          <cell r="E3695">
            <v>0</v>
          </cell>
          <cell r="F3695">
            <v>0</v>
          </cell>
          <cell r="G3695">
            <v>0</v>
          </cell>
        </row>
        <row r="3696">
          <cell r="D3696">
            <v>0</v>
          </cell>
          <cell r="E3696">
            <v>0</v>
          </cell>
          <cell r="F3696">
            <v>0</v>
          </cell>
          <cell r="G3696">
            <v>0</v>
          </cell>
        </row>
        <row r="3697">
          <cell r="D3697">
            <v>0</v>
          </cell>
          <cell r="E3697">
            <v>0</v>
          </cell>
          <cell r="F3697">
            <v>0</v>
          </cell>
          <cell r="G3697">
            <v>0</v>
          </cell>
        </row>
        <row r="3698">
          <cell r="D3698">
            <v>0</v>
          </cell>
          <cell r="E3698">
            <v>0</v>
          </cell>
          <cell r="F3698">
            <v>0</v>
          </cell>
          <cell r="G3698">
            <v>0</v>
          </cell>
        </row>
        <row r="3699">
          <cell r="D3699">
            <v>0</v>
          </cell>
          <cell r="E3699">
            <v>0</v>
          </cell>
          <cell r="F3699">
            <v>0</v>
          </cell>
          <cell r="G3699">
            <v>0</v>
          </cell>
        </row>
        <row r="3700">
          <cell r="D3700">
            <v>0</v>
          </cell>
          <cell r="E3700">
            <v>0</v>
          </cell>
          <cell r="F3700">
            <v>0</v>
          </cell>
          <cell r="G3700">
            <v>0</v>
          </cell>
        </row>
        <row r="3701">
          <cell r="D3701">
            <v>0</v>
          </cell>
          <cell r="E3701">
            <v>0</v>
          </cell>
          <cell r="F3701">
            <v>0</v>
          </cell>
          <cell r="G3701">
            <v>0</v>
          </cell>
        </row>
        <row r="3702">
          <cell r="D3702">
            <v>0</v>
          </cell>
          <cell r="E3702">
            <v>0</v>
          </cell>
          <cell r="F3702">
            <v>0</v>
          </cell>
          <cell r="G3702">
            <v>0</v>
          </cell>
        </row>
        <row r="3703">
          <cell r="D3703">
            <v>0</v>
          </cell>
          <cell r="E3703">
            <v>0</v>
          </cell>
          <cell r="F3703">
            <v>0</v>
          </cell>
          <cell r="G3703">
            <v>0</v>
          </cell>
        </row>
        <row r="3704">
          <cell r="D3704">
            <v>0</v>
          </cell>
          <cell r="E3704">
            <v>0</v>
          </cell>
          <cell r="F3704">
            <v>0</v>
          </cell>
          <cell r="G3704">
            <v>0</v>
          </cell>
        </row>
        <row r="3705">
          <cell r="D3705">
            <v>0</v>
          </cell>
          <cell r="E3705">
            <v>0</v>
          </cell>
          <cell r="F3705">
            <v>0</v>
          </cell>
          <cell r="G3705">
            <v>0</v>
          </cell>
        </row>
        <row r="3706">
          <cell r="D3706">
            <v>0</v>
          </cell>
          <cell r="E3706">
            <v>0</v>
          </cell>
          <cell r="F3706">
            <v>0</v>
          </cell>
          <cell r="G3706">
            <v>0</v>
          </cell>
        </row>
        <row r="3707">
          <cell r="D3707">
            <v>0</v>
          </cell>
          <cell r="E3707">
            <v>0</v>
          </cell>
          <cell r="F3707">
            <v>0</v>
          </cell>
          <cell r="G3707">
            <v>0</v>
          </cell>
        </row>
        <row r="3708">
          <cell r="D3708">
            <v>0</v>
          </cell>
          <cell r="E3708">
            <v>0</v>
          </cell>
          <cell r="F3708">
            <v>0</v>
          </cell>
          <cell r="G3708">
            <v>0</v>
          </cell>
        </row>
        <row r="3709">
          <cell r="D3709">
            <v>0</v>
          </cell>
          <cell r="E3709">
            <v>0</v>
          </cell>
          <cell r="F3709">
            <v>0</v>
          </cell>
          <cell r="G3709">
            <v>0</v>
          </cell>
        </row>
        <row r="3710">
          <cell r="D3710">
            <v>0</v>
          </cell>
          <cell r="E3710">
            <v>0</v>
          </cell>
          <cell r="F3710">
            <v>0</v>
          </cell>
          <cell r="G3710">
            <v>0</v>
          </cell>
        </row>
        <row r="3711">
          <cell r="D3711">
            <v>0</v>
          </cell>
          <cell r="E3711">
            <v>0</v>
          </cell>
          <cell r="F3711">
            <v>0</v>
          </cell>
          <cell r="G3711">
            <v>0</v>
          </cell>
        </row>
        <row r="3712">
          <cell r="D3712">
            <v>0</v>
          </cell>
          <cell r="E3712">
            <v>0</v>
          </cell>
          <cell r="F3712">
            <v>0</v>
          </cell>
          <cell r="G3712">
            <v>0</v>
          </cell>
        </row>
        <row r="3713">
          <cell r="D3713">
            <v>0</v>
          </cell>
          <cell r="E3713">
            <v>0</v>
          </cell>
          <cell r="F3713">
            <v>0</v>
          </cell>
          <cell r="G3713">
            <v>0</v>
          </cell>
        </row>
        <row r="3714">
          <cell r="D3714">
            <v>0</v>
          </cell>
          <cell r="E3714">
            <v>0</v>
          </cell>
          <cell r="F3714">
            <v>0</v>
          </cell>
          <cell r="G3714">
            <v>0</v>
          </cell>
        </row>
        <row r="3715">
          <cell r="D3715">
            <v>0</v>
          </cell>
          <cell r="E3715">
            <v>0</v>
          </cell>
          <cell r="F3715">
            <v>0</v>
          </cell>
          <cell r="G3715">
            <v>0</v>
          </cell>
        </row>
        <row r="3716">
          <cell r="D3716">
            <v>0</v>
          </cell>
          <cell r="E3716">
            <v>0</v>
          </cell>
          <cell r="F3716">
            <v>0</v>
          </cell>
          <cell r="G3716">
            <v>0</v>
          </cell>
        </row>
        <row r="3717">
          <cell r="D3717">
            <v>0</v>
          </cell>
          <cell r="E3717">
            <v>0</v>
          </cell>
          <cell r="F3717">
            <v>0</v>
          </cell>
          <cell r="G3717">
            <v>0</v>
          </cell>
        </row>
        <row r="3718">
          <cell r="D3718">
            <v>0</v>
          </cell>
          <cell r="E3718">
            <v>0</v>
          </cell>
          <cell r="F3718">
            <v>0</v>
          </cell>
          <cell r="G3718">
            <v>0</v>
          </cell>
        </row>
        <row r="3719">
          <cell r="D3719">
            <v>0</v>
          </cell>
          <cell r="E3719">
            <v>0</v>
          </cell>
          <cell r="F3719">
            <v>0</v>
          </cell>
          <cell r="G3719">
            <v>0</v>
          </cell>
        </row>
        <row r="3720">
          <cell r="D3720">
            <v>0</v>
          </cell>
          <cell r="E3720">
            <v>0</v>
          </cell>
          <cell r="F3720">
            <v>0</v>
          </cell>
          <cell r="G3720">
            <v>0</v>
          </cell>
        </row>
        <row r="3721">
          <cell r="D3721">
            <v>0</v>
          </cell>
          <cell r="E3721">
            <v>0</v>
          </cell>
          <cell r="F3721">
            <v>0</v>
          </cell>
          <cell r="G3721">
            <v>0</v>
          </cell>
        </row>
        <row r="3722">
          <cell r="D3722">
            <v>0</v>
          </cell>
          <cell r="E3722">
            <v>0</v>
          </cell>
          <cell r="F3722">
            <v>0</v>
          </cell>
          <cell r="G3722">
            <v>0</v>
          </cell>
        </row>
        <row r="3723">
          <cell r="D3723">
            <v>0</v>
          </cell>
          <cell r="E3723">
            <v>0</v>
          </cell>
          <cell r="F3723">
            <v>0</v>
          </cell>
          <cell r="G3723">
            <v>0</v>
          </cell>
        </row>
        <row r="3724">
          <cell r="D3724">
            <v>0</v>
          </cell>
          <cell r="E3724">
            <v>0</v>
          </cell>
          <cell r="F3724">
            <v>0</v>
          </cell>
          <cell r="G3724">
            <v>0</v>
          </cell>
        </row>
        <row r="3725">
          <cell r="D3725">
            <v>0</v>
          </cell>
          <cell r="E3725">
            <v>0</v>
          </cell>
          <cell r="F3725">
            <v>0</v>
          </cell>
          <cell r="G3725">
            <v>0</v>
          </cell>
        </row>
        <row r="3726">
          <cell r="D3726">
            <v>0</v>
          </cell>
          <cell r="E3726">
            <v>0</v>
          </cell>
          <cell r="F3726">
            <v>0</v>
          </cell>
          <cell r="G3726">
            <v>0</v>
          </cell>
        </row>
        <row r="3727">
          <cell r="D3727">
            <v>0</v>
          </cell>
          <cell r="E3727">
            <v>0</v>
          </cell>
          <cell r="F3727">
            <v>0</v>
          </cell>
          <cell r="G3727">
            <v>0</v>
          </cell>
        </row>
        <row r="3728">
          <cell r="D3728">
            <v>0</v>
          </cell>
          <cell r="E3728">
            <v>0</v>
          </cell>
          <cell r="F3728">
            <v>0</v>
          </cell>
          <cell r="G3728">
            <v>0</v>
          </cell>
        </row>
        <row r="3729">
          <cell r="D3729">
            <v>0</v>
          </cell>
          <cell r="E3729">
            <v>0</v>
          </cell>
          <cell r="F3729">
            <v>0</v>
          </cell>
          <cell r="G3729">
            <v>0</v>
          </cell>
        </row>
        <row r="3730">
          <cell r="D3730">
            <v>0</v>
          </cell>
          <cell r="E3730">
            <v>0</v>
          </cell>
          <cell r="F3730">
            <v>0</v>
          </cell>
          <cell r="G3730">
            <v>0</v>
          </cell>
        </row>
        <row r="3731">
          <cell r="D3731">
            <v>0</v>
          </cell>
          <cell r="E3731">
            <v>0</v>
          </cell>
          <cell r="F3731">
            <v>0</v>
          </cell>
          <cell r="G3731">
            <v>0</v>
          </cell>
        </row>
        <row r="3732">
          <cell r="D3732">
            <v>0</v>
          </cell>
          <cell r="E3732">
            <v>0</v>
          </cell>
          <cell r="F3732">
            <v>0</v>
          </cell>
          <cell r="G3732">
            <v>0</v>
          </cell>
        </row>
        <row r="3733">
          <cell r="D3733">
            <v>0</v>
          </cell>
          <cell r="E3733">
            <v>0</v>
          </cell>
          <cell r="F3733">
            <v>0</v>
          </cell>
          <cell r="G3733">
            <v>0</v>
          </cell>
        </row>
        <row r="3734">
          <cell r="D3734">
            <v>0</v>
          </cell>
          <cell r="E3734">
            <v>0</v>
          </cell>
          <cell r="F3734">
            <v>0</v>
          </cell>
          <cell r="G3734">
            <v>0</v>
          </cell>
        </row>
        <row r="3735">
          <cell r="D3735">
            <v>0</v>
          </cell>
          <cell r="E3735">
            <v>0</v>
          </cell>
          <cell r="F3735">
            <v>0</v>
          </cell>
          <cell r="G3735">
            <v>0</v>
          </cell>
        </row>
        <row r="3736">
          <cell r="D3736">
            <v>0</v>
          </cell>
          <cell r="E3736">
            <v>0</v>
          </cell>
          <cell r="F3736">
            <v>0</v>
          </cell>
          <cell r="G3736">
            <v>0</v>
          </cell>
        </row>
        <row r="3737">
          <cell r="D3737">
            <v>0</v>
          </cell>
          <cell r="E3737">
            <v>0</v>
          </cell>
          <cell r="F3737">
            <v>0</v>
          </cell>
          <cell r="G3737">
            <v>0</v>
          </cell>
        </row>
        <row r="3738">
          <cell r="D3738">
            <v>0</v>
          </cell>
          <cell r="E3738">
            <v>0</v>
          </cell>
          <cell r="F3738">
            <v>0</v>
          </cell>
          <cell r="G3738">
            <v>0</v>
          </cell>
        </row>
        <row r="3739">
          <cell r="D3739">
            <v>0</v>
          </cell>
          <cell r="E3739">
            <v>0</v>
          </cell>
          <cell r="F3739">
            <v>0</v>
          </cell>
          <cell r="G3739">
            <v>0</v>
          </cell>
        </row>
        <row r="3740">
          <cell r="D3740">
            <v>0</v>
          </cell>
          <cell r="E3740">
            <v>0</v>
          </cell>
          <cell r="F3740">
            <v>0</v>
          </cell>
          <cell r="G3740">
            <v>0</v>
          </cell>
        </row>
        <row r="3741">
          <cell r="D3741">
            <v>0</v>
          </cell>
          <cell r="E3741">
            <v>0</v>
          </cell>
          <cell r="F3741">
            <v>0</v>
          </cell>
          <cell r="G3741">
            <v>0</v>
          </cell>
        </row>
        <row r="3742">
          <cell r="D3742">
            <v>0</v>
          </cell>
          <cell r="E3742">
            <v>0</v>
          </cell>
          <cell r="F3742">
            <v>0</v>
          </cell>
          <cell r="G3742">
            <v>0</v>
          </cell>
        </row>
        <row r="3743">
          <cell r="D3743">
            <v>0</v>
          </cell>
          <cell r="E3743">
            <v>0</v>
          </cell>
          <cell r="F3743">
            <v>0</v>
          </cell>
          <cell r="G3743">
            <v>0</v>
          </cell>
        </row>
        <row r="3744">
          <cell r="D3744">
            <v>0</v>
          </cell>
          <cell r="E3744">
            <v>0</v>
          </cell>
          <cell r="F3744">
            <v>0</v>
          </cell>
          <cell r="G3744">
            <v>0</v>
          </cell>
        </row>
        <row r="3745">
          <cell r="D3745">
            <v>0</v>
          </cell>
          <cell r="E3745">
            <v>0</v>
          </cell>
          <cell r="F3745">
            <v>0</v>
          </cell>
          <cell r="G3745">
            <v>0</v>
          </cell>
        </row>
        <row r="3746">
          <cell r="D3746">
            <v>0</v>
          </cell>
          <cell r="E3746">
            <v>0</v>
          </cell>
          <cell r="F3746">
            <v>0</v>
          </cell>
          <cell r="G3746">
            <v>0</v>
          </cell>
        </row>
        <row r="3747">
          <cell r="D3747">
            <v>0</v>
          </cell>
          <cell r="E3747">
            <v>0</v>
          </cell>
          <cell r="F3747">
            <v>0</v>
          </cell>
          <cell r="G3747">
            <v>0</v>
          </cell>
        </row>
        <row r="3748">
          <cell r="D3748">
            <v>0</v>
          </cell>
          <cell r="E3748">
            <v>0</v>
          </cell>
          <cell r="F3748">
            <v>0</v>
          </cell>
          <cell r="G3748">
            <v>0</v>
          </cell>
        </row>
        <row r="3749">
          <cell r="D3749">
            <v>0</v>
          </cell>
          <cell r="E3749">
            <v>0</v>
          </cell>
          <cell r="F3749">
            <v>0</v>
          </cell>
          <cell r="G3749">
            <v>0</v>
          </cell>
        </row>
        <row r="3750">
          <cell r="D3750">
            <v>0</v>
          </cell>
          <cell r="E3750">
            <v>0</v>
          </cell>
          <cell r="F3750">
            <v>0</v>
          </cell>
          <cell r="G3750">
            <v>0</v>
          </cell>
        </row>
        <row r="3751">
          <cell r="D3751">
            <v>0</v>
          </cell>
          <cell r="E3751">
            <v>0</v>
          </cell>
          <cell r="F3751">
            <v>0</v>
          </cell>
          <cell r="G3751">
            <v>0</v>
          </cell>
        </row>
        <row r="3752">
          <cell r="D3752">
            <v>0</v>
          </cell>
          <cell r="E3752">
            <v>0</v>
          </cell>
          <cell r="F3752">
            <v>0</v>
          </cell>
          <cell r="G3752">
            <v>0</v>
          </cell>
        </row>
        <row r="3753">
          <cell r="D3753">
            <v>0</v>
          </cell>
          <cell r="E3753">
            <v>0</v>
          </cell>
          <cell r="F3753">
            <v>0</v>
          </cell>
          <cell r="G3753">
            <v>0</v>
          </cell>
        </row>
        <row r="3754">
          <cell r="D3754">
            <v>0</v>
          </cell>
          <cell r="E3754">
            <v>0</v>
          </cell>
          <cell r="F3754">
            <v>0</v>
          </cell>
          <cell r="G3754">
            <v>0</v>
          </cell>
        </row>
        <row r="3755">
          <cell r="D3755">
            <v>0</v>
          </cell>
          <cell r="E3755">
            <v>0</v>
          </cell>
          <cell r="F3755">
            <v>0</v>
          </cell>
          <cell r="G3755">
            <v>0</v>
          </cell>
        </row>
        <row r="3756">
          <cell r="D3756">
            <v>0</v>
          </cell>
          <cell r="E3756">
            <v>0</v>
          </cell>
          <cell r="F3756">
            <v>0</v>
          </cell>
          <cell r="G3756">
            <v>0</v>
          </cell>
        </row>
        <row r="3757">
          <cell r="D3757">
            <v>0</v>
          </cell>
          <cell r="E3757">
            <v>0</v>
          </cell>
          <cell r="F3757">
            <v>0</v>
          </cell>
          <cell r="G3757">
            <v>0</v>
          </cell>
        </row>
        <row r="3758">
          <cell r="D3758">
            <v>0</v>
          </cell>
          <cell r="E3758">
            <v>0</v>
          </cell>
          <cell r="F3758">
            <v>0</v>
          </cell>
          <cell r="G3758">
            <v>0</v>
          </cell>
        </row>
        <row r="3759">
          <cell r="D3759">
            <v>0</v>
          </cell>
          <cell r="E3759">
            <v>0</v>
          </cell>
          <cell r="F3759">
            <v>0</v>
          </cell>
          <cell r="G3759">
            <v>0</v>
          </cell>
        </row>
        <row r="3760">
          <cell r="D3760">
            <v>0</v>
          </cell>
          <cell r="E3760">
            <v>0</v>
          </cell>
          <cell r="F3760">
            <v>0</v>
          </cell>
          <cell r="G3760">
            <v>0</v>
          </cell>
        </row>
        <row r="3761">
          <cell r="D3761">
            <v>0</v>
          </cell>
          <cell r="E3761">
            <v>0</v>
          </cell>
          <cell r="F3761">
            <v>0</v>
          </cell>
          <cell r="G3761">
            <v>0</v>
          </cell>
        </row>
        <row r="3762">
          <cell r="D3762">
            <v>0</v>
          </cell>
          <cell r="E3762">
            <v>0</v>
          </cell>
          <cell r="F3762">
            <v>0</v>
          </cell>
          <cell r="G3762">
            <v>0</v>
          </cell>
        </row>
        <row r="3763">
          <cell r="D3763">
            <v>0</v>
          </cell>
          <cell r="E3763">
            <v>0</v>
          </cell>
          <cell r="F3763">
            <v>0</v>
          </cell>
          <cell r="G3763">
            <v>0</v>
          </cell>
        </row>
        <row r="3764">
          <cell r="D3764">
            <v>0</v>
          </cell>
          <cell r="E3764">
            <v>0</v>
          </cell>
          <cell r="F3764">
            <v>0</v>
          </cell>
          <cell r="G3764">
            <v>0</v>
          </cell>
        </row>
        <row r="3765">
          <cell r="D3765">
            <v>0</v>
          </cell>
          <cell r="E3765">
            <v>0</v>
          </cell>
          <cell r="F3765">
            <v>0</v>
          </cell>
          <cell r="G3765">
            <v>0</v>
          </cell>
        </row>
        <row r="3766">
          <cell r="D3766">
            <v>0</v>
          </cell>
          <cell r="E3766">
            <v>0</v>
          </cell>
          <cell r="F3766">
            <v>0</v>
          </cell>
          <cell r="G3766">
            <v>0</v>
          </cell>
        </row>
        <row r="3767">
          <cell r="D3767">
            <v>0</v>
          </cell>
          <cell r="E3767">
            <v>0</v>
          </cell>
          <cell r="F3767">
            <v>0</v>
          </cell>
          <cell r="G3767">
            <v>0</v>
          </cell>
        </row>
        <row r="3768">
          <cell r="D3768">
            <v>0</v>
          </cell>
          <cell r="E3768">
            <v>0</v>
          </cell>
          <cell r="F3768">
            <v>0</v>
          </cell>
          <cell r="G3768">
            <v>0</v>
          </cell>
        </row>
        <row r="3769">
          <cell r="D3769">
            <v>0</v>
          </cell>
          <cell r="E3769">
            <v>0</v>
          </cell>
          <cell r="F3769">
            <v>0</v>
          </cell>
          <cell r="G3769">
            <v>0</v>
          </cell>
        </row>
        <row r="3770">
          <cell r="D3770">
            <v>0</v>
          </cell>
          <cell r="E3770">
            <v>0</v>
          </cell>
          <cell r="F3770">
            <v>0</v>
          </cell>
          <cell r="G3770">
            <v>0</v>
          </cell>
        </row>
        <row r="3771">
          <cell r="D3771">
            <v>0</v>
          </cell>
          <cell r="E3771">
            <v>0</v>
          </cell>
          <cell r="F3771">
            <v>0</v>
          </cell>
          <cell r="G3771">
            <v>0</v>
          </cell>
        </row>
        <row r="3772">
          <cell r="D3772">
            <v>0</v>
          </cell>
          <cell r="E3772">
            <v>0</v>
          </cell>
          <cell r="F3772">
            <v>0</v>
          </cell>
          <cell r="G3772">
            <v>0</v>
          </cell>
        </row>
        <row r="3773">
          <cell r="D3773">
            <v>0</v>
          </cell>
          <cell r="E3773">
            <v>0</v>
          </cell>
          <cell r="F3773">
            <v>0</v>
          </cell>
          <cell r="G3773">
            <v>0</v>
          </cell>
        </row>
        <row r="3774">
          <cell r="D3774">
            <v>0</v>
          </cell>
          <cell r="E3774">
            <v>0</v>
          </cell>
          <cell r="F3774">
            <v>0</v>
          </cell>
          <cell r="G3774">
            <v>0</v>
          </cell>
        </row>
        <row r="3775">
          <cell r="D3775">
            <v>0</v>
          </cell>
          <cell r="E3775">
            <v>0</v>
          </cell>
          <cell r="F3775">
            <v>0</v>
          </cell>
          <cell r="G3775">
            <v>0</v>
          </cell>
        </row>
        <row r="3776">
          <cell r="D3776">
            <v>0</v>
          </cell>
          <cell r="E3776">
            <v>0</v>
          </cell>
          <cell r="F3776">
            <v>0</v>
          </cell>
          <cell r="G3776">
            <v>0</v>
          </cell>
        </row>
        <row r="3777">
          <cell r="D3777">
            <v>0</v>
          </cell>
          <cell r="E3777">
            <v>0</v>
          </cell>
          <cell r="F3777">
            <v>0</v>
          </cell>
          <cell r="G3777">
            <v>0</v>
          </cell>
        </row>
        <row r="3778">
          <cell r="D3778">
            <v>0</v>
          </cell>
          <cell r="E3778">
            <v>0</v>
          </cell>
          <cell r="F3778">
            <v>0</v>
          </cell>
          <cell r="G3778">
            <v>0</v>
          </cell>
        </row>
        <row r="3779">
          <cell r="D3779">
            <v>0</v>
          </cell>
          <cell r="E3779">
            <v>0</v>
          </cell>
          <cell r="F3779">
            <v>0</v>
          </cell>
          <cell r="G3779">
            <v>0</v>
          </cell>
        </row>
        <row r="3780">
          <cell r="D3780">
            <v>0</v>
          </cell>
          <cell r="E3780">
            <v>0</v>
          </cell>
          <cell r="F3780">
            <v>0</v>
          </cell>
          <cell r="G3780">
            <v>0</v>
          </cell>
        </row>
        <row r="3781">
          <cell r="D3781">
            <v>0</v>
          </cell>
          <cell r="E3781">
            <v>0</v>
          </cell>
          <cell r="F3781">
            <v>0</v>
          </cell>
          <cell r="G3781">
            <v>0</v>
          </cell>
        </row>
        <row r="3782">
          <cell r="D3782">
            <v>0</v>
          </cell>
          <cell r="E3782">
            <v>0</v>
          </cell>
          <cell r="F3782">
            <v>0</v>
          </cell>
          <cell r="G3782">
            <v>0</v>
          </cell>
        </row>
        <row r="3783">
          <cell r="D3783">
            <v>0</v>
          </cell>
          <cell r="E3783">
            <v>0</v>
          </cell>
          <cell r="F3783">
            <v>0</v>
          </cell>
          <cell r="G3783">
            <v>0</v>
          </cell>
        </row>
        <row r="3784">
          <cell r="D3784">
            <v>0</v>
          </cell>
          <cell r="E3784">
            <v>0</v>
          </cell>
          <cell r="F3784">
            <v>0</v>
          </cell>
          <cell r="G3784">
            <v>0</v>
          </cell>
        </row>
        <row r="3785">
          <cell r="D3785">
            <v>0</v>
          </cell>
          <cell r="E3785">
            <v>0</v>
          </cell>
          <cell r="F3785">
            <v>0</v>
          </cell>
          <cell r="G3785">
            <v>0</v>
          </cell>
        </row>
        <row r="3786">
          <cell r="D3786">
            <v>0</v>
          </cell>
          <cell r="E3786">
            <v>0</v>
          </cell>
          <cell r="F3786">
            <v>0</v>
          </cell>
          <cell r="G3786">
            <v>0</v>
          </cell>
        </row>
        <row r="3787">
          <cell r="D3787">
            <v>0</v>
          </cell>
          <cell r="E3787">
            <v>0</v>
          </cell>
          <cell r="F3787">
            <v>0</v>
          </cell>
          <cell r="G3787">
            <v>0</v>
          </cell>
        </row>
        <row r="3788">
          <cell r="D3788">
            <v>0</v>
          </cell>
          <cell r="E3788">
            <v>0</v>
          </cell>
          <cell r="F3788">
            <v>0</v>
          </cell>
          <cell r="G3788">
            <v>0</v>
          </cell>
        </row>
        <row r="3789">
          <cell r="D3789">
            <v>0</v>
          </cell>
          <cell r="E3789">
            <v>0</v>
          </cell>
          <cell r="F3789">
            <v>0</v>
          </cell>
          <cell r="G3789">
            <v>0</v>
          </cell>
        </row>
        <row r="3790">
          <cell r="D3790">
            <v>0</v>
          </cell>
          <cell r="E3790">
            <v>0</v>
          </cell>
          <cell r="F3790">
            <v>0</v>
          </cell>
          <cell r="G3790">
            <v>0</v>
          </cell>
        </row>
        <row r="3791">
          <cell r="D3791">
            <v>0</v>
          </cell>
          <cell r="E3791">
            <v>0</v>
          </cell>
          <cell r="F3791">
            <v>0</v>
          </cell>
          <cell r="G3791">
            <v>0</v>
          </cell>
        </row>
        <row r="3792">
          <cell r="D3792">
            <v>0</v>
          </cell>
          <cell r="E3792">
            <v>0</v>
          </cell>
          <cell r="F3792">
            <v>0</v>
          </cell>
          <cell r="G3792">
            <v>0</v>
          </cell>
        </row>
        <row r="3793">
          <cell r="D3793">
            <v>0</v>
          </cell>
          <cell r="E3793">
            <v>0</v>
          </cell>
          <cell r="F3793">
            <v>0</v>
          </cell>
          <cell r="G3793">
            <v>0</v>
          </cell>
        </row>
        <row r="3794">
          <cell r="D3794">
            <v>0</v>
          </cell>
          <cell r="E3794">
            <v>0</v>
          </cell>
          <cell r="F3794">
            <v>0</v>
          </cell>
          <cell r="G3794">
            <v>0</v>
          </cell>
        </row>
        <row r="3795">
          <cell r="D3795">
            <v>0</v>
          </cell>
          <cell r="E3795">
            <v>0</v>
          </cell>
          <cell r="F3795">
            <v>0</v>
          </cell>
          <cell r="G3795">
            <v>0</v>
          </cell>
        </row>
        <row r="3796">
          <cell r="D3796">
            <v>0</v>
          </cell>
          <cell r="E3796">
            <v>0</v>
          </cell>
          <cell r="F3796">
            <v>0</v>
          </cell>
          <cell r="G3796">
            <v>0</v>
          </cell>
        </row>
        <row r="3797">
          <cell r="D3797">
            <v>0</v>
          </cell>
          <cell r="E3797">
            <v>0</v>
          </cell>
          <cell r="F3797">
            <v>0</v>
          </cell>
          <cell r="G3797">
            <v>0</v>
          </cell>
        </row>
        <row r="3798">
          <cell r="D3798">
            <v>0</v>
          </cell>
          <cell r="E3798">
            <v>0</v>
          </cell>
          <cell r="F3798">
            <v>0</v>
          </cell>
          <cell r="G3798">
            <v>0</v>
          </cell>
        </row>
        <row r="3799">
          <cell r="D3799">
            <v>0</v>
          </cell>
          <cell r="E3799">
            <v>0</v>
          </cell>
          <cell r="F3799">
            <v>0</v>
          </cell>
          <cell r="G3799">
            <v>0</v>
          </cell>
        </row>
        <row r="3800">
          <cell r="D3800">
            <v>0</v>
          </cell>
          <cell r="E3800">
            <v>0</v>
          </cell>
          <cell r="F3800">
            <v>0</v>
          </cell>
          <cell r="G3800">
            <v>0</v>
          </cell>
        </row>
        <row r="3801">
          <cell r="D3801">
            <v>0</v>
          </cell>
          <cell r="E3801">
            <v>0</v>
          </cell>
          <cell r="F3801">
            <v>0</v>
          </cell>
          <cell r="G3801">
            <v>0</v>
          </cell>
        </row>
        <row r="3802">
          <cell r="D3802">
            <v>0</v>
          </cell>
          <cell r="E3802">
            <v>0</v>
          </cell>
          <cell r="F3802">
            <v>0</v>
          </cell>
          <cell r="G3802">
            <v>0</v>
          </cell>
        </row>
        <row r="3803">
          <cell r="D3803">
            <v>0</v>
          </cell>
          <cell r="E3803">
            <v>0</v>
          </cell>
          <cell r="F3803">
            <v>0</v>
          </cell>
          <cell r="G3803">
            <v>0</v>
          </cell>
        </row>
        <row r="3804">
          <cell r="D3804">
            <v>0</v>
          </cell>
          <cell r="E3804">
            <v>0</v>
          </cell>
          <cell r="F3804">
            <v>0</v>
          </cell>
          <cell r="G3804">
            <v>0</v>
          </cell>
        </row>
        <row r="3805">
          <cell r="D3805">
            <v>0</v>
          </cell>
          <cell r="E3805">
            <v>0</v>
          </cell>
          <cell r="F3805">
            <v>0</v>
          </cell>
          <cell r="G3805">
            <v>0</v>
          </cell>
        </row>
        <row r="3806">
          <cell r="D3806">
            <v>0</v>
          </cell>
          <cell r="E3806">
            <v>0</v>
          </cell>
          <cell r="F3806">
            <v>0</v>
          </cell>
          <cell r="G3806">
            <v>0</v>
          </cell>
        </row>
        <row r="3807">
          <cell r="D3807">
            <v>0</v>
          </cell>
          <cell r="E3807">
            <v>0</v>
          </cell>
          <cell r="F3807">
            <v>0</v>
          </cell>
          <cell r="G3807">
            <v>0</v>
          </cell>
        </row>
        <row r="3808">
          <cell r="D3808">
            <v>0</v>
          </cell>
          <cell r="E3808">
            <v>0</v>
          </cell>
          <cell r="F3808">
            <v>0</v>
          </cell>
          <cell r="G3808">
            <v>0</v>
          </cell>
        </row>
        <row r="3809">
          <cell r="D3809">
            <v>0</v>
          </cell>
          <cell r="E3809">
            <v>0</v>
          </cell>
          <cell r="F3809">
            <v>0</v>
          </cell>
          <cell r="G3809">
            <v>0</v>
          </cell>
        </row>
        <row r="3810">
          <cell r="D3810">
            <v>0</v>
          </cell>
          <cell r="E3810">
            <v>0</v>
          </cell>
          <cell r="F3810">
            <v>0</v>
          </cell>
          <cell r="G3810">
            <v>0</v>
          </cell>
        </row>
        <row r="3811">
          <cell r="D3811">
            <v>0</v>
          </cell>
          <cell r="E3811">
            <v>0</v>
          </cell>
          <cell r="F3811">
            <v>0</v>
          </cell>
          <cell r="G3811">
            <v>0</v>
          </cell>
        </row>
        <row r="3812">
          <cell r="D3812">
            <v>0</v>
          </cell>
          <cell r="E3812">
            <v>0</v>
          </cell>
          <cell r="F3812">
            <v>0</v>
          </cell>
          <cell r="G3812">
            <v>0</v>
          </cell>
        </row>
        <row r="3813">
          <cell r="D3813">
            <v>0</v>
          </cell>
          <cell r="E3813">
            <v>0</v>
          </cell>
          <cell r="F3813">
            <v>0</v>
          </cell>
          <cell r="G3813">
            <v>0</v>
          </cell>
        </row>
        <row r="3814">
          <cell r="D3814">
            <v>0</v>
          </cell>
          <cell r="E3814">
            <v>0</v>
          </cell>
          <cell r="F3814">
            <v>0</v>
          </cell>
          <cell r="G3814">
            <v>0</v>
          </cell>
        </row>
        <row r="3815">
          <cell r="D3815">
            <v>0</v>
          </cell>
          <cell r="E3815">
            <v>0</v>
          </cell>
          <cell r="F3815">
            <v>0</v>
          </cell>
          <cell r="G3815">
            <v>0</v>
          </cell>
        </row>
        <row r="3816">
          <cell r="D3816">
            <v>0</v>
          </cell>
          <cell r="E3816">
            <v>0</v>
          </cell>
          <cell r="F3816">
            <v>0</v>
          </cell>
          <cell r="G3816">
            <v>0</v>
          </cell>
        </row>
        <row r="3817">
          <cell r="D3817">
            <v>0</v>
          </cell>
          <cell r="E3817">
            <v>0</v>
          </cell>
          <cell r="F3817">
            <v>0</v>
          </cell>
          <cell r="G3817">
            <v>0</v>
          </cell>
        </row>
        <row r="3818">
          <cell r="D3818">
            <v>0</v>
          </cell>
          <cell r="E3818">
            <v>0</v>
          </cell>
          <cell r="F3818">
            <v>0</v>
          </cell>
          <cell r="G3818">
            <v>0</v>
          </cell>
        </row>
        <row r="3819">
          <cell r="D3819">
            <v>0</v>
          </cell>
          <cell r="E3819">
            <v>0</v>
          </cell>
          <cell r="F3819">
            <v>0</v>
          </cell>
          <cell r="G3819">
            <v>0</v>
          </cell>
        </row>
        <row r="3820">
          <cell r="D3820">
            <v>0</v>
          </cell>
          <cell r="E3820">
            <v>0</v>
          </cell>
          <cell r="F3820">
            <v>0</v>
          </cell>
          <cell r="G3820">
            <v>0</v>
          </cell>
        </row>
        <row r="3821">
          <cell r="D3821">
            <v>0</v>
          </cell>
          <cell r="E3821">
            <v>0</v>
          </cell>
          <cell r="F3821">
            <v>0</v>
          </cell>
          <cell r="G3821">
            <v>0</v>
          </cell>
        </row>
        <row r="3822">
          <cell r="D3822">
            <v>0</v>
          </cell>
          <cell r="E3822">
            <v>0</v>
          </cell>
          <cell r="F3822">
            <v>0</v>
          </cell>
          <cell r="G3822">
            <v>0</v>
          </cell>
        </row>
        <row r="3823">
          <cell r="D3823">
            <v>0</v>
          </cell>
          <cell r="E3823">
            <v>0</v>
          </cell>
          <cell r="F3823">
            <v>0</v>
          </cell>
          <cell r="G3823">
            <v>0</v>
          </cell>
        </row>
        <row r="3824">
          <cell r="D3824">
            <v>0</v>
          </cell>
          <cell r="E3824">
            <v>0</v>
          </cell>
          <cell r="F3824">
            <v>0</v>
          </cell>
          <cell r="G3824">
            <v>0</v>
          </cell>
        </row>
        <row r="3825">
          <cell r="D3825">
            <v>0</v>
          </cell>
          <cell r="E3825">
            <v>0</v>
          </cell>
          <cell r="F3825">
            <v>0</v>
          </cell>
          <cell r="G3825">
            <v>0</v>
          </cell>
        </row>
        <row r="3826">
          <cell r="D3826">
            <v>0</v>
          </cell>
          <cell r="E3826">
            <v>0</v>
          </cell>
          <cell r="F3826">
            <v>0</v>
          </cell>
          <cell r="G3826">
            <v>0</v>
          </cell>
        </row>
        <row r="3827">
          <cell r="D3827">
            <v>0</v>
          </cell>
          <cell r="E3827">
            <v>0</v>
          </cell>
          <cell r="F3827">
            <v>0</v>
          </cell>
          <cell r="G3827">
            <v>0</v>
          </cell>
        </row>
        <row r="3828">
          <cell r="D3828">
            <v>0</v>
          </cell>
          <cell r="E3828">
            <v>0</v>
          </cell>
          <cell r="F3828">
            <v>0</v>
          </cell>
          <cell r="G3828">
            <v>0</v>
          </cell>
        </row>
        <row r="3829">
          <cell r="D3829">
            <v>0</v>
          </cell>
          <cell r="E3829">
            <v>0</v>
          </cell>
          <cell r="F3829">
            <v>0</v>
          </cell>
          <cell r="G3829">
            <v>0</v>
          </cell>
        </row>
        <row r="3830">
          <cell r="D3830">
            <v>0</v>
          </cell>
          <cell r="E3830">
            <v>0</v>
          </cell>
          <cell r="F3830">
            <v>0</v>
          </cell>
          <cell r="G3830">
            <v>0</v>
          </cell>
        </row>
        <row r="3831">
          <cell r="D3831">
            <v>0</v>
          </cell>
          <cell r="E3831">
            <v>0</v>
          </cell>
          <cell r="F3831">
            <v>0</v>
          </cell>
          <cell r="G3831">
            <v>0</v>
          </cell>
        </row>
        <row r="3832">
          <cell r="D3832">
            <v>0</v>
          </cell>
          <cell r="E3832">
            <v>0</v>
          </cell>
          <cell r="F3832">
            <v>0</v>
          </cell>
          <cell r="G3832">
            <v>0</v>
          </cell>
        </row>
        <row r="3833">
          <cell r="D3833">
            <v>0</v>
          </cell>
          <cell r="E3833">
            <v>0</v>
          </cell>
          <cell r="F3833">
            <v>0</v>
          </cell>
          <cell r="G3833">
            <v>0</v>
          </cell>
        </row>
        <row r="3834">
          <cell r="D3834">
            <v>0</v>
          </cell>
          <cell r="E3834">
            <v>0</v>
          </cell>
          <cell r="F3834">
            <v>0</v>
          </cell>
          <cell r="G3834">
            <v>0</v>
          </cell>
        </row>
        <row r="3835">
          <cell r="D3835">
            <v>0</v>
          </cell>
          <cell r="E3835">
            <v>0</v>
          </cell>
          <cell r="F3835">
            <v>0</v>
          </cell>
          <cell r="G3835">
            <v>0</v>
          </cell>
        </row>
        <row r="3836">
          <cell r="D3836">
            <v>0</v>
          </cell>
          <cell r="E3836">
            <v>0</v>
          </cell>
          <cell r="F3836">
            <v>0</v>
          </cell>
          <cell r="G3836">
            <v>0</v>
          </cell>
        </row>
        <row r="3837">
          <cell r="D3837">
            <v>0</v>
          </cell>
          <cell r="E3837">
            <v>0</v>
          </cell>
          <cell r="F3837">
            <v>0</v>
          </cell>
          <cell r="G3837">
            <v>0</v>
          </cell>
        </row>
        <row r="3838">
          <cell r="D3838">
            <v>0</v>
          </cell>
          <cell r="E3838">
            <v>0</v>
          </cell>
          <cell r="F3838">
            <v>0</v>
          </cell>
          <cell r="G3838">
            <v>0</v>
          </cell>
        </row>
        <row r="3839">
          <cell r="D3839">
            <v>0</v>
          </cell>
          <cell r="E3839">
            <v>0</v>
          </cell>
          <cell r="F3839">
            <v>0</v>
          </cell>
          <cell r="G3839">
            <v>0</v>
          </cell>
        </row>
        <row r="3840">
          <cell r="D3840">
            <v>0</v>
          </cell>
          <cell r="E3840">
            <v>0</v>
          </cell>
          <cell r="F3840">
            <v>0</v>
          </cell>
          <cell r="G3840">
            <v>0</v>
          </cell>
        </row>
        <row r="3841">
          <cell r="D3841">
            <v>0</v>
          </cell>
          <cell r="E3841">
            <v>0</v>
          </cell>
          <cell r="F3841">
            <v>0</v>
          </cell>
          <cell r="G3841">
            <v>0</v>
          </cell>
        </row>
        <row r="3842">
          <cell r="D3842">
            <v>0</v>
          </cell>
          <cell r="E3842">
            <v>0</v>
          </cell>
          <cell r="F3842">
            <v>0</v>
          </cell>
          <cell r="G3842">
            <v>0</v>
          </cell>
        </row>
        <row r="3843">
          <cell r="D3843">
            <v>0</v>
          </cell>
          <cell r="E3843">
            <v>0</v>
          </cell>
          <cell r="F3843">
            <v>0</v>
          </cell>
          <cell r="G3843">
            <v>0</v>
          </cell>
        </row>
        <row r="3844">
          <cell r="D3844">
            <v>0</v>
          </cell>
          <cell r="E3844">
            <v>0</v>
          </cell>
          <cell r="F3844">
            <v>0</v>
          </cell>
          <cell r="G3844">
            <v>0</v>
          </cell>
        </row>
        <row r="3845">
          <cell r="D3845">
            <v>0</v>
          </cell>
          <cell r="E3845">
            <v>0</v>
          </cell>
          <cell r="F3845">
            <v>0</v>
          </cell>
          <cell r="G3845">
            <v>0</v>
          </cell>
        </row>
        <row r="3846">
          <cell r="D3846">
            <v>0</v>
          </cell>
          <cell r="E3846">
            <v>0</v>
          </cell>
          <cell r="F3846">
            <v>0</v>
          </cell>
          <cell r="G3846">
            <v>0</v>
          </cell>
        </row>
        <row r="3847">
          <cell r="D3847">
            <v>0</v>
          </cell>
          <cell r="E3847">
            <v>0</v>
          </cell>
          <cell r="F3847">
            <v>0</v>
          </cell>
          <cell r="G3847">
            <v>0</v>
          </cell>
        </row>
        <row r="3848">
          <cell r="D3848">
            <v>0</v>
          </cell>
          <cell r="E3848">
            <v>0</v>
          </cell>
          <cell r="F3848">
            <v>0</v>
          </cell>
          <cell r="G3848">
            <v>0</v>
          </cell>
        </row>
        <row r="3849">
          <cell r="D3849">
            <v>0</v>
          </cell>
          <cell r="E3849">
            <v>0</v>
          </cell>
          <cell r="F3849">
            <v>0</v>
          </cell>
          <cell r="G3849">
            <v>0</v>
          </cell>
        </row>
        <row r="3850">
          <cell r="D3850">
            <v>0</v>
          </cell>
          <cell r="E3850">
            <v>0</v>
          </cell>
          <cell r="F3850">
            <v>0</v>
          </cell>
          <cell r="G3850">
            <v>0</v>
          </cell>
        </row>
        <row r="3851">
          <cell r="D3851">
            <v>0</v>
          </cell>
          <cell r="E3851">
            <v>0</v>
          </cell>
          <cell r="F3851">
            <v>0</v>
          </cell>
          <cell r="G3851">
            <v>0</v>
          </cell>
        </row>
        <row r="3852">
          <cell r="D3852">
            <v>0</v>
          </cell>
          <cell r="E3852">
            <v>0</v>
          </cell>
          <cell r="F3852">
            <v>0</v>
          </cell>
          <cell r="G3852">
            <v>0</v>
          </cell>
        </row>
        <row r="3853">
          <cell r="D3853">
            <v>0</v>
          </cell>
          <cell r="E3853">
            <v>0</v>
          </cell>
          <cell r="F3853">
            <v>0</v>
          </cell>
          <cell r="G3853">
            <v>0</v>
          </cell>
        </row>
        <row r="3854">
          <cell r="D3854">
            <v>0</v>
          </cell>
          <cell r="E3854">
            <v>0</v>
          </cell>
          <cell r="F3854">
            <v>0</v>
          </cell>
          <cell r="G3854">
            <v>0</v>
          </cell>
        </row>
        <row r="3855">
          <cell r="D3855">
            <v>0</v>
          </cell>
          <cell r="E3855">
            <v>0</v>
          </cell>
          <cell r="F3855">
            <v>0</v>
          </cell>
          <cell r="G3855">
            <v>0</v>
          </cell>
        </row>
        <row r="3856">
          <cell r="D3856">
            <v>0</v>
          </cell>
          <cell r="E3856">
            <v>0</v>
          </cell>
          <cell r="F3856">
            <v>0</v>
          </cell>
          <cell r="G3856">
            <v>0</v>
          </cell>
        </row>
        <row r="3857">
          <cell r="D3857">
            <v>0</v>
          </cell>
          <cell r="E3857">
            <v>0</v>
          </cell>
          <cell r="F3857">
            <v>0</v>
          </cell>
          <cell r="G3857">
            <v>0</v>
          </cell>
        </row>
        <row r="3858">
          <cell r="D3858">
            <v>0</v>
          </cell>
          <cell r="E3858">
            <v>0</v>
          </cell>
          <cell r="F3858">
            <v>0</v>
          </cell>
          <cell r="G3858">
            <v>0</v>
          </cell>
        </row>
        <row r="3859">
          <cell r="D3859">
            <v>0</v>
          </cell>
          <cell r="E3859">
            <v>0</v>
          </cell>
          <cell r="F3859">
            <v>0</v>
          </cell>
          <cell r="G3859">
            <v>0</v>
          </cell>
        </row>
        <row r="3860">
          <cell r="D3860">
            <v>0</v>
          </cell>
          <cell r="E3860">
            <v>0</v>
          </cell>
          <cell r="F3860">
            <v>0</v>
          </cell>
          <cell r="G3860">
            <v>0</v>
          </cell>
        </row>
        <row r="3861">
          <cell r="D3861">
            <v>0</v>
          </cell>
          <cell r="E3861">
            <v>0</v>
          </cell>
          <cell r="F3861">
            <v>0</v>
          </cell>
          <cell r="G3861">
            <v>0</v>
          </cell>
        </row>
        <row r="3862">
          <cell r="D3862">
            <v>0</v>
          </cell>
          <cell r="E3862">
            <v>0</v>
          </cell>
          <cell r="F3862">
            <v>0</v>
          </cell>
          <cell r="G3862">
            <v>0</v>
          </cell>
        </row>
        <row r="3863">
          <cell r="D3863">
            <v>0</v>
          </cell>
          <cell r="E3863">
            <v>0</v>
          </cell>
          <cell r="F3863">
            <v>0</v>
          </cell>
          <cell r="G3863">
            <v>0</v>
          </cell>
        </row>
        <row r="3864">
          <cell r="D3864">
            <v>0</v>
          </cell>
          <cell r="E3864">
            <v>0</v>
          </cell>
          <cell r="F3864">
            <v>0</v>
          </cell>
          <cell r="G3864">
            <v>0</v>
          </cell>
        </row>
        <row r="3865">
          <cell r="D3865">
            <v>0</v>
          </cell>
          <cell r="E3865">
            <v>0</v>
          </cell>
          <cell r="F3865">
            <v>0</v>
          </cell>
          <cell r="G3865">
            <v>0</v>
          </cell>
        </row>
        <row r="3866">
          <cell r="D3866">
            <v>0</v>
          </cell>
          <cell r="E3866">
            <v>0</v>
          </cell>
          <cell r="F3866">
            <v>0</v>
          </cell>
          <cell r="G3866">
            <v>0</v>
          </cell>
        </row>
        <row r="3867">
          <cell r="D3867">
            <v>0</v>
          </cell>
          <cell r="E3867">
            <v>0</v>
          </cell>
          <cell r="F3867">
            <v>0</v>
          </cell>
          <cell r="G3867">
            <v>0</v>
          </cell>
        </row>
        <row r="3868">
          <cell r="D3868">
            <v>0</v>
          </cell>
          <cell r="E3868">
            <v>0</v>
          </cell>
          <cell r="F3868">
            <v>0</v>
          </cell>
          <cell r="G3868">
            <v>0</v>
          </cell>
        </row>
        <row r="3869">
          <cell r="D3869">
            <v>0</v>
          </cell>
          <cell r="E3869">
            <v>0</v>
          </cell>
          <cell r="F3869">
            <v>0</v>
          </cell>
          <cell r="G3869">
            <v>0</v>
          </cell>
        </row>
        <row r="3870">
          <cell r="D3870">
            <v>0</v>
          </cell>
          <cell r="E3870">
            <v>0</v>
          </cell>
          <cell r="F3870">
            <v>0</v>
          </cell>
          <cell r="G3870">
            <v>0</v>
          </cell>
        </row>
        <row r="3871">
          <cell r="D3871">
            <v>0</v>
          </cell>
          <cell r="E3871">
            <v>0</v>
          </cell>
          <cell r="F3871">
            <v>0</v>
          </cell>
          <cell r="G3871">
            <v>0</v>
          </cell>
        </row>
        <row r="3872">
          <cell r="D3872">
            <v>0</v>
          </cell>
          <cell r="E3872">
            <v>0</v>
          </cell>
          <cell r="F3872">
            <v>0</v>
          </cell>
          <cell r="G3872">
            <v>0</v>
          </cell>
        </row>
        <row r="3873">
          <cell r="D3873">
            <v>0</v>
          </cell>
          <cell r="E3873">
            <v>0</v>
          </cell>
          <cell r="F3873">
            <v>0</v>
          </cell>
          <cell r="G3873">
            <v>0</v>
          </cell>
        </row>
        <row r="3874">
          <cell r="D3874">
            <v>0</v>
          </cell>
          <cell r="E3874">
            <v>0</v>
          </cell>
          <cell r="F3874">
            <v>0</v>
          </cell>
          <cell r="G3874">
            <v>0</v>
          </cell>
        </row>
        <row r="3875">
          <cell r="D3875">
            <v>0</v>
          </cell>
          <cell r="E3875">
            <v>0</v>
          </cell>
          <cell r="F3875">
            <v>0</v>
          </cell>
          <cell r="G3875">
            <v>0</v>
          </cell>
        </row>
        <row r="3876">
          <cell r="D3876">
            <v>0</v>
          </cell>
          <cell r="E3876">
            <v>0</v>
          </cell>
          <cell r="F3876">
            <v>0</v>
          </cell>
          <cell r="G3876">
            <v>0</v>
          </cell>
        </row>
        <row r="3877">
          <cell r="D3877">
            <v>0</v>
          </cell>
          <cell r="E3877">
            <v>0</v>
          </cell>
          <cell r="F3877">
            <v>0</v>
          </cell>
          <cell r="G3877">
            <v>0</v>
          </cell>
        </row>
        <row r="3878">
          <cell r="D3878">
            <v>0</v>
          </cell>
          <cell r="E3878">
            <v>0</v>
          </cell>
          <cell r="F3878">
            <v>0</v>
          </cell>
          <cell r="G3878">
            <v>0</v>
          </cell>
        </row>
        <row r="3879">
          <cell r="D3879">
            <v>0</v>
          </cell>
          <cell r="E3879">
            <v>0</v>
          </cell>
          <cell r="F3879">
            <v>0</v>
          </cell>
          <cell r="G3879">
            <v>0</v>
          </cell>
        </row>
        <row r="3880">
          <cell r="D3880">
            <v>0</v>
          </cell>
          <cell r="E3880">
            <v>0</v>
          </cell>
          <cell r="F3880">
            <v>0</v>
          </cell>
          <cell r="G3880">
            <v>0</v>
          </cell>
        </row>
        <row r="3881">
          <cell r="D3881">
            <v>0</v>
          </cell>
          <cell r="E3881">
            <v>0</v>
          </cell>
          <cell r="F3881">
            <v>0</v>
          </cell>
          <cell r="G3881">
            <v>0</v>
          </cell>
        </row>
        <row r="3882">
          <cell r="D3882">
            <v>0</v>
          </cell>
          <cell r="E3882">
            <v>0</v>
          </cell>
          <cell r="F3882">
            <v>0</v>
          </cell>
          <cell r="G3882">
            <v>0</v>
          </cell>
        </row>
        <row r="3883">
          <cell r="D3883">
            <v>0</v>
          </cell>
          <cell r="E3883">
            <v>0</v>
          </cell>
          <cell r="F3883">
            <v>0</v>
          </cell>
          <cell r="G3883">
            <v>0</v>
          </cell>
        </row>
        <row r="3884">
          <cell r="D3884">
            <v>0</v>
          </cell>
          <cell r="E3884">
            <v>0</v>
          </cell>
          <cell r="F3884">
            <v>0</v>
          </cell>
          <cell r="G3884">
            <v>0</v>
          </cell>
        </row>
        <row r="3885">
          <cell r="D3885">
            <v>0</v>
          </cell>
          <cell r="E3885">
            <v>0</v>
          </cell>
          <cell r="F3885">
            <v>0</v>
          </cell>
          <cell r="G3885">
            <v>0</v>
          </cell>
        </row>
        <row r="3886">
          <cell r="D3886">
            <v>0</v>
          </cell>
          <cell r="E3886">
            <v>0</v>
          </cell>
          <cell r="F3886">
            <v>0</v>
          </cell>
          <cell r="G3886">
            <v>0</v>
          </cell>
        </row>
        <row r="3887">
          <cell r="D3887">
            <v>0</v>
          </cell>
          <cell r="E3887">
            <v>0</v>
          </cell>
          <cell r="F3887">
            <v>0</v>
          </cell>
          <cell r="G3887">
            <v>0</v>
          </cell>
        </row>
        <row r="3888">
          <cell r="D3888">
            <v>0</v>
          </cell>
          <cell r="E3888">
            <v>0</v>
          </cell>
          <cell r="F3888">
            <v>0</v>
          </cell>
          <cell r="G3888">
            <v>0</v>
          </cell>
        </row>
        <row r="3889">
          <cell r="D3889">
            <v>0</v>
          </cell>
          <cell r="E3889">
            <v>0</v>
          </cell>
          <cell r="F3889">
            <v>0</v>
          </cell>
          <cell r="G3889">
            <v>0</v>
          </cell>
        </row>
        <row r="3890">
          <cell r="D3890">
            <v>0</v>
          </cell>
          <cell r="E3890">
            <v>0</v>
          </cell>
          <cell r="F3890">
            <v>0</v>
          </cell>
          <cell r="G3890">
            <v>0</v>
          </cell>
        </row>
        <row r="3891">
          <cell r="D3891">
            <v>0</v>
          </cell>
          <cell r="E3891">
            <v>0</v>
          </cell>
          <cell r="F3891">
            <v>0</v>
          </cell>
          <cell r="G3891">
            <v>0</v>
          </cell>
        </row>
        <row r="3892">
          <cell r="D3892">
            <v>0</v>
          </cell>
          <cell r="E3892">
            <v>0</v>
          </cell>
          <cell r="F3892">
            <v>0</v>
          </cell>
          <cell r="G3892">
            <v>0</v>
          </cell>
        </row>
        <row r="3893">
          <cell r="D3893">
            <v>0</v>
          </cell>
          <cell r="E3893">
            <v>0</v>
          </cell>
          <cell r="F3893">
            <v>0</v>
          </cell>
          <cell r="G3893">
            <v>0</v>
          </cell>
        </row>
        <row r="3894">
          <cell r="D3894">
            <v>0</v>
          </cell>
          <cell r="E3894">
            <v>0</v>
          </cell>
          <cell r="F3894">
            <v>0</v>
          </cell>
          <cell r="G3894">
            <v>0</v>
          </cell>
        </row>
        <row r="3895">
          <cell r="D3895">
            <v>0</v>
          </cell>
          <cell r="E3895">
            <v>0</v>
          </cell>
          <cell r="F3895">
            <v>0</v>
          </cell>
          <cell r="G3895">
            <v>0</v>
          </cell>
        </row>
        <row r="3896">
          <cell r="D3896">
            <v>0</v>
          </cell>
          <cell r="E3896">
            <v>0</v>
          </cell>
          <cell r="F3896">
            <v>0</v>
          </cell>
          <cell r="G3896">
            <v>0</v>
          </cell>
        </row>
        <row r="3897">
          <cell r="D3897">
            <v>0</v>
          </cell>
          <cell r="E3897">
            <v>0</v>
          </cell>
          <cell r="F3897">
            <v>0</v>
          </cell>
          <cell r="G3897">
            <v>0</v>
          </cell>
        </row>
        <row r="3898">
          <cell r="D3898">
            <v>0</v>
          </cell>
          <cell r="E3898">
            <v>0</v>
          </cell>
          <cell r="F3898">
            <v>0</v>
          </cell>
          <cell r="G3898">
            <v>0</v>
          </cell>
        </row>
        <row r="3899">
          <cell r="D3899">
            <v>0</v>
          </cell>
          <cell r="E3899">
            <v>0</v>
          </cell>
          <cell r="F3899">
            <v>0</v>
          </cell>
          <cell r="G3899">
            <v>0</v>
          </cell>
        </row>
        <row r="3900">
          <cell r="D3900">
            <v>0</v>
          </cell>
          <cell r="E3900">
            <v>0</v>
          </cell>
          <cell r="F3900">
            <v>0</v>
          </cell>
          <cell r="G3900">
            <v>0</v>
          </cell>
        </row>
        <row r="3901">
          <cell r="D3901">
            <v>0</v>
          </cell>
          <cell r="E3901">
            <v>0</v>
          </cell>
          <cell r="F3901">
            <v>0</v>
          </cell>
          <cell r="G3901">
            <v>0</v>
          </cell>
        </row>
        <row r="3902">
          <cell r="D3902">
            <v>0</v>
          </cell>
          <cell r="E3902">
            <v>0</v>
          </cell>
          <cell r="F3902">
            <v>0</v>
          </cell>
          <cell r="G3902">
            <v>0</v>
          </cell>
        </row>
        <row r="3903">
          <cell r="D3903">
            <v>0</v>
          </cell>
          <cell r="E3903">
            <v>0</v>
          </cell>
          <cell r="F3903">
            <v>0</v>
          </cell>
          <cell r="G3903">
            <v>0</v>
          </cell>
        </row>
        <row r="3904">
          <cell r="D3904">
            <v>0</v>
          </cell>
          <cell r="E3904">
            <v>0</v>
          </cell>
          <cell r="F3904">
            <v>0</v>
          </cell>
          <cell r="G3904">
            <v>0</v>
          </cell>
        </row>
        <row r="3905">
          <cell r="D3905">
            <v>0</v>
          </cell>
          <cell r="E3905">
            <v>0</v>
          </cell>
          <cell r="F3905">
            <v>0</v>
          </cell>
          <cell r="G3905">
            <v>0</v>
          </cell>
        </row>
        <row r="3906">
          <cell r="D3906">
            <v>0</v>
          </cell>
          <cell r="E3906">
            <v>0</v>
          </cell>
          <cell r="F3906">
            <v>0</v>
          </cell>
          <cell r="G3906">
            <v>0</v>
          </cell>
        </row>
        <row r="3907">
          <cell r="D3907">
            <v>0</v>
          </cell>
          <cell r="E3907">
            <v>0</v>
          </cell>
          <cell r="F3907">
            <v>0</v>
          </cell>
          <cell r="G3907">
            <v>0</v>
          </cell>
        </row>
        <row r="3908">
          <cell r="D3908">
            <v>0</v>
          </cell>
          <cell r="E3908">
            <v>0</v>
          </cell>
          <cell r="F3908">
            <v>0</v>
          </cell>
          <cell r="G3908">
            <v>0</v>
          </cell>
        </row>
        <row r="3909">
          <cell r="D3909">
            <v>0</v>
          </cell>
          <cell r="E3909">
            <v>0</v>
          </cell>
          <cell r="F3909">
            <v>0</v>
          </cell>
          <cell r="G3909">
            <v>0</v>
          </cell>
        </row>
        <row r="3910">
          <cell r="D3910">
            <v>0</v>
          </cell>
          <cell r="E3910">
            <v>0</v>
          </cell>
          <cell r="F3910">
            <v>0</v>
          </cell>
          <cell r="G3910">
            <v>0</v>
          </cell>
        </row>
        <row r="3911">
          <cell r="D3911">
            <v>0</v>
          </cell>
          <cell r="E3911">
            <v>0</v>
          </cell>
          <cell r="F3911">
            <v>0</v>
          </cell>
          <cell r="G3911">
            <v>0</v>
          </cell>
        </row>
        <row r="3912">
          <cell r="D3912">
            <v>0</v>
          </cell>
          <cell r="E3912">
            <v>0</v>
          </cell>
          <cell r="F3912">
            <v>0</v>
          </cell>
          <cell r="G3912">
            <v>0</v>
          </cell>
        </row>
        <row r="3913">
          <cell r="D3913">
            <v>0</v>
          </cell>
          <cell r="E3913">
            <v>0</v>
          </cell>
          <cell r="F3913">
            <v>0</v>
          </cell>
          <cell r="G3913">
            <v>0</v>
          </cell>
        </row>
        <row r="3914">
          <cell r="D3914">
            <v>0</v>
          </cell>
          <cell r="E3914">
            <v>0</v>
          </cell>
          <cell r="F3914">
            <v>0</v>
          </cell>
          <cell r="G3914">
            <v>0</v>
          </cell>
        </row>
        <row r="3915">
          <cell r="D3915">
            <v>0</v>
          </cell>
          <cell r="E3915">
            <v>0</v>
          </cell>
          <cell r="F3915">
            <v>0</v>
          </cell>
          <cell r="G3915">
            <v>0</v>
          </cell>
        </row>
        <row r="3916">
          <cell r="D3916">
            <v>0</v>
          </cell>
          <cell r="E3916">
            <v>0</v>
          </cell>
          <cell r="F3916">
            <v>0</v>
          </cell>
          <cell r="G3916">
            <v>0</v>
          </cell>
        </row>
        <row r="3917">
          <cell r="D3917">
            <v>0</v>
          </cell>
          <cell r="E3917">
            <v>0</v>
          </cell>
          <cell r="F3917">
            <v>0</v>
          </cell>
          <cell r="G3917">
            <v>0</v>
          </cell>
        </row>
        <row r="3918">
          <cell r="D3918">
            <v>0</v>
          </cell>
          <cell r="E3918">
            <v>0</v>
          </cell>
          <cell r="F3918">
            <v>0</v>
          </cell>
          <cell r="G3918">
            <v>0</v>
          </cell>
        </row>
        <row r="3919">
          <cell r="D3919">
            <v>0</v>
          </cell>
          <cell r="E3919">
            <v>0</v>
          </cell>
          <cell r="F3919">
            <v>0</v>
          </cell>
          <cell r="G3919">
            <v>0</v>
          </cell>
        </row>
        <row r="3920">
          <cell r="D3920">
            <v>0</v>
          </cell>
          <cell r="E3920">
            <v>0</v>
          </cell>
          <cell r="F3920">
            <v>0</v>
          </cell>
          <cell r="G3920">
            <v>0</v>
          </cell>
        </row>
        <row r="3921">
          <cell r="D3921">
            <v>0</v>
          </cell>
          <cell r="E3921">
            <v>0</v>
          </cell>
          <cell r="F3921">
            <v>0</v>
          </cell>
          <cell r="G3921">
            <v>0</v>
          </cell>
        </row>
        <row r="3922">
          <cell r="D3922">
            <v>0</v>
          </cell>
          <cell r="E3922">
            <v>0</v>
          </cell>
          <cell r="F3922">
            <v>0</v>
          </cell>
          <cell r="G3922">
            <v>0</v>
          </cell>
        </row>
        <row r="3923">
          <cell r="D3923">
            <v>0</v>
          </cell>
          <cell r="E3923">
            <v>0</v>
          </cell>
          <cell r="F3923">
            <v>0</v>
          </cell>
          <cell r="G3923">
            <v>0</v>
          </cell>
        </row>
        <row r="3924">
          <cell r="D3924">
            <v>0</v>
          </cell>
          <cell r="E3924">
            <v>0</v>
          </cell>
          <cell r="F3924">
            <v>0</v>
          </cell>
          <cell r="G3924">
            <v>0</v>
          </cell>
        </row>
        <row r="3925">
          <cell r="D3925">
            <v>0</v>
          </cell>
          <cell r="E3925">
            <v>0</v>
          </cell>
          <cell r="F3925">
            <v>0</v>
          </cell>
          <cell r="G3925">
            <v>0</v>
          </cell>
        </row>
        <row r="3926">
          <cell r="D3926">
            <v>0</v>
          </cell>
          <cell r="E3926">
            <v>0</v>
          </cell>
          <cell r="F3926">
            <v>0</v>
          </cell>
          <cell r="G3926">
            <v>0</v>
          </cell>
        </row>
        <row r="3927">
          <cell r="D3927">
            <v>0</v>
          </cell>
          <cell r="E3927">
            <v>0</v>
          </cell>
          <cell r="F3927">
            <v>0</v>
          </cell>
          <cell r="G3927">
            <v>0</v>
          </cell>
        </row>
        <row r="3928">
          <cell r="D3928">
            <v>0</v>
          </cell>
          <cell r="E3928">
            <v>0</v>
          </cell>
          <cell r="F3928">
            <v>0</v>
          </cell>
          <cell r="G3928">
            <v>0</v>
          </cell>
        </row>
        <row r="3929">
          <cell r="D3929">
            <v>0</v>
          </cell>
          <cell r="E3929">
            <v>0</v>
          </cell>
          <cell r="F3929">
            <v>0</v>
          </cell>
          <cell r="G3929">
            <v>0</v>
          </cell>
        </row>
        <row r="3930">
          <cell r="D3930">
            <v>0</v>
          </cell>
          <cell r="E3930">
            <v>0</v>
          </cell>
          <cell r="F3930">
            <v>0</v>
          </cell>
          <cell r="G3930">
            <v>0</v>
          </cell>
        </row>
        <row r="3931">
          <cell r="D3931">
            <v>0</v>
          </cell>
          <cell r="E3931">
            <v>0</v>
          </cell>
          <cell r="F3931">
            <v>0</v>
          </cell>
          <cell r="G3931">
            <v>0</v>
          </cell>
        </row>
        <row r="3932">
          <cell r="D3932">
            <v>0</v>
          </cell>
          <cell r="E3932">
            <v>0</v>
          </cell>
          <cell r="F3932">
            <v>0</v>
          </cell>
          <cell r="G3932">
            <v>0</v>
          </cell>
        </row>
        <row r="3933">
          <cell r="D3933">
            <v>0</v>
          </cell>
          <cell r="E3933">
            <v>0</v>
          </cell>
          <cell r="F3933">
            <v>0</v>
          </cell>
          <cell r="G3933">
            <v>0</v>
          </cell>
        </row>
        <row r="3934">
          <cell r="D3934">
            <v>0</v>
          </cell>
          <cell r="E3934">
            <v>0</v>
          </cell>
          <cell r="F3934">
            <v>0</v>
          </cell>
          <cell r="G3934">
            <v>0</v>
          </cell>
        </row>
        <row r="3935">
          <cell r="D3935">
            <v>0</v>
          </cell>
          <cell r="E3935">
            <v>0</v>
          </cell>
          <cell r="F3935">
            <v>0</v>
          </cell>
          <cell r="G3935">
            <v>0</v>
          </cell>
        </row>
        <row r="3936">
          <cell r="D3936">
            <v>0</v>
          </cell>
          <cell r="E3936">
            <v>0</v>
          </cell>
          <cell r="F3936">
            <v>0</v>
          </cell>
          <cell r="G3936">
            <v>0</v>
          </cell>
        </row>
        <row r="3937">
          <cell r="D3937">
            <v>0</v>
          </cell>
          <cell r="E3937">
            <v>0</v>
          </cell>
          <cell r="F3937">
            <v>0</v>
          </cell>
          <cell r="G3937">
            <v>0</v>
          </cell>
        </row>
        <row r="3938">
          <cell r="D3938">
            <v>0</v>
          </cell>
          <cell r="E3938">
            <v>0</v>
          </cell>
          <cell r="F3938">
            <v>0</v>
          </cell>
          <cell r="G3938">
            <v>0</v>
          </cell>
        </row>
        <row r="3939">
          <cell r="D3939">
            <v>0</v>
          </cell>
          <cell r="E3939">
            <v>0</v>
          </cell>
          <cell r="F3939">
            <v>0</v>
          </cell>
          <cell r="G3939">
            <v>0</v>
          </cell>
        </row>
        <row r="3940">
          <cell r="D3940">
            <v>0</v>
          </cell>
          <cell r="E3940">
            <v>0</v>
          </cell>
          <cell r="F3940">
            <v>0</v>
          </cell>
          <cell r="G3940">
            <v>0</v>
          </cell>
        </row>
        <row r="3941">
          <cell r="D3941">
            <v>0</v>
          </cell>
          <cell r="E3941">
            <v>0</v>
          </cell>
          <cell r="F3941">
            <v>0</v>
          </cell>
          <cell r="G3941">
            <v>0</v>
          </cell>
        </row>
        <row r="3942">
          <cell r="D3942">
            <v>0</v>
          </cell>
          <cell r="E3942">
            <v>0</v>
          </cell>
          <cell r="F3942">
            <v>0</v>
          </cell>
          <cell r="G3942">
            <v>0</v>
          </cell>
        </row>
        <row r="3943">
          <cell r="D3943">
            <v>0</v>
          </cell>
          <cell r="E3943">
            <v>0</v>
          </cell>
          <cell r="F3943">
            <v>0</v>
          </cell>
          <cell r="G3943">
            <v>0</v>
          </cell>
        </row>
        <row r="3944">
          <cell r="D3944">
            <v>0</v>
          </cell>
          <cell r="E3944">
            <v>0</v>
          </cell>
          <cell r="F3944">
            <v>0</v>
          </cell>
          <cell r="G3944">
            <v>0</v>
          </cell>
        </row>
        <row r="3945">
          <cell r="D3945">
            <v>0</v>
          </cell>
          <cell r="E3945">
            <v>0</v>
          </cell>
          <cell r="F3945">
            <v>0</v>
          </cell>
          <cell r="G3945">
            <v>0</v>
          </cell>
        </row>
        <row r="3946">
          <cell r="D3946">
            <v>0</v>
          </cell>
          <cell r="E3946">
            <v>0</v>
          </cell>
          <cell r="F3946">
            <v>0</v>
          </cell>
          <cell r="G3946">
            <v>0</v>
          </cell>
        </row>
        <row r="3947">
          <cell r="D3947">
            <v>0</v>
          </cell>
          <cell r="E3947">
            <v>0</v>
          </cell>
          <cell r="F3947">
            <v>0</v>
          </cell>
          <cell r="G3947">
            <v>0</v>
          </cell>
        </row>
        <row r="3948">
          <cell r="D3948">
            <v>0</v>
          </cell>
          <cell r="E3948">
            <v>0</v>
          </cell>
          <cell r="F3948">
            <v>0</v>
          </cell>
          <cell r="G3948">
            <v>0</v>
          </cell>
        </row>
        <row r="3949">
          <cell r="D3949">
            <v>0</v>
          </cell>
          <cell r="E3949">
            <v>0</v>
          </cell>
          <cell r="F3949">
            <v>0</v>
          </cell>
          <cell r="G3949">
            <v>0</v>
          </cell>
        </row>
        <row r="3950">
          <cell r="D3950">
            <v>0</v>
          </cell>
          <cell r="E3950">
            <v>0</v>
          </cell>
          <cell r="F3950">
            <v>0</v>
          </cell>
          <cell r="G3950">
            <v>0</v>
          </cell>
        </row>
        <row r="3951">
          <cell r="D3951">
            <v>0</v>
          </cell>
          <cell r="E3951">
            <v>0</v>
          </cell>
          <cell r="F3951">
            <v>0</v>
          </cell>
          <cell r="G3951">
            <v>0</v>
          </cell>
        </row>
        <row r="3952">
          <cell r="D3952">
            <v>0</v>
          </cell>
          <cell r="E3952">
            <v>0</v>
          </cell>
          <cell r="F3952">
            <v>0</v>
          </cell>
          <cell r="G3952">
            <v>0</v>
          </cell>
        </row>
        <row r="3953">
          <cell r="D3953">
            <v>0</v>
          </cell>
          <cell r="E3953">
            <v>0</v>
          </cell>
          <cell r="F3953">
            <v>0</v>
          </cell>
          <cell r="G3953">
            <v>0</v>
          </cell>
        </row>
        <row r="3954">
          <cell r="D3954">
            <v>0</v>
          </cell>
          <cell r="E3954">
            <v>0</v>
          </cell>
          <cell r="F3954">
            <v>0</v>
          </cell>
          <cell r="G3954">
            <v>0</v>
          </cell>
        </row>
        <row r="3955">
          <cell r="D3955">
            <v>0</v>
          </cell>
          <cell r="E3955">
            <v>0</v>
          </cell>
          <cell r="F3955">
            <v>0</v>
          </cell>
          <cell r="G3955">
            <v>0</v>
          </cell>
        </row>
        <row r="3956">
          <cell r="D3956">
            <v>0</v>
          </cell>
          <cell r="E3956">
            <v>0</v>
          </cell>
          <cell r="F3956">
            <v>0</v>
          </cell>
          <cell r="G3956">
            <v>0</v>
          </cell>
        </row>
        <row r="3957">
          <cell r="D3957">
            <v>0</v>
          </cell>
          <cell r="E3957">
            <v>0</v>
          </cell>
          <cell r="F3957">
            <v>0</v>
          </cell>
          <cell r="G3957">
            <v>0</v>
          </cell>
        </row>
        <row r="3958">
          <cell r="D3958">
            <v>0</v>
          </cell>
          <cell r="E3958">
            <v>0</v>
          </cell>
          <cell r="F3958">
            <v>0</v>
          </cell>
          <cell r="G3958">
            <v>0</v>
          </cell>
        </row>
        <row r="3959">
          <cell r="D3959">
            <v>0</v>
          </cell>
          <cell r="E3959">
            <v>0</v>
          </cell>
          <cell r="F3959">
            <v>0</v>
          </cell>
          <cell r="G3959">
            <v>0</v>
          </cell>
        </row>
        <row r="3960">
          <cell r="D3960">
            <v>0</v>
          </cell>
          <cell r="E3960">
            <v>0</v>
          </cell>
          <cell r="F3960">
            <v>0</v>
          </cell>
          <cell r="G3960">
            <v>0</v>
          </cell>
        </row>
        <row r="3961">
          <cell r="D3961">
            <v>0</v>
          </cell>
          <cell r="E3961">
            <v>0</v>
          </cell>
          <cell r="F3961">
            <v>0</v>
          </cell>
          <cell r="G3961">
            <v>0</v>
          </cell>
        </row>
        <row r="3962">
          <cell r="D3962">
            <v>0</v>
          </cell>
          <cell r="E3962">
            <v>0</v>
          </cell>
          <cell r="F3962">
            <v>0</v>
          </cell>
          <cell r="G3962">
            <v>0</v>
          </cell>
        </row>
        <row r="3963">
          <cell r="D3963">
            <v>0</v>
          </cell>
          <cell r="E3963">
            <v>0</v>
          </cell>
          <cell r="F3963">
            <v>0</v>
          </cell>
          <cell r="G3963">
            <v>0</v>
          </cell>
        </row>
        <row r="3964">
          <cell r="D3964">
            <v>0</v>
          </cell>
          <cell r="E3964">
            <v>0</v>
          </cell>
          <cell r="F3964">
            <v>0</v>
          </cell>
          <cell r="G3964">
            <v>0</v>
          </cell>
        </row>
        <row r="3965">
          <cell r="D3965">
            <v>0</v>
          </cell>
          <cell r="E3965">
            <v>0</v>
          </cell>
          <cell r="F3965">
            <v>0</v>
          </cell>
          <cell r="G3965">
            <v>0</v>
          </cell>
        </row>
        <row r="3966">
          <cell r="D3966">
            <v>0</v>
          </cell>
          <cell r="E3966">
            <v>0</v>
          </cell>
          <cell r="F3966">
            <v>0</v>
          </cell>
          <cell r="G3966">
            <v>0</v>
          </cell>
        </row>
        <row r="3967">
          <cell r="D3967">
            <v>0</v>
          </cell>
          <cell r="E3967">
            <v>0</v>
          </cell>
          <cell r="F3967">
            <v>0</v>
          </cell>
          <cell r="G3967">
            <v>0</v>
          </cell>
        </row>
        <row r="3968">
          <cell r="D3968">
            <v>0</v>
          </cell>
          <cell r="E3968">
            <v>0</v>
          </cell>
          <cell r="F3968">
            <v>0</v>
          </cell>
          <cell r="G3968">
            <v>0</v>
          </cell>
        </row>
        <row r="3969">
          <cell r="D3969">
            <v>0</v>
          </cell>
          <cell r="E3969">
            <v>0</v>
          </cell>
          <cell r="F3969">
            <v>0</v>
          </cell>
          <cell r="G3969">
            <v>0</v>
          </cell>
        </row>
        <row r="3970">
          <cell r="D3970">
            <v>0</v>
          </cell>
          <cell r="E3970">
            <v>0</v>
          </cell>
          <cell r="F3970">
            <v>0</v>
          </cell>
          <cell r="G3970">
            <v>0</v>
          </cell>
        </row>
        <row r="3971">
          <cell r="D3971">
            <v>0</v>
          </cell>
          <cell r="E3971">
            <v>0</v>
          </cell>
          <cell r="F3971">
            <v>0</v>
          </cell>
          <cell r="G3971">
            <v>0</v>
          </cell>
        </row>
        <row r="3972">
          <cell r="D3972">
            <v>0</v>
          </cell>
          <cell r="E3972">
            <v>0</v>
          </cell>
          <cell r="F3972">
            <v>0</v>
          </cell>
          <cell r="G3972">
            <v>0</v>
          </cell>
        </row>
        <row r="3973">
          <cell r="D3973">
            <v>0</v>
          </cell>
          <cell r="E3973">
            <v>0</v>
          </cell>
          <cell r="F3973">
            <v>0</v>
          </cell>
          <cell r="G3973">
            <v>0</v>
          </cell>
        </row>
        <row r="3974">
          <cell r="D3974">
            <v>0</v>
          </cell>
          <cell r="E3974">
            <v>0</v>
          </cell>
          <cell r="F3974">
            <v>0</v>
          </cell>
          <cell r="G3974">
            <v>0</v>
          </cell>
        </row>
        <row r="3975">
          <cell r="D3975">
            <v>0</v>
          </cell>
          <cell r="E3975">
            <v>0</v>
          </cell>
          <cell r="F3975">
            <v>0</v>
          </cell>
          <cell r="G3975">
            <v>0</v>
          </cell>
        </row>
        <row r="3976">
          <cell r="D3976">
            <v>0</v>
          </cell>
          <cell r="E3976">
            <v>0</v>
          </cell>
          <cell r="F3976">
            <v>0</v>
          </cell>
          <cell r="G3976">
            <v>0</v>
          </cell>
        </row>
        <row r="3977">
          <cell r="D3977">
            <v>0</v>
          </cell>
          <cell r="E3977">
            <v>0</v>
          </cell>
          <cell r="F3977">
            <v>0</v>
          </cell>
          <cell r="G3977">
            <v>0</v>
          </cell>
        </row>
        <row r="3978">
          <cell r="D3978">
            <v>0</v>
          </cell>
          <cell r="E3978">
            <v>0</v>
          </cell>
          <cell r="F3978">
            <v>0</v>
          </cell>
          <cell r="G3978">
            <v>0</v>
          </cell>
        </row>
        <row r="3979">
          <cell r="D3979">
            <v>0</v>
          </cell>
          <cell r="E3979">
            <v>0</v>
          </cell>
          <cell r="F3979">
            <v>0</v>
          </cell>
          <cell r="G3979">
            <v>0</v>
          </cell>
        </row>
        <row r="3980">
          <cell r="D3980">
            <v>0</v>
          </cell>
          <cell r="E3980">
            <v>0</v>
          </cell>
          <cell r="F3980">
            <v>0</v>
          </cell>
          <cell r="G3980">
            <v>0</v>
          </cell>
        </row>
        <row r="3981">
          <cell r="D3981">
            <v>0</v>
          </cell>
          <cell r="E3981">
            <v>0</v>
          </cell>
          <cell r="F3981">
            <v>0</v>
          </cell>
          <cell r="G3981">
            <v>0</v>
          </cell>
        </row>
        <row r="3982">
          <cell r="D3982">
            <v>0</v>
          </cell>
          <cell r="E3982">
            <v>0</v>
          </cell>
          <cell r="F3982">
            <v>0</v>
          </cell>
          <cell r="G3982">
            <v>0</v>
          </cell>
        </row>
        <row r="3983">
          <cell r="D3983">
            <v>0</v>
          </cell>
          <cell r="E3983">
            <v>0</v>
          </cell>
          <cell r="F3983">
            <v>0</v>
          </cell>
          <cell r="G3983">
            <v>0</v>
          </cell>
        </row>
        <row r="3984">
          <cell r="D3984">
            <v>0</v>
          </cell>
          <cell r="E3984">
            <v>0</v>
          </cell>
          <cell r="F3984">
            <v>0</v>
          </cell>
          <cell r="G3984">
            <v>0</v>
          </cell>
        </row>
        <row r="3985">
          <cell r="D3985">
            <v>0</v>
          </cell>
          <cell r="E3985">
            <v>0</v>
          </cell>
          <cell r="F3985">
            <v>0</v>
          </cell>
          <cell r="G3985">
            <v>0</v>
          </cell>
        </row>
        <row r="3986">
          <cell r="D3986">
            <v>0</v>
          </cell>
          <cell r="E3986">
            <v>0</v>
          </cell>
          <cell r="F3986">
            <v>0</v>
          </cell>
          <cell r="G3986">
            <v>0</v>
          </cell>
        </row>
        <row r="3987">
          <cell r="D3987">
            <v>0</v>
          </cell>
          <cell r="E3987">
            <v>0</v>
          </cell>
          <cell r="F3987">
            <v>0</v>
          </cell>
          <cell r="G3987">
            <v>0</v>
          </cell>
        </row>
        <row r="3988">
          <cell r="D3988">
            <v>0</v>
          </cell>
          <cell r="E3988">
            <v>0</v>
          </cell>
          <cell r="F3988">
            <v>0</v>
          </cell>
          <cell r="G3988">
            <v>0</v>
          </cell>
        </row>
        <row r="3989">
          <cell r="D3989">
            <v>0</v>
          </cell>
          <cell r="E3989">
            <v>0</v>
          </cell>
          <cell r="F3989">
            <v>0</v>
          </cell>
          <cell r="G3989">
            <v>0</v>
          </cell>
        </row>
        <row r="3990">
          <cell r="D3990">
            <v>0</v>
          </cell>
          <cell r="E3990">
            <v>0</v>
          </cell>
          <cell r="F3990">
            <v>0</v>
          </cell>
          <cell r="G3990">
            <v>0</v>
          </cell>
        </row>
        <row r="3991">
          <cell r="D3991">
            <v>0</v>
          </cell>
          <cell r="E3991">
            <v>0</v>
          </cell>
          <cell r="F3991">
            <v>0</v>
          </cell>
          <cell r="G3991">
            <v>0</v>
          </cell>
        </row>
        <row r="3992">
          <cell r="D3992">
            <v>0</v>
          </cell>
          <cell r="E3992">
            <v>0</v>
          </cell>
          <cell r="F3992">
            <v>0</v>
          </cell>
          <cell r="G3992">
            <v>0</v>
          </cell>
        </row>
        <row r="3993">
          <cell r="D3993">
            <v>0</v>
          </cell>
          <cell r="E3993">
            <v>0</v>
          </cell>
          <cell r="F3993">
            <v>0</v>
          </cell>
          <cell r="G3993">
            <v>0</v>
          </cell>
        </row>
        <row r="3994">
          <cell r="D3994">
            <v>0</v>
          </cell>
          <cell r="E3994">
            <v>0</v>
          </cell>
          <cell r="F3994">
            <v>0</v>
          </cell>
          <cell r="G3994">
            <v>0</v>
          </cell>
        </row>
        <row r="3995">
          <cell r="D3995">
            <v>0</v>
          </cell>
          <cell r="E3995">
            <v>0</v>
          </cell>
          <cell r="F3995">
            <v>0</v>
          </cell>
          <cell r="G3995">
            <v>0</v>
          </cell>
        </row>
        <row r="3996">
          <cell r="D3996">
            <v>0</v>
          </cell>
          <cell r="E3996">
            <v>0</v>
          </cell>
          <cell r="F3996">
            <v>0</v>
          </cell>
          <cell r="G3996">
            <v>0</v>
          </cell>
        </row>
        <row r="3997">
          <cell r="D3997">
            <v>0</v>
          </cell>
          <cell r="E3997">
            <v>0</v>
          </cell>
          <cell r="F3997">
            <v>0</v>
          </cell>
          <cell r="G3997">
            <v>0</v>
          </cell>
        </row>
        <row r="3998">
          <cell r="D3998">
            <v>0</v>
          </cell>
          <cell r="E3998">
            <v>0</v>
          </cell>
          <cell r="F3998">
            <v>0</v>
          </cell>
          <cell r="G3998">
            <v>0</v>
          </cell>
        </row>
        <row r="3999">
          <cell r="D3999">
            <v>0</v>
          </cell>
          <cell r="E3999">
            <v>0</v>
          </cell>
          <cell r="F3999">
            <v>0</v>
          </cell>
          <cell r="G3999">
            <v>0</v>
          </cell>
        </row>
        <row r="4000">
          <cell r="D4000">
            <v>0</v>
          </cell>
          <cell r="E4000">
            <v>0</v>
          </cell>
          <cell r="F4000">
            <v>0</v>
          </cell>
          <cell r="G4000">
            <v>0</v>
          </cell>
        </row>
        <row r="4001">
          <cell r="D4001">
            <v>0</v>
          </cell>
          <cell r="E4001">
            <v>0</v>
          </cell>
          <cell r="F4001">
            <v>0</v>
          </cell>
          <cell r="G4001">
            <v>0</v>
          </cell>
        </row>
        <row r="4002">
          <cell r="D4002">
            <v>0</v>
          </cell>
          <cell r="E4002">
            <v>0</v>
          </cell>
          <cell r="F4002">
            <v>0</v>
          </cell>
          <cell r="G4002">
            <v>0</v>
          </cell>
        </row>
        <row r="4003">
          <cell r="D4003">
            <v>0</v>
          </cell>
          <cell r="E4003">
            <v>0</v>
          </cell>
          <cell r="F4003">
            <v>0</v>
          </cell>
          <cell r="G4003">
            <v>0</v>
          </cell>
        </row>
        <row r="4004">
          <cell r="D4004">
            <v>0</v>
          </cell>
          <cell r="E4004">
            <v>0</v>
          </cell>
          <cell r="F4004">
            <v>0</v>
          </cell>
          <cell r="G4004">
            <v>0</v>
          </cell>
        </row>
        <row r="4005">
          <cell r="D4005">
            <v>0</v>
          </cell>
          <cell r="E4005">
            <v>0</v>
          </cell>
          <cell r="F4005">
            <v>0</v>
          </cell>
          <cell r="G4005">
            <v>0</v>
          </cell>
        </row>
        <row r="4006">
          <cell r="D4006">
            <v>0</v>
          </cell>
          <cell r="E4006">
            <v>0</v>
          </cell>
          <cell r="F4006">
            <v>0</v>
          </cell>
          <cell r="G4006">
            <v>0</v>
          </cell>
        </row>
        <row r="4007">
          <cell r="D4007">
            <v>0</v>
          </cell>
          <cell r="E4007">
            <v>0</v>
          </cell>
          <cell r="F4007">
            <v>0</v>
          </cell>
          <cell r="G4007">
            <v>0</v>
          </cell>
        </row>
        <row r="4008">
          <cell r="D4008">
            <v>0</v>
          </cell>
          <cell r="E4008">
            <v>0</v>
          </cell>
          <cell r="F4008">
            <v>0</v>
          </cell>
          <cell r="G4008">
            <v>0</v>
          </cell>
        </row>
        <row r="4009">
          <cell r="D4009">
            <v>0</v>
          </cell>
          <cell r="E4009">
            <v>0</v>
          </cell>
          <cell r="F4009">
            <v>0</v>
          </cell>
          <cell r="G4009">
            <v>0</v>
          </cell>
        </row>
        <row r="4010">
          <cell r="D4010">
            <v>0</v>
          </cell>
          <cell r="E4010">
            <v>0</v>
          </cell>
          <cell r="F4010">
            <v>0</v>
          </cell>
          <cell r="G4010">
            <v>0</v>
          </cell>
        </row>
        <row r="4011">
          <cell r="D4011">
            <v>0</v>
          </cell>
          <cell r="E4011">
            <v>0</v>
          </cell>
          <cell r="F4011">
            <v>0</v>
          </cell>
          <cell r="G4011">
            <v>0</v>
          </cell>
        </row>
        <row r="4012">
          <cell r="D4012">
            <v>0</v>
          </cell>
          <cell r="E4012">
            <v>0</v>
          </cell>
          <cell r="F4012">
            <v>0</v>
          </cell>
          <cell r="G4012">
            <v>0</v>
          </cell>
        </row>
        <row r="4013">
          <cell r="D4013">
            <v>0</v>
          </cell>
          <cell r="E4013">
            <v>0</v>
          </cell>
          <cell r="F4013">
            <v>0</v>
          </cell>
          <cell r="G4013">
            <v>0</v>
          </cell>
        </row>
        <row r="4014">
          <cell r="D4014">
            <v>0</v>
          </cell>
          <cell r="E4014">
            <v>0</v>
          </cell>
          <cell r="F4014">
            <v>0</v>
          </cell>
          <cell r="G4014">
            <v>0</v>
          </cell>
        </row>
        <row r="4015">
          <cell r="D4015">
            <v>0</v>
          </cell>
          <cell r="E4015">
            <v>0</v>
          </cell>
          <cell r="F4015">
            <v>0</v>
          </cell>
          <cell r="G4015">
            <v>0</v>
          </cell>
        </row>
        <row r="4016">
          <cell r="D4016">
            <v>0</v>
          </cell>
          <cell r="E4016">
            <v>0</v>
          </cell>
          <cell r="F4016">
            <v>0</v>
          </cell>
          <cell r="G4016">
            <v>0</v>
          </cell>
        </row>
        <row r="4017">
          <cell r="D4017">
            <v>0</v>
          </cell>
          <cell r="E4017">
            <v>0</v>
          </cell>
          <cell r="F4017">
            <v>0</v>
          </cell>
          <cell r="G4017">
            <v>0</v>
          </cell>
        </row>
        <row r="4018">
          <cell r="D4018">
            <v>0</v>
          </cell>
          <cell r="E4018">
            <v>0</v>
          </cell>
          <cell r="F4018">
            <v>0</v>
          </cell>
          <cell r="G4018">
            <v>0</v>
          </cell>
        </row>
        <row r="4019">
          <cell r="D4019">
            <v>0</v>
          </cell>
          <cell r="E4019">
            <v>0</v>
          </cell>
          <cell r="F4019">
            <v>0</v>
          </cell>
          <cell r="G4019">
            <v>0</v>
          </cell>
        </row>
        <row r="4020">
          <cell r="D4020">
            <v>0</v>
          </cell>
          <cell r="E4020">
            <v>0</v>
          </cell>
          <cell r="F4020">
            <v>0</v>
          </cell>
          <cell r="G4020">
            <v>0</v>
          </cell>
        </row>
        <row r="4021">
          <cell r="D4021">
            <v>0</v>
          </cell>
          <cell r="E4021">
            <v>0</v>
          </cell>
          <cell r="F4021">
            <v>0</v>
          </cell>
          <cell r="G4021">
            <v>0</v>
          </cell>
        </row>
        <row r="4022">
          <cell r="D4022">
            <v>0</v>
          </cell>
          <cell r="E4022">
            <v>0</v>
          </cell>
          <cell r="F4022">
            <v>0</v>
          </cell>
          <cell r="G4022">
            <v>0</v>
          </cell>
        </row>
        <row r="4023">
          <cell r="D4023">
            <v>0</v>
          </cell>
          <cell r="E4023">
            <v>0</v>
          </cell>
          <cell r="F4023">
            <v>0</v>
          </cell>
          <cell r="G4023">
            <v>0</v>
          </cell>
        </row>
        <row r="4024">
          <cell r="D4024">
            <v>0</v>
          </cell>
          <cell r="E4024">
            <v>0</v>
          </cell>
          <cell r="F4024">
            <v>0</v>
          </cell>
          <cell r="G4024">
            <v>0</v>
          </cell>
        </row>
        <row r="4025">
          <cell r="D4025">
            <v>0</v>
          </cell>
          <cell r="E4025">
            <v>0</v>
          </cell>
          <cell r="F4025">
            <v>0</v>
          </cell>
          <cell r="G4025">
            <v>0</v>
          </cell>
        </row>
        <row r="4026">
          <cell r="D4026">
            <v>0</v>
          </cell>
          <cell r="E4026">
            <v>0</v>
          </cell>
          <cell r="F4026">
            <v>0</v>
          </cell>
          <cell r="G4026">
            <v>0</v>
          </cell>
        </row>
        <row r="4027">
          <cell r="D4027">
            <v>0</v>
          </cell>
          <cell r="E4027">
            <v>0</v>
          </cell>
          <cell r="F4027">
            <v>0</v>
          </cell>
          <cell r="G4027">
            <v>0</v>
          </cell>
        </row>
        <row r="4028">
          <cell r="D4028">
            <v>0</v>
          </cell>
          <cell r="E4028">
            <v>0</v>
          </cell>
          <cell r="F4028">
            <v>0</v>
          </cell>
          <cell r="G4028">
            <v>0</v>
          </cell>
        </row>
        <row r="4029">
          <cell r="D4029">
            <v>0</v>
          </cell>
          <cell r="E4029">
            <v>0</v>
          </cell>
          <cell r="F4029">
            <v>0</v>
          </cell>
          <cell r="G4029">
            <v>0</v>
          </cell>
        </row>
        <row r="4030">
          <cell r="D4030">
            <v>0</v>
          </cell>
          <cell r="E4030">
            <v>0</v>
          </cell>
          <cell r="F4030">
            <v>0</v>
          </cell>
          <cell r="G4030">
            <v>0</v>
          </cell>
        </row>
        <row r="4031">
          <cell r="D4031">
            <v>0</v>
          </cell>
          <cell r="E4031">
            <v>0</v>
          </cell>
          <cell r="F4031">
            <v>0</v>
          </cell>
          <cell r="G4031">
            <v>0</v>
          </cell>
        </row>
        <row r="4032">
          <cell r="D4032">
            <v>0</v>
          </cell>
          <cell r="E4032">
            <v>0</v>
          </cell>
          <cell r="F4032">
            <v>0</v>
          </cell>
          <cell r="G4032">
            <v>0</v>
          </cell>
        </row>
        <row r="4033">
          <cell r="D4033">
            <v>0</v>
          </cell>
          <cell r="E4033">
            <v>0</v>
          </cell>
          <cell r="F4033">
            <v>0</v>
          </cell>
          <cell r="G4033">
            <v>0</v>
          </cell>
        </row>
        <row r="4034">
          <cell r="D4034">
            <v>0</v>
          </cell>
          <cell r="E4034">
            <v>0</v>
          </cell>
          <cell r="F4034">
            <v>0</v>
          </cell>
          <cell r="G4034">
            <v>0</v>
          </cell>
        </row>
        <row r="4035">
          <cell r="D4035">
            <v>0</v>
          </cell>
          <cell r="E4035">
            <v>0</v>
          </cell>
          <cell r="F4035">
            <v>0</v>
          </cell>
          <cell r="G4035">
            <v>0</v>
          </cell>
        </row>
        <row r="4036">
          <cell r="D4036">
            <v>0</v>
          </cell>
          <cell r="E4036">
            <v>0</v>
          </cell>
          <cell r="F4036">
            <v>0</v>
          </cell>
          <cell r="G4036">
            <v>0</v>
          </cell>
        </row>
        <row r="4037">
          <cell r="D4037">
            <v>0</v>
          </cell>
          <cell r="E4037">
            <v>0</v>
          </cell>
          <cell r="F4037">
            <v>0</v>
          </cell>
          <cell r="G4037">
            <v>0</v>
          </cell>
        </row>
        <row r="4038">
          <cell r="D4038">
            <v>0</v>
          </cell>
          <cell r="E4038">
            <v>0</v>
          </cell>
          <cell r="F4038">
            <v>0</v>
          </cell>
          <cell r="G4038">
            <v>0</v>
          </cell>
        </row>
        <row r="4039">
          <cell r="D4039">
            <v>0</v>
          </cell>
          <cell r="E4039">
            <v>0</v>
          </cell>
          <cell r="F4039">
            <v>0</v>
          </cell>
          <cell r="G4039">
            <v>0</v>
          </cell>
        </row>
        <row r="4040">
          <cell r="D4040">
            <v>0</v>
          </cell>
          <cell r="E4040">
            <v>0</v>
          </cell>
          <cell r="F4040">
            <v>0</v>
          </cell>
          <cell r="G4040">
            <v>0</v>
          </cell>
        </row>
        <row r="4041">
          <cell r="D4041">
            <v>0</v>
          </cell>
          <cell r="E4041">
            <v>0</v>
          </cell>
          <cell r="F4041">
            <v>0</v>
          </cell>
          <cell r="G4041">
            <v>0</v>
          </cell>
        </row>
        <row r="4042">
          <cell r="D4042">
            <v>0</v>
          </cell>
          <cell r="E4042">
            <v>0</v>
          </cell>
          <cell r="F4042">
            <v>0</v>
          </cell>
          <cell r="G4042">
            <v>0</v>
          </cell>
        </row>
        <row r="4043">
          <cell r="D4043">
            <v>0</v>
          </cell>
          <cell r="E4043">
            <v>0</v>
          </cell>
          <cell r="F4043">
            <v>0</v>
          </cell>
          <cell r="G4043">
            <v>0</v>
          </cell>
        </row>
        <row r="4044">
          <cell r="D4044">
            <v>0</v>
          </cell>
          <cell r="E4044">
            <v>0</v>
          </cell>
          <cell r="F4044">
            <v>0</v>
          </cell>
          <cell r="G4044">
            <v>0</v>
          </cell>
        </row>
        <row r="4045">
          <cell r="D4045">
            <v>0</v>
          </cell>
          <cell r="E4045">
            <v>0</v>
          </cell>
          <cell r="F4045">
            <v>0</v>
          </cell>
          <cell r="G4045">
            <v>0</v>
          </cell>
        </row>
        <row r="4046">
          <cell r="D4046">
            <v>0</v>
          </cell>
          <cell r="E4046">
            <v>0</v>
          </cell>
          <cell r="F4046">
            <v>0</v>
          </cell>
          <cell r="G4046">
            <v>0</v>
          </cell>
        </row>
        <row r="4047">
          <cell r="D4047">
            <v>0</v>
          </cell>
          <cell r="E4047">
            <v>0</v>
          </cell>
          <cell r="F4047">
            <v>0</v>
          </cell>
          <cell r="G4047">
            <v>0</v>
          </cell>
        </row>
        <row r="4048">
          <cell r="D4048">
            <v>0</v>
          </cell>
          <cell r="E4048">
            <v>0</v>
          </cell>
          <cell r="F4048">
            <v>0</v>
          </cell>
          <cell r="G4048">
            <v>0</v>
          </cell>
        </row>
        <row r="4049">
          <cell r="D4049">
            <v>0</v>
          </cell>
          <cell r="E4049">
            <v>0</v>
          </cell>
          <cell r="F4049">
            <v>0</v>
          </cell>
          <cell r="G4049">
            <v>0</v>
          </cell>
        </row>
        <row r="4050">
          <cell r="D4050">
            <v>0</v>
          </cell>
          <cell r="E4050">
            <v>0</v>
          </cell>
          <cell r="F4050">
            <v>0</v>
          </cell>
          <cell r="G4050">
            <v>0</v>
          </cell>
        </row>
        <row r="4051">
          <cell r="D4051">
            <v>0</v>
          </cell>
          <cell r="E4051">
            <v>0</v>
          </cell>
          <cell r="F4051">
            <v>0</v>
          </cell>
          <cell r="G4051">
            <v>0</v>
          </cell>
        </row>
        <row r="4052">
          <cell r="D4052">
            <v>0</v>
          </cell>
          <cell r="E4052">
            <v>0</v>
          </cell>
          <cell r="F4052">
            <v>0</v>
          </cell>
          <cell r="G4052">
            <v>0</v>
          </cell>
        </row>
        <row r="4053">
          <cell r="D4053">
            <v>0</v>
          </cell>
          <cell r="E4053">
            <v>0</v>
          </cell>
          <cell r="F4053">
            <v>0</v>
          </cell>
          <cell r="G4053">
            <v>0</v>
          </cell>
        </row>
        <row r="4054">
          <cell r="D4054">
            <v>0</v>
          </cell>
          <cell r="E4054">
            <v>0</v>
          </cell>
          <cell r="F4054">
            <v>0</v>
          </cell>
          <cell r="G4054">
            <v>0</v>
          </cell>
        </row>
        <row r="4055">
          <cell r="D4055">
            <v>0</v>
          </cell>
          <cell r="E4055">
            <v>0</v>
          </cell>
          <cell r="F4055">
            <v>0</v>
          </cell>
          <cell r="G4055">
            <v>0</v>
          </cell>
        </row>
        <row r="4056">
          <cell r="D4056">
            <v>0</v>
          </cell>
          <cell r="E4056">
            <v>0</v>
          </cell>
          <cell r="F4056">
            <v>0</v>
          </cell>
          <cell r="G4056">
            <v>0</v>
          </cell>
        </row>
        <row r="4057">
          <cell r="D4057">
            <v>0</v>
          </cell>
          <cell r="E4057">
            <v>0</v>
          </cell>
          <cell r="F4057">
            <v>0</v>
          </cell>
          <cell r="G4057">
            <v>0</v>
          </cell>
        </row>
        <row r="4058">
          <cell r="D4058">
            <v>0</v>
          </cell>
          <cell r="E4058">
            <v>0</v>
          </cell>
          <cell r="F4058">
            <v>0</v>
          </cell>
          <cell r="G4058">
            <v>0</v>
          </cell>
        </row>
        <row r="4059">
          <cell r="D4059">
            <v>0</v>
          </cell>
          <cell r="E4059">
            <v>0</v>
          </cell>
          <cell r="F4059">
            <v>0</v>
          </cell>
          <cell r="G4059">
            <v>0</v>
          </cell>
        </row>
        <row r="4060">
          <cell r="D4060">
            <v>0</v>
          </cell>
          <cell r="E4060">
            <v>0</v>
          </cell>
          <cell r="F4060">
            <v>0</v>
          </cell>
          <cell r="G4060">
            <v>0</v>
          </cell>
        </row>
        <row r="4061">
          <cell r="D4061">
            <v>0</v>
          </cell>
          <cell r="E4061">
            <v>0</v>
          </cell>
          <cell r="F4061">
            <v>0</v>
          </cell>
          <cell r="G4061">
            <v>0</v>
          </cell>
        </row>
        <row r="4062">
          <cell r="D4062">
            <v>0</v>
          </cell>
          <cell r="E4062">
            <v>0</v>
          </cell>
          <cell r="F4062">
            <v>0</v>
          </cell>
          <cell r="G4062">
            <v>0</v>
          </cell>
        </row>
        <row r="4063">
          <cell r="D4063">
            <v>0</v>
          </cell>
          <cell r="E4063">
            <v>0</v>
          </cell>
          <cell r="F4063">
            <v>0</v>
          </cell>
          <cell r="G4063">
            <v>0</v>
          </cell>
        </row>
        <row r="4064">
          <cell r="D4064">
            <v>0</v>
          </cell>
          <cell r="E4064">
            <v>0</v>
          </cell>
          <cell r="F4064">
            <v>0</v>
          </cell>
          <cell r="G4064">
            <v>0</v>
          </cell>
        </row>
        <row r="4065">
          <cell r="D4065">
            <v>0</v>
          </cell>
          <cell r="E4065">
            <v>0</v>
          </cell>
          <cell r="F4065">
            <v>0</v>
          </cell>
          <cell r="G4065">
            <v>0</v>
          </cell>
        </row>
        <row r="4066">
          <cell r="D4066">
            <v>0</v>
          </cell>
          <cell r="E4066">
            <v>0</v>
          </cell>
          <cell r="F4066">
            <v>0</v>
          </cell>
          <cell r="G4066">
            <v>0</v>
          </cell>
        </row>
        <row r="4067">
          <cell r="D4067">
            <v>0</v>
          </cell>
          <cell r="E4067">
            <v>0</v>
          </cell>
          <cell r="F4067">
            <v>0</v>
          </cell>
          <cell r="G4067">
            <v>0</v>
          </cell>
        </row>
        <row r="4068">
          <cell r="D4068">
            <v>0</v>
          </cell>
          <cell r="E4068">
            <v>0</v>
          </cell>
          <cell r="F4068">
            <v>0</v>
          </cell>
          <cell r="G4068">
            <v>0</v>
          </cell>
        </row>
        <row r="4069">
          <cell r="D4069">
            <v>0</v>
          </cell>
          <cell r="E4069">
            <v>0</v>
          </cell>
          <cell r="F4069">
            <v>0</v>
          </cell>
          <cell r="G4069">
            <v>0</v>
          </cell>
        </row>
        <row r="4070">
          <cell r="D4070">
            <v>0</v>
          </cell>
          <cell r="E4070">
            <v>0</v>
          </cell>
          <cell r="F4070">
            <v>0</v>
          </cell>
          <cell r="G4070">
            <v>0</v>
          </cell>
        </row>
        <row r="4071">
          <cell r="D4071">
            <v>0</v>
          </cell>
          <cell r="E4071">
            <v>0</v>
          </cell>
          <cell r="F4071">
            <v>0</v>
          </cell>
          <cell r="G4071">
            <v>0</v>
          </cell>
        </row>
        <row r="4072">
          <cell r="D4072">
            <v>0</v>
          </cell>
          <cell r="E4072">
            <v>0</v>
          </cell>
          <cell r="F4072">
            <v>0</v>
          </cell>
          <cell r="G4072">
            <v>0</v>
          </cell>
        </row>
        <row r="4073">
          <cell r="D4073">
            <v>0</v>
          </cell>
          <cell r="E4073">
            <v>0</v>
          </cell>
          <cell r="F4073">
            <v>0</v>
          </cell>
          <cell r="G4073">
            <v>0</v>
          </cell>
        </row>
        <row r="4074">
          <cell r="D4074">
            <v>0</v>
          </cell>
          <cell r="E4074">
            <v>0</v>
          </cell>
          <cell r="F4074">
            <v>0</v>
          </cell>
          <cell r="G4074">
            <v>0</v>
          </cell>
        </row>
        <row r="4075">
          <cell r="D4075">
            <v>0</v>
          </cell>
          <cell r="E4075">
            <v>0</v>
          </cell>
          <cell r="F4075">
            <v>0</v>
          </cell>
          <cell r="G4075">
            <v>0</v>
          </cell>
        </row>
        <row r="4076">
          <cell r="D4076">
            <v>0</v>
          </cell>
          <cell r="E4076">
            <v>0</v>
          </cell>
          <cell r="F4076">
            <v>0</v>
          </cell>
          <cell r="G4076">
            <v>0</v>
          </cell>
        </row>
        <row r="4077">
          <cell r="D4077">
            <v>0</v>
          </cell>
          <cell r="E4077">
            <v>0</v>
          </cell>
          <cell r="F4077">
            <v>0</v>
          </cell>
          <cell r="G4077">
            <v>0</v>
          </cell>
        </row>
        <row r="4078">
          <cell r="D4078">
            <v>0</v>
          </cell>
          <cell r="E4078">
            <v>0</v>
          </cell>
          <cell r="F4078">
            <v>0</v>
          </cell>
          <cell r="G4078">
            <v>0</v>
          </cell>
        </row>
        <row r="4079">
          <cell r="D4079">
            <v>0</v>
          </cell>
          <cell r="E4079">
            <v>0</v>
          </cell>
          <cell r="F4079">
            <v>0</v>
          </cell>
          <cell r="G4079">
            <v>0</v>
          </cell>
        </row>
        <row r="4080">
          <cell r="D4080">
            <v>0</v>
          </cell>
          <cell r="E4080">
            <v>0</v>
          </cell>
          <cell r="F4080">
            <v>0</v>
          </cell>
          <cell r="G4080">
            <v>0</v>
          </cell>
        </row>
        <row r="4081">
          <cell r="D4081">
            <v>0</v>
          </cell>
          <cell r="E4081">
            <v>0</v>
          </cell>
          <cell r="F4081">
            <v>0</v>
          </cell>
          <cell r="G4081">
            <v>0</v>
          </cell>
        </row>
        <row r="4082">
          <cell r="D4082">
            <v>0</v>
          </cell>
          <cell r="E4082">
            <v>0</v>
          </cell>
          <cell r="F4082">
            <v>0</v>
          </cell>
          <cell r="G4082">
            <v>0</v>
          </cell>
        </row>
        <row r="4083">
          <cell r="D4083">
            <v>0</v>
          </cell>
          <cell r="E4083">
            <v>0</v>
          </cell>
          <cell r="F4083">
            <v>0</v>
          </cell>
          <cell r="G4083">
            <v>0</v>
          </cell>
        </row>
        <row r="4084">
          <cell r="D4084">
            <v>0</v>
          </cell>
          <cell r="E4084">
            <v>0</v>
          </cell>
          <cell r="F4084">
            <v>0</v>
          </cell>
          <cell r="G4084">
            <v>0</v>
          </cell>
        </row>
        <row r="4085">
          <cell r="D4085">
            <v>0</v>
          </cell>
          <cell r="E4085">
            <v>0</v>
          </cell>
          <cell r="F4085">
            <v>0</v>
          </cell>
          <cell r="G4085">
            <v>0</v>
          </cell>
        </row>
        <row r="4086">
          <cell r="D4086">
            <v>0</v>
          </cell>
          <cell r="E4086">
            <v>0</v>
          </cell>
          <cell r="F4086">
            <v>0</v>
          </cell>
          <cell r="G4086">
            <v>0</v>
          </cell>
        </row>
        <row r="4087">
          <cell r="D4087">
            <v>0</v>
          </cell>
          <cell r="E4087">
            <v>0</v>
          </cell>
          <cell r="F4087">
            <v>0</v>
          </cell>
          <cell r="G4087">
            <v>0</v>
          </cell>
        </row>
        <row r="4088">
          <cell r="D4088">
            <v>0</v>
          </cell>
          <cell r="E4088">
            <v>0</v>
          </cell>
          <cell r="F4088">
            <v>0</v>
          </cell>
          <cell r="G4088">
            <v>0</v>
          </cell>
        </row>
        <row r="4089">
          <cell r="D4089">
            <v>0</v>
          </cell>
          <cell r="E4089">
            <v>0</v>
          </cell>
          <cell r="F4089">
            <v>0</v>
          </cell>
          <cell r="G4089">
            <v>0</v>
          </cell>
        </row>
        <row r="4090">
          <cell r="D4090">
            <v>0</v>
          </cell>
          <cell r="E4090">
            <v>0</v>
          </cell>
          <cell r="F4090">
            <v>0</v>
          </cell>
          <cell r="G4090">
            <v>0</v>
          </cell>
        </row>
        <row r="4091">
          <cell r="D4091">
            <v>0</v>
          </cell>
          <cell r="E4091">
            <v>0</v>
          </cell>
          <cell r="F4091">
            <v>0</v>
          </cell>
          <cell r="G4091">
            <v>0</v>
          </cell>
        </row>
        <row r="4092">
          <cell r="D4092">
            <v>0</v>
          </cell>
          <cell r="E4092">
            <v>0</v>
          </cell>
          <cell r="F4092">
            <v>0</v>
          </cell>
          <cell r="G4092">
            <v>0</v>
          </cell>
        </row>
        <row r="4093">
          <cell r="D4093">
            <v>0</v>
          </cell>
          <cell r="E4093">
            <v>0</v>
          </cell>
          <cell r="F4093">
            <v>0</v>
          </cell>
          <cell r="G4093">
            <v>0</v>
          </cell>
        </row>
        <row r="4094">
          <cell r="D4094">
            <v>0</v>
          </cell>
          <cell r="E4094">
            <v>0</v>
          </cell>
          <cell r="F4094">
            <v>0</v>
          </cell>
          <cell r="G4094">
            <v>0</v>
          </cell>
        </row>
        <row r="4095">
          <cell r="D4095">
            <v>0</v>
          </cell>
          <cell r="E4095">
            <v>0</v>
          </cell>
          <cell r="F4095">
            <v>0</v>
          </cell>
          <cell r="G4095">
            <v>0</v>
          </cell>
        </row>
        <row r="4096">
          <cell r="D4096">
            <v>0</v>
          </cell>
          <cell r="E4096">
            <v>0</v>
          </cell>
          <cell r="F4096">
            <v>0</v>
          </cell>
          <cell r="G4096">
            <v>0</v>
          </cell>
        </row>
        <row r="4097">
          <cell r="D4097">
            <v>0</v>
          </cell>
          <cell r="E4097">
            <v>0</v>
          </cell>
          <cell r="F4097">
            <v>0</v>
          </cell>
          <cell r="G4097">
            <v>0</v>
          </cell>
        </row>
        <row r="4098">
          <cell r="D4098">
            <v>0</v>
          </cell>
          <cell r="E4098">
            <v>0</v>
          </cell>
          <cell r="F4098">
            <v>0</v>
          </cell>
          <cell r="G4098">
            <v>0</v>
          </cell>
        </row>
        <row r="4099">
          <cell r="D4099">
            <v>0</v>
          </cell>
          <cell r="E4099">
            <v>0</v>
          </cell>
          <cell r="F4099">
            <v>0</v>
          </cell>
          <cell r="G4099">
            <v>0</v>
          </cell>
        </row>
        <row r="4100">
          <cell r="D4100">
            <v>0</v>
          </cell>
          <cell r="E4100">
            <v>0</v>
          </cell>
          <cell r="F4100">
            <v>0</v>
          </cell>
          <cell r="G4100">
            <v>0</v>
          </cell>
        </row>
        <row r="4101">
          <cell r="D4101">
            <v>0</v>
          </cell>
          <cell r="E4101">
            <v>0</v>
          </cell>
          <cell r="F4101">
            <v>0</v>
          </cell>
          <cell r="G4101">
            <v>0</v>
          </cell>
        </row>
        <row r="4102">
          <cell r="D4102">
            <v>0</v>
          </cell>
          <cell r="E4102">
            <v>0</v>
          </cell>
          <cell r="F4102">
            <v>0</v>
          </cell>
          <cell r="G4102">
            <v>0</v>
          </cell>
        </row>
        <row r="4103">
          <cell r="D4103">
            <v>0</v>
          </cell>
          <cell r="E4103">
            <v>0</v>
          </cell>
          <cell r="F4103">
            <v>0</v>
          </cell>
          <cell r="G4103">
            <v>0</v>
          </cell>
        </row>
        <row r="4104">
          <cell r="D4104">
            <v>0</v>
          </cell>
          <cell r="E4104">
            <v>0</v>
          </cell>
          <cell r="F4104">
            <v>0</v>
          </cell>
          <cell r="G4104">
            <v>0</v>
          </cell>
        </row>
        <row r="4105">
          <cell r="D4105">
            <v>0</v>
          </cell>
          <cell r="E4105">
            <v>0</v>
          </cell>
          <cell r="F4105">
            <v>0</v>
          </cell>
          <cell r="G4105">
            <v>0</v>
          </cell>
        </row>
        <row r="4106">
          <cell r="D4106">
            <v>0</v>
          </cell>
          <cell r="E4106">
            <v>0</v>
          </cell>
          <cell r="F4106">
            <v>0</v>
          </cell>
          <cell r="G4106">
            <v>0</v>
          </cell>
        </row>
        <row r="4107">
          <cell r="D4107">
            <v>0</v>
          </cell>
          <cell r="E4107">
            <v>0</v>
          </cell>
          <cell r="F4107">
            <v>0</v>
          </cell>
          <cell r="G4107">
            <v>0</v>
          </cell>
        </row>
        <row r="4108">
          <cell r="D4108">
            <v>0</v>
          </cell>
          <cell r="E4108">
            <v>0</v>
          </cell>
          <cell r="F4108">
            <v>0</v>
          </cell>
          <cell r="G4108">
            <v>0</v>
          </cell>
        </row>
        <row r="4109">
          <cell r="D4109">
            <v>0</v>
          </cell>
          <cell r="E4109">
            <v>0</v>
          </cell>
          <cell r="F4109">
            <v>0</v>
          </cell>
          <cell r="G4109">
            <v>0</v>
          </cell>
        </row>
        <row r="4110">
          <cell r="D4110">
            <v>0</v>
          </cell>
          <cell r="E4110">
            <v>0</v>
          </cell>
          <cell r="F4110">
            <v>0</v>
          </cell>
          <cell r="G4110">
            <v>0</v>
          </cell>
        </row>
        <row r="4111">
          <cell r="D4111">
            <v>0</v>
          </cell>
          <cell r="E4111">
            <v>0</v>
          </cell>
          <cell r="F4111">
            <v>0</v>
          </cell>
          <cell r="G4111">
            <v>0</v>
          </cell>
        </row>
        <row r="4112">
          <cell r="D4112">
            <v>0</v>
          </cell>
          <cell r="E4112">
            <v>0</v>
          </cell>
          <cell r="F4112">
            <v>0</v>
          </cell>
          <cell r="G4112">
            <v>0</v>
          </cell>
        </row>
        <row r="4113">
          <cell r="D4113">
            <v>0</v>
          </cell>
          <cell r="E4113">
            <v>0</v>
          </cell>
          <cell r="F4113">
            <v>0</v>
          </cell>
          <cell r="G4113">
            <v>0</v>
          </cell>
        </row>
        <row r="4114">
          <cell r="D4114">
            <v>0</v>
          </cell>
          <cell r="E4114">
            <v>0</v>
          </cell>
          <cell r="F4114">
            <v>0</v>
          </cell>
          <cell r="G4114">
            <v>0</v>
          </cell>
        </row>
        <row r="4115">
          <cell r="D4115">
            <v>0</v>
          </cell>
          <cell r="E4115">
            <v>0</v>
          </cell>
          <cell r="F4115">
            <v>0</v>
          </cell>
          <cell r="G4115">
            <v>0</v>
          </cell>
        </row>
        <row r="4116">
          <cell r="D4116">
            <v>0</v>
          </cell>
          <cell r="E4116">
            <v>0</v>
          </cell>
          <cell r="F4116">
            <v>0</v>
          </cell>
          <cell r="G4116">
            <v>0</v>
          </cell>
        </row>
        <row r="4117">
          <cell r="D4117">
            <v>0</v>
          </cell>
          <cell r="E4117">
            <v>0</v>
          </cell>
          <cell r="F4117">
            <v>0</v>
          </cell>
          <cell r="G4117">
            <v>0</v>
          </cell>
        </row>
        <row r="4118">
          <cell r="D4118">
            <v>0</v>
          </cell>
          <cell r="E4118">
            <v>0</v>
          </cell>
          <cell r="F4118">
            <v>0</v>
          </cell>
          <cell r="G4118">
            <v>0</v>
          </cell>
        </row>
        <row r="4119">
          <cell r="D4119">
            <v>0</v>
          </cell>
          <cell r="E4119">
            <v>0</v>
          </cell>
          <cell r="F4119">
            <v>0</v>
          </cell>
          <cell r="G4119">
            <v>0</v>
          </cell>
        </row>
        <row r="4120">
          <cell r="D4120">
            <v>0</v>
          </cell>
          <cell r="E4120">
            <v>0</v>
          </cell>
          <cell r="F4120">
            <v>0</v>
          </cell>
          <cell r="G4120">
            <v>0</v>
          </cell>
        </row>
        <row r="4121">
          <cell r="D4121">
            <v>0</v>
          </cell>
          <cell r="E4121">
            <v>0</v>
          </cell>
          <cell r="F4121">
            <v>0</v>
          </cell>
          <cell r="G4121">
            <v>0</v>
          </cell>
        </row>
        <row r="4122">
          <cell r="D4122">
            <v>0</v>
          </cell>
          <cell r="E4122">
            <v>0</v>
          </cell>
          <cell r="F4122">
            <v>0</v>
          </cell>
          <cell r="G4122">
            <v>0</v>
          </cell>
        </row>
        <row r="4123">
          <cell r="D4123">
            <v>0</v>
          </cell>
          <cell r="E4123">
            <v>0</v>
          </cell>
          <cell r="F4123">
            <v>0</v>
          </cell>
          <cell r="G4123">
            <v>0</v>
          </cell>
        </row>
        <row r="4124">
          <cell r="D4124">
            <v>0</v>
          </cell>
          <cell r="E4124">
            <v>0</v>
          </cell>
          <cell r="F4124">
            <v>0</v>
          </cell>
          <cell r="G4124">
            <v>0</v>
          </cell>
        </row>
        <row r="4125">
          <cell r="D4125">
            <v>0</v>
          </cell>
          <cell r="E4125">
            <v>0</v>
          </cell>
          <cell r="F4125">
            <v>0</v>
          </cell>
          <cell r="G4125">
            <v>0</v>
          </cell>
        </row>
        <row r="4126">
          <cell r="D4126">
            <v>0</v>
          </cell>
          <cell r="E4126">
            <v>0</v>
          </cell>
          <cell r="F4126">
            <v>0</v>
          </cell>
          <cell r="G4126">
            <v>0</v>
          </cell>
        </row>
        <row r="4127">
          <cell r="D4127">
            <v>0</v>
          </cell>
          <cell r="E4127">
            <v>0</v>
          </cell>
          <cell r="F4127">
            <v>0</v>
          </cell>
          <cell r="G4127">
            <v>0</v>
          </cell>
        </row>
        <row r="4128">
          <cell r="D4128">
            <v>0</v>
          </cell>
          <cell r="E4128">
            <v>0</v>
          </cell>
          <cell r="F4128">
            <v>0</v>
          </cell>
          <cell r="G4128">
            <v>0</v>
          </cell>
        </row>
        <row r="4129">
          <cell r="D4129">
            <v>0</v>
          </cell>
          <cell r="E4129">
            <v>0</v>
          </cell>
          <cell r="F4129">
            <v>0</v>
          </cell>
          <cell r="G4129">
            <v>0</v>
          </cell>
        </row>
        <row r="4130">
          <cell r="D4130">
            <v>0</v>
          </cell>
          <cell r="E4130">
            <v>0</v>
          </cell>
          <cell r="F4130">
            <v>0</v>
          </cell>
          <cell r="G4130">
            <v>0</v>
          </cell>
        </row>
        <row r="4131">
          <cell r="D4131">
            <v>0</v>
          </cell>
          <cell r="E4131">
            <v>0</v>
          </cell>
          <cell r="F4131">
            <v>0</v>
          </cell>
          <cell r="G4131">
            <v>0</v>
          </cell>
        </row>
        <row r="4132">
          <cell r="D4132">
            <v>0</v>
          </cell>
          <cell r="E4132">
            <v>0</v>
          </cell>
          <cell r="F4132">
            <v>0</v>
          </cell>
          <cell r="G4132">
            <v>0</v>
          </cell>
        </row>
        <row r="4133">
          <cell r="D4133">
            <v>0</v>
          </cell>
          <cell r="E4133">
            <v>0</v>
          </cell>
          <cell r="F4133">
            <v>0</v>
          </cell>
          <cell r="G4133">
            <v>0</v>
          </cell>
        </row>
        <row r="4134">
          <cell r="D4134">
            <v>0</v>
          </cell>
          <cell r="E4134">
            <v>0</v>
          </cell>
          <cell r="F4134">
            <v>0</v>
          </cell>
          <cell r="G4134">
            <v>0</v>
          </cell>
        </row>
        <row r="4135">
          <cell r="D4135">
            <v>0</v>
          </cell>
          <cell r="E4135">
            <v>0</v>
          </cell>
          <cell r="F4135">
            <v>0</v>
          </cell>
          <cell r="G4135">
            <v>0</v>
          </cell>
        </row>
        <row r="4136">
          <cell r="D4136">
            <v>0</v>
          </cell>
          <cell r="E4136">
            <v>0</v>
          </cell>
          <cell r="F4136">
            <v>0</v>
          </cell>
          <cell r="G4136">
            <v>0</v>
          </cell>
        </row>
        <row r="4137">
          <cell r="D4137">
            <v>0</v>
          </cell>
          <cell r="E4137">
            <v>0</v>
          </cell>
          <cell r="F4137">
            <v>0</v>
          </cell>
          <cell r="G4137">
            <v>0</v>
          </cell>
        </row>
        <row r="4138">
          <cell r="D4138">
            <v>0</v>
          </cell>
          <cell r="E4138">
            <v>0</v>
          </cell>
          <cell r="F4138">
            <v>0</v>
          </cell>
          <cell r="G4138">
            <v>0</v>
          </cell>
        </row>
        <row r="4139">
          <cell r="D4139">
            <v>0</v>
          </cell>
          <cell r="E4139">
            <v>0</v>
          </cell>
          <cell r="F4139">
            <v>0</v>
          </cell>
          <cell r="G4139">
            <v>0</v>
          </cell>
        </row>
        <row r="4140">
          <cell r="D4140">
            <v>0</v>
          </cell>
          <cell r="E4140">
            <v>0</v>
          </cell>
          <cell r="F4140">
            <v>0</v>
          </cell>
          <cell r="G4140">
            <v>0</v>
          </cell>
        </row>
        <row r="4141">
          <cell r="D4141">
            <v>0</v>
          </cell>
          <cell r="E4141">
            <v>0</v>
          </cell>
          <cell r="F4141">
            <v>0</v>
          </cell>
          <cell r="G4141">
            <v>0</v>
          </cell>
        </row>
        <row r="4142">
          <cell r="D4142">
            <v>0</v>
          </cell>
          <cell r="E4142">
            <v>0</v>
          </cell>
          <cell r="F4142">
            <v>0</v>
          </cell>
          <cell r="G4142">
            <v>0</v>
          </cell>
        </row>
        <row r="4143">
          <cell r="D4143">
            <v>0</v>
          </cell>
          <cell r="E4143">
            <v>0</v>
          </cell>
          <cell r="F4143">
            <v>0</v>
          </cell>
          <cell r="G4143">
            <v>0</v>
          </cell>
        </row>
        <row r="4144">
          <cell r="D4144">
            <v>0</v>
          </cell>
          <cell r="E4144">
            <v>0</v>
          </cell>
          <cell r="F4144">
            <v>0</v>
          </cell>
          <cell r="G4144">
            <v>0</v>
          </cell>
        </row>
        <row r="4145">
          <cell r="D4145">
            <v>0</v>
          </cell>
          <cell r="E4145">
            <v>0</v>
          </cell>
          <cell r="F4145">
            <v>0</v>
          </cell>
          <cell r="G4145">
            <v>0</v>
          </cell>
        </row>
        <row r="4146">
          <cell r="D4146">
            <v>0</v>
          </cell>
          <cell r="E4146">
            <v>0</v>
          </cell>
          <cell r="F4146">
            <v>0</v>
          </cell>
          <cell r="G4146">
            <v>0</v>
          </cell>
        </row>
        <row r="4147">
          <cell r="D4147">
            <v>0</v>
          </cell>
          <cell r="E4147">
            <v>0</v>
          </cell>
          <cell r="F4147">
            <v>0</v>
          </cell>
          <cell r="G4147">
            <v>0</v>
          </cell>
        </row>
        <row r="4148">
          <cell r="D4148">
            <v>0</v>
          </cell>
          <cell r="E4148">
            <v>0</v>
          </cell>
          <cell r="F4148">
            <v>0</v>
          </cell>
          <cell r="G4148">
            <v>0</v>
          </cell>
        </row>
        <row r="4149">
          <cell r="D4149">
            <v>0</v>
          </cell>
          <cell r="E4149">
            <v>0</v>
          </cell>
          <cell r="F4149">
            <v>0</v>
          </cell>
          <cell r="G4149">
            <v>0</v>
          </cell>
        </row>
        <row r="4150">
          <cell r="D4150">
            <v>0</v>
          </cell>
          <cell r="E4150">
            <v>0</v>
          </cell>
          <cell r="F4150">
            <v>0</v>
          </cell>
          <cell r="G4150">
            <v>0</v>
          </cell>
        </row>
        <row r="4151">
          <cell r="D4151">
            <v>0</v>
          </cell>
          <cell r="E4151">
            <v>0</v>
          </cell>
          <cell r="F4151">
            <v>0</v>
          </cell>
          <cell r="G4151">
            <v>0</v>
          </cell>
        </row>
        <row r="4152">
          <cell r="D4152">
            <v>0</v>
          </cell>
          <cell r="E4152">
            <v>0</v>
          </cell>
          <cell r="F4152">
            <v>0</v>
          </cell>
          <cell r="G4152">
            <v>0</v>
          </cell>
        </row>
        <row r="4153">
          <cell r="D4153">
            <v>0</v>
          </cell>
          <cell r="E4153">
            <v>0</v>
          </cell>
          <cell r="F4153">
            <v>0</v>
          </cell>
          <cell r="G4153">
            <v>0</v>
          </cell>
        </row>
        <row r="4154">
          <cell r="D4154">
            <v>0</v>
          </cell>
          <cell r="E4154">
            <v>0</v>
          </cell>
          <cell r="F4154">
            <v>0</v>
          </cell>
          <cell r="G4154">
            <v>0</v>
          </cell>
        </row>
        <row r="4155">
          <cell r="D4155">
            <v>0</v>
          </cell>
          <cell r="E4155">
            <v>0</v>
          </cell>
          <cell r="F4155">
            <v>0</v>
          </cell>
          <cell r="G4155">
            <v>0</v>
          </cell>
        </row>
        <row r="4156">
          <cell r="D4156">
            <v>0</v>
          </cell>
          <cell r="E4156">
            <v>0</v>
          </cell>
          <cell r="F4156">
            <v>0</v>
          </cell>
          <cell r="G4156">
            <v>0</v>
          </cell>
        </row>
        <row r="4157">
          <cell r="D4157">
            <v>0</v>
          </cell>
          <cell r="E4157">
            <v>0</v>
          </cell>
          <cell r="F4157">
            <v>0</v>
          </cell>
          <cell r="G4157">
            <v>0</v>
          </cell>
        </row>
        <row r="4158">
          <cell r="D4158">
            <v>0</v>
          </cell>
          <cell r="E4158">
            <v>0</v>
          </cell>
          <cell r="F4158">
            <v>0</v>
          </cell>
          <cell r="G4158">
            <v>0</v>
          </cell>
        </row>
        <row r="4159">
          <cell r="D4159">
            <v>0</v>
          </cell>
          <cell r="E4159">
            <v>0</v>
          </cell>
          <cell r="F4159">
            <v>0</v>
          </cell>
          <cell r="G4159">
            <v>0</v>
          </cell>
        </row>
        <row r="4160">
          <cell r="D4160">
            <v>0</v>
          </cell>
          <cell r="E4160">
            <v>0</v>
          </cell>
          <cell r="F4160">
            <v>0</v>
          </cell>
          <cell r="G4160">
            <v>0</v>
          </cell>
        </row>
        <row r="4161">
          <cell r="D4161">
            <v>0</v>
          </cell>
          <cell r="E4161">
            <v>0</v>
          </cell>
          <cell r="F4161">
            <v>0</v>
          </cell>
          <cell r="G4161">
            <v>0</v>
          </cell>
        </row>
        <row r="4162">
          <cell r="D4162">
            <v>0</v>
          </cell>
          <cell r="E4162">
            <v>0</v>
          </cell>
          <cell r="F4162">
            <v>0</v>
          </cell>
          <cell r="G4162">
            <v>0</v>
          </cell>
        </row>
        <row r="4163">
          <cell r="D4163">
            <v>0</v>
          </cell>
          <cell r="E4163">
            <v>0</v>
          </cell>
          <cell r="F4163">
            <v>0</v>
          </cell>
          <cell r="G4163">
            <v>0</v>
          </cell>
        </row>
        <row r="4164">
          <cell r="D4164">
            <v>0</v>
          </cell>
          <cell r="E4164">
            <v>0</v>
          </cell>
          <cell r="F4164">
            <v>0</v>
          </cell>
          <cell r="G4164">
            <v>0</v>
          </cell>
        </row>
        <row r="4165">
          <cell r="D4165">
            <v>0</v>
          </cell>
          <cell r="E4165">
            <v>0</v>
          </cell>
          <cell r="F4165">
            <v>0</v>
          </cell>
          <cell r="G4165">
            <v>0</v>
          </cell>
        </row>
        <row r="4166">
          <cell r="D4166">
            <v>0</v>
          </cell>
          <cell r="E4166">
            <v>0</v>
          </cell>
          <cell r="F4166">
            <v>0</v>
          </cell>
          <cell r="G4166">
            <v>0</v>
          </cell>
        </row>
        <row r="4167">
          <cell r="D4167">
            <v>0</v>
          </cell>
          <cell r="E4167">
            <v>0</v>
          </cell>
          <cell r="F4167">
            <v>0</v>
          </cell>
          <cell r="G4167">
            <v>0</v>
          </cell>
        </row>
        <row r="4168">
          <cell r="D4168">
            <v>0</v>
          </cell>
          <cell r="E4168">
            <v>0</v>
          </cell>
          <cell r="F4168">
            <v>0</v>
          </cell>
          <cell r="G4168">
            <v>0</v>
          </cell>
        </row>
        <row r="4169">
          <cell r="D4169">
            <v>0</v>
          </cell>
          <cell r="E4169">
            <v>0</v>
          </cell>
          <cell r="F4169">
            <v>0</v>
          </cell>
          <cell r="G4169">
            <v>0</v>
          </cell>
        </row>
        <row r="4170">
          <cell r="D4170">
            <v>0</v>
          </cell>
          <cell r="E4170">
            <v>0</v>
          </cell>
          <cell r="F4170">
            <v>0</v>
          </cell>
          <cell r="G4170">
            <v>0</v>
          </cell>
        </row>
        <row r="4171">
          <cell r="D4171">
            <v>0</v>
          </cell>
          <cell r="E4171">
            <v>0</v>
          </cell>
          <cell r="F4171">
            <v>0</v>
          </cell>
          <cell r="G4171">
            <v>0</v>
          </cell>
        </row>
        <row r="4172">
          <cell r="D4172">
            <v>0</v>
          </cell>
          <cell r="E4172">
            <v>0</v>
          </cell>
          <cell r="F4172">
            <v>0</v>
          </cell>
          <cell r="G4172">
            <v>0</v>
          </cell>
        </row>
        <row r="4173">
          <cell r="D4173">
            <v>0</v>
          </cell>
          <cell r="E4173">
            <v>0</v>
          </cell>
          <cell r="F4173">
            <v>0</v>
          </cell>
          <cell r="G4173">
            <v>0</v>
          </cell>
        </row>
        <row r="4174">
          <cell r="D4174">
            <v>0</v>
          </cell>
          <cell r="E4174">
            <v>0</v>
          </cell>
          <cell r="F4174">
            <v>0</v>
          </cell>
          <cell r="G4174">
            <v>0</v>
          </cell>
        </row>
        <row r="4175">
          <cell r="D4175">
            <v>0</v>
          </cell>
          <cell r="E4175">
            <v>0</v>
          </cell>
          <cell r="F4175">
            <v>0</v>
          </cell>
          <cell r="G4175">
            <v>0</v>
          </cell>
        </row>
        <row r="4176">
          <cell r="D4176">
            <v>0</v>
          </cell>
          <cell r="E4176">
            <v>0</v>
          </cell>
          <cell r="F4176">
            <v>0</v>
          </cell>
          <cell r="G4176">
            <v>0</v>
          </cell>
        </row>
        <row r="4177">
          <cell r="D4177">
            <v>0</v>
          </cell>
          <cell r="E4177">
            <v>0</v>
          </cell>
          <cell r="F4177">
            <v>0</v>
          </cell>
          <cell r="G4177">
            <v>0</v>
          </cell>
        </row>
        <row r="4178">
          <cell r="D4178">
            <v>0</v>
          </cell>
          <cell r="E4178">
            <v>0</v>
          </cell>
          <cell r="F4178">
            <v>0</v>
          </cell>
          <cell r="G4178">
            <v>0</v>
          </cell>
        </row>
        <row r="4179">
          <cell r="D4179">
            <v>0</v>
          </cell>
          <cell r="E4179">
            <v>0</v>
          </cell>
          <cell r="F4179">
            <v>0</v>
          </cell>
          <cell r="G4179">
            <v>0</v>
          </cell>
        </row>
        <row r="4180">
          <cell r="D4180">
            <v>0</v>
          </cell>
          <cell r="E4180">
            <v>0</v>
          </cell>
          <cell r="F4180">
            <v>0</v>
          </cell>
          <cell r="G4180">
            <v>0</v>
          </cell>
        </row>
        <row r="4181">
          <cell r="D4181">
            <v>0</v>
          </cell>
          <cell r="E4181">
            <v>0</v>
          </cell>
          <cell r="F4181">
            <v>0</v>
          </cell>
          <cell r="G4181">
            <v>0</v>
          </cell>
        </row>
        <row r="4182">
          <cell r="D4182">
            <v>0</v>
          </cell>
          <cell r="E4182">
            <v>0</v>
          </cell>
          <cell r="F4182">
            <v>0</v>
          </cell>
          <cell r="G4182">
            <v>0</v>
          </cell>
        </row>
        <row r="4183">
          <cell r="D4183">
            <v>0</v>
          </cell>
          <cell r="E4183">
            <v>0</v>
          </cell>
          <cell r="F4183">
            <v>0</v>
          </cell>
          <cell r="G4183">
            <v>0</v>
          </cell>
        </row>
        <row r="4184">
          <cell r="D4184">
            <v>0</v>
          </cell>
          <cell r="E4184">
            <v>0</v>
          </cell>
          <cell r="F4184">
            <v>0</v>
          </cell>
          <cell r="G4184">
            <v>0</v>
          </cell>
        </row>
        <row r="4185">
          <cell r="D4185">
            <v>0</v>
          </cell>
          <cell r="E4185">
            <v>0</v>
          </cell>
          <cell r="F4185">
            <v>0</v>
          </cell>
          <cell r="G4185">
            <v>0</v>
          </cell>
        </row>
        <row r="4186">
          <cell r="D4186">
            <v>0</v>
          </cell>
          <cell r="E4186">
            <v>0</v>
          </cell>
          <cell r="F4186">
            <v>0</v>
          </cell>
          <cell r="G4186">
            <v>0</v>
          </cell>
        </row>
        <row r="4187">
          <cell r="D4187">
            <v>0</v>
          </cell>
          <cell r="E4187">
            <v>0</v>
          </cell>
          <cell r="F4187">
            <v>0</v>
          </cell>
          <cell r="G4187">
            <v>0</v>
          </cell>
        </row>
        <row r="4188">
          <cell r="D4188">
            <v>0</v>
          </cell>
          <cell r="E4188">
            <v>0</v>
          </cell>
          <cell r="F4188">
            <v>0</v>
          </cell>
          <cell r="G4188">
            <v>0</v>
          </cell>
        </row>
        <row r="4189">
          <cell r="D4189">
            <v>0</v>
          </cell>
          <cell r="E4189">
            <v>0</v>
          </cell>
          <cell r="F4189">
            <v>0</v>
          </cell>
          <cell r="G4189">
            <v>0</v>
          </cell>
        </row>
        <row r="4190">
          <cell r="D4190">
            <v>0</v>
          </cell>
          <cell r="E4190">
            <v>0</v>
          </cell>
          <cell r="F4190">
            <v>0</v>
          </cell>
          <cell r="G4190">
            <v>0</v>
          </cell>
        </row>
        <row r="4191">
          <cell r="D4191">
            <v>0</v>
          </cell>
          <cell r="E4191">
            <v>0</v>
          </cell>
          <cell r="F4191">
            <v>0</v>
          </cell>
          <cell r="G4191">
            <v>0</v>
          </cell>
        </row>
        <row r="4192">
          <cell r="D4192">
            <v>0</v>
          </cell>
          <cell r="E4192">
            <v>0</v>
          </cell>
          <cell r="F4192">
            <v>0</v>
          </cell>
          <cell r="G4192">
            <v>0</v>
          </cell>
        </row>
        <row r="4193">
          <cell r="D4193">
            <v>0</v>
          </cell>
          <cell r="E4193">
            <v>0</v>
          </cell>
          <cell r="F4193">
            <v>0</v>
          </cell>
          <cell r="G4193">
            <v>0</v>
          </cell>
        </row>
        <row r="4194">
          <cell r="D4194">
            <v>0</v>
          </cell>
          <cell r="E4194">
            <v>0</v>
          </cell>
          <cell r="F4194">
            <v>0</v>
          </cell>
          <cell r="G4194">
            <v>0</v>
          </cell>
        </row>
        <row r="4195">
          <cell r="D4195">
            <v>0</v>
          </cell>
          <cell r="E4195">
            <v>0</v>
          </cell>
          <cell r="F4195">
            <v>0</v>
          </cell>
          <cell r="G4195">
            <v>0</v>
          </cell>
        </row>
        <row r="4196">
          <cell r="D4196">
            <v>0</v>
          </cell>
          <cell r="E4196">
            <v>0</v>
          </cell>
          <cell r="F4196">
            <v>0</v>
          </cell>
          <cell r="G4196">
            <v>0</v>
          </cell>
        </row>
        <row r="4197">
          <cell r="D4197">
            <v>0</v>
          </cell>
          <cell r="E4197">
            <v>0</v>
          </cell>
          <cell r="F4197">
            <v>0</v>
          </cell>
          <cell r="G4197">
            <v>0</v>
          </cell>
        </row>
        <row r="4198">
          <cell r="D4198">
            <v>0</v>
          </cell>
          <cell r="E4198">
            <v>0</v>
          </cell>
          <cell r="F4198">
            <v>0</v>
          </cell>
          <cell r="G4198">
            <v>0</v>
          </cell>
        </row>
        <row r="4199">
          <cell r="D4199">
            <v>0</v>
          </cell>
          <cell r="E4199">
            <v>0</v>
          </cell>
          <cell r="F4199">
            <v>0</v>
          </cell>
          <cell r="G4199">
            <v>0</v>
          </cell>
        </row>
        <row r="4200">
          <cell r="D4200">
            <v>0</v>
          </cell>
          <cell r="E4200">
            <v>0</v>
          </cell>
          <cell r="F4200">
            <v>0</v>
          </cell>
          <cell r="G4200">
            <v>0</v>
          </cell>
        </row>
        <row r="4201">
          <cell r="D4201">
            <v>0</v>
          </cell>
          <cell r="E4201">
            <v>0</v>
          </cell>
          <cell r="F4201">
            <v>0</v>
          </cell>
          <cell r="G4201">
            <v>0</v>
          </cell>
        </row>
        <row r="4202">
          <cell r="D4202">
            <v>0</v>
          </cell>
          <cell r="E4202">
            <v>0</v>
          </cell>
          <cell r="F4202">
            <v>0</v>
          </cell>
          <cell r="G4202">
            <v>0</v>
          </cell>
        </row>
        <row r="4203">
          <cell r="D4203">
            <v>0</v>
          </cell>
          <cell r="E4203">
            <v>0</v>
          </cell>
          <cell r="F4203">
            <v>0</v>
          </cell>
          <cell r="G4203">
            <v>0</v>
          </cell>
        </row>
        <row r="4204">
          <cell r="D4204">
            <v>0</v>
          </cell>
          <cell r="E4204">
            <v>0</v>
          </cell>
          <cell r="F4204">
            <v>0</v>
          </cell>
          <cell r="G4204">
            <v>0</v>
          </cell>
        </row>
        <row r="4205">
          <cell r="D4205">
            <v>0</v>
          </cell>
          <cell r="E4205">
            <v>0</v>
          </cell>
          <cell r="F4205">
            <v>0</v>
          </cell>
          <cell r="G4205">
            <v>0</v>
          </cell>
        </row>
        <row r="4206">
          <cell r="D4206">
            <v>0</v>
          </cell>
          <cell r="E4206">
            <v>0</v>
          </cell>
          <cell r="F4206">
            <v>0</v>
          </cell>
          <cell r="G4206">
            <v>0</v>
          </cell>
        </row>
        <row r="4207">
          <cell r="D4207">
            <v>0</v>
          </cell>
          <cell r="E4207">
            <v>0</v>
          </cell>
          <cell r="F4207">
            <v>0</v>
          </cell>
          <cell r="G4207">
            <v>0</v>
          </cell>
        </row>
        <row r="4208">
          <cell r="D4208">
            <v>0</v>
          </cell>
          <cell r="E4208">
            <v>0</v>
          </cell>
          <cell r="F4208">
            <v>0</v>
          </cell>
          <cell r="G4208">
            <v>0</v>
          </cell>
        </row>
        <row r="4209">
          <cell r="D4209">
            <v>0</v>
          </cell>
          <cell r="E4209">
            <v>0</v>
          </cell>
          <cell r="F4209">
            <v>0</v>
          </cell>
          <cell r="G4209">
            <v>0</v>
          </cell>
        </row>
        <row r="4210">
          <cell r="D4210">
            <v>0</v>
          </cell>
          <cell r="E4210">
            <v>0</v>
          </cell>
          <cell r="F4210">
            <v>0</v>
          </cell>
          <cell r="G4210">
            <v>0</v>
          </cell>
        </row>
        <row r="4211">
          <cell r="D4211">
            <v>0</v>
          </cell>
          <cell r="E4211">
            <v>0</v>
          </cell>
          <cell r="F4211">
            <v>0</v>
          </cell>
          <cell r="G4211">
            <v>0</v>
          </cell>
        </row>
        <row r="4212">
          <cell r="D4212">
            <v>0</v>
          </cell>
          <cell r="E4212">
            <v>0</v>
          </cell>
          <cell r="F4212">
            <v>0</v>
          </cell>
          <cell r="G4212">
            <v>0</v>
          </cell>
        </row>
        <row r="4213">
          <cell r="D4213">
            <v>0</v>
          </cell>
          <cell r="E4213">
            <v>0</v>
          </cell>
          <cell r="F4213">
            <v>0</v>
          </cell>
          <cell r="G4213">
            <v>0</v>
          </cell>
        </row>
        <row r="4214">
          <cell r="D4214">
            <v>0</v>
          </cell>
          <cell r="E4214">
            <v>0</v>
          </cell>
          <cell r="F4214">
            <v>0</v>
          </cell>
          <cell r="G4214">
            <v>0</v>
          </cell>
        </row>
        <row r="4215">
          <cell r="D4215">
            <v>0</v>
          </cell>
          <cell r="E4215">
            <v>0</v>
          </cell>
          <cell r="F4215">
            <v>0</v>
          </cell>
          <cell r="G4215">
            <v>0</v>
          </cell>
        </row>
        <row r="4216">
          <cell r="D4216">
            <v>0</v>
          </cell>
          <cell r="E4216">
            <v>0</v>
          </cell>
          <cell r="F4216">
            <v>0</v>
          </cell>
          <cell r="G4216">
            <v>0</v>
          </cell>
        </row>
        <row r="4217">
          <cell r="D4217">
            <v>0</v>
          </cell>
          <cell r="E4217">
            <v>0</v>
          </cell>
          <cell r="F4217">
            <v>0</v>
          </cell>
          <cell r="G4217">
            <v>0</v>
          </cell>
        </row>
        <row r="4218">
          <cell r="D4218">
            <v>0</v>
          </cell>
          <cell r="E4218">
            <v>0</v>
          </cell>
          <cell r="F4218">
            <v>0</v>
          </cell>
          <cell r="G4218">
            <v>0</v>
          </cell>
        </row>
        <row r="4219">
          <cell r="D4219">
            <v>0</v>
          </cell>
          <cell r="E4219">
            <v>0</v>
          </cell>
          <cell r="F4219">
            <v>0</v>
          </cell>
          <cell r="G4219">
            <v>0</v>
          </cell>
        </row>
        <row r="4220">
          <cell r="D4220">
            <v>0</v>
          </cell>
          <cell r="E4220">
            <v>0</v>
          </cell>
          <cell r="F4220">
            <v>0</v>
          </cell>
          <cell r="G4220">
            <v>0</v>
          </cell>
        </row>
        <row r="4221">
          <cell r="D4221">
            <v>0</v>
          </cell>
          <cell r="E4221">
            <v>0</v>
          </cell>
          <cell r="F4221">
            <v>0</v>
          </cell>
          <cell r="G4221">
            <v>0</v>
          </cell>
        </row>
        <row r="4222">
          <cell r="D4222">
            <v>0</v>
          </cell>
          <cell r="E4222">
            <v>0</v>
          </cell>
          <cell r="F4222">
            <v>0</v>
          </cell>
          <cell r="G4222">
            <v>0</v>
          </cell>
        </row>
        <row r="4223">
          <cell r="D4223">
            <v>0</v>
          </cell>
          <cell r="E4223">
            <v>0</v>
          </cell>
          <cell r="F4223">
            <v>0</v>
          </cell>
          <cell r="G4223">
            <v>0</v>
          </cell>
        </row>
        <row r="4224">
          <cell r="D4224">
            <v>0</v>
          </cell>
          <cell r="E4224">
            <v>0</v>
          </cell>
          <cell r="F4224">
            <v>0</v>
          </cell>
          <cell r="G4224">
            <v>0</v>
          </cell>
        </row>
        <row r="4225">
          <cell r="D4225">
            <v>0</v>
          </cell>
          <cell r="E4225">
            <v>0</v>
          </cell>
          <cell r="F4225">
            <v>0</v>
          </cell>
          <cell r="G4225">
            <v>0</v>
          </cell>
        </row>
        <row r="4226">
          <cell r="D4226">
            <v>0</v>
          </cell>
          <cell r="E4226">
            <v>0</v>
          </cell>
          <cell r="F4226">
            <v>0</v>
          </cell>
          <cell r="G4226">
            <v>0</v>
          </cell>
        </row>
        <row r="4227">
          <cell r="D4227">
            <v>0</v>
          </cell>
          <cell r="E4227">
            <v>0</v>
          </cell>
          <cell r="F4227">
            <v>0</v>
          </cell>
          <cell r="G4227">
            <v>0</v>
          </cell>
        </row>
        <row r="4228">
          <cell r="D4228">
            <v>0</v>
          </cell>
          <cell r="E4228">
            <v>0</v>
          </cell>
          <cell r="F4228">
            <v>0</v>
          </cell>
          <cell r="G4228">
            <v>0</v>
          </cell>
        </row>
        <row r="4229">
          <cell r="D4229">
            <v>0</v>
          </cell>
          <cell r="E4229">
            <v>0</v>
          </cell>
          <cell r="F4229">
            <v>0</v>
          </cell>
          <cell r="G4229">
            <v>0</v>
          </cell>
        </row>
        <row r="4230">
          <cell r="D4230">
            <v>0</v>
          </cell>
          <cell r="E4230">
            <v>0</v>
          </cell>
          <cell r="F4230">
            <v>0</v>
          </cell>
          <cell r="G4230">
            <v>0</v>
          </cell>
        </row>
        <row r="4231">
          <cell r="D4231">
            <v>0</v>
          </cell>
          <cell r="E4231">
            <v>0</v>
          </cell>
          <cell r="F4231">
            <v>0</v>
          </cell>
          <cell r="G4231">
            <v>0</v>
          </cell>
        </row>
        <row r="4232">
          <cell r="D4232">
            <v>0</v>
          </cell>
          <cell r="E4232">
            <v>0</v>
          </cell>
          <cell r="F4232">
            <v>0</v>
          </cell>
          <cell r="G4232">
            <v>0</v>
          </cell>
        </row>
        <row r="4233">
          <cell r="D4233">
            <v>0</v>
          </cell>
          <cell r="E4233">
            <v>0</v>
          </cell>
          <cell r="F4233">
            <v>0</v>
          </cell>
          <cell r="G4233">
            <v>0</v>
          </cell>
        </row>
        <row r="4234">
          <cell r="D4234">
            <v>0</v>
          </cell>
          <cell r="E4234">
            <v>0</v>
          </cell>
          <cell r="F4234">
            <v>0</v>
          </cell>
          <cell r="G4234">
            <v>0</v>
          </cell>
        </row>
        <row r="4235">
          <cell r="D4235">
            <v>0</v>
          </cell>
          <cell r="E4235">
            <v>0</v>
          </cell>
          <cell r="F4235">
            <v>0</v>
          </cell>
          <cell r="G4235">
            <v>0</v>
          </cell>
        </row>
        <row r="4236">
          <cell r="D4236">
            <v>0</v>
          </cell>
          <cell r="E4236">
            <v>0</v>
          </cell>
          <cell r="F4236">
            <v>0</v>
          </cell>
          <cell r="G4236">
            <v>0</v>
          </cell>
        </row>
        <row r="4237">
          <cell r="D4237">
            <v>0</v>
          </cell>
          <cell r="E4237">
            <v>0</v>
          </cell>
          <cell r="F4237">
            <v>0</v>
          </cell>
          <cell r="G4237">
            <v>0</v>
          </cell>
        </row>
        <row r="4238">
          <cell r="D4238">
            <v>0</v>
          </cell>
          <cell r="E4238">
            <v>0</v>
          </cell>
          <cell r="F4238">
            <v>0</v>
          </cell>
          <cell r="G4238">
            <v>0</v>
          </cell>
        </row>
        <row r="4239">
          <cell r="D4239">
            <v>0</v>
          </cell>
          <cell r="E4239">
            <v>0</v>
          </cell>
          <cell r="F4239">
            <v>0</v>
          </cell>
          <cell r="G4239">
            <v>0</v>
          </cell>
        </row>
        <row r="4240">
          <cell r="D4240">
            <v>0</v>
          </cell>
          <cell r="E4240">
            <v>0</v>
          </cell>
          <cell r="F4240">
            <v>0</v>
          </cell>
          <cell r="G4240">
            <v>0</v>
          </cell>
        </row>
        <row r="4241">
          <cell r="D4241">
            <v>0</v>
          </cell>
          <cell r="E4241">
            <v>0</v>
          </cell>
          <cell r="F4241">
            <v>0</v>
          </cell>
          <cell r="G4241">
            <v>0</v>
          </cell>
        </row>
        <row r="4242">
          <cell r="D4242">
            <v>0</v>
          </cell>
          <cell r="E4242">
            <v>0</v>
          </cell>
          <cell r="F4242">
            <v>0</v>
          </cell>
          <cell r="G4242">
            <v>0</v>
          </cell>
        </row>
        <row r="4243">
          <cell r="D4243">
            <v>0</v>
          </cell>
          <cell r="E4243">
            <v>0</v>
          </cell>
          <cell r="F4243">
            <v>0</v>
          </cell>
          <cell r="G4243">
            <v>0</v>
          </cell>
        </row>
        <row r="4244">
          <cell r="D4244">
            <v>0</v>
          </cell>
          <cell r="E4244">
            <v>0</v>
          </cell>
          <cell r="F4244">
            <v>0</v>
          </cell>
          <cell r="G4244">
            <v>0</v>
          </cell>
        </row>
        <row r="4245">
          <cell r="D4245">
            <v>0</v>
          </cell>
          <cell r="E4245">
            <v>0</v>
          </cell>
          <cell r="F4245">
            <v>0</v>
          </cell>
          <cell r="G4245">
            <v>0</v>
          </cell>
        </row>
        <row r="4246">
          <cell r="D4246">
            <v>0</v>
          </cell>
          <cell r="E4246">
            <v>0</v>
          </cell>
          <cell r="F4246">
            <v>0</v>
          </cell>
          <cell r="G4246">
            <v>0</v>
          </cell>
        </row>
        <row r="4247">
          <cell r="D4247">
            <v>0</v>
          </cell>
          <cell r="E4247">
            <v>0</v>
          </cell>
          <cell r="F4247">
            <v>0</v>
          </cell>
          <cell r="G4247">
            <v>0</v>
          </cell>
        </row>
        <row r="4248">
          <cell r="D4248">
            <v>0</v>
          </cell>
          <cell r="E4248">
            <v>0</v>
          </cell>
          <cell r="F4248">
            <v>0</v>
          </cell>
          <cell r="G4248">
            <v>0</v>
          </cell>
        </row>
        <row r="4249">
          <cell r="D4249">
            <v>0</v>
          </cell>
          <cell r="E4249">
            <v>0</v>
          </cell>
          <cell r="F4249">
            <v>0</v>
          </cell>
          <cell r="G4249">
            <v>0</v>
          </cell>
        </row>
        <row r="4250">
          <cell r="D4250">
            <v>0</v>
          </cell>
          <cell r="E4250">
            <v>0</v>
          </cell>
          <cell r="F4250">
            <v>0</v>
          </cell>
          <cell r="G4250">
            <v>0</v>
          </cell>
        </row>
        <row r="4251">
          <cell r="D4251">
            <v>0</v>
          </cell>
          <cell r="E4251">
            <v>0</v>
          </cell>
          <cell r="F4251">
            <v>0</v>
          </cell>
          <cell r="G4251">
            <v>0</v>
          </cell>
        </row>
        <row r="4252">
          <cell r="D4252">
            <v>0</v>
          </cell>
          <cell r="E4252">
            <v>0</v>
          </cell>
          <cell r="F4252">
            <v>0</v>
          </cell>
          <cell r="G4252">
            <v>0</v>
          </cell>
        </row>
        <row r="4253">
          <cell r="D4253">
            <v>0</v>
          </cell>
          <cell r="E4253">
            <v>0</v>
          </cell>
          <cell r="F4253">
            <v>0</v>
          </cell>
          <cell r="G4253">
            <v>0</v>
          </cell>
        </row>
        <row r="4254">
          <cell r="D4254">
            <v>0</v>
          </cell>
          <cell r="E4254">
            <v>0</v>
          </cell>
          <cell r="F4254">
            <v>0</v>
          </cell>
          <cell r="G4254">
            <v>0</v>
          </cell>
        </row>
        <row r="4255">
          <cell r="D4255">
            <v>0</v>
          </cell>
          <cell r="E4255">
            <v>0</v>
          </cell>
          <cell r="F4255">
            <v>0</v>
          </cell>
          <cell r="G4255">
            <v>0</v>
          </cell>
        </row>
        <row r="4256">
          <cell r="D4256">
            <v>0</v>
          </cell>
          <cell r="E4256">
            <v>0</v>
          </cell>
          <cell r="F4256">
            <v>0</v>
          </cell>
          <cell r="G4256">
            <v>0</v>
          </cell>
        </row>
        <row r="4257">
          <cell r="D4257">
            <v>0</v>
          </cell>
          <cell r="E4257">
            <v>0</v>
          </cell>
          <cell r="F4257">
            <v>0</v>
          </cell>
          <cell r="G4257">
            <v>0</v>
          </cell>
        </row>
        <row r="4258">
          <cell r="D4258">
            <v>0</v>
          </cell>
          <cell r="E4258">
            <v>0</v>
          </cell>
          <cell r="F4258">
            <v>0</v>
          </cell>
          <cell r="G4258">
            <v>0</v>
          </cell>
        </row>
        <row r="4259">
          <cell r="D4259">
            <v>0</v>
          </cell>
          <cell r="E4259">
            <v>0</v>
          </cell>
          <cell r="F4259">
            <v>0</v>
          </cell>
          <cell r="G4259">
            <v>0</v>
          </cell>
        </row>
        <row r="4260">
          <cell r="D4260">
            <v>0</v>
          </cell>
          <cell r="E4260">
            <v>0</v>
          </cell>
          <cell r="F4260">
            <v>0</v>
          </cell>
          <cell r="G4260">
            <v>0</v>
          </cell>
        </row>
        <row r="4261">
          <cell r="D4261">
            <v>0</v>
          </cell>
          <cell r="E4261">
            <v>0</v>
          </cell>
          <cell r="F4261">
            <v>0</v>
          </cell>
          <cell r="G4261">
            <v>0</v>
          </cell>
        </row>
        <row r="4262">
          <cell r="D4262">
            <v>0</v>
          </cell>
          <cell r="E4262">
            <v>0</v>
          </cell>
          <cell r="F4262">
            <v>0</v>
          </cell>
          <cell r="G4262">
            <v>0</v>
          </cell>
        </row>
        <row r="4263">
          <cell r="D4263">
            <v>0</v>
          </cell>
          <cell r="E4263">
            <v>0</v>
          </cell>
          <cell r="F4263">
            <v>0</v>
          </cell>
          <cell r="G4263">
            <v>0</v>
          </cell>
        </row>
        <row r="4264">
          <cell r="D4264">
            <v>0</v>
          </cell>
          <cell r="E4264">
            <v>0</v>
          </cell>
          <cell r="F4264">
            <v>0</v>
          </cell>
          <cell r="G4264">
            <v>0</v>
          </cell>
        </row>
        <row r="4265">
          <cell r="D4265">
            <v>0</v>
          </cell>
          <cell r="E4265">
            <v>0</v>
          </cell>
          <cell r="F4265">
            <v>0</v>
          </cell>
          <cell r="G4265">
            <v>0</v>
          </cell>
        </row>
        <row r="4266">
          <cell r="D4266">
            <v>0</v>
          </cell>
          <cell r="E4266">
            <v>0</v>
          </cell>
          <cell r="F4266">
            <v>0</v>
          </cell>
          <cell r="G4266">
            <v>0</v>
          </cell>
        </row>
        <row r="4267">
          <cell r="D4267">
            <v>0</v>
          </cell>
          <cell r="E4267">
            <v>0</v>
          </cell>
          <cell r="F4267">
            <v>0</v>
          </cell>
          <cell r="G4267">
            <v>0</v>
          </cell>
        </row>
        <row r="4268">
          <cell r="D4268">
            <v>0</v>
          </cell>
          <cell r="E4268">
            <v>0</v>
          </cell>
          <cell r="F4268">
            <v>0</v>
          </cell>
          <cell r="G4268">
            <v>0</v>
          </cell>
        </row>
        <row r="4269">
          <cell r="D4269">
            <v>0</v>
          </cell>
          <cell r="E4269">
            <v>0</v>
          </cell>
          <cell r="F4269">
            <v>0</v>
          </cell>
          <cell r="G4269">
            <v>0</v>
          </cell>
        </row>
        <row r="4270">
          <cell r="D4270">
            <v>0</v>
          </cell>
          <cell r="E4270">
            <v>0</v>
          </cell>
          <cell r="F4270">
            <v>0</v>
          </cell>
          <cell r="G4270">
            <v>0</v>
          </cell>
        </row>
        <row r="4271">
          <cell r="D4271">
            <v>0</v>
          </cell>
          <cell r="E4271">
            <v>0</v>
          </cell>
          <cell r="F4271">
            <v>0</v>
          </cell>
          <cell r="G4271">
            <v>0</v>
          </cell>
        </row>
        <row r="4272">
          <cell r="D4272">
            <v>0</v>
          </cell>
          <cell r="E4272">
            <v>0</v>
          </cell>
          <cell r="F4272">
            <v>0</v>
          </cell>
          <cell r="G4272">
            <v>0</v>
          </cell>
        </row>
        <row r="4273">
          <cell r="D4273">
            <v>0</v>
          </cell>
          <cell r="E4273">
            <v>0</v>
          </cell>
          <cell r="F4273">
            <v>0</v>
          </cell>
          <cell r="G4273">
            <v>0</v>
          </cell>
        </row>
        <row r="4274">
          <cell r="D4274">
            <v>0</v>
          </cell>
          <cell r="E4274">
            <v>0</v>
          </cell>
          <cell r="F4274">
            <v>0</v>
          </cell>
          <cell r="G4274">
            <v>0</v>
          </cell>
        </row>
        <row r="4275">
          <cell r="D4275">
            <v>0</v>
          </cell>
          <cell r="E4275">
            <v>0</v>
          </cell>
          <cell r="F4275">
            <v>0</v>
          </cell>
          <cell r="G4275">
            <v>0</v>
          </cell>
        </row>
        <row r="4276">
          <cell r="D4276">
            <v>0</v>
          </cell>
          <cell r="E4276">
            <v>0</v>
          </cell>
          <cell r="F4276">
            <v>0</v>
          </cell>
          <cell r="G4276">
            <v>0</v>
          </cell>
        </row>
        <row r="4277">
          <cell r="D4277">
            <v>0</v>
          </cell>
          <cell r="E4277">
            <v>0</v>
          </cell>
          <cell r="F4277">
            <v>0</v>
          </cell>
          <cell r="G4277">
            <v>0</v>
          </cell>
        </row>
        <row r="4278">
          <cell r="D4278">
            <v>0</v>
          </cell>
          <cell r="E4278">
            <v>0</v>
          </cell>
          <cell r="F4278">
            <v>0</v>
          </cell>
          <cell r="G4278">
            <v>0</v>
          </cell>
        </row>
        <row r="4279">
          <cell r="D4279">
            <v>0</v>
          </cell>
          <cell r="E4279">
            <v>0</v>
          </cell>
          <cell r="F4279">
            <v>0</v>
          </cell>
          <cell r="G4279">
            <v>0</v>
          </cell>
        </row>
        <row r="4280">
          <cell r="D4280">
            <v>0</v>
          </cell>
          <cell r="E4280">
            <v>0</v>
          </cell>
          <cell r="F4280">
            <v>0</v>
          </cell>
          <cell r="G4280">
            <v>0</v>
          </cell>
        </row>
        <row r="4281">
          <cell r="D4281">
            <v>0</v>
          </cell>
          <cell r="E4281">
            <v>0</v>
          </cell>
          <cell r="F4281">
            <v>0</v>
          </cell>
          <cell r="G4281">
            <v>0</v>
          </cell>
        </row>
        <row r="4282">
          <cell r="D4282">
            <v>0</v>
          </cell>
          <cell r="E4282">
            <v>0</v>
          </cell>
          <cell r="F4282">
            <v>0</v>
          </cell>
          <cell r="G4282">
            <v>0</v>
          </cell>
        </row>
        <row r="4283">
          <cell r="D4283">
            <v>0</v>
          </cell>
          <cell r="E4283">
            <v>0</v>
          </cell>
          <cell r="F4283">
            <v>0</v>
          </cell>
          <cell r="G4283">
            <v>0</v>
          </cell>
        </row>
        <row r="4284">
          <cell r="D4284">
            <v>0</v>
          </cell>
          <cell r="E4284">
            <v>0</v>
          </cell>
          <cell r="F4284">
            <v>0</v>
          </cell>
          <cell r="G4284">
            <v>0</v>
          </cell>
        </row>
        <row r="4285">
          <cell r="D4285">
            <v>0</v>
          </cell>
          <cell r="E4285">
            <v>0</v>
          </cell>
          <cell r="F4285">
            <v>0</v>
          </cell>
          <cell r="G4285">
            <v>0</v>
          </cell>
        </row>
        <row r="4286">
          <cell r="D4286">
            <v>0</v>
          </cell>
          <cell r="E4286">
            <v>0</v>
          </cell>
          <cell r="F4286">
            <v>0</v>
          </cell>
          <cell r="G4286">
            <v>0</v>
          </cell>
        </row>
        <row r="4287">
          <cell r="D4287">
            <v>0</v>
          </cell>
          <cell r="E4287">
            <v>0</v>
          </cell>
          <cell r="F4287">
            <v>0</v>
          </cell>
          <cell r="G4287">
            <v>0</v>
          </cell>
        </row>
        <row r="4288">
          <cell r="D4288">
            <v>0</v>
          </cell>
          <cell r="E4288">
            <v>0</v>
          </cell>
          <cell r="F4288">
            <v>0</v>
          </cell>
          <cell r="G4288">
            <v>0</v>
          </cell>
        </row>
        <row r="4289">
          <cell r="D4289">
            <v>0</v>
          </cell>
          <cell r="E4289">
            <v>0</v>
          </cell>
          <cell r="F4289">
            <v>0</v>
          </cell>
          <cell r="G4289">
            <v>0</v>
          </cell>
        </row>
        <row r="4290">
          <cell r="D4290">
            <v>0</v>
          </cell>
          <cell r="E4290">
            <v>0</v>
          </cell>
          <cell r="F4290">
            <v>0</v>
          </cell>
          <cell r="G4290">
            <v>0</v>
          </cell>
        </row>
        <row r="4291">
          <cell r="D4291">
            <v>0</v>
          </cell>
          <cell r="E4291">
            <v>0</v>
          </cell>
          <cell r="F4291">
            <v>0</v>
          </cell>
          <cell r="G4291">
            <v>0</v>
          </cell>
        </row>
        <row r="4292">
          <cell r="D4292">
            <v>0</v>
          </cell>
          <cell r="E4292">
            <v>0</v>
          </cell>
          <cell r="F4292">
            <v>0</v>
          </cell>
          <cell r="G4292">
            <v>0</v>
          </cell>
        </row>
        <row r="4293">
          <cell r="D4293">
            <v>0</v>
          </cell>
          <cell r="E4293">
            <v>0</v>
          </cell>
          <cell r="F4293">
            <v>0</v>
          </cell>
          <cell r="G4293">
            <v>0</v>
          </cell>
        </row>
        <row r="4294">
          <cell r="D4294">
            <v>0</v>
          </cell>
          <cell r="E4294">
            <v>0</v>
          </cell>
          <cell r="F4294">
            <v>0</v>
          </cell>
          <cell r="G4294">
            <v>0</v>
          </cell>
        </row>
        <row r="4295">
          <cell r="D4295">
            <v>0</v>
          </cell>
          <cell r="E4295">
            <v>0</v>
          </cell>
          <cell r="F4295">
            <v>0</v>
          </cell>
          <cell r="G4295">
            <v>0</v>
          </cell>
        </row>
        <row r="4296">
          <cell r="D4296">
            <v>0</v>
          </cell>
          <cell r="E4296">
            <v>0</v>
          </cell>
          <cell r="F4296">
            <v>0</v>
          </cell>
          <cell r="G4296">
            <v>0</v>
          </cell>
        </row>
        <row r="4297">
          <cell r="D4297">
            <v>0</v>
          </cell>
          <cell r="E4297">
            <v>0</v>
          </cell>
          <cell r="F4297">
            <v>0</v>
          </cell>
          <cell r="G4297">
            <v>0</v>
          </cell>
        </row>
        <row r="4298">
          <cell r="D4298">
            <v>0</v>
          </cell>
          <cell r="E4298">
            <v>0</v>
          </cell>
          <cell r="F4298">
            <v>0</v>
          </cell>
          <cell r="G4298">
            <v>0</v>
          </cell>
        </row>
        <row r="4299">
          <cell r="D4299">
            <v>0</v>
          </cell>
          <cell r="E4299">
            <v>0</v>
          </cell>
          <cell r="F4299">
            <v>0</v>
          </cell>
          <cell r="G4299">
            <v>0</v>
          </cell>
        </row>
        <row r="4300">
          <cell r="D4300">
            <v>0</v>
          </cell>
          <cell r="E4300">
            <v>0</v>
          </cell>
          <cell r="F4300">
            <v>0</v>
          </cell>
          <cell r="G4300">
            <v>0</v>
          </cell>
        </row>
        <row r="4301">
          <cell r="D4301">
            <v>0</v>
          </cell>
          <cell r="E4301">
            <v>0</v>
          </cell>
          <cell r="F4301">
            <v>0</v>
          </cell>
          <cell r="G4301">
            <v>0</v>
          </cell>
        </row>
        <row r="4302">
          <cell r="D4302">
            <v>0</v>
          </cell>
          <cell r="E4302">
            <v>0</v>
          </cell>
          <cell r="F4302">
            <v>0</v>
          </cell>
          <cell r="G4302">
            <v>0</v>
          </cell>
        </row>
        <row r="4303">
          <cell r="D4303">
            <v>0</v>
          </cell>
          <cell r="E4303">
            <v>0</v>
          </cell>
          <cell r="F4303">
            <v>0</v>
          </cell>
          <cell r="G4303">
            <v>0</v>
          </cell>
        </row>
        <row r="4304">
          <cell r="D4304">
            <v>0</v>
          </cell>
          <cell r="E4304">
            <v>0</v>
          </cell>
          <cell r="F4304">
            <v>0</v>
          </cell>
          <cell r="G4304">
            <v>0</v>
          </cell>
        </row>
        <row r="4305">
          <cell r="D4305">
            <v>0</v>
          </cell>
          <cell r="E4305">
            <v>0</v>
          </cell>
          <cell r="F4305">
            <v>0</v>
          </cell>
          <cell r="G4305">
            <v>0</v>
          </cell>
        </row>
        <row r="4306">
          <cell r="D4306">
            <v>0</v>
          </cell>
          <cell r="E4306">
            <v>0</v>
          </cell>
          <cell r="F4306">
            <v>0</v>
          </cell>
          <cell r="G4306">
            <v>0</v>
          </cell>
        </row>
        <row r="4307">
          <cell r="D4307">
            <v>0</v>
          </cell>
          <cell r="E4307">
            <v>0</v>
          </cell>
          <cell r="F4307">
            <v>0</v>
          </cell>
          <cell r="G4307">
            <v>0</v>
          </cell>
        </row>
        <row r="4308">
          <cell r="D4308">
            <v>0</v>
          </cell>
          <cell r="E4308">
            <v>0</v>
          </cell>
          <cell r="F4308">
            <v>0</v>
          </cell>
          <cell r="G4308">
            <v>0</v>
          </cell>
        </row>
        <row r="4309">
          <cell r="D4309">
            <v>0</v>
          </cell>
          <cell r="E4309">
            <v>0</v>
          </cell>
          <cell r="F4309">
            <v>0</v>
          </cell>
          <cell r="G4309">
            <v>0</v>
          </cell>
        </row>
        <row r="4310">
          <cell r="D4310">
            <v>0</v>
          </cell>
          <cell r="E4310">
            <v>0</v>
          </cell>
          <cell r="F4310">
            <v>0</v>
          </cell>
          <cell r="G4310">
            <v>0</v>
          </cell>
        </row>
        <row r="4311">
          <cell r="D4311">
            <v>0</v>
          </cell>
          <cell r="E4311">
            <v>0</v>
          </cell>
          <cell r="F4311">
            <v>0</v>
          </cell>
          <cell r="G4311">
            <v>0</v>
          </cell>
        </row>
        <row r="4312">
          <cell r="D4312">
            <v>0</v>
          </cell>
          <cell r="E4312">
            <v>0</v>
          </cell>
          <cell r="F4312">
            <v>0</v>
          </cell>
          <cell r="G4312">
            <v>0</v>
          </cell>
        </row>
        <row r="4313">
          <cell r="D4313">
            <v>0</v>
          </cell>
          <cell r="E4313">
            <v>0</v>
          </cell>
          <cell r="F4313">
            <v>0</v>
          </cell>
          <cell r="G4313">
            <v>0</v>
          </cell>
        </row>
        <row r="4314">
          <cell r="D4314">
            <v>0</v>
          </cell>
          <cell r="E4314">
            <v>0</v>
          </cell>
          <cell r="F4314">
            <v>0</v>
          </cell>
          <cell r="G4314">
            <v>0</v>
          </cell>
        </row>
        <row r="4315">
          <cell r="D4315">
            <v>0</v>
          </cell>
          <cell r="E4315">
            <v>0</v>
          </cell>
          <cell r="F4315">
            <v>0</v>
          </cell>
          <cell r="G4315">
            <v>0</v>
          </cell>
        </row>
        <row r="4316">
          <cell r="D4316">
            <v>0</v>
          </cell>
          <cell r="E4316">
            <v>0</v>
          </cell>
          <cell r="F4316">
            <v>0</v>
          </cell>
          <cell r="G4316">
            <v>0</v>
          </cell>
        </row>
        <row r="4317">
          <cell r="D4317">
            <v>0</v>
          </cell>
          <cell r="E4317">
            <v>0</v>
          </cell>
          <cell r="F4317">
            <v>0</v>
          </cell>
          <cell r="G4317">
            <v>0</v>
          </cell>
        </row>
        <row r="4318">
          <cell r="D4318">
            <v>0</v>
          </cell>
          <cell r="E4318">
            <v>0</v>
          </cell>
          <cell r="F4318">
            <v>0</v>
          </cell>
          <cell r="G4318">
            <v>0</v>
          </cell>
        </row>
        <row r="4319">
          <cell r="D4319">
            <v>0</v>
          </cell>
          <cell r="E4319">
            <v>0</v>
          </cell>
          <cell r="F4319">
            <v>0</v>
          </cell>
          <cell r="G4319">
            <v>0</v>
          </cell>
        </row>
        <row r="4320">
          <cell r="D4320">
            <v>0</v>
          </cell>
          <cell r="E4320">
            <v>0</v>
          </cell>
          <cell r="F4320">
            <v>0</v>
          </cell>
          <cell r="G4320">
            <v>0</v>
          </cell>
        </row>
        <row r="4321">
          <cell r="D4321">
            <v>0</v>
          </cell>
          <cell r="E4321">
            <v>0</v>
          </cell>
          <cell r="F4321">
            <v>0</v>
          </cell>
          <cell r="G4321">
            <v>0</v>
          </cell>
        </row>
        <row r="4322">
          <cell r="D4322">
            <v>0</v>
          </cell>
          <cell r="E4322">
            <v>0</v>
          </cell>
          <cell r="F4322">
            <v>0</v>
          </cell>
          <cell r="G4322">
            <v>0</v>
          </cell>
        </row>
        <row r="4323">
          <cell r="D4323">
            <v>0</v>
          </cell>
          <cell r="E4323">
            <v>0</v>
          </cell>
          <cell r="F4323">
            <v>0</v>
          </cell>
          <cell r="G4323">
            <v>0</v>
          </cell>
        </row>
        <row r="4324">
          <cell r="D4324">
            <v>0</v>
          </cell>
          <cell r="E4324">
            <v>0</v>
          </cell>
          <cell r="F4324">
            <v>0</v>
          </cell>
          <cell r="G4324">
            <v>0</v>
          </cell>
        </row>
        <row r="4325">
          <cell r="D4325">
            <v>0</v>
          </cell>
          <cell r="E4325">
            <v>0</v>
          </cell>
          <cell r="F4325">
            <v>0</v>
          </cell>
          <cell r="G4325">
            <v>0</v>
          </cell>
        </row>
        <row r="4326">
          <cell r="D4326">
            <v>0</v>
          </cell>
          <cell r="E4326">
            <v>0</v>
          </cell>
          <cell r="F4326">
            <v>0</v>
          </cell>
          <cell r="G4326">
            <v>0</v>
          </cell>
        </row>
        <row r="4327">
          <cell r="D4327">
            <v>0</v>
          </cell>
          <cell r="E4327">
            <v>0</v>
          </cell>
          <cell r="F4327">
            <v>0</v>
          </cell>
          <cell r="G4327">
            <v>0</v>
          </cell>
        </row>
        <row r="4328">
          <cell r="D4328">
            <v>0</v>
          </cell>
          <cell r="E4328">
            <v>0</v>
          </cell>
          <cell r="F4328">
            <v>0</v>
          </cell>
          <cell r="G4328">
            <v>0</v>
          </cell>
        </row>
        <row r="4329">
          <cell r="D4329">
            <v>0</v>
          </cell>
          <cell r="E4329">
            <v>0</v>
          </cell>
          <cell r="F4329">
            <v>0</v>
          </cell>
          <cell r="G4329">
            <v>0</v>
          </cell>
        </row>
        <row r="4330">
          <cell r="D4330">
            <v>0</v>
          </cell>
          <cell r="E4330">
            <v>0</v>
          </cell>
          <cell r="F4330">
            <v>0</v>
          </cell>
          <cell r="G4330">
            <v>0</v>
          </cell>
        </row>
        <row r="4331">
          <cell r="D4331">
            <v>0</v>
          </cell>
          <cell r="E4331">
            <v>0</v>
          </cell>
          <cell r="F4331">
            <v>0</v>
          </cell>
          <cell r="G4331">
            <v>0</v>
          </cell>
        </row>
        <row r="4332">
          <cell r="D4332">
            <v>0</v>
          </cell>
          <cell r="E4332">
            <v>0</v>
          </cell>
          <cell r="F4332">
            <v>0</v>
          </cell>
          <cell r="G4332">
            <v>0</v>
          </cell>
        </row>
        <row r="4333">
          <cell r="D4333">
            <v>0</v>
          </cell>
          <cell r="E4333">
            <v>0</v>
          </cell>
          <cell r="F4333">
            <v>0</v>
          </cell>
          <cell r="G4333">
            <v>0</v>
          </cell>
        </row>
        <row r="4334">
          <cell r="D4334">
            <v>0</v>
          </cell>
          <cell r="E4334">
            <v>0</v>
          </cell>
          <cell r="F4334">
            <v>0</v>
          </cell>
          <cell r="G4334">
            <v>0</v>
          </cell>
        </row>
        <row r="4335">
          <cell r="D4335">
            <v>0</v>
          </cell>
          <cell r="E4335">
            <v>0</v>
          </cell>
          <cell r="F4335">
            <v>0</v>
          </cell>
          <cell r="G4335">
            <v>0</v>
          </cell>
        </row>
        <row r="4336">
          <cell r="D4336">
            <v>0</v>
          </cell>
          <cell r="E4336">
            <v>0</v>
          </cell>
          <cell r="F4336">
            <v>0</v>
          </cell>
          <cell r="G4336">
            <v>0</v>
          </cell>
        </row>
        <row r="4337">
          <cell r="D4337">
            <v>0</v>
          </cell>
          <cell r="E4337">
            <v>0</v>
          </cell>
          <cell r="F4337">
            <v>0</v>
          </cell>
          <cell r="G4337">
            <v>0</v>
          </cell>
        </row>
        <row r="4338">
          <cell r="D4338">
            <v>0</v>
          </cell>
          <cell r="E4338">
            <v>0</v>
          </cell>
          <cell r="F4338">
            <v>0</v>
          </cell>
          <cell r="G4338">
            <v>0</v>
          </cell>
        </row>
        <row r="4339">
          <cell r="D4339">
            <v>0</v>
          </cell>
          <cell r="E4339">
            <v>0</v>
          </cell>
          <cell r="F4339">
            <v>0</v>
          </cell>
          <cell r="G4339">
            <v>0</v>
          </cell>
        </row>
        <row r="4340">
          <cell r="D4340">
            <v>0</v>
          </cell>
          <cell r="E4340">
            <v>0</v>
          </cell>
          <cell r="F4340">
            <v>0</v>
          </cell>
          <cell r="G4340">
            <v>0</v>
          </cell>
        </row>
        <row r="4341">
          <cell r="D4341">
            <v>0</v>
          </cell>
          <cell r="E4341">
            <v>0</v>
          </cell>
          <cell r="F4341">
            <v>0</v>
          </cell>
          <cell r="G4341">
            <v>0</v>
          </cell>
        </row>
        <row r="4342">
          <cell r="D4342">
            <v>0</v>
          </cell>
          <cell r="E4342">
            <v>0</v>
          </cell>
          <cell r="F4342">
            <v>0</v>
          </cell>
          <cell r="G4342">
            <v>0</v>
          </cell>
        </row>
        <row r="4343">
          <cell r="D4343">
            <v>0</v>
          </cell>
          <cell r="E4343">
            <v>0</v>
          </cell>
          <cell r="F4343">
            <v>0</v>
          </cell>
          <cell r="G4343">
            <v>0</v>
          </cell>
        </row>
        <row r="4344">
          <cell r="D4344">
            <v>0</v>
          </cell>
          <cell r="E4344">
            <v>0</v>
          </cell>
          <cell r="F4344">
            <v>0</v>
          </cell>
          <cell r="G4344">
            <v>0</v>
          </cell>
        </row>
        <row r="4345">
          <cell r="D4345">
            <v>0</v>
          </cell>
          <cell r="E4345">
            <v>0</v>
          </cell>
          <cell r="F4345">
            <v>0</v>
          </cell>
          <cell r="G4345">
            <v>0</v>
          </cell>
        </row>
        <row r="4346">
          <cell r="D4346">
            <v>0</v>
          </cell>
          <cell r="E4346">
            <v>0</v>
          </cell>
          <cell r="F4346">
            <v>0</v>
          </cell>
          <cell r="G4346">
            <v>0</v>
          </cell>
        </row>
        <row r="4347">
          <cell r="D4347">
            <v>0</v>
          </cell>
          <cell r="E4347">
            <v>0</v>
          </cell>
          <cell r="F4347">
            <v>0</v>
          </cell>
          <cell r="G4347">
            <v>0</v>
          </cell>
        </row>
        <row r="4348">
          <cell r="D4348">
            <v>0</v>
          </cell>
          <cell r="E4348">
            <v>0</v>
          </cell>
          <cell r="F4348">
            <v>0</v>
          </cell>
          <cell r="G4348">
            <v>0</v>
          </cell>
        </row>
        <row r="4349">
          <cell r="D4349">
            <v>0</v>
          </cell>
          <cell r="E4349">
            <v>0</v>
          </cell>
          <cell r="F4349">
            <v>0</v>
          </cell>
          <cell r="G4349">
            <v>0</v>
          </cell>
        </row>
        <row r="4350">
          <cell r="D4350">
            <v>0</v>
          </cell>
          <cell r="E4350">
            <v>0</v>
          </cell>
          <cell r="F4350">
            <v>0</v>
          </cell>
          <cell r="G4350">
            <v>0</v>
          </cell>
        </row>
        <row r="4351">
          <cell r="D4351">
            <v>0</v>
          </cell>
          <cell r="E4351">
            <v>0</v>
          </cell>
          <cell r="F4351">
            <v>0</v>
          </cell>
          <cell r="G4351">
            <v>0</v>
          </cell>
        </row>
        <row r="4352">
          <cell r="D4352">
            <v>0</v>
          </cell>
          <cell r="E4352">
            <v>0</v>
          </cell>
          <cell r="F4352">
            <v>0</v>
          </cell>
          <cell r="G4352">
            <v>0</v>
          </cell>
        </row>
        <row r="4353">
          <cell r="D4353">
            <v>0</v>
          </cell>
          <cell r="E4353">
            <v>0</v>
          </cell>
          <cell r="F4353">
            <v>0</v>
          </cell>
          <cell r="G4353">
            <v>0</v>
          </cell>
        </row>
        <row r="4354">
          <cell r="D4354">
            <v>0</v>
          </cell>
          <cell r="E4354">
            <v>0</v>
          </cell>
          <cell r="F4354">
            <v>0</v>
          </cell>
          <cell r="G4354">
            <v>0</v>
          </cell>
        </row>
        <row r="4355">
          <cell r="D4355">
            <v>0</v>
          </cell>
          <cell r="E4355">
            <v>0</v>
          </cell>
          <cell r="F4355">
            <v>0</v>
          </cell>
          <cell r="G4355">
            <v>0</v>
          </cell>
        </row>
        <row r="4356">
          <cell r="D4356">
            <v>0</v>
          </cell>
          <cell r="E4356">
            <v>0</v>
          </cell>
          <cell r="F4356">
            <v>0</v>
          </cell>
          <cell r="G4356">
            <v>0</v>
          </cell>
        </row>
        <row r="4357">
          <cell r="D4357">
            <v>0</v>
          </cell>
          <cell r="E4357">
            <v>0</v>
          </cell>
          <cell r="F4357">
            <v>0</v>
          </cell>
          <cell r="G4357">
            <v>0</v>
          </cell>
        </row>
        <row r="4358">
          <cell r="D4358">
            <v>0</v>
          </cell>
          <cell r="E4358">
            <v>0</v>
          </cell>
          <cell r="F4358">
            <v>0</v>
          </cell>
          <cell r="G4358">
            <v>0</v>
          </cell>
        </row>
        <row r="4359">
          <cell r="D4359">
            <v>0</v>
          </cell>
          <cell r="E4359">
            <v>0</v>
          </cell>
          <cell r="F4359">
            <v>0</v>
          </cell>
          <cell r="G4359">
            <v>0</v>
          </cell>
        </row>
        <row r="4360">
          <cell r="D4360">
            <v>0</v>
          </cell>
          <cell r="E4360">
            <v>0</v>
          </cell>
          <cell r="F4360">
            <v>0</v>
          </cell>
          <cell r="G4360">
            <v>0</v>
          </cell>
        </row>
        <row r="4361">
          <cell r="D4361">
            <v>0</v>
          </cell>
          <cell r="E4361">
            <v>0</v>
          </cell>
          <cell r="F4361">
            <v>0</v>
          </cell>
          <cell r="G4361">
            <v>0</v>
          </cell>
        </row>
        <row r="4362">
          <cell r="D4362">
            <v>0</v>
          </cell>
          <cell r="E4362">
            <v>0</v>
          </cell>
          <cell r="F4362">
            <v>0</v>
          </cell>
          <cell r="G4362">
            <v>0</v>
          </cell>
        </row>
        <row r="4363">
          <cell r="D4363">
            <v>0</v>
          </cell>
          <cell r="E4363">
            <v>0</v>
          </cell>
          <cell r="F4363">
            <v>0</v>
          </cell>
          <cell r="G4363">
            <v>0</v>
          </cell>
        </row>
        <row r="4364">
          <cell r="D4364">
            <v>0</v>
          </cell>
          <cell r="E4364">
            <v>0</v>
          </cell>
          <cell r="F4364">
            <v>0</v>
          </cell>
          <cell r="G4364">
            <v>0</v>
          </cell>
        </row>
        <row r="4365">
          <cell r="D4365">
            <v>0</v>
          </cell>
          <cell r="E4365">
            <v>0</v>
          </cell>
          <cell r="F4365">
            <v>0</v>
          </cell>
          <cell r="G4365">
            <v>0</v>
          </cell>
        </row>
        <row r="4366">
          <cell r="D4366">
            <v>0</v>
          </cell>
          <cell r="E4366">
            <v>0</v>
          </cell>
          <cell r="F4366">
            <v>0</v>
          </cell>
          <cell r="G4366">
            <v>0</v>
          </cell>
        </row>
        <row r="4367">
          <cell r="D4367">
            <v>0</v>
          </cell>
          <cell r="E4367">
            <v>0</v>
          </cell>
          <cell r="F4367">
            <v>0</v>
          </cell>
          <cell r="G4367">
            <v>0</v>
          </cell>
        </row>
        <row r="4368">
          <cell r="D4368">
            <v>0</v>
          </cell>
          <cell r="E4368">
            <v>0</v>
          </cell>
          <cell r="F4368">
            <v>0</v>
          </cell>
          <cell r="G4368">
            <v>0</v>
          </cell>
        </row>
        <row r="4369">
          <cell r="D4369">
            <v>0</v>
          </cell>
          <cell r="E4369">
            <v>0</v>
          </cell>
          <cell r="F4369">
            <v>0</v>
          </cell>
          <cell r="G4369">
            <v>0</v>
          </cell>
        </row>
        <row r="4370">
          <cell r="D4370">
            <v>0</v>
          </cell>
          <cell r="E4370">
            <v>0</v>
          </cell>
          <cell r="F4370">
            <v>0</v>
          </cell>
          <cell r="G4370">
            <v>0</v>
          </cell>
        </row>
        <row r="4371">
          <cell r="D4371">
            <v>0</v>
          </cell>
          <cell r="E4371">
            <v>0</v>
          </cell>
          <cell r="F4371">
            <v>0</v>
          </cell>
          <cell r="G4371">
            <v>0</v>
          </cell>
        </row>
        <row r="4372">
          <cell r="D4372">
            <v>0</v>
          </cell>
          <cell r="E4372">
            <v>0</v>
          </cell>
          <cell r="F4372">
            <v>0</v>
          </cell>
          <cell r="G4372">
            <v>0</v>
          </cell>
        </row>
        <row r="4373">
          <cell r="D4373">
            <v>0</v>
          </cell>
          <cell r="E4373">
            <v>0</v>
          </cell>
          <cell r="F4373">
            <v>0</v>
          </cell>
          <cell r="G4373">
            <v>0</v>
          </cell>
        </row>
        <row r="4374">
          <cell r="D4374">
            <v>0</v>
          </cell>
          <cell r="E4374">
            <v>0</v>
          </cell>
          <cell r="F4374">
            <v>0</v>
          </cell>
          <cell r="G4374">
            <v>0</v>
          </cell>
        </row>
        <row r="4375">
          <cell r="D4375">
            <v>0</v>
          </cell>
          <cell r="E4375">
            <v>0</v>
          </cell>
          <cell r="F4375">
            <v>0</v>
          </cell>
          <cell r="G4375">
            <v>0</v>
          </cell>
        </row>
        <row r="4376">
          <cell r="D4376">
            <v>0</v>
          </cell>
          <cell r="E4376">
            <v>0</v>
          </cell>
          <cell r="F4376">
            <v>0</v>
          </cell>
          <cell r="G4376">
            <v>0</v>
          </cell>
        </row>
        <row r="4377">
          <cell r="D4377">
            <v>0</v>
          </cell>
          <cell r="E4377">
            <v>0</v>
          </cell>
          <cell r="F4377">
            <v>0</v>
          </cell>
          <cell r="G4377">
            <v>0</v>
          </cell>
        </row>
        <row r="4378">
          <cell r="D4378">
            <v>0</v>
          </cell>
          <cell r="E4378">
            <v>0</v>
          </cell>
          <cell r="F4378">
            <v>0</v>
          </cell>
          <cell r="G4378">
            <v>0</v>
          </cell>
        </row>
        <row r="4379">
          <cell r="D4379">
            <v>0</v>
          </cell>
          <cell r="E4379">
            <v>0</v>
          </cell>
          <cell r="F4379">
            <v>0</v>
          </cell>
          <cell r="G4379">
            <v>0</v>
          </cell>
        </row>
        <row r="4380">
          <cell r="D4380">
            <v>0</v>
          </cell>
          <cell r="E4380">
            <v>0</v>
          </cell>
          <cell r="F4380">
            <v>0</v>
          </cell>
          <cell r="G4380">
            <v>0</v>
          </cell>
        </row>
        <row r="4381">
          <cell r="D4381">
            <v>0</v>
          </cell>
          <cell r="E4381">
            <v>0</v>
          </cell>
          <cell r="F4381">
            <v>0</v>
          </cell>
          <cell r="G4381">
            <v>0</v>
          </cell>
        </row>
        <row r="4382">
          <cell r="D4382">
            <v>0</v>
          </cell>
          <cell r="E4382">
            <v>0</v>
          </cell>
          <cell r="F4382">
            <v>0</v>
          </cell>
          <cell r="G4382">
            <v>0</v>
          </cell>
        </row>
        <row r="4383">
          <cell r="D4383">
            <v>0</v>
          </cell>
          <cell r="E4383">
            <v>0</v>
          </cell>
          <cell r="F4383">
            <v>0</v>
          </cell>
          <cell r="G4383">
            <v>0</v>
          </cell>
        </row>
        <row r="4384">
          <cell r="D4384">
            <v>0</v>
          </cell>
          <cell r="E4384">
            <v>0</v>
          </cell>
          <cell r="F4384">
            <v>0</v>
          </cell>
          <cell r="G4384">
            <v>0</v>
          </cell>
        </row>
        <row r="4385">
          <cell r="D4385">
            <v>0</v>
          </cell>
          <cell r="E4385">
            <v>0</v>
          </cell>
          <cell r="F4385">
            <v>0</v>
          </cell>
          <cell r="G4385">
            <v>0</v>
          </cell>
        </row>
        <row r="4386">
          <cell r="D4386">
            <v>0</v>
          </cell>
          <cell r="E4386">
            <v>0</v>
          </cell>
          <cell r="F4386">
            <v>0</v>
          </cell>
          <cell r="G4386">
            <v>0</v>
          </cell>
        </row>
        <row r="4387">
          <cell r="D4387">
            <v>0</v>
          </cell>
          <cell r="E4387">
            <v>0</v>
          </cell>
          <cell r="F4387">
            <v>0</v>
          </cell>
          <cell r="G4387">
            <v>0</v>
          </cell>
        </row>
        <row r="4388">
          <cell r="D4388">
            <v>0</v>
          </cell>
          <cell r="E4388">
            <v>0</v>
          </cell>
          <cell r="F4388">
            <v>0</v>
          </cell>
          <cell r="G4388">
            <v>0</v>
          </cell>
        </row>
        <row r="4389">
          <cell r="D4389">
            <v>0</v>
          </cell>
          <cell r="E4389">
            <v>0</v>
          </cell>
          <cell r="F4389">
            <v>0</v>
          </cell>
          <cell r="G4389">
            <v>0</v>
          </cell>
        </row>
        <row r="4390">
          <cell r="D4390">
            <v>0</v>
          </cell>
          <cell r="E4390">
            <v>0</v>
          </cell>
          <cell r="F4390">
            <v>0</v>
          </cell>
          <cell r="G4390">
            <v>0</v>
          </cell>
        </row>
        <row r="4391">
          <cell r="D4391">
            <v>0</v>
          </cell>
          <cell r="E4391">
            <v>0</v>
          </cell>
          <cell r="F4391">
            <v>0</v>
          </cell>
          <cell r="G4391">
            <v>0</v>
          </cell>
        </row>
        <row r="4392">
          <cell r="D4392">
            <v>0</v>
          </cell>
          <cell r="E4392">
            <v>0</v>
          </cell>
          <cell r="F4392">
            <v>0</v>
          </cell>
          <cell r="G4392">
            <v>0</v>
          </cell>
        </row>
        <row r="4393">
          <cell r="D4393">
            <v>0</v>
          </cell>
          <cell r="E4393">
            <v>0</v>
          </cell>
          <cell r="F4393">
            <v>0</v>
          </cell>
          <cell r="G4393">
            <v>0</v>
          </cell>
        </row>
        <row r="4394">
          <cell r="D4394">
            <v>0</v>
          </cell>
          <cell r="E4394">
            <v>0</v>
          </cell>
          <cell r="F4394">
            <v>0</v>
          </cell>
          <cell r="G4394">
            <v>0</v>
          </cell>
        </row>
        <row r="4395">
          <cell r="D4395">
            <v>0</v>
          </cell>
          <cell r="E4395">
            <v>0</v>
          </cell>
          <cell r="F4395">
            <v>0</v>
          </cell>
          <cell r="G4395">
            <v>0</v>
          </cell>
          <cell r="H4395">
            <v>0</v>
          </cell>
          <cell r="I4395">
            <v>0</v>
          </cell>
        </row>
        <row r="4396">
          <cell r="D4396">
            <v>0</v>
          </cell>
          <cell r="E4396">
            <v>0</v>
          </cell>
          <cell r="F4396">
            <v>0</v>
          </cell>
          <cell r="G4396">
            <v>0</v>
          </cell>
        </row>
        <row r="4397">
          <cell r="D4397">
            <v>0</v>
          </cell>
          <cell r="E4397">
            <v>0</v>
          </cell>
          <cell r="F4397">
            <v>0</v>
          </cell>
          <cell r="G4397">
            <v>0</v>
          </cell>
        </row>
        <row r="4398">
          <cell r="D4398">
            <v>0</v>
          </cell>
          <cell r="E4398">
            <v>0</v>
          </cell>
          <cell r="F4398">
            <v>0</v>
          </cell>
          <cell r="G4398">
            <v>0</v>
          </cell>
        </row>
        <row r="4399">
          <cell r="D4399">
            <v>0</v>
          </cell>
          <cell r="E4399">
            <v>0</v>
          </cell>
          <cell r="F4399">
            <v>0</v>
          </cell>
          <cell r="G4399">
            <v>0</v>
          </cell>
        </row>
        <row r="4400">
          <cell r="D4400">
            <v>0</v>
          </cell>
          <cell r="E4400">
            <v>0</v>
          </cell>
          <cell r="F4400">
            <v>0</v>
          </cell>
          <cell r="G4400">
            <v>0</v>
          </cell>
        </row>
        <row r="4401">
          <cell r="D4401">
            <v>0</v>
          </cell>
          <cell r="E4401">
            <v>0</v>
          </cell>
          <cell r="F4401">
            <v>0</v>
          </cell>
          <cell r="G4401">
            <v>0</v>
          </cell>
        </row>
        <row r="4402">
          <cell r="D4402">
            <v>0</v>
          </cell>
          <cell r="E4402">
            <v>0</v>
          </cell>
          <cell r="F4402">
            <v>0</v>
          </cell>
          <cell r="G4402">
            <v>0</v>
          </cell>
        </row>
        <row r="4403">
          <cell r="D4403">
            <v>0</v>
          </cell>
          <cell r="E4403">
            <v>0</v>
          </cell>
          <cell r="F4403">
            <v>0</v>
          </cell>
          <cell r="G4403">
            <v>0</v>
          </cell>
        </row>
        <row r="4404">
          <cell r="D4404">
            <v>0</v>
          </cell>
          <cell r="E4404">
            <v>0</v>
          </cell>
          <cell r="F4404">
            <v>0</v>
          </cell>
          <cell r="G4404">
            <v>0</v>
          </cell>
        </row>
        <row r="4405">
          <cell r="D4405">
            <v>0</v>
          </cell>
          <cell r="E4405">
            <v>0</v>
          </cell>
          <cell r="F4405">
            <v>0</v>
          </cell>
          <cell r="G4405">
            <v>0</v>
          </cell>
        </row>
        <row r="4406">
          <cell r="D4406">
            <v>0</v>
          </cell>
          <cell r="E4406">
            <v>0</v>
          </cell>
          <cell r="F4406">
            <v>0</v>
          </cell>
          <cell r="G4406">
            <v>0</v>
          </cell>
        </row>
        <row r="4407">
          <cell r="D4407">
            <v>0</v>
          </cell>
          <cell r="E4407">
            <v>0</v>
          </cell>
          <cell r="F4407">
            <v>0</v>
          </cell>
          <cell r="G4407">
            <v>0</v>
          </cell>
        </row>
        <row r="4408">
          <cell r="D4408">
            <v>0</v>
          </cell>
          <cell r="E4408">
            <v>0</v>
          </cell>
          <cell r="F4408">
            <v>0</v>
          </cell>
          <cell r="G4408">
            <v>0</v>
          </cell>
        </row>
        <row r="4409">
          <cell r="D4409">
            <v>0</v>
          </cell>
          <cell r="E4409">
            <v>0</v>
          </cell>
          <cell r="F4409">
            <v>0</v>
          </cell>
          <cell r="G4409">
            <v>0</v>
          </cell>
        </row>
        <row r="4410">
          <cell r="D4410">
            <v>0</v>
          </cell>
          <cell r="E4410">
            <v>0</v>
          </cell>
          <cell r="F4410">
            <v>0</v>
          </cell>
          <cell r="G4410">
            <v>0</v>
          </cell>
        </row>
        <row r="4411">
          <cell r="D4411">
            <v>0</v>
          </cell>
          <cell r="E4411">
            <v>0</v>
          </cell>
          <cell r="F4411">
            <v>0</v>
          </cell>
          <cell r="G4411">
            <v>0</v>
          </cell>
        </row>
        <row r="4412">
          <cell r="D4412">
            <v>0</v>
          </cell>
          <cell r="E4412">
            <v>0</v>
          </cell>
          <cell r="F4412">
            <v>0</v>
          </cell>
          <cell r="G4412">
            <v>0</v>
          </cell>
        </row>
        <row r="4413">
          <cell r="D4413">
            <v>0</v>
          </cell>
          <cell r="E4413">
            <v>0</v>
          </cell>
          <cell r="F4413">
            <v>0</v>
          </cell>
          <cell r="G4413">
            <v>0</v>
          </cell>
        </row>
        <row r="4414">
          <cell r="D4414">
            <v>0</v>
          </cell>
          <cell r="E4414">
            <v>0</v>
          </cell>
          <cell r="F4414">
            <v>0</v>
          </cell>
          <cell r="G4414">
            <v>0</v>
          </cell>
        </row>
        <row r="4415">
          <cell r="D4415">
            <v>0</v>
          </cell>
          <cell r="E4415">
            <v>0</v>
          </cell>
          <cell r="F4415">
            <v>0</v>
          </cell>
          <cell r="G4415">
            <v>0</v>
          </cell>
        </row>
        <row r="4416">
          <cell r="D4416">
            <v>0</v>
          </cell>
          <cell r="E4416">
            <v>0</v>
          </cell>
          <cell r="F4416">
            <v>0</v>
          </cell>
          <cell r="G4416">
            <v>0</v>
          </cell>
        </row>
        <row r="4417">
          <cell r="D4417">
            <v>0</v>
          </cell>
          <cell r="E4417">
            <v>0</v>
          </cell>
          <cell r="F4417">
            <v>0</v>
          </cell>
          <cell r="G4417">
            <v>0</v>
          </cell>
        </row>
        <row r="4418">
          <cell r="D4418">
            <v>0</v>
          </cell>
          <cell r="E4418">
            <v>0</v>
          </cell>
          <cell r="F4418">
            <v>0</v>
          </cell>
          <cell r="G4418">
            <v>0</v>
          </cell>
        </row>
        <row r="4419">
          <cell r="D4419">
            <v>0</v>
          </cell>
          <cell r="E4419">
            <v>0</v>
          </cell>
          <cell r="F4419">
            <v>0</v>
          </cell>
          <cell r="G4419">
            <v>0</v>
          </cell>
        </row>
        <row r="4420">
          <cell r="D4420">
            <v>0</v>
          </cell>
          <cell r="E4420">
            <v>0</v>
          </cell>
          <cell r="F4420">
            <v>0</v>
          </cell>
          <cell r="G4420">
            <v>0</v>
          </cell>
        </row>
        <row r="4421">
          <cell r="D4421">
            <v>0</v>
          </cell>
          <cell r="E4421">
            <v>0</v>
          </cell>
          <cell r="F4421">
            <v>0</v>
          </cell>
          <cell r="G4421">
            <v>0</v>
          </cell>
        </row>
        <row r="4422">
          <cell r="D4422">
            <v>0</v>
          </cell>
          <cell r="E4422">
            <v>0</v>
          </cell>
          <cell r="F4422">
            <v>0</v>
          </cell>
          <cell r="G4422">
            <v>0</v>
          </cell>
        </row>
        <row r="4423">
          <cell r="D4423">
            <v>0</v>
          </cell>
          <cell r="E4423">
            <v>0</v>
          </cell>
          <cell r="F4423">
            <v>0</v>
          </cell>
          <cell r="G4423">
            <v>0</v>
          </cell>
        </row>
        <row r="4424">
          <cell r="D4424">
            <v>0</v>
          </cell>
          <cell r="E4424">
            <v>0</v>
          </cell>
          <cell r="F4424">
            <v>0</v>
          </cell>
          <cell r="G4424">
            <v>0</v>
          </cell>
        </row>
        <row r="4425">
          <cell r="D4425">
            <v>0</v>
          </cell>
          <cell r="E4425">
            <v>0</v>
          </cell>
          <cell r="F4425">
            <v>0</v>
          </cell>
          <cell r="G4425">
            <v>0</v>
          </cell>
        </row>
        <row r="4426">
          <cell r="D4426">
            <v>0</v>
          </cell>
          <cell r="E4426">
            <v>0</v>
          </cell>
          <cell r="F4426">
            <v>0</v>
          </cell>
          <cell r="G4426">
            <v>0</v>
          </cell>
        </row>
        <row r="4427">
          <cell r="D4427">
            <v>0</v>
          </cell>
          <cell r="E4427">
            <v>0</v>
          </cell>
          <cell r="F4427">
            <v>0</v>
          </cell>
          <cell r="G4427">
            <v>0</v>
          </cell>
        </row>
        <row r="4428">
          <cell r="D4428">
            <v>0</v>
          </cell>
          <cell r="E4428">
            <v>0</v>
          </cell>
          <cell r="F4428">
            <v>0</v>
          </cell>
          <cell r="G4428">
            <v>0</v>
          </cell>
        </row>
        <row r="4429">
          <cell r="D4429">
            <v>0</v>
          </cell>
          <cell r="E4429">
            <v>0</v>
          </cell>
          <cell r="F4429">
            <v>0</v>
          </cell>
          <cell r="G4429">
            <v>0</v>
          </cell>
        </row>
        <row r="4430">
          <cell r="D4430">
            <v>0</v>
          </cell>
          <cell r="E4430">
            <v>0</v>
          </cell>
          <cell r="F4430">
            <v>0</v>
          </cell>
          <cell r="G4430">
            <v>0</v>
          </cell>
        </row>
        <row r="4431">
          <cell r="D4431">
            <v>0</v>
          </cell>
          <cell r="E4431">
            <v>0</v>
          </cell>
          <cell r="F4431">
            <v>0</v>
          </cell>
          <cell r="G4431">
            <v>0</v>
          </cell>
        </row>
        <row r="4432">
          <cell r="D4432">
            <v>0</v>
          </cell>
          <cell r="E4432">
            <v>0</v>
          </cell>
          <cell r="F4432">
            <v>0</v>
          </cell>
          <cell r="G4432">
            <v>0</v>
          </cell>
        </row>
        <row r="4433">
          <cell r="D4433">
            <v>0</v>
          </cell>
          <cell r="E4433">
            <v>0</v>
          </cell>
          <cell r="F4433">
            <v>0</v>
          </cell>
          <cell r="G4433">
            <v>0</v>
          </cell>
        </row>
        <row r="4434">
          <cell r="D4434">
            <v>0</v>
          </cell>
          <cell r="E4434">
            <v>0</v>
          </cell>
          <cell r="F4434">
            <v>0</v>
          </cell>
          <cell r="G4434">
            <v>0</v>
          </cell>
        </row>
        <row r="4435">
          <cell r="D4435">
            <v>0</v>
          </cell>
          <cell r="E4435">
            <v>0</v>
          </cell>
          <cell r="F4435">
            <v>0</v>
          </cell>
          <cell r="G4435">
            <v>0</v>
          </cell>
        </row>
        <row r="4436">
          <cell r="D4436">
            <v>0</v>
          </cell>
          <cell r="E4436">
            <v>0</v>
          </cell>
          <cell r="F4436">
            <v>0</v>
          </cell>
          <cell r="G4436">
            <v>0</v>
          </cell>
        </row>
        <row r="4437">
          <cell r="D4437">
            <v>0</v>
          </cell>
          <cell r="E4437">
            <v>0</v>
          </cell>
          <cell r="F4437">
            <v>0</v>
          </cell>
          <cell r="G4437">
            <v>0</v>
          </cell>
        </row>
        <row r="4438">
          <cell r="D4438">
            <v>0</v>
          </cell>
          <cell r="E4438">
            <v>0</v>
          </cell>
          <cell r="F4438">
            <v>0</v>
          </cell>
          <cell r="G4438">
            <v>0</v>
          </cell>
        </row>
        <row r="4439">
          <cell r="D4439">
            <v>0</v>
          </cell>
          <cell r="E4439">
            <v>0</v>
          </cell>
          <cell r="F4439">
            <v>0</v>
          </cell>
          <cell r="G4439">
            <v>0</v>
          </cell>
        </row>
        <row r="4440">
          <cell r="D4440">
            <v>0</v>
          </cell>
          <cell r="E4440">
            <v>0</v>
          </cell>
          <cell r="F4440">
            <v>0</v>
          </cell>
          <cell r="G4440">
            <v>0</v>
          </cell>
        </row>
        <row r="4441">
          <cell r="D4441">
            <v>0</v>
          </cell>
          <cell r="E4441">
            <v>0</v>
          </cell>
          <cell r="F4441">
            <v>0</v>
          </cell>
          <cell r="G4441">
            <v>0</v>
          </cell>
        </row>
        <row r="4442">
          <cell r="D4442">
            <v>0</v>
          </cell>
          <cell r="E4442">
            <v>0</v>
          </cell>
          <cell r="F4442">
            <v>0</v>
          </cell>
          <cell r="G4442">
            <v>0</v>
          </cell>
        </row>
        <row r="4443">
          <cell r="D4443">
            <v>0</v>
          </cell>
          <cell r="E4443">
            <v>0</v>
          </cell>
          <cell r="F4443">
            <v>0</v>
          </cell>
          <cell r="G4443">
            <v>0</v>
          </cell>
        </row>
        <row r="4444">
          <cell r="D4444">
            <v>0</v>
          </cell>
          <cell r="E4444">
            <v>0</v>
          </cell>
          <cell r="F4444">
            <v>0</v>
          </cell>
          <cell r="G4444">
            <v>0</v>
          </cell>
        </row>
        <row r="4445">
          <cell r="D4445">
            <v>0</v>
          </cell>
          <cell r="E4445">
            <v>0</v>
          </cell>
          <cell r="F4445">
            <v>0</v>
          </cell>
          <cell r="G4445">
            <v>0</v>
          </cell>
        </row>
        <row r="4446">
          <cell r="D4446">
            <v>0</v>
          </cell>
          <cell r="E4446">
            <v>0</v>
          </cell>
          <cell r="F4446">
            <v>0</v>
          </cell>
          <cell r="G4446">
            <v>0</v>
          </cell>
        </row>
        <row r="4447">
          <cell r="D4447">
            <v>0</v>
          </cell>
          <cell r="E4447">
            <v>0</v>
          </cell>
          <cell r="F4447">
            <v>0</v>
          </cell>
          <cell r="G4447">
            <v>0</v>
          </cell>
        </row>
        <row r="4448">
          <cell r="D4448">
            <v>0</v>
          </cell>
          <cell r="E4448">
            <v>0</v>
          </cell>
          <cell r="F4448">
            <v>0</v>
          </cell>
          <cell r="G4448">
            <v>0</v>
          </cell>
        </row>
        <row r="4449">
          <cell r="D4449">
            <v>0</v>
          </cell>
          <cell r="E4449">
            <v>0</v>
          </cell>
          <cell r="F4449">
            <v>0</v>
          </cell>
          <cell r="G4449">
            <v>0</v>
          </cell>
        </row>
        <row r="4450">
          <cell r="D4450">
            <v>0</v>
          </cell>
          <cell r="E4450">
            <v>0</v>
          </cell>
          <cell r="F4450">
            <v>0</v>
          </cell>
          <cell r="G4450">
            <v>0</v>
          </cell>
        </row>
        <row r="4451">
          <cell r="D4451">
            <v>0</v>
          </cell>
          <cell r="E4451">
            <v>0</v>
          </cell>
          <cell r="F4451">
            <v>0</v>
          </cell>
          <cell r="G4451">
            <v>0</v>
          </cell>
        </row>
        <row r="4452">
          <cell r="D4452">
            <v>0</v>
          </cell>
          <cell r="E4452">
            <v>0</v>
          </cell>
          <cell r="F4452">
            <v>0</v>
          </cell>
          <cell r="G4452">
            <v>0</v>
          </cell>
        </row>
        <row r="4453">
          <cell r="D4453">
            <v>0</v>
          </cell>
          <cell r="E4453">
            <v>0</v>
          </cell>
          <cell r="F4453">
            <v>0</v>
          </cell>
          <cell r="G4453">
            <v>0</v>
          </cell>
        </row>
        <row r="4454">
          <cell r="D4454">
            <v>0</v>
          </cell>
          <cell r="E4454">
            <v>0</v>
          </cell>
          <cell r="F4454">
            <v>0</v>
          </cell>
          <cell r="G4454">
            <v>0</v>
          </cell>
        </row>
        <row r="4455">
          <cell r="D4455">
            <v>0</v>
          </cell>
          <cell r="E4455">
            <v>0</v>
          </cell>
          <cell r="F4455">
            <v>0</v>
          </cell>
          <cell r="G4455">
            <v>0</v>
          </cell>
        </row>
        <row r="4456">
          <cell r="D4456">
            <v>0</v>
          </cell>
          <cell r="E4456">
            <v>0</v>
          </cell>
          <cell r="F4456">
            <v>0</v>
          </cell>
          <cell r="G4456">
            <v>0</v>
          </cell>
        </row>
        <row r="4457">
          <cell r="D4457">
            <v>0</v>
          </cell>
          <cell r="E4457">
            <v>0</v>
          </cell>
          <cell r="F4457">
            <v>0</v>
          </cell>
          <cell r="G4457">
            <v>0</v>
          </cell>
        </row>
        <row r="4458">
          <cell r="D4458">
            <v>0</v>
          </cell>
          <cell r="E4458">
            <v>0</v>
          </cell>
          <cell r="F4458">
            <v>0</v>
          </cell>
          <cell r="G4458">
            <v>0</v>
          </cell>
        </row>
        <row r="4459">
          <cell r="D4459">
            <v>0</v>
          </cell>
          <cell r="E4459">
            <v>0</v>
          </cell>
          <cell r="F4459">
            <v>0</v>
          </cell>
          <cell r="G4459">
            <v>0</v>
          </cell>
        </row>
        <row r="4460">
          <cell r="D4460">
            <v>0</v>
          </cell>
          <cell r="E4460">
            <v>0</v>
          </cell>
          <cell r="F4460">
            <v>0</v>
          </cell>
          <cell r="G4460">
            <v>0</v>
          </cell>
        </row>
        <row r="4461">
          <cell r="D4461">
            <v>0</v>
          </cell>
          <cell r="E4461">
            <v>0</v>
          </cell>
          <cell r="F4461">
            <v>0</v>
          </cell>
          <cell r="G4461">
            <v>0</v>
          </cell>
        </row>
        <row r="4462">
          <cell r="D4462">
            <v>0</v>
          </cell>
          <cell r="E4462">
            <v>0</v>
          </cell>
          <cell r="F4462">
            <v>0</v>
          </cell>
          <cell r="G4462">
            <v>0</v>
          </cell>
        </row>
        <row r="4463">
          <cell r="D4463">
            <v>0</v>
          </cell>
          <cell r="E4463">
            <v>0</v>
          </cell>
          <cell r="F4463">
            <v>0</v>
          </cell>
          <cell r="G4463">
            <v>0</v>
          </cell>
        </row>
        <row r="4464">
          <cell r="D4464">
            <v>0</v>
          </cell>
          <cell r="E4464">
            <v>0</v>
          </cell>
          <cell r="F4464">
            <v>0</v>
          </cell>
          <cell r="G4464">
            <v>0</v>
          </cell>
        </row>
        <row r="4465">
          <cell r="D4465">
            <v>0</v>
          </cell>
          <cell r="E4465">
            <v>0</v>
          </cell>
          <cell r="F4465">
            <v>0</v>
          </cell>
          <cell r="G4465">
            <v>0</v>
          </cell>
        </row>
        <row r="4466">
          <cell r="D4466">
            <v>0</v>
          </cell>
          <cell r="E4466">
            <v>0</v>
          </cell>
          <cell r="F4466">
            <v>0</v>
          </cell>
          <cell r="G4466">
            <v>0</v>
          </cell>
        </row>
        <row r="4467">
          <cell r="D4467">
            <v>0</v>
          </cell>
          <cell r="E4467">
            <v>0</v>
          </cell>
          <cell r="F4467">
            <v>0</v>
          </cell>
          <cell r="G4467">
            <v>0</v>
          </cell>
        </row>
        <row r="4468">
          <cell r="D4468">
            <v>0</v>
          </cell>
          <cell r="E4468">
            <v>0</v>
          </cell>
          <cell r="F4468">
            <v>0</v>
          </cell>
          <cell r="G4468">
            <v>0</v>
          </cell>
        </row>
        <row r="4469">
          <cell r="D4469">
            <v>0</v>
          </cell>
          <cell r="E4469">
            <v>0</v>
          </cell>
          <cell r="F4469">
            <v>0</v>
          </cell>
          <cell r="G4469">
            <v>0</v>
          </cell>
        </row>
        <row r="4470">
          <cell r="D4470">
            <v>0</v>
          </cell>
          <cell r="E4470">
            <v>0</v>
          </cell>
          <cell r="F4470">
            <v>0</v>
          </cell>
          <cell r="G4470">
            <v>0</v>
          </cell>
        </row>
        <row r="4471">
          <cell r="D4471">
            <v>0</v>
          </cell>
          <cell r="E4471">
            <v>0</v>
          </cell>
          <cell r="F4471">
            <v>0</v>
          </cell>
          <cell r="G4471">
            <v>0</v>
          </cell>
        </row>
        <row r="4472">
          <cell r="D4472">
            <v>0</v>
          </cell>
          <cell r="E4472">
            <v>0</v>
          </cell>
          <cell r="F4472">
            <v>0</v>
          </cell>
          <cell r="G4472">
            <v>0</v>
          </cell>
        </row>
        <row r="4473">
          <cell r="D4473">
            <v>0</v>
          </cell>
          <cell r="E4473">
            <v>0</v>
          </cell>
          <cell r="F4473">
            <v>0</v>
          </cell>
          <cell r="G4473">
            <v>0</v>
          </cell>
        </row>
        <row r="4474">
          <cell r="D4474">
            <v>0</v>
          </cell>
          <cell r="E4474">
            <v>0</v>
          </cell>
          <cell r="F4474">
            <v>0</v>
          </cell>
          <cell r="G4474">
            <v>0</v>
          </cell>
        </row>
        <row r="4475">
          <cell r="D4475">
            <v>0</v>
          </cell>
          <cell r="E4475">
            <v>0</v>
          </cell>
          <cell r="F4475">
            <v>0</v>
          </cell>
          <cell r="G4475">
            <v>0</v>
          </cell>
        </row>
        <row r="4476">
          <cell r="D4476">
            <v>0</v>
          </cell>
          <cell r="E4476">
            <v>0</v>
          </cell>
          <cell r="F4476">
            <v>0</v>
          </cell>
          <cell r="G4476">
            <v>0</v>
          </cell>
        </row>
        <row r="4477">
          <cell r="D4477">
            <v>0</v>
          </cell>
          <cell r="E4477">
            <v>0</v>
          </cell>
          <cell r="F4477">
            <v>0</v>
          </cell>
          <cell r="G4477">
            <v>0</v>
          </cell>
        </row>
        <row r="4478">
          <cell r="D4478">
            <v>0</v>
          </cell>
          <cell r="E4478">
            <v>0</v>
          </cell>
          <cell r="F4478">
            <v>0</v>
          </cell>
          <cell r="G4478">
            <v>0</v>
          </cell>
        </row>
        <row r="4479">
          <cell r="D4479">
            <v>0</v>
          </cell>
          <cell r="E4479">
            <v>0</v>
          </cell>
          <cell r="F4479">
            <v>0</v>
          </cell>
          <cell r="G4479">
            <v>0</v>
          </cell>
        </row>
        <row r="4480">
          <cell r="D4480">
            <v>0</v>
          </cell>
          <cell r="E4480">
            <v>0</v>
          </cell>
          <cell r="F4480">
            <v>0</v>
          </cell>
          <cell r="G4480">
            <v>0</v>
          </cell>
        </row>
        <row r="4481">
          <cell r="D4481">
            <v>0</v>
          </cell>
          <cell r="E4481">
            <v>0</v>
          </cell>
          <cell r="F4481">
            <v>0</v>
          </cell>
          <cell r="G4481">
            <v>0</v>
          </cell>
        </row>
        <row r="4482">
          <cell r="D4482">
            <v>0</v>
          </cell>
          <cell r="E4482">
            <v>0</v>
          </cell>
          <cell r="F4482">
            <v>0</v>
          </cell>
          <cell r="G4482">
            <v>0</v>
          </cell>
        </row>
        <row r="4483">
          <cell r="D4483">
            <v>0</v>
          </cell>
          <cell r="E4483">
            <v>0</v>
          </cell>
          <cell r="F4483">
            <v>0</v>
          </cell>
          <cell r="G4483">
            <v>0</v>
          </cell>
        </row>
        <row r="4484">
          <cell r="D4484">
            <v>0</v>
          </cell>
          <cell r="E4484">
            <v>0</v>
          </cell>
          <cell r="F4484">
            <v>0</v>
          </cell>
          <cell r="G4484">
            <v>0</v>
          </cell>
        </row>
        <row r="4485">
          <cell r="D4485">
            <v>0</v>
          </cell>
          <cell r="E4485">
            <v>0</v>
          </cell>
          <cell r="F4485">
            <v>0</v>
          </cell>
          <cell r="G4485">
            <v>0</v>
          </cell>
        </row>
        <row r="4486">
          <cell r="D4486">
            <v>0</v>
          </cell>
          <cell r="E4486">
            <v>0</v>
          </cell>
          <cell r="F4486">
            <v>0</v>
          </cell>
          <cell r="G4486">
            <v>0</v>
          </cell>
        </row>
        <row r="4487">
          <cell r="D4487">
            <v>0</v>
          </cell>
          <cell r="E4487">
            <v>0</v>
          </cell>
          <cell r="F4487">
            <v>0</v>
          </cell>
          <cell r="G4487">
            <v>0</v>
          </cell>
        </row>
        <row r="4488">
          <cell r="D4488">
            <v>0</v>
          </cell>
          <cell r="E4488">
            <v>0</v>
          </cell>
          <cell r="F4488">
            <v>0</v>
          </cell>
          <cell r="G4488">
            <v>0</v>
          </cell>
        </row>
        <row r="4489">
          <cell r="D4489">
            <v>0</v>
          </cell>
          <cell r="E4489">
            <v>0</v>
          </cell>
          <cell r="F4489">
            <v>0</v>
          </cell>
          <cell r="G4489">
            <v>0</v>
          </cell>
        </row>
        <row r="4490">
          <cell r="D4490">
            <v>0</v>
          </cell>
          <cell r="E4490">
            <v>0</v>
          </cell>
          <cell r="F4490">
            <v>0</v>
          </cell>
          <cell r="G4490">
            <v>0</v>
          </cell>
        </row>
        <row r="4491">
          <cell r="D4491">
            <v>0</v>
          </cell>
          <cell r="E4491">
            <v>0</v>
          </cell>
          <cell r="F4491">
            <v>0</v>
          </cell>
          <cell r="G4491">
            <v>0</v>
          </cell>
        </row>
        <row r="4492">
          <cell r="D4492">
            <v>0</v>
          </cell>
          <cell r="E4492">
            <v>0</v>
          </cell>
          <cell r="F4492">
            <v>0</v>
          </cell>
          <cell r="G4492">
            <v>0</v>
          </cell>
        </row>
        <row r="4493">
          <cell r="D4493">
            <v>0</v>
          </cell>
          <cell r="E4493">
            <v>0</v>
          </cell>
          <cell r="F4493">
            <v>0</v>
          </cell>
          <cell r="G4493">
            <v>0</v>
          </cell>
        </row>
        <row r="4494">
          <cell r="D4494">
            <v>0</v>
          </cell>
          <cell r="E4494">
            <v>0</v>
          </cell>
          <cell r="F4494">
            <v>0</v>
          </cell>
          <cell r="G4494">
            <v>0</v>
          </cell>
        </row>
        <row r="4495">
          <cell r="D4495">
            <v>0</v>
          </cell>
          <cell r="E4495">
            <v>0</v>
          </cell>
          <cell r="F4495">
            <v>0</v>
          </cell>
          <cell r="G4495">
            <v>0</v>
          </cell>
        </row>
        <row r="4496">
          <cell r="D4496">
            <v>0</v>
          </cell>
          <cell r="E4496">
            <v>0</v>
          </cell>
          <cell r="F4496">
            <v>0</v>
          </cell>
          <cell r="G4496">
            <v>0</v>
          </cell>
        </row>
        <row r="4497">
          <cell r="D4497">
            <v>0</v>
          </cell>
          <cell r="E4497">
            <v>0</v>
          </cell>
          <cell r="F4497">
            <v>0</v>
          </cell>
          <cell r="G4497">
            <v>0</v>
          </cell>
        </row>
        <row r="4498">
          <cell r="D4498">
            <v>0</v>
          </cell>
          <cell r="E4498">
            <v>0</v>
          </cell>
          <cell r="F4498">
            <v>0</v>
          </cell>
          <cell r="G4498">
            <v>0</v>
          </cell>
        </row>
        <row r="4499">
          <cell r="D4499">
            <v>0</v>
          </cell>
          <cell r="E4499">
            <v>0</v>
          </cell>
          <cell r="F4499">
            <v>0</v>
          </cell>
          <cell r="G4499">
            <v>0</v>
          </cell>
        </row>
        <row r="4500">
          <cell r="D4500">
            <v>0</v>
          </cell>
          <cell r="E4500">
            <v>0</v>
          </cell>
          <cell r="F4500">
            <v>0</v>
          </cell>
          <cell r="G4500">
            <v>0</v>
          </cell>
        </row>
        <row r="4501">
          <cell r="D4501">
            <v>0</v>
          </cell>
          <cell r="E4501">
            <v>0</v>
          </cell>
          <cell r="F4501">
            <v>0</v>
          </cell>
          <cell r="G4501">
            <v>0</v>
          </cell>
        </row>
        <row r="4502">
          <cell r="D4502">
            <v>0</v>
          </cell>
          <cell r="E4502">
            <v>0</v>
          </cell>
          <cell r="F4502">
            <v>0</v>
          </cell>
          <cell r="G4502">
            <v>0</v>
          </cell>
        </row>
        <row r="4503">
          <cell r="D4503">
            <v>0</v>
          </cell>
          <cell r="E4503">
            <v>0</v>
          </cell>
          <cell r="F4503">
            <v>0</v>
          </cell>
          <cell r="G4503">
            <v>0</v>
          </cell>
        </row>
        <row r="4504">
          <cell r="D4504">
            <v>0</v>
          </cell>
          <cell r="E4504">
            <v>0</v>
          </cell>
          <cell r="F4504">
            <v>0</v>
          </cell>
          <cell r="G4504">
            <v>0</v>
          </cell>
        </row>
        <row r="4505">
          <cell r="D4505">
            <v>0</v>
          </cell>
          <cell r="E4505">
            <v>0</v>
          </cell>
          <cell r="F4505">
            <v>0</v>
          </cell>
          <cell r="G4505">
            <v>0</v>
          </cell>
        </row>
        <row r="4506">
          <cell r="D4506">
            <v>0</v>
          </cell>
          <cell r="E4506">
            <v>0</v>
          </cell>
          <cell r="F4506">
            <v>0</v>
          </cell>
          <cell r="G4506">
            <v>0</v>
          </cell>
        </row>
        <row r="4507">
          <cell r="D4507">
            <v>0</v>
          </cell>
          <cell r="E4507">
            <v>0</v>
          </cell>
          <cell r="F4507">
            <v>0</v>
          </cell>
          <cell r="G4507">
            <v>0</v>
          </cell>
        </row>
        <row r="4508">
          <cell r="D4508">
            <v>0</v>
          </cell>
          <cell r="E4508">
            <v>0</v>
          </cell>
          <cell r="F4508">
            <v>0</v>
          </cell>
          <cell r="G4508">
            <v>0</v>
          </cell>
        </row>
        <row r="4509">
          <cell r="D4509">
            <v>0</v>
          </cell>
          <cell r="E4509">
            <v>0</v>
          </cell>
          <cell r="F4509">
            <v>0</v>
          </cell>
          <cell r="G4509">
            <v>0</v>
          </cell>
        </row>
        <row r="4510">
          <cell r="D4510">
            <v>0</v>
          </cell>
          <cell r="E4510">
            <v>0</v>
          </cell>
          <cell r="F4510">
            <v>0</v>
          </cell>
          <cell r="G4510">
            <v>0</v>
          </cell>
        </row>
        <row r="4511">
          <cell r="D4511">
            <v>0</v>
          </cell>
          <cell r="E4511">
            <v>0</v>
          </cell>
          <cell r="F4511">
            <v>0</v>
          </cell>
          <cell r="G4511">
            <v>0</v>
          </cell>
        </row>
        <row r="4512">
          <cell r="D4512">
            <v>0</v>
          </cell>
          <cell r="E4512">
            <v>0</v>
          </cell>
          <cell r="F4512">
            <v>0</v>
          </cell>
          <cell r="G4512">
            <v>0</v>
          </cell>
        </row>
        <row r="4513">
          <cell r="D4513">
            <v>0</v>
          </cell>
          <cell r="E4513">
            <v>0</v>
          </cell>
          <cell r="F4513">
            <v>0</v>
          </cell>
          <cell r="G4513">
            <v>0</v>
          </cell>
        </row>
        <row r="4514">
          <cell r="D4514">
            <v>0</v>
          </cell>
          <cell r="E4514">
            <v>0</v>
          </cell>
          <cell r="F4514">
            <v>0</v>
          </cell>
          <cell r="G4514">
            <v>0</v>
          </cell>
        </row>
        <row r="4515">
          <cell r="D4515">
            <v>0</v>
          </cell>
          <cell r="E4515">
            <v>0</v>
          </cell>
          <cell r="F4515">
            <v>0</v>
          </cell>
          <cell r="G4515">
            <v>0</v>
          </cell>
        </row>
        <row r="4516">
          <cell r="D4516">
            <v>0</v>
          </cell>
          <cell r="E4516">
            <v>0</v>
          </cell>
          <cell r="F4516">
            <v>0</v>
          </cell>
          <cell r="G4516">
            <v>0</v>
          </cell>
        </row>
        <row r="4517">
          <cell r="D4517">
            <v>0</v>
          </cell>
          <cell r="E4517">
            <v>0</v>
          </cell>
          <cell r="F4517">
            <v>0</v>
          </cell>
          <cell r="G4517">
            <v>0</v>
          </cell>
        </row>
        <row r="4518">
          <cell r="D4518">
            <v>0</v>
          </cell>
          <cell r="E4518">
            <v>0</v>
          </cell>
          <cell r="F4518">
            <v>0</v>
          </cell>
          <cell r="G4518">
            <v>0</v>
          </cell>
        </row>
        <row r="4519">
          <cell r="D4519">
            <v>0</v>
          </cell>
          <cell r="E4519">
            <v>0</v>
          </cell>
          <cell r="F4519">
            <v>0</v>
          </cell>
          <cell r="G4519">
            <v>0</v>
          </cell>
        </row>
        <row r="4520">
          <cell r="D4520">
            <v>0</v>
          </cell>
          <cell r="E4520">
            <v>0</v>
          </cell>
          <cell r="F4520">
            <v>0</v>
          </cell>
          <cell r="G4520">
            <v>0</v>
          </cell>
        </row>
        <row r="4521">
          <cell r="D4521">
            <v>0</v>
          </cell>
          <cell r="E4521">
            <v>0</v>
          </cell>
          <cell r="F4521">
            <v>0</v>
          </cell>
          <cell r="G4521">
            <v>0</v>
          </cell>
        </row>
        <row r="4522">
          <cell r="D4522">
            <v>0</v>
          </cell>
          <cell r="E4522">
            <v>0</v>
          </cell>
          <cell r="F4522">
            <v>0</v>
          </cell>
          <cell r="G4522">
            <v>0</v>
          </cell>
        </row>
        <row r="4523">
          <cell r="D4523">
            <v>0</v>
          </cell>
          <cell r="E4523">
            <v>0</v>
          </cell>
          <cell r="F4523">
            <v>0</v>
          </cell>
          <cell r="G4523">
            <v>0</v>
          </cell>
        </row>
        <row r="4524">
          <cell r="D4524">
            <v>0</v>
          </cell>
          <cell r="E4524">
            <v>0</v>
          </cell>
          <cell r="F4524">
            <v>0</v>
          </cell>
          <cell r="G4524">
            <v>0</v>
          </cell>
        </row>
        <row r="4525">
          <cell r="D4525">
            <v>0</v>
          </cell>
          <cell r="E4525">
            <v>0</v>
          </cell>
          <cell r="F4525">
            <v>0</v>
          </cell>
          <cell r="G4525">
            <v>0</v>
          </cell>
        </row>
        <row r="4526">
          <cell r="D4526">
            <v>0</v>
          </cell>
          <cell r="E4526">
            <v>0</v>
          </cell>
          <cell r="F4526">
            <v>0</v>
          </cell>
          <cell r="G4526">
            <v>0</v>
          </cell>
        </row>
        <row r="4527">
          <cell r="D4527">
            <v>0</v>
          </cell>
          <cell r="E4527">
            <v>0</v>
          </cell>
          <cell r="F4527">
            <v>0</v>
          </cell>
          <cell r="G4527">
            <v>0</v>
          </cell>
        </row>
        <row r="4528">
          <cell r="D4528">
            <v>0</v>
          </cell>
          <cell r="E4528">
            <v>0</v>
          </cell>
          <cell r="F4528">
            <v>0</v>
          </cell>
          <cell r="G4528">
            <v>0</v>
          </cell>
        </row>
        <row r="4529">
          <cell r="D4529">
            <v>0</v>
          </cell>
          <cell r="E4529">
            <v>0</v>
          </cell>
          <cell r="F4529">
            <v>0</v>
          </cell>
          <cell r="G4529">
            <v>0</v>
          </cell>
        </row>
        <row r="4530">
          <cell r="D4530">
            <v>0</v>
          </cell>
          <cell r="E4530">
            <v>0</v>
          </cell>
          <cell r="F4530">
            <v>0</v>
          </cell>
          <cell r="G4530">
            <v>0</v>
          </cell>
        </row>
        <row r="4531">
          <cell r="D4531">
            <v>0</v>
          </cell>
          <cell r="E4531">
            <v>0</v>
          </cell>
          <cell r="F4531">
            <v>0</v>
          </cell>
          <cell r="G4531">
            <v>0</v>
          </cell>
        </row>
        <row r="4532">
          <cell r="D4532">
            <v>0</v>
          </cell>
          <cell r="E4532">
            <v>0</v>
          </cell>
          <cell r="F4532">
            <v>0</v>
          </cell>
          <cell r="G4532">
            <v>0</v>
          </cell>
        </row>
        <row r="4533">
          <cell r="D4533">
            <v>0</v>
          </cell>
          <cell r="E4533">
            <v>0</v>
          </cell>
          <cell r="F4533">
            <v>0</v>
          </cell>
          <cell r="G4533">
            <v>0</v>
          </cell>
        </row>
        <row r="4534">
          <cell r="D4534">
            <v>0</v>
          </cell>
          <cell r="E4534">
            <v>0</v>
          </cell>
          <cell r="F4534">
            <v>0</v>
          </cell>
          <cell r="G4534">
            <v>0</v>
          </cell>
        </row>
        <row r="4535">
          <cell r="D4535">
            <v>0</v>
          </cell>
          <cell r="E4535">
            <v>0</v>
          </cell>
          <cell r="F4535">
            <v>0</v>
          </cell>
          <cell r="G4535">
            <v>0</v>
          </cell>
        </row>
        <row r="4536">
          <cell r="D4536">
            <v>0</v>
          </cell>
          <cell r="E4536">
            <v>0</v>
          </cell>
          <cell r="F4536">
            <v>0</v>
          </cell>
          <cell r="G4536">
            <v>0</v>
          </cell>
        </row>
        <row r="4537">
          <cell r="D4537">
            <v>0</v>
          </cell>
          <cell r="E4537">
            <v>0</v>
          </cell>
          <cell r="F4537">
            <v>0</v>
          </cell>
          <cell r="G4537">
            <v>0</v>
          </cell>
        </row>
        <row r="4538">
          <cell r="D4538">
            <v>0</v>
          </cell>
          <cell r="E4538">
            <v>0</v>
          </cell>
          <cell r="F4538">
            <v>0</v>
          </cell>
          <cell r="G4538">
            <v>0</v>
          </cell>
        </row>
        <row r="4539">
          <cell r="D4539">
            <v>0</v>
          </cell>
          <cell r="E4539">
            <v>0</v>
          </cell>
          <cell r="F4539">
            <v>0</v>
          </cell>
          <cell r="G4539">
            <v>0</v>
          </cell>
        </row>
        <row r="4540">
          <cell r="D4540">
            <v>0</v>
          </cell>
          <cell r="E4540">
            <v>0</v>
          </cell>
          <cell r="F4540">
            <v>0</v>
          </cell>
          <cell r="G4540">
            <v>0</v>
          </cell>
        </row>
        <row r="4541">
          <cell r="D4541">
            <v>0</v>
          </cell>
          <cell r="E4541">
            <v>0</v>
          </cell>
          <cell r="F4541">
            <v>0</v>
          </cell>
          <cell r="G4541">
            <v>0</v>
          </cell>
        </row>
        <row r="4542">
          <cell r="D4542">
            <v>0</v>
          </cell>
          <cell r="E4542">
            <v>0</v>
          </cell>
          <cell r="F4542">
            <v>0</v>
          </cell>
          <cell r="G4542">
            <v>0</v>
          </cell>
        </row>
        <row r="4543">
          <cell r="D4543">
            <v>0</v>
          </cell>
          <cell r="E4543">
            <v>0</v>
          </cell>
          <cell r="F4543">
            <v>0</v>
          </cell>
          <cell r="G4543">
            <v>0</v>
          </cell>
        </row>
        <row r="4544">
          <cell r="D4544">
            <v>0</v>
          </cell>
          <cell r="E4544">
            <v>0</v>
          </cell>
          <cell r="F4544">
            <v>0</v>
          </cell>
          <cell r="G4544">
            <v>0</v>
          </cell>
        </row>
        <row r="4545">
          <cell r="D4545">
            <v>0</v>
          </cell>
          <cell r="E4545">
            <v>0</v>
          </cell>
          <cell r="F4545">
            <v>0</v>
          </cell>
          <cell r="G4545">
            <v>0</v>
          </cell>
        </row>
        <row r="4546">
          <cell r="D4546">
            <v>0</v>
          </cell>
          <cell r="E4546">
            <v>0</v>
          </cell>
          <cell r="F4546">
            <v>0</v>
          </cell>
          <cell r="G4546">
            <v>0</v>
          </cell>
        </row>
        <row r="4547">
          <cell r="D4547">
            <v>0</v>
          </cell>
          <cell r="E4547">
            <v>0</v>
          </cell>
          <cell r="F4547">
            <v>0</v>
          </cell>
          <cell r="G4547">
            <v>0</v>
          </cell>
        </row>
        <row r="4548">
          <cell r="D4548">
            <v>0</v>
          </cell>
          <cell r="E4548">
            <v>0</v>
          </cell>
          <cell r="F4548">
            <v>0</v>
          </cell>
          <cell r="G4548">
            <v>0</v>
          </cell>
        </row>
        <row r="4549">
          <cell r="D4549">
            <v>0</v>
          </cell>
          <cell r="E4549">
            <v>0</v>
          </cell>
          <cell r="F4549">
            <v>0</v>
          </cell>
          <cell r="G4549">
            <v>0</v>
          </cell>
        </row>
        <row r="4550">
          <cell r="D4550">
            <v>0</v>
          </cell>
          <cell r="E4550">
            <v>0</v>
          </cell>
          <cell r="F4550">
            <v>0</v>
          </cell>
          <cell r="G4550">
            <v>0</v>
          </cell>
        </row>
        <row r="4551">
          <cell r="D4551">
            <v>0</v>
          </cell>
          <cell r="E4551">
            <v>0</v>
          </cell>
          <cell r="F4551">
            <v>0</v>
          </cell>
          <cell r="G4551">
            <v>0</v>
          </cell>
        </row>
        <row r="4552">
          <cell r="D4552">
            <v>0</v>
          </cell>
          <cell r="E4552">
            <v>0</v>
          </cell>
          <cell r="F4552">
            <v>0</v>
          </cell>
          <cell r="G4552">
            <v>0</v>
          </cell>
        </row>
        <row r="4553">
          <cell r="D4553">
            <v>0</v>
          </cell>
          <cell r="E4553">
            <v>0</v>
          </cell>
          <cell r="F4553">
            <v>0</v>
          </cell>
          <cell r="G4553">
            <v>0</v>
          </cell>
        </row>
        <row r="4554">
          <cell r="D4554">
            <v>0</v>
          </cell>
          <cell r="E4554">
            <v>0</v>
          </cell>
          <cell r="F4554">
            <v>0</v>
          </cell>
          <cell r="G4554">
            <v>0</v>
          </cell>
        </row>
        <row r="4555">
          <cell r="D4555">
            <v>0</v>
          </cell>
          <cell r="E4555">
            <v>0</v>
          </cell>
          <cell r="F4555">
            <v>0</v>
          </cell>
          <cell r="G4555">
            <v>0</v>
          </cell>
        </row>
        <row r="4556">
          <cell r="D4556">
            <v>0</v>
          </cell>
          <cell r="E4556">
            <v>0</v>
          </cell>
          <cell r="F4556">
            <v>0</v>
          </cell>
          <cell r="G4556">
            <v>0</v>
          </cell>
        </row>
        <row r="4557">
          <cell r="D4557">
            <v>0</v>
          </cell>
          <cell r="E4557">
            <v>0</v>
          </cell>
          <cell r="F4557">
            <v>0</v>
          </cell>
          <cell r="G4557">
            <v>0</v>
          </cell>
        </row>
        <row r="4558">
          <cell r="D4558">
            <v>0</v>
          </cell>
          <cell r="E4558">
            <v>0</v>
          </cell>
          <cell r="F4558">
            <v>0</v>
          </cell>
          <cell r="G4558">
            <v>0</v>
          </cell>
        </row>
        <row r="4559">
          <cell r="D4559">
            <v>0</v>
          </cell>
          <cell r="E4559">
            <v>0</v>
          </cell>
          <cell r="F4559">
            <v>0</v>
          </cell>
          <cell r="G4559">
            <v>0</v>
          </cell>
        </row>
        <row r="4560">
          <cell r="D4560">
            <v>0</v>
          </cell>
          <cell r="E4560">
            <v>0</v>
          </cell>
          <cell r="F4560">
            <v>0</v>
          </cell>
          <cell r="G4560">
            <v>0</v>
          </cell>
        </row>
        <row r="4561">
          <cell r="D4561">
            <v>0</v>
          </cell>
          <cell r="E4561">
            <v>0</v>
          </cell>
          <cell r="F4561">
            <v>0</v>
          </cell>
          <cell r="G4561">
            <v>0</v>
          </cell>
        </row>
        <row r="4562">
          <cell r="D4562">
            <v>0</v>
          </cell>
          <cell r="E4562">
            <v>0</v>
          </cell>
          <cell r="F4562">
            <v>0</v>
          </cell>
          <cell r="G4562">
            <v>0</v>
          </cell>
        </row>
        <row r="4563">
          <cell r="D4563">
            <v>0</v>
          </cell>
          <cell r="E4563">
            <v>0</v>
          </cell>
          <cell r="F4563">
            <v>0</v>
          </cell>
          <cell r="G4563">
            <v>0</v>
          </cell>
        </row>
        <row r="4564">
          <cell r="D4564">
            <v>0</v>
          </cell>
          <cell r="E4564">
            <v>0</v>
          </cell>
          <cell r="F4564">
            <v>0</v>
          </cell>
          <cell r="G4564">
            <v>0</v>
          </cell>
        </row>
        <row r="4565">
          <cell r="D4565">
            <v>0</v>
          </cell>
          <cell r="E4565">
            <v>0</v>
          </cell>
          <cell r="F4565">
            <v>0</v>
          </cell>
          <cell r="G4565">
            <v>0</v>
          </cell>
        </row>
        <row r="4566">
          <cell r="D4566">
            <v>0</v>
          </cell>
          <cell r="E4566">
            <v>0</v>
          </cell>
          <cell r="F4566">
            <v>0</v>
          </cell>
          <cell r="G4566">
            <v>0</v>
          </cell>
        </row>
        <row r="4567">
          <cell r="D4567">
            <v>0</v>
          </cell>
          <cell r="E4567">
            <v>0</v>
          </cell>
          <cell r="F4567">
            <v>0</v>
          </cell>
          <cell r="G4567">
            <v>0</v>
          </cell>
        </row>
        <row r="4568">
          <cell r="D4568">
            <v>0</v>
          </cell>
          <cell r="E4568">
            <v>0</v>
          </cell>
          <cell r="F4568">
            <v>0</v>
          </cell>
          <cell r="G4568">
            <v>0</v>
          </cell>
        </row>
        <row r="4569">
          <cell r="D4569">
            <v>0</v>
          </cell>
          <cell r="E4569">
            <v>0</v>
          </cell>
          <cell r="F4569">
            <v>0</v>
          </cell>
          <cell r="G4569">
            <v>0</v>
          </cell>
        </row>
        <row r="4570">
          <cell r="D4570">
            <v>0</v>
          </cell>
          <cell r="E4570">
            <v>0</v>
          </cell>
          <cell r="F4570">
            <v>0</v>
          </cell>
          <cell r="G4570">
            <v>0</v>
          </cell>
        </row>
        <row r="4571">
          <cell r="D4571">
            <v>0</v>
          </cell>
          <cell r="E4571">
            <v>0</v>
          </cell>
          <cell r="F4571">
            <v>0</v>
          </cell>
          <cell r="G4571">
            <v>0</v>
          </cell>
        </row>
        <row r="4572">
          <cell r="D4572">
            <v>0</v>
          </cell>
          <cell r="E4572">
            <v>0</v>
          </cell>
          <cell r="F4572">
            <v>0</v>
          </cell>
          <cell r="G4572">
            <v>0</v>
          </cell>
        </row>
        <row r="4573">
          <cell r="D4573">
            <v>0</v>
          </cell>
          <cell r="E4573">
            <v>0</v>
          </cell>
          <cell r="F4573">
            <v>0</v>
          </cell>
          <cell r="G4573">
            <v>0</v>
          </cell>
        </row>
        <row r="4574">
          <cell r="D4574">
            <v>0</v>
          </cell>
          <cell r="E4574">
            <v>0</v>
          </cell>
          <cell r="F4574">
            <v>0</v>
          </cell>
          <cell r="G4574">
            <v>0</v>
          </cell>
        </row>
        <row r="4575">
          <cell r="D4575">
            <v>0</v>
          </cell>
          <cell r="E4575">
            <v>0</v>
          </cell>
          <cell r="F4575">
            <v>0</v>
          </cell>
          <cell r="G4575">
            <v>0</v>
          </cell>
        </row>
        <row r="4576">
          <cell r="D4576">
            <v>0</v>
          </cell>
          <cell r="E4576">
            <v>0</v>
          </cell>
          <cell r="F4576">
            <v>0</v>
          </cell>
          <cell r="G4576">
            <v>0</v>
          </cell>
        </row>
        <row r="4577">
          <cell r="D4577">
            <v>0</v>
          </cell>
          <cell r="E4577">
            <v>0</v>
          </cell>
          <cell r="F4577">
            <v>0</v>
          </cell>
          <cell r="G4577">
            <v>0</v>
          </cell>
        </row>
        <row r="4578">
          <cell r="D4578">
            <v>0</v>
          </cell>
          <cell r="E4578">
            <v>0</v>
          </cell>
          <cell r="F4578">
            <v>0</v>
          </cell>
          <cell r="G4578">
            <v>0</v>
          </cell>
        </row>
        <row r="4579">
          <cell r="D4579">
            <v>0</v>
          </cell>
          <cell r="E4579">
            <v>0</v>
          </cell>
          <cell r="F4579">
            <v>0</v>
          </cell>
          <cell r="G4579">
            <v>0</v>
          </cell>
        </row>
        <row r="4580">
          <cell r="D4580">
            <v>0</v>
          </cell>
          <cell r="E4580">
            <v>0</v>
          </cell>
          <cell r="F4580">
            <v>0</v>
          </cell>
          <cell r="G4580">
            <v>0</v>
          </cell>
        </row>
        <row r="4581">
          <cell r="D4581">
            <v>0</v>
          </cell>
          <cell r="E4581">
            <v>0</v>
          </cell>
          <cell r="F4581">
            <v>0</v>
          </cell>
          <cell r="G4581">
            <v>0</v>
          </cell>
        </row>
        <row r="4582">
          <cell r="D4582">
            <v>0</v>
          </cell>
          <cell r="E4582">
            <v>0</v>
          </cell>
          <cell r="F4582">
            <v>0</v>
          </cell>
          <cell r="G4582">
            <v>0</v>
          </cell>
        </row>
        <row r="4583">
          <cell r="D4583">
            <v>0</v>
          </cell>
          <cell r="E4583">
            <v>0</v>
          </cell>
          <cell r="F4583">
            <v>0</v>
          </cell>
          <cell r="G4583">
            <v>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ong"/>
      <sheetName val="Tke"/>
      <sheetName val="KL-dao"/>
      <sheetName val="KL-TLap"/>
      <sheetName val="kpTong2"/>
      <sheetName val="Kp-dao"/>
      <sheetName val="kpTLap"/>
      <sheetName val="kpTH"/>
      <sheetName val="TH-KLuon"/>
      <sheetName val="pt-VTu"/>
      <sheetName val="dg-VTu"/>
      <sheetName val="TH-VTu"/>
      <sheetName val="Vat Tu"/>
      <sheetName val="kp-dth"/>
      <sheetName val="xnKLuon"/>
      <sheetName val="DSNVBH"/>
      <sheetName val="NPP"/>
      <sheetName val="DS DOI 02"/>
      <sheetName val="DS DOI 01"/>
      <sheetName val="~         "/>
      <sheetName val="T9"/>
      <sheetName val="T 10"/>
      <sheetName val="T11"/>
      <sheetName val="dg_VTu"/>
      <sheetName val="MTP"/>
      <sheetName val="Tuan_1"/>
      <sheetName val="Tuan_2"/>
      <sheetName val="BCN 15 DAU"/>
      <sheetName val="Tuan_3"/>
      <sheetName val="Tuan_4"/>
      <sheetName val="tuan_5"/>
      <sheetName val="thang 4"/>
      <sheetName val="15_dau"/>
      <sheetName val="BCN 15 CTHANG"/>
      <sheetName val="15_cuoi"/>
      <sheetName val=" GTTK. CTHANG"/>
      <sheetName val="XL4Poppy"/>
      <sheetName val="QMCT"/>
      <sheetName val="dg-VTw"/>
      <sheetName val="CUONG 03 CHUA LEN  (1)"/>
      <sheetName val="CUONG 04 LEN GIA (1)"/>
      <sheetName val="CUONG 04 HA XOP (1)"/>
    </sheetNames>
    <sheetDataSet>
      <sheetData sheetId="0">
        <row r="6">
          <cell r="C6" t="str">
            <v>BL10-48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/>
      <sheetData sheetId="9"/>
      <sheetData sheetId="10" refreshError="1">
        <row r="6">
          <cell r="C6" t="str">
            <v>BL10-48</v>
          </cell>
          <cell r="D6" t="str">
            <v>Caùi</v>
          </cell>
          <cell r="E6">
            <v>6000</v>
          </cell>
        </row>
        <row r="7">
          <cell r="C7" t="str">
            <v>BOTDA</v>
          </cell>
          <cell r="D7" t="str">
            <v>Kg</v>
          </cell>
          <cell r="E7">
            <v>320</v>
          </cell>
        </row>
        <row r="8">
          <cell r="C8" t="str">
            <v>BUYDOI</v>
          </cell>
          <cell r="D8" t="str">
            <v>Caùi</v>
          </cell>
          <cell r="E8">
            <v>90000</v>
          </cell>
        </row>
        <row r="9">
          <cell r="C9" t="str">
            <v>BUYDON</v>
          </cell>
          <cell r="D9" t="str">
            <v>Caùi</v>
          </cell>
          <cell r="E9">
            <v>70000</v>
          </cell>
        </row>
        <row r="10">
          <cell r="C10" t="str">
            <v>NABDOI</v>
          </cell>
          <cell r="D10" t="str">
            <v>Caùi</v>
          </cell>
          <cell r="E10">
            <v>56000</v>
          </cell>
        </row>
        <row r="11">
          <cell r="C11" t="str">
            <v>NABDON</v>
          </cell>
          <cell r="D11" t="str">
            <v>Caùi</v>
          </cell>
          <cell r="E11">
            <v>44000</v>
          </cell>
        </row>
        <row r="12">
          <cell r="C12" t="str">
            <v>CAT</v>
          </cell>
          <cell r="D12" t="str">
            <v>M3</v>
          </cell>
          <cell r="E12">
            <v>40026</v>
          </cell>
        </row>
        <row r="13">
          <cell r="C13" t="str">
            <v>CPSD</v>
          </cell>
          <cell r="D13" t="str">
            <v>M3</v>
          </cell>
          <cell r="E13">
            <v>55000</v>
          </cell>
        </row>
        <row r="14">
          <cell r="C14" t="str">
            <v>CUA-B40</v>
          </cell>
          <cell r="D14" t="str">
            <v>M2</v>
          </cell>
          <cell r="E14">
            <v>280000</v>
          </cell>
        </row>
        <row r="15">
          <cell r="C15" t="str">
            <v>GMK70D</v>
          </cell>
          <cell r="D15" t="str">
            <v>Caùi</v>
          </cell>
          <cell r="E15">
            <v>35000</v>
          </cell>
        </row>
        <row r="16">
          <cell r="C16" t="str">
            <v>GMK70N</v>
          </cell>
          <cell r="D16" t="str">
            <v>Caùi</v>
          </cell>
          <cell r="E16">
            <v>25000</v>
          </cell>
        </row>
        <row r="17">
          <cell r="C17" t="str">
            <v>GS-MK</v>
          </cell>
          <cell r="D17" t="str">
            <v>kg</v>
          </cell>
          <cell r="E17">
            <v>9500</v>
          </cell>
        </row>
        <row r="18">
          <cell r="C18" t="str">
            <v>GOVAN</v>
          </cell>
          <cell r="D18" t="str">
            <v>M3</v>
          </cell>
          <cell r="E18">
            <v>2200000</v>
          </cell>
        </row>
        <row r="19">
          <cell r="C19" t="str">
            <v>KEM1MM</v>
          </cell>
          <cell r="D19" t="str">
            <v>Kg</v>
          </cell>
          <cell r="E19">
            <v>6000</v>
          </cell>
        </row>
        <row r="20">
          <cell r="C20" t="str">
            <v>LUOI-B40</v>
          </cell>
          <cell r="D20" t="str">
            <v>M2</v>
          </cell>
          <cell r="E20">
            <v>25000</v>
          </cell>
        </row>
        <row r="21">
          <cell r="C21" t="str">
            <v>OXY</v>
          </cell>
          <cell r="D21" t="str">
            <v>Chai</v>
          </cell>
          <cell r="E21">
            <v>40000</v>
          </cell>
        </row>
        <row r="22">
          <cell r="C22" t="str">
            <v>QUEHAN</v>
          </cell>
          <cell r="D22" t="str">
            <v>Kg</v>
          </cell>
          <cell r="E22">
            <v>9000</v>
          </cell>
        </row>
        <row r="23">
          <cell r="C23" t="str">
            <v>SON-CS</v>
          </cell>
          <cell r="D23" t="str">
            <v>Kg</v>
          </cell>
          <cell r="E23">
            <v>16000</v>
          </cell>
        </row>
        <row r="24">
          <cell r="C24" t="str">
            <v>SOI</v>
          </cell>
          <cell r="D24" t="str">
            <v>Kg</v>
          </cell>
          <cell r="E24">
            <v>600</v>
          </cell>
        </row>
        <row r="25">
          <cell r="C25" t="str">
            <v>THEP-HINH</v>
          </cell>
          <cell r="D25" t="str">
            <v>Kg</v>
          </cell>
          <cell r="E25">
            <v>4700</v>
          </cell>
        </row>
        <row r="26">
          <cell r="C26" t="str">
            <v>THEP-TRON</v>
          </cell>
          <cell r="D26" t="str">
            <v>Kg</v>
          </cell>
          <cell r="E26">
            <v>4450</v>
          </cell>
        </row>
        <row r="27">
          <cell r="C27" t="str">
            <v>THEP-10</v>
          </cell>
          <cell r="D27" t="str">
            <v>Kg</v>
          </cell>
          <cell r="E27">
            <v>4350</v>
          </cell>
        </row>
        <row r="28">
          <cell r="C28" t="str">
            <v>XM</v>
          </cell>
          <cell r="D28" t="str">
            <v>Kg</v>
          </cell>
          <cell r="E28">
            <v>1020</v>
          </cell>
        </row>
        <row r="29">
          <cell r="C29" t="str">
            <v>XM-TR</v>
          </cell>
          <cell r="D29" t="str">
            <v>Kg</v>
          </cell>
          <cell r="E29">
            <v>1900</v>
          </cell>
        </row>
        <row r="30">
          <cell r="C30" t="str">
            <v>XANG</v>
          </cell>
          <cell r="D30" t="str">
            <v>Kg</v>
          </cell>
          <cell r="E30">
            <v>4400</v>
          </cell>
        </row>
        <row r="31">
          <cell r="C31" t="str">
            <v>DINH</v>
          </cell>
          <cell r="D31" t="str">
            <v>Kg</v>
          </cell>
          <cell r="E31">
            <v>6000</v>
          </cell>
        </row>
        <row r="32">
          <cell r="C32" t="str">
            <v>DA-015</v>
          </cell>
          <cell r="D32" t="str">
            <v>M3</v>
          </cell>
          <cell r="E32">
            <v>100000</v>
          </cell>
        </row>
        <row r="33">
          <cell r="C33" t="str">
            <v>DA-05</v>
          </cell>
          <cell r="D33" t="str">
            <v>M3</v>
          </cell>
          <cell r="E33">
            <v>100000</v>
          </cell>
        </row>
        <row r="34">
          <cell r="C34" t="str">
            <v>DA1-2</v>
          </cell>
          <cell r="D34" t="str">
            <v>M3</v>
          </cell>
          <cell r="E34">
            <v>140000</v>
          </cell>
        </row>
        <row r="35">
          <cell r="C35" t="str">
            <v>DA2-4</v>
          </cell>
          <cell r="D35" t="str">
            <v>M3</v>
          </cell>
          <cell r="E35">
            <v>135000</v>
          </cell>
        </row>
        <row r="36">
          <cell r="C36" t="str">
            <v>DA4-6</v>
          </cell>
          <cell r="D36" t="str">
            <v>M3</v>
          </cell>
          <cell r="E36">
            <v>115000</v>
          </cell>
        </row>
        <row r="37">
          <cell r="C37" t="str">
            <v>DHCUON</v>
          </cell>
          <cell r="D37" t="str">
            <v>M2</v>
          </cell>
          <cell r="E37">
            <v>220000</v>
          </cell>
        </row>
        <row r="38">
          <cell r="C38" t="str">
            <v>DAT-DEN</v>
          </cell>
          <cell r="D38" t="str">
            <v>Kg</v>
          </cell>
          <cell r="E38">
            <v>7000</v>
          </cell>
        </row>
        <row r="39">
          <cell r="C39" t="str">
            <v>COC-TRAM</v>
          </cell>
          <cell r="D39" t="str">
            <v>m</v>
          </cell>
          <cell r="E39">
            <v>2750</v>
          </cell>
        </row>
        <row r="40">
          <cell r="C40" t="str">
            <v>CU-TRAM</v>
          </cell>
          <cell r="D40" t="str">
            <v>Caây</v>
          </cell>
          <cell r="E40">
            <v>11000</v>
          </cell>
        </row>
        <row r="41">
          <cell r="C41" t="str">
            <v>DAY-KEM</v>
          </cell>
          <cell r="D41" t="str">
            <v>Kg</v>
          </cell>
          <cell r="E41">
            <v>6000</v>
          </cell>
        </row>
        <row r="42">
          <cell r="C42" t="str">
            <v>GACH-THE</v>
          </cell>
          <cell r="D42" t="str">
            <v>Vieân</v>
          </cell>
          <cell r="E42">
            <v>220</v>
          </cell>
        </row>
        <row r="43">
          <cell r="C43" t="str">
            <v>GB-XM20</v>
          </cell>
          <cell r="D43" t="str">
            <v>Vieân</v>
          </cell>
          <cell r="E43">
            <v>2800</v>
          </cell>
        </row>
        <row r="44">
          <cell r="C44" t="str">
            <v>CERA20X15</v>
          </cell>
          <cell r="D44" t="str">
            <v>Vieân</v>
          </cell>
          <cell r="E44">
            <v>2600</v>
          </cell>
        </row>
        <row r="45">
          <cell r="C45" t="str">
            <v>G-CSAU</v>
          </cell>
          <cell r="D45" t="str">
            <v>M2</v>
          </cell>
          <cell r="E45">
            <v>88000</v>
          </cell>
        </row>
        <row r="46">
          <cell r="C46" t="str">
            <v>GO-VKHUO</v>
          </cell>
          <cell r="D46" t="str">
            <v>m3</v>
          </cell>
          <cell r="E46">
            <v>2200000</v>
          </cell>
        </row>
        <row r="47">
          <cell r="C47" t="str">
            <v>DAN-BT</v>
          </cell>
          <cell r="D47" t="str">
            <v>Caùi</v>
          </cell>
          <cell r="E47">
            <v>28000</v>
          </cell>
        </row>
        <row r="48">
          <cell r="C48" t="str">
            <v>BTNN</v>
          </cell>
          <cell r="D48" t="str">
            <v>Taán</v>
          </cell>
          <cell r="E48">
            <v>320000</v>
          </cell>
        </row>
        <row r="49">
          <cell r="C49" t="str">
            <v>CUI</v>
          </cell>
          <cell r="D49" t="str">
            <v>Ster</v>
          </cell>
          <cell r="E49">
            <v>160000</v>
          </cell>
        </row>
        <row r="50">
          <cell r="C50" t="str">
            <v>MAZUT</v>
          </cell>
          <cell r="D50" t="str">
            <v>Kg</v>
          </cell>
          <cell r="E50">
            <v>3400</v>
          </cell>
        </row>
        <row r="51">
          <cell r="C51" t="str">
            <v>NHUADAC</v>
          </cell>
          <cell r="D51" t="str">
            <v>Kg</v>
          </cell>
          <cell r="E51">
            <v>2450</v>
          </cell>
        </row>
        <row r="52">
          <cell r="C52" t="str">
            <v>NEPGO</v>
          </cell>
          <cell r="D52" t="str">
            <v>m</v>
          </cell>
          <cell r="E52">
            <v>2500</v>
          </cell>
        </row>
        <row r="53">
          <cell r="C53" t="str">
            <v>0X4</v>
          </cell>
          <cell r="D53" t="str">
            <v>m3</v>
          </cell>
          <cell r="E53">
            <v>100000</v>
          </cell>
        </row>
        <row r="55">
          <cell r="C55" t="str">
            <v>SON-CS</v>
          </cell>
          <cell r="D55" t="str">
            <v>Kg</v>
          </cell>
          <cell r="E55">
            <v>16000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/>
      <sheetData sheetId="4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OMO"/>
      <sheetName val="VISO"/>
      <sheetName val="Sheet1"/>
      <sheetName val="Comfort"/>
      <sheetName val="Volume"/>
      <sheetName val="NPS"/>
      <sheetName val="Raw Material Q2"/>
      <sheetName val="Raw Material Q3"/>
      <sheetName val="Raw Material Q4"/>
      <sheetName val="Packing Material"/>
      <sheetName val="Production"/>
      <sheetName val="Distribution"/>
      <sheetName val="SCO&amp;IW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1">
          <cell r="E21">
            <v>-251.21483452010438</v>
          </cell>
          <cell r="F21">
            <v>1089.9880080227529</v>
          </cell>
          <cell r="G21">
            <v>-1086.0483093974269</v>
          </cell>
          <cell r="H21">
            <v>-2424.3729613903402</v>
          </cell>
          <cell r="I21">
            <v>-414.0043456401778</v>
          </cell>
        </row>
        <row r="22">
          <cell r="E22">
            <v>1737.9902759060512</v>
          </cell>
          <cell r="F22">
            <v>3473.6520392233078</v>
          </cell>
          <cell r="G22">
            <v>-775.59358737467073</v>
          </cell>
          <cell r="H22">
            <v>9557.6620313030908</v>
          </cell>
          <cell r="I22">
            <v>3957.7634328334666</v>
          </cell>
        </row>
        <row r="23">
          <cell r="E23">
            <v>-2937.604025745356</v>
          </cell>
          <cell r="F23">
            <v>-16155.860509954098</v>
          </cell>
          <cell r="G23">
            <v>462.0114446044945</v>
          </cell>
          <cell r="H23">
            <v>738.7345643849477</v>
          </cell>
          <cell r="I23">
            <v>-1097.9057588737264</v>
          </cell>
        </row>
        <row r="24">
          <cell r="E24" t="e">
            <v>#DIV/0!</v>
          </cell>
          <cell r="F24" t="e">
            <v>#DIV/0!</v>
          </cell>
          <cell r="G24">
            <v>-174.49134644209917</v>
          </cell>
          <cell r="H24">
            <v>-10281.920558241522</v>
          </cell>
          <cell r="I24" t="e">
            <v>#DIV/0!</v>
          </cell>
        </row>
        <row r="25">
          <cell r="E25">
            <v>-2107.8010687510373</v>
          </cell>
          <cell r="F25">
            <v>2728.3174615376633</v>
          </cell>
          <cell r="G25">
            <v>-2386.2501590681686</v>
          </cell>
          <cell r="H25">
            <v>-420.93783530631322</v>
          </cell>
          <cell r="I25">
            <v>-688.35002856018775</v>
          </cell>
        </row>
        <row r="26">
          <cell r="E26" t="e">
            <v>#DIV/0!</v>
          </cell>
          <cell r="F26" t="e">
            <v>#DIV/0!</v>
          </cell>
          <cell r="G26">
            <v>-15046.732959999332</v>
          </cell>
          <cell r="H26">
            <v>-1818.3840613058117</v>
          </cell>
          <cell r="I26" t="e">
            <v>#DIV/0!</v>
          </cell>
        </row>
        <row r="27">
          <cell r="E27">
            <v>4462.4708816882121</v>
          </cell>
          <cell r="F27">
            <v>3107.1797784910323</v>
          </cell>
          <cell r="G27">
            <v>305.16765544050378</v>
          </cell>
          <cell r="H27">
            <v>3347.0436064595783</v>
          </cell>
          <cell r="I27">
            <v>2744.6241273189589</v>
          </cell>
        </row>
        <row r="28">
          <cell r="E28">
            <v>33017.374553687638</v>
          </cell>
          <cell r="F28">
            <v>35871.526401966432</v>
          </cell>
          <cell r="G28">
            <v>19205.893962644568</v>
          </cell>
          <cell r="H28">
            <v>36103.74286953931</v>
          </cell>
          <cell r="I28">
            <v>30782.059769565221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gay"/>
      <sheetName val="Nam"/>
      <sheetName val="Nguon huyen"/>
      <sheetName val="BC TUAN"/>
      <sheetName val="XL4Poppy"/>
      <sheetName val="Kiemtra"/>
    </sheetNames>
    <definedNames>
      <definedName name="K_1"/>
      <definedName name="K_2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hallenge-PC"/>
      <sheetName val="PQE"/>
      <sheetName val="General Lab Supplies"/>
      <sheetName val="Youden"/>
      <sheetName val="BOY &amp; AOP Gen lab details 07-08"/>
      <sheetName val="Jan "/>
      <sheetName val="Feb"/>
      <sheetName val="Mar"/>
      <sheetName val="Apr"/>
      <sheetName val="May"/>
      <sheetName val="Jun"/>
      <sheetName val="Jan-Jun"/>
      <sheetName val="Jul"/>
      <sheetName val="Aug"/>
      <sheetName val="Sep"/>
      <sheetName val="Oct"/>
      <sheetName val="Nov"/>
      <sheetName val="Dec"/>
      <sheetName val="Input table"/>
      <sheetName val="List(Add only)"/>
      <sheetName val="Ridge Opt. (PC GS production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ke"/>
      <sheetName val="FAN1"/>
      <sheetName val="FAN2"/>
      <sheetName val="KH KDOANH04"/>
      <sheetName val="BCAOFANTCHING2004"/>
      <sheetName val="ttoan1"/>
      <sheetName val="TTOAN3"/>
      <sheetName val="FAN3"/>
      <sheetName val="TTOAN2"/>
      <sheetName val="XL4Poppy"/>
    </sheetNames>
    <sheetDataSet>
      <sheetData sheetId="0" refreshError="1">
        <row r="10">
          <cell r="AD10" t="str">
            <v>BTNN4O</v>
          </cell>
          <cell r="AE10">
            <v>1.3</v>
          </cell>
          <cell r="AF10">
            <v>1.1000000000000001</v>
          </cell>
          <cell r="AG10">
            <v>1</v>
          </cell>
          <cell r="AH10">
            <v>0.2</v>
          </cell>
          <cell r="AJ10">
            <v>0.1</v>
          </cell>
          <cell r="AK10">
            <v>0.5</v>
          </cell>
          <cell r="AL10">
            <v>0</v>
          </cell>
          <cell r="AN10">
            <v>0.8</v>
          </cell>
          <cell r="AO10">
            <v>0.4</v>
          </cell>
          <cell r="AQ10" t="str">
            <v>BTNN 4 oá</v>
          </cell>
          <cell r="AR10" t="str">
            <v>0x4</v>
          </cell>
        </row>
        <row r="12">
          <cell r="AD12" t="str">
            <v>BTNN2O</v>
          </cell>
          <cell r="AE12">
            <v>0.8</v>
          </cell>
          <cell r="AF12">
            <v>0.6</v>
          </cell>
          <cell r="AG12">
            <v>1</v>
          </cell>
          <cell r="AH12">
            <v>0.2</v>
          </cell>
          <cell r="AJ12">
            <v>0.1</v>
          </cell>
          <cell r="AK12">
            <v>0.5</v>
          </cell>
          <cell r="AL12">
            <v>79</v>
          </cell>
          <cell r="AN12">
            <v>0.4</v>
          </cell>
          <cell r="AO12">
            <v>0.4</v>
          </cell>
          <cell r="AQ12" t="str">
            <v>BTNN 2 oáng</v>
          </cell>
          <cell r="AR12" t="str">
            <v>0x4</v>
          </cell>
        </row>
        <row r="14">
          <cell r="AD14" t="str">
            <v>BTNN1O</v>
          </cell>
          <cell r="AE14">
            <v>0.6</v>
          </cell>
          <cell r="AF14">
            <v>0.4</v>
          </cell>
          <cell r="AG14">
            <v>1</v>
          </cell>
          <cell r="AH14">
            <v>0.2</v>
          </cell>
          <cell r="AJ14">
            <v>0.1</v>
          </cell>
          <cell r="AK14">
            <v>0.5</v>
          </cell>
          <cell r="AL14">
            <v>421.00000000000006</v>
          </cell>
          <cell r="AN14">
            <v>0.2</v>
          </cell>
          <cell r="AO14">
            <v>0.4</v>
          </cell>
          <cell r="AQ14" t="str">
            <v>BTNN 1oáng</v>
          </cell>
          <cell r="AR14" t="str">
            <v>0x4</v>
          </cell>
        </row>
        <row r="16">
          <cell r="AD16" t="str">
            <v>BTNN1OD</v>
          </cell>
          <cell r="AE16">
            <v>0.6</v>
          </cell>
          <cell r="AF16">
            <v>0.4</v>
          </cell>
          <cell r="AG16">
            <v>1</v>
          </cell>
          <cell r="AH16">
            <v>0.2</v>
          </cell>
          <cell r="AJ16">
            <v>0.1</v>
          </cell>
          <cell r="AK16">
            <v>0.5</v>
          </cell>
          <cell r="AL16">
            <v>17</v>
          </cell>
          <cell r="AN16">
            <v>0.2</v>
          </cell>
          <cell r="AO16">
            <v>0.4</v>
          </cell>
          <cell r="AQ16" t="str">
            <v>BTNN 1oáng</v>
          </cell>
          <cell r="AR16" t="str">
            <v>0x4</v>
          </cell>
        </row>
        <row r="18">
          <cell r="AD18" t="str">
            <v>BTNN2D</v>
          </cell>
          <cell r="AE18">
            <v>1.45</v>
          </cell>
          <cell r="AF18">
            <v>1.25</v>
          </cell>
          <cell r="AG18">
            <v>1</v>
          </cell>
          <cell r="AH18">
            <v>0.2</v>
          </cell>
          <cell r="AJ18">
            <v>0.1</v>
          </cell>
          <cell r="AK18">
            <v>0.5</v>
          </cell>
          <cell r="AL18">
            <v>244</v>
          </cell>
          <cell r="AN18">
            <v>0.4</v>
          </cell>
          <cell r="AO18">
            <v>0.4</v>
          </cell>
          <cell r="AQ18" t="str">
            <v>BTNN 2sôïi</v>
          </cell>
          <cell r="AR18" t="str">
            <v>0x4</v>
          </cell>
        </row>
        <row r="20">
          <cell r="AD20" t="str">
            <v>BTNN1D</v>
          </cell>
          <cell r="AE20">
            <v>0.75</v>
          </cell>
          <cell r="AF20">
            <v>0.55000000000000004</v>
          </cell>
          <cell r="AG20">
            <v>1</v>
          </cell>
          <cell r="AH20">
            <v>0.2</v>
          </cell>
          <cell r="AJ20">
            <v>0.1</v>
          </cell>
          <cell r="AK20">
            <v>0.5</v>
          </cell>
          <cell r="AL20">
            <v>630.5</v>
          </cell>
          <cell r="AN20">
            <v>0.2</v>
          </cell>
          <cell r="AO20">
            <v>0.4</v>
          </cell>
          <cell r="AQ20" t="str">
            <v>BTNN 1sôïi</v>
          </cell>
          <cell r="AR20" t="str">
            <v>0x4</v>
          </cell>
        </row>
        <row r="22">
          <cell r="AD22" t="str">
            <v>BTNN2</v>
          </cell>
          <cell r="AE22">
            <v>0.75</v>
          </cell>
          <cell r="AF22">
            <v>0.55000000000000004</v>
          </cell>
          <cell r="AG22">
            <v>1</v>
          </cell>
          <cell r="AH22">
            <v>0.2</v>
          </cell>
          <cell r="AJ22">
            <v>0.1</v>
          </cell>
          <cell r="AK22">
            <v>0.5</v>
          </cell>
          <cell r="AL22">
            <v>304</v>
          </cell>
          <cell r="AN22">
            <v>0.4</v>
          </cell>
          <cell r="AO22">
            <v>0.4</v>
          </cell>
          <cell r="AQ22" t="str">
            <v>BTNN 2sôïi</v>
          </cell>
          <cell r="AR22" t="str">
            <v>0x4</v>
          </cell>
        </row>
        <row r="24">
          <cell r="AD24" t="str">
            <v>BTNN1</v>
          </cell>
          <cell r="AE24">
            <v>0.6</v>
          </cell>
          <cell r="AF24">
            <v>0.4</v>
          </cell>
          <cell r="AG24">
            <v>1</v>
          </cell>
          <cell r="AH24">
            <v>0.2</v>
          </cell>
          <cell r="AJ24">
            <v>0.1</v>
          </cell>
          <cell r="AL24">
            <v>1436.4</v>
          </cell>
          <cell r="AN24">
            <v>0.2</v>
          </cell>
          <cell r="AO24">
            <v>0.4</v>
          </cell>
          <cell r="AQ24" t="str">
            <v>BTNN 1sôïi</v>
          </cell>
          <cell r="AR24" t="str">
            <v>0x4</v>
          </cell>
        </row>
        <row r="26">
          <cell r="AD26" t="str">
            <v>BTCL3O</v>
          </cell>
          <cell r="AE26">
            <v>1.05</v>
          </cell>
          <cell r="AF26">
            <v>0.85</v>
          </cell>
          <cell r="AG26">
            <v>1</v>
          </cell>
          <cell r="AH26">
            <v>0.2</v>
          </cell>
          <cell r="AI26">
            <v>0.12</v>
          </cell>
          <cell r="AJ26">
            <v>0.12</v>
          </cell>
          <cell r="AL26">
            <v>5</v>
          </cell>
          <cell r="AN26">
            <v>0.6</v>
          </cell>
          <cell r="AO26">
            <v>0.4</v>
          </cell>
          <cell r="AQ26" t="str">
            <v>BTCL 3oáng</v>
          </cell>
          <cell r="AR26" t="str">
            <v>0x4</v>
          </cell>
        </row>
        <row r="28">
          <cell r="AD28" t="str">
            <v>BTCL2O</v>
          </cell>
          <cell r="AE28">
            <v>0.8</v>
          </cell>
          <cell r="AF28">
            <v>0.6</v>
          </cell>
          <cell r="AG28">
            <v>1</v>
          </cell>
          <cell r="AH28">
            <v>0.2</v>
          </cell>
          <cell r="AI28">
            <v>0.12</v>
          </cell>
          <cell r="AJ28">
            <v>0.12</v>
          </cell>
          <cell r="AL28">
            <v>0</v>
          </cell>
          <cell r="AN28">
            <v>0.4</v>
          </cell>
          <cell r="AO28">
            <v>0.4</v>
          </cell>
          <cell r="AQ28" t="str">
            <v>BTCL 2oáng</v>
          </cell>
          <cell r="AR28" t="str">
            <v>0x4</v>
          </cell>
        </row>
        <row r="30">
          <cell r="AD30" t="str">
            <v>BCLT4</v>
          </cell>
          <cell r="AE30">
            <v>1.45</v>
          </cell>
          <cell r="AF30">
            <v>1.25</v>
          </cell>
          <cell r="AG30">
            <v>1</v>
          </cell>
          <cell r="AH30">
            <v>0.2</v>
          </cell>
          <cell r="AI30">
            <v>0.12</v>
          </cell>
          <cell r="AJ30">
            <v>0.12</v>
          </cell>
          <cell r="AK30">
            <v>0.52</v>
          </cell>
          <cell r="AL30">
            <v>0</v>
          </cell>
          <cell r="AN30">
            <v>0.8</v>
          </cell>
          <cell r="AO30">
            <v>0.4</v>
          </cell>
          <cell r="AQ30" t="str">
            <v>BTCL Traïm4s</v>
          </cell>
          <cell r="AR30" t="str">
            <v>0x4</v>
          </cell>
        </row>
        <row r="32">
          <cell r="AD32" t="str">
            <v>BCLT3</v>
          </cell>
          <cell r="AE32">
            <v>1.1000000000000001</v>
          </cell>
          <cell r="AF32">
            <v>0.9</v>
          </cell>
          <cell r="AG32">
            <v>1</v>
          </cell>
          <cell r="AH32">
            <v>0.2</v>
          </cell>
          <cell r="AI32">
            <v>0.12</v>
          </cell>
          <cell r="AJ32">
            <v>0.12</v>
          </cell>
          <cell r="AK32">
            <v>0.52</v>
          </cell>
          <cell r="AL32">
            <v>3</v>
          </cell>
          <cell r="AN32">
            <v>0.6</v>
          </cell>
          <cell r="AO32">
            <v>0.4</v>
          </cell>
          <cell r="AQ32" t="str">
            <v>BTCL Traïm3s</v>
          </cell>
          <cell r="AR32" t="str">
            <v>0x4</v>
          </cell>
        </row>
        <row r="34">
          <cell r="AD34" t="str">
            <v>BTCL2</v>
          </cell>
          <cell r="AE34">
            <v>0.75</v>
          </cell>
          <cell r="AF34">
            <v>0.55000000000000004</v>
          </cell>
          <cell r="AG34">
            <v>1</v>
          </cell>
          <cell r="AH34">
            <v>0.2</v>
          </cell>
          <cell r="AI34">
            <v>0.12</v>
          </cell>
          <cell r="AJ34">
            <v>0.12</v>
          </cell>
          <cell r="AK34">
            <v>0.52</v>
          </cell>
          <cell r="AL34">
            <v>0</v>
          </cell>
          <cell r="AN34">
            <v>0.4</v>
          </cell>
          <cell r="AO34">
            <v>0.4</v>
          </cell>
          <cell r="AQ34" t="str">
            <v>BTCL 2sôïi</v>
          </cell>
          <cell r="AR34" t="str">
            <v>0x4</v>
          </cell>
        </row>
        <row r="36">
          <cell r="AD36" t="str">
            <v>BCLT2</v>
          </cell>
          <cell r="AE36">
            <v>0.75</v>
          </cell>
          <cell r="AF36">
            <v>0.55000000000000004</v>
          </cell>
          <cell r="AG36">
            <v>1</v>
          </cell>
          <cell r="AH36">
            <v>0.2</v>
          </cell>
          <cell r="AI36">
            <v>0.12</v>
          </cell>
          <cell r="AJ36">
            <v>0.12</v>
          </cell>
          <cell r="AK36">
            <v>0.52</v>
          </cell>
          <cell r="AL36">
            <v>24</v>
          </cell>
          <cell r="AN36">
            <v>0.4</v>
          </cell>
          <cell r="AO36">
            <v>0.4</v>
          </cell>
          <cell r="AQ36" t="str">
            <v>BTCL Traïm2s</v>
          </cell>
          <cell r="AR36" t="str">
            <v>0x4</v>
          </cell>
        </row>
        <row r="38">
          <cell r="AD38" t="str">
            <v>BTCL1O</v>
          </cell>
          <cell r="AE38">
            <v>0.6</v>
          </cell>
          <cell r="AF38">
            <v>0.4</v>
          </cell>
          <cell r="AG38">
            <v>1</v>
          </cell>
          <cell r="AH38">
            <v>0.2</v>
          </cell>
          <cell r="AI38">
            <v>0.12</v>
          </cell>
          <cell r="AJ38">
            <v>0.12</v>
          </cell>
          <cell r="AK38">
            <v>0.52</v>
          </cell>
          <cell r="AL38">
            <v>63.3</v>
          </cell>
          <cell r="AN38">
            <v>0.2</v>
          </cell>
          <cell r="AO38">
            <v>0.4</v>
          </cell>
          <cell r="AQ38" t="str">
            <v>BTCL 1oá</v>
          </cell>
          <cell r="AR38" t="str">
            <v>0x4</v>
          </cell>
        </row>
        <row r="40">
          <cell r="AD40" t="str">
            <v>BCLT1</v>
          </cell>
          <cell r="AE40">
            <v>0.6</v>
          </cell>
          <cell r="AF40">
            <v>0.4</v>
          </cell>
          <cell r="AG40">
            <v>1</v>
          </cell>
          <cell r="AH40">
            <v>0.2</v>
          </cell>
          <cell r="AI40">
            <v>0.12</v>
          </cell>
          <cell r="AJ40">
            <v>0.12</v>
          </cell>
          <cell r="AK40">
            <v>0.52</v>
          </cell>
          <cell r="AL40">
            <v>21</v>
          </cell>
          <cell r="AN40">
            <v>0.2</v>
          </cell>
          <cell r="AO40">
            <v>0.4</v>
          </cell>
          <cell r="AQ40" t="str">
            <v>BTCL Traïm1S</v>
          </cell>
          <cell r="AR40" t="str">
            <v>0x4</v>
          </cell>
        </row>
        <row r="42">
          <cell r="AD42" t="str">
            <v>BTCL1</v>
          </cell>
          <cell r="AE42">
            <v>0.6</v>
          </cell>
          <cell r="AF42">
            <v>0.4</v>
          </cell>
          <cell r="AG42">
            <v>1</v>
          </cell>
          <cell r="AH42">
            <v>0.2</v>
          </cell>
          <cell r="AI42">
            <v>0.12</v>
          </cell>
          <cell r="AJ42">
            <v>0.12</v>
          </cell>
          <cell r="AK42">
            <v>0.52</v>
          </cell>
          <cell r="AL42">
            <v>0</v>
          </cell>
          <cell r="AN42">
            <v>0.2</v>
          </cell>
          <cell r="AO42">
            <v>0.4</v>
          </cell>
          <cell r="AQ42" t="str">
            <v>BTCL 1S</v>
          </cell>
          <cell r="AR42" t="str">
            <v>0x4</v>
          </cell>
        </row>
        <row r="44">
          <cell r="AD44" t="str">
            <v>BT3</v>
          </cell>
          <cell r="AE44">
            <v>1.1000000000000001</v>
          </cell>
          <cell r="AF44">
            <v>0.9</v>
          </cell>
          <cell r="AG44">
            <v>1</v>
          </cell>
          <cell r="AH44">
            <v>0.2</v>
          </cell>
          <cell r="AI44">
            <v>0.06</v>
          </cell>
          <cell r="AJ44">
            <v>0.06</v>
          </cell>
          <cell r="AK44">
            <v>0.5</v>
          </cell>
          <cell r="AL44">
            <v>0</v>
          </cell>
          <cell r="AM44">
            <v>0.26</v>
          </cell>
          <cell r="AN44">
            <v>0.6</v>
          </cell>
          <cell r="AO44">
            <v>0.2</v>
          </cell>
          <cell r="AQ44" t="str">
            <v>BT ñaù 1x2 3s</v>
          </cell>
          <cell r="AR44" t="str">
            <v>4x6</v>
          </cell>
        </row>
        <row r="46">
          <cell r="AD46" t="str">
            <v>BT2</v>
          </cell>
          <cell r="AE46">
            <v>0.75</v>
          </cell>
          <cell r="AF46">
            <v>0.55000000000000004</v>
          </cell>
          <cell r="AG46">
            <v>1</v>
          </cell>
          <cell r="AH46">
            <v>0.2</v>
          </cell>
          <cell r="AI46">
            <v>0.06</v>
          </cell>
          <cell r="AJ46">
            <v>0.06</v>
          </cell>
          <cell r="AK46">
            <v>0.5</v>
          </cell>
          <cell r="AL46">
            <v>58</v>
          </cell>
          <cell r="AM46">
            <v>0.26</v>
          </cell>
          <cell r="AN46">
            <v>0.4</v>
          </cell>
          <cell r="AO46">
            <v>0.2</v>
          </cell>
          <cell r="AQ46" t="str">
            <v>BT ñaù 1x2 2s</v>
          </cell>
          <cell r="AR46" t="str">
            <v>4x6</v>
          </cell>
        </row>
        <row r="48">
          <cell r="AD48" t="str">
            <v>BT1</v>
          </cell>
          <cell r="AE48">
            <v>0.6</v>
          </cell>
          <cell r="AF48">
            <v>0.4</v>
          </cell>
          <cell r="AG48">
            <v>1</v>
          </cell>
          <cell r="AH48">
            <v>0.2</v>
          </cell>
          <cell r="AI48">
            <v>0.06</v>
          </cell>
          <cell r="AJ48">
            <v>0.06</v>
          </cell>
          <cell r="AK48">
            <v>0.5</v>
          </cell>
          <cell r="AL48">
            <v>615</v>
          </cell>
          <cell r="AM48">
            <v>0.26</v>
          </cell>
          <cell r="AN48">
            <v>0.2</v>
          </cell>
          <cell r="AO48">
            <v>0.2</v>
          </cell>
          <cell r="AQ48" t="str">
            <v>BT ñaù 1x2 1s</v>
          </cell>
          <cell r="AR48" t="str">
            <v>4x6</v>
          </cell>
        </row>
        <row r="50">
          <cell r="AD50" t="str">
            <v>CS2O</v>
          </cell>
          <cell r="AE50">
            <v>0.8</v>
          </cell>
          <cell r="AF50">
            <v>0.6</v>
          </cell>
          <cell r="AG50">
            <v>1</v>
          </cell>
          <cell r="AH50">
            <v>0.2</v>
          </cell>
          <cell r="AI50">
            <v>0.05</v>
          </cell>
          <cell r="AJ50">
            <v>0.05</v>
          </cell>
          <cell r="AK50">
            <v>0.5</v>
          </cell>
          <cell r="AL50">
            <v>0</v>
          </cell>
          <cell r="AM50">
            <v>0.33</v>
          </cell>
          <cell r="AN50">
            <v>0.4</v>
          </cell>
          <cell r="AO50">
            <v>0.2</v>
          </cell>
          <cell r="AQ50" t="str">
            <v>Gaïch Csaâu2oá</v>
          </cell>
          <cell r="AR50" t="str">
            <v>4x6</v>
          </cell>
        </row>
        <row r="52">
          <cell r="AD52" t="str">
            <v>CS2</v>
          </cell>
          <cell r="AE52">
            <v>0.75</v>
          </cell>
          <cell r="AF52">
            <v>0.55000000000000004</v>
          </cell>
          <cell r="AG52">
            <v>1</v>
          </cell>
          <cell r="AH52">
            <v>0.2</v>
          </cell>
          <cell r="AI52">
            <v>0.05</v>
          </cell>
          <cell r="AJ52">
            <v>0.05</v>
          </cell>
          <cell r="AK52">
            <v>0.5</v>
          </cell>
          <cell r="AL52">
            <v>0</v>
          </cell>
          <cell r="AM52">
            <v>0.33</v>
          </cell>
          <cell r="AN52">
            <v>0.4</v>
          </cell>
          <cell r="AO52">
            <v>0.2</v>
          </cell>
          <cell r="AQ52" t="str">
            <v>Gaïch Csaâu2s</v>
          </cell>
          <cell r="AR52" t="str">
            <v>4x6</v>
          </cell>
        </row>
        <row r="54">
          <cell r="AD54" t="str">
            <v>CS1O</v>
          </cell>
          <cell r="AE54">
            <v>0.6</v>
          </cell>
          <cell r="AF54">
            <v>0.4</v>
          </cell>
          <cell r="AG54">
            <v>1</v>
          </cell>
          <cell r="AH54">
            <v>0.2</v>
          </cell>
          <cell r="AI54">
            <v>0.05</v>
          </cell>
          <cell r="AJ54">
            <v>0.05</v>
          </cell>
          <cell r="AK54">
            <v>0.5</v>
          </cell>
          <cell r="AL54">
            <v>0</v>
          </cell>
          <cell r="AM54">
            <v>0.33</v>
          </cell>
          <cell r="AN54">
            <v>0.2</v>
          </cell>
          <cell r="AO54">
            <v>0.2</v>
          </cell>
          <cell r="AQ54" t="str">
            <v>Gaïch Csaâu1oá</v>
          </cell>
          <cell r="AR54" t="str">
            <v>4x6</v>
          </cell>
        </row>
        <row r="56">
          <cell r="AD56" t="str">
            <v>CS1</v>
          </cell>
          <cell r="AE56">
            <v>0.6</v>
          </cell>
          <cell r="AF56">
            <v>0.4</v>
          </cell>
          <cell r="AG56">
            <v>1</v>
          </cell>
          <cell r="AH56">
            <v>0.2</v>
          </cell>
          <cell r="AI56">
            <v>0.05</v>
          </cell>
          <cell r="AJ56">
            <v>0.05</v>
          </cell>
          <cell r="AK56">
            <v>0.5</v>
          </cell>
          <cell r="AL56">
            <v>0</v>
          </cell>
          <cell r="AM56">
            <v>0.33</v>
          </cell>
          <cell r="AN56">
            <v>0.2</v>
          </cell>
          <cell r="AO56">
            <v>0.2</v>
          </cell>
          <cell r="AQ56" t="str">
            <v>Gaïch Csaâu1s</v>
          </cell>
          <cell r="AR56" t="str">
            <v>4x6</v>
          </cell>
        </row>
        <row r="58">
          <cell r="AD58" t="str">
            <v>SR2O</v>
          </cell>
          <cell r="AE58">
            <v>0.8</v>
          </cell>
          <cell r="AF58">
            <v>0.6</v>
          </cell>
          <cell r="AG58">
            <v>1</v>
          </cell>
          <cell r="AH58">
            <v>0.2</v>
          </cell>
          <cell r="AI58">
            <v>0.05</v>
          </cell>
          <cell r="AJ58">
            <v>0.05</v>
          </cell>
          <cell r="AK58">
            <v>0.5</v>
          </cell>
          <cell r="AL58">
            <v>0</v>
          </cell>
          <cell r="AM58">
            <v>0.27</v>
          </cell>
          <cell r="AN58">
            <v>0.4</v>
          </cell>
          <cell r="AO58">
            <v>0.2</v>
          </cell>
          <cell r="AQ58" t="str">
            <v>Soûi röûa 2oá</v>
          </cell>
          <cell r="AR58" t="str">
            <v>4x6</v>
          </cell>
        </row>
        <row r="60">
          <cell r="AD60" t="str">
            <v>SR1O</v>
          </cell>
          <cell r="AE60">
            <v>0.6</v>
          </cell>
          <cell r="AF60">
            <v>0.4</v>
          </cell>
          <cell r="AG60">
            <v>1</v>
          </cell>
          <cell r="AH60">
            <v>0.2</v>
          </cell>
          <cell r="AI60">
            <v>0.05</v>
          </cell>
          <cell r="AJ60">
            <v>0.05</v>
          </cell>
          <cell r="AK60">
            <v>0.5</v>
          </cell>
          <cell r="AL60">
            <v>0</v>
          </cell>
          <cell r="AM60">
            <v>0.27</v>
          </cell>
          <cell r="AN60">
            <v>0.2</v>
          </cell>
          <cell r="AO60">
            <v>0.2</v>
          </cell>
          <cell r="AQ60" t="str">
            <v>Soûi röûa 1oá</v>
          </cell>
          <cell r="AR60" t="str">
            <v>4x6</v>
          </cell>
        </row>
        <row r="62">
          <cell r="AD62" t="str">
            <v>SR2</v>
          </cell>
          <cell r="AE62">
            <v>0.75</v>
          </cell>
          <cell r="AF62">
            <v>0.55000000000000004</v>
          </cell>
          <cell r="AG62">
            <v>1</v>
          </cell>
          <cell r="AH62">
            <v>0.2</v>
          </cell>
          <cell r="AI62">
            <v>0.05</v>
          </cell>
          <cell r="AJ62">
            <v>0.05</v>
          </cell>
          <cell r="AK62">
            <v>0.5</v>
          </cell>
          <cell r="AL62">
            <v>0</v>
          </cell>
          <cell r="AM62">
            <v>0.27</v>
          </cell>
          <cell r="AN62">
            <v>0.4</v>
          </cell>
          <cell r="AO62">
            <v>0.2</v>
          </cell>
          <cell r="AQ62" t="str">
            <v>Soûi röûa 2s</v>
          </cell>
          <cell r="AR62" t="str">
            <v>4x6</v>
          </cell>
        </row>
        <row r="64">
          <cell r="AD64" t="str">
            <v>SR1</v>
          </cell>
          <cell r="AE64">
            <v>0.6</v>
          </cell>
          <cell r="AF64">
            <v>0.4</v>
          </cell>
          <cell r="AG64">
            <v>1</v>
          </cell>
          <cell r="AH64">
            <v>0.2</v>
          </cell>
          <cell r="AI64">
            <v>0.05</v>
          </cell>
          <cell r="AJ64">
            <v>0.05</v>
          </cell>
          <cell r="AK64">
            <v>0.5</v>
          </cell>
          <cell r="AL64">
            <v>19.699999999999989</v>
          </cell>
          <cell r="AM64">
            <v>0.27</v>
          </cell>
          <cell r="AN64">
            <v>0.2</v>
          </cell>
          <cell r="AO64">
            <v>0.2</v>
          </cell>
          <cell r="AQ64" t="str">
            <v>Soûi röûa 1s</v>
          </cell>
          <cell r="AR64" t="str">
            <v>4x6</v>
          </cell>
        </row>
        <row r="66">
          <cell r="AD66" t="str">
            <v>GB2O</v>
          </cell>
          <cell r="AE66">
            <v>0.8</v>
          </cell>
          <cell r="AF66">
            <v>0.6</v>
          </cell>
          <cell r="AG66">
            <v>1</v>
          </cell>
          <cell r="AH66">
            <v>0.2</v>
          </cell>
          <cell r="AI66">
            <v>0.05</v>
          </cell>
          <cell r="AJ66">
            <v>0.05</v>
          </cell>
          <cell r="AK66">
            <v>0.5</v>
          </cell>
          <cell r="AL66">
            <v>0</v>
          </cell>
          <cell r="AM66">
            <v>0.29000000000000004</v>
          </cell>
          <cell r="AN66">
            <v>0.4</v>
          </cell>
          <cell r="AO66">
            <v>0.2</v>
          </cell>
          <cell r="AQ66" t="str">
            <v>Gaïch XM 2oá</v>
          </cell>
          <cell r="AR66" t="str">
            <v>4x6</v>
          </cell>
        </row>
        <row r="68">
          <cell r="AD68" t="str">
            <v>GB1O</v>
          </cell>
          <cell r="AE68">
            <v>0.6</v>
          </cell>
          <cell r="AF68">
            <v>0.4</v>
          </cell>
          <cell r="AG68">
            <v>1</v>
          </cell>
          <cell r="AH68">
            <v>0.2</v>
          </cell>
          <cell r="AI68">
            <v>0.05</v>
          </cell>
          <cell r="AJ68">
            <v>0.05</v>
          </cell>
          <cell r="AK68">
            <v>0.5</v>
          </cell>
          <cell r="AL68">
            <v>21</v>
          </cell>
          <cell r="AM68">
            <v>0.29000000000000004</v>
          </cell>
          <cell r="AN68">
            <v>0.2</v>
          </cell>
          <cell r="AO68">
            <v>0.2</v>
          </cell>
          <cell r="AQ68" t="str">
            <v>Gaïch XM 1oá</v>
          </cell>
          <cell r="AR68" t="str">
            <v>4x6</v>
          </cell>
        </row>
        <row r="70">
          <cell r="AD70" t="str">
            <v>GB3</v>
          </cell>
          <cell r="AE70">
            <v>1.1000000000000001</v>
          </cell>
          <cell r="AF70">
            <v>0.9</v>
          </cell>
          <cell r="AG70">
            <v>1</v>
          </cell>
          <cell r="AH70">
            <v>0.2</v>
          </cell>
          <cell r="AI70">
            <v>0.05</v>
          </cell>
          <cell r="AJ70">
            <v>0.05</v>
          </cell>
          <cell r="AK70">
            <v>0.5</v>
          </cell>
          <cell r="AL70">
            <v>91</v>
          </cell>
          <cell r="AM70">
            <v>0.29000000000000004</v>
          </cell>
          <cell r="AN70">
            <v>0.6</v>
          </cell>
          <cell r="AO70">
            <v>0.2</v>
          </cell>
          <cell r="AQ70" t="str">
            <v>Gaïch XM 3s</v>
          </cell>
          <cell r="AR70" t="str">
            <v>4x6</v>
          </cell>
        </row>
        <row r="72">
          <cell r="AD72" t="str">
            <v>GB2</v>
          </cell>
          <cell r="AE72">
            <v>0.75</v>
          </cell>
          <cell r="AF72">
            <v>0.55000000000000004</v>
          </cell>
          <cell r="AG72">
            <v>1</v>
          </cell>
          <cell r="AH72">
            <v>0.2</v>
          </cell>
          <cell r="AI72">
            <v>0.05</v>
          </cell>
          <cell r="AJ72">
            <v>0.05</v>
          </cell>
          <cell r="AK72">
            <v>0.5</v>
          </cell>
          <cell r="AL72">
            <v>256</v>
          </cell>
          <cell r="AM72">
            <v>0.29000000000000004</v>
          </cell>
          <cell r="AN72">
            <v>0.4</v>
          </cell>
          <cell r="AO72">
            <v>0.2</v>
          </cell>
          <cell r="AQ72" t="str">
            <v>Gaïch XM 2s</v>
          </cell>
          <cell r="AR72" t="str">
            <v>4x6</v>
          </cell>
        </row>
        <row r="74">
          <cell r="AD74" t="str">
            <v>GB1</v>
          </cell>
          <cell r="AE74">
            <v>0.6</v>
          </cell>
          <cell r="AF74">
            <v>0.4</v>
          </cell>
          <cell r="AG74">
            <v>1</v>
          </cell>
          <cell r="AH74">
            <v>0.2</v>
          </cell>
          <cell r="AI74">
            <v>0.05</v>
          </cell>
          <cell r="AJ74">
            <v>0.05</v>
          </cell>
          <cell r="AK74">
            <v>0.5</v>
          </cell>
          <cell r="AL74">
            <v>1419.5</v>
          </cell>
          <cell r="AM74">
            <v>0.29000000000000004</v>
          </cell>
          <cell r="AN74">
            <v>0.2</v>
          </cell>
          <cell r="AO74">
            <v>0.2</v>
          </cell>
          <cell r="AQ74" t="str">
            <v>Gaïch XM 1s</v>
          </cell>
          <cell r="AR74" t="str">
            <v>4x6</v>
          </cell>
        </row>
        <row r="76">
          <cell r="AD76" t="str">
            <v>CERAMIC2O</v>
          </cell>
          <cell r="AE76">
            <v>0.8</v>
          </cell>
          <cell r="AF76">
            <v>0.6</v>
          </cell>
          <cell r="AG76">
            <v>1</v>
          </cell>
          <cell r="AH76">
            <v>0.2</v>
          </cell>
          <cell r="AI76">
            <v>0.05</v>
          </cell>
          <cell r="AJ76">
            <v>0.05</v>
          </cell>
          <cell r="AK76">
            <v>0.5</v>
          </cell>
          <cell r="AL76">
            <v>0</v>
          </cell>
          <cell r="AM76">
            <v>0.29000000000000004</v>
          </cell>
          <cell r="AN76">
            <v>0.4</v>
          </cell>
          <cell r="AO76">
            <v>0.2</v>
          </cell>
          <cell r="AQ76" t="str">
            <v>Ceramic 2oá</v>
          </cell>
          <cell r="AR76" t="str">
            <v>4x6</v>
          </cell>
        </row>
        <row r="78">
          <cell r="AD78" t="str">
            <v>CERAMIC1</v>
          </cell>
          <cell r="AE78">
            <v>0.6</v>
          </cell>
          <cell r="AF78">
            <v>0.4</v>
          </cell>
          <cell r="AG78">
            <v>1</v>
          </cell>
          <cell r="AH78">
            <v>0.2</v>
          </cell>
          <cell r="AI78">
            <v>0.05</v>
          </cell>
          <cell r="AJ78">
            <v>0.05</v>
          </cell>
          <cell r="AK78">
            <v>0.5</v>
          </cell>
          <cell r="AL78">
            <v>8</v>
          </cell>
          <cell r="AM78">
            <v>0.29000000000000004</v>
          </cell>
          <cell r="AN78">
            <v>0.2</v>
          </cell>
          <cell r="AO78">
            <v>0.2</v>
          </cell>
          <cell r="AQ78" t="str">
            <v>Ceramic 1s</v>
          </cell>
          <cell r="AR78" t="str">
            <v>4x6</v>
          </cell>
        </row>
        <row r="80">
          <cell r="AD80" t="str">
            <v>CVIEN1</v>
          </cell>
          <cell r="AE80">
            <v>0.6</v>
          </cell>
          <cell r="AF80">
            <v>0.4</v>
          </cell>
          <cell r="AG80">
            <v>1</v>
          </cell>
          <cell r="AH80">
            <v>0.2</v>
          </cell>
          <cell r="AI80">
            <v>0.05</v>
          </cell>
          <cell r="AJ80">
            <v>0.05</v>
          </cell>
          <cell r="AK80">
            <v>0.5</v>
          </cell>
          <cell r="AL80">
            <v>3</v>
          </cell>
          <cell r="AM80">
            <v>0.29000000000000004</v>
          </cell>
          <cell r="AN80">
            <v>0.2</v>
          </cell>
          <cell r="AO80">
            <v>0.2</v>
          </cell>
          <cell r="AQ80" t="str">
            <v>Coâng vieân 1s</v>
          </cell>
          <cell r="AR80" t="str">
            <v>4x6</v>
          </cell>
        </row>
        <row r="82">
          <cell r="AD82" t="str">
            <v>DA2</v>
          </cell>
          <cell r="AE82">
            <v>0.7</v>
          </cell>
          <cell r="AF82">
            <v>0.55000000000000004</v>
          </cell>
          <cell r="AG82">
            <v>1</v>
          </cell>
          <cell r="AH82">
            <v>0.15</v>
          </cell>
          <cell r="AI82">
            <v>0.05</v>
          </cell>
          <cell r="AJ82">
            <v>0.05</v>
          </cell>
          <cell r="AK82">
            <v>0.5</v>
          </cell>
          <cell r="AL82">
            <v>2</v>
          </cell>
          <cell r="AM82">
            <v>0.29000000000000004</v>
          </cell>
          <cell r="AN82">
            <v>0.4</v>
          </cell>
          <cell r="AO82">
            <v>0.2</v>
          </cell>
          <cell r="AQ82" t="str">
            <v>Ñaù  2sôïi</v>
          </cell>
          <cell r="AR82" t="str">
            <v>4x6</v>
          </cell>
        </row>
        <row r="84">
          <cell r="AD84" t="str">
            <v>DA1</v>
          </cell>
          <cell r="AE84">
            <v>0.6</v>
          </cell>
          <cell r="AF84">
            <v>0.4</v>
          </cell>
          <cell r="AG84">
            <v>1</v>
          </cell>
          <cell r="AH84">
            <v>0.2</v>
          </cell>
          <cell r="AI84">
            <v>0.05</v>
          </cell>
          <cell r="AJ84">
            <v>0.05</v>
          </cell>
          <cell r="AK84">
            <v>0.5</v>
          </cell>
          <cell r="AL84">
            <v>912.1</v>
          </cell>
          <cell r="AM84">
            <v>0.29000000000000004</v>
          </cell>
          <cell r="AN84">
            <v>0.2</v>
          </cell>
          <cell r="AO84">
            <v>0.2</v>
          </cell>
          <cell r="AQ84" t="str">
            <v>Ñaù  1s</v>
          </cell>
          <cell r="AR84" t="str">
            <v>4x6</v>
          </cell>
        </row>
        <row r="86">
          <cell r="AL86">
            <v>6653.5</v>
          </cell>
        </row>
        <row r="88">
          <cell r="AD88" t="str">
            <v>HAM</v>
          </cell>
          <cell r="AE88">
            <v>1.4</v>
          </cell>
          <cell r="AF88">
            <v>1.4</v>
          </cell>
          <cell r="AG88">
            <v>1.1000000000000001</v>
          </cell>
          <cell r="AH88">
            <v>0</v>
          </cell>
          <cell r="AI88">
            <v>0.05</v>
          </cell>
          <cell r="AJ88">
            <v>0.1</v>
          </cell>
          <cell r="AK88">
            <v>0.5</v>
          </cell>
          <cell r="AL88">
            <v>14</v>
          </cell>
          <cell r="AM88">
            <v>0.26</v>
          </cell>
          <cell r="AO88">
            <v>0.2</v>
          </cell>
          <cell r="AQ88" t="str">
            <v>Haàm caùp</v>
          </cell>
          <cell r="AR88" t="str">
            <v>4x6</v>
          </cell>
        </row>
        <row r="90">
          <cell r="AD90" t="str">
            <v>HAMD</v>
          </cell>
          <cell r="AE90">
            <v>1.4</v>
          </cell>
          <cell r="AF90">
            <v>1.4</v>
          </cell>
          <cell r="AG90">
            <v>1.1000000000000001</v>
          </cell>
          <cell r="AH90">
            <v>0</v>
          </cell>
          <cell r="AI90">
            <v>0.05</v>
          </cell>
          <cell r="AJ90">
            <v>0.1</v>
          </cell>
          <cell r="AK90">
            <v>0.5</v>
          </cell>
          <cell r="AL90">
            <v>11</v>
          </cell>
          <cell r="AM90">
            <v>0.5</v>
          </cell>
          <cell r="AN90">
            <v>1.2</v>
          </cell>
          <cell r="AO90">
            <v>0.4</v>
          </cell>
          <cell r="AQ90" t="str">
            <v>Haàm caùp</v>
          </cell>
          <cell r="AR90" t="str">
            <v>0x4</v>
          </cell>
        </row>
        <row r="92">
          <cell r="AD92" t="str">
            <v>GIANDO1</v>
          </cell>
          <cell r="AE92">
            <v>1.4</v>
          </cell>
          <cell r="AF92">
            <v>1.4</v>
          </cell>
          <cell r="AG92">
            <v>1.1000000000000001</v>
          </cell>
          <cell r="AH92">
            <v>0</v>
          </cell>
          <cell r="AI92">
            <v>0.05</v>
          </cell>
          <cell r="AJ92">
            <v>0.1</v>
          </cell>
          <cell r="AK92">
            <v>0.5</v>
          </cell>
          <cell r="AL92">
            <v>10</v>
          </cell>
          <cell r="AN92">
            <v>1.2</v>
          </cell>
          <cell r="AO92">
            <v>0.2</v>
          </cell>
          <cell r="AQ92" t="str">
            <v>Giaøn ñôõ</v>
          </cell>
          <cell r="AR92" t="str">
            <v>4x6</v>
          </cell>
        </row>
        <row r="94">
          <cell r="AD94" t="str">
            <v>GIADO1</v>
          </cell>
          <cell r="AE94">
            <v>1.4</v>
          </cell>
          <cell r="AF94">
            <v>1.4</v>
          </cell>
          <cell r="AG94">
            <v>1.1000000000000001</v>
          </cell>
          <cell r="AH94">
            <v>0</v>
          </cell>
          <cell r="AI94">
            <v>0.05</v>
          </cell>
          <cell r="AJ94">
            <v>0.1</v>
          </cell>
          <cell r="AK94">
            <v>0.5</v>
          </cell>
          <cell r="AL94">
            <v>8</v>
          </cell>
          <cell r="AN94">
            <v>1.2</v>
          </cell>
          <cell r="AO94">
            <v>0.2</v>
          </cell>
          <cell r="AQ94" t="str">
            <v>Giaøn ñôõ</v>
          </cell>
          <cell r="AR94" t="str">
            <v>4x6</v>
          </cell>
        </row>
        <row r="96">
          <cell r="AD96" t="str">
            <v>ROBOT</v>
          </cell>
          <cell r="AL9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P-MM"/>
      <sheetName val="VP-2115"/>
      <sheetName val="VP-PT"/>
      <sheetName val="Sh"/>
      <sheetName val="Sh2"/>
      <sheetName val="Sh3"/>
      <sheetName val="Sh4"/>
      <sheetName val="Sh5"/>
      <sheetName val="Sheet9"/>
      <sheetName val="Sheet10"/>
      <sheetName val="Sheet11"/>
      <sheetName val="Sheet12"/>
      <sheetName val="XL4Poppy"/>
      <sheetName val="THOP95"/>
    </sheetNames>
    <definedNames>
      <definedName name="NToS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KU"/>
      <sheetName val="RM"/>
      <sheetName val="PM"/>
      <sheetName val="PC_LB"/>
      <sheetName val="PG_LB"/>
      <sheetName val="LAY-Small"/>
      <sheetName val="LAY-Medium"/>
      <sheetName val="LAY(old)"/>
      <sheetName val="LAY-Classic"/>
      <sheetName val="LAY-Rock"/>
      <sheetName val="LAY-Smile"/>
      <sheetName val="LAY-MIB"/>
      <sheetName val="LAY-C-Proj"/>
      <sheetName val="LAY-R-Proj"/>
      <sheetName val="FCP"/>
      <sheetName val="BCP"/>
      <sheetName val="Twisties"/>
      <sheetName val="3D's_Corn"/>
      <sheetName val="3D's_Perf"/>
      <sheetName val="Tawan"/>
      <sheetName val="Big Ben"/>
      <sheetName val="Big Ben (2)"/>
      <sheetName val="pellet_corn"/>
      <sheetName val="pellet_perf"/>
      <sheetName val="pellet_2D"/>
      <sheetName val="pellet_BigBen"/>
      <sheetName val="pellet_Cartoon"/>
      <sheetName val="Fuji"/>
      <sheetName val="Fuji (2)"/>
      <sheetName val="Soccer"/>
      <sheetName val="Soccer Shape"/>
      <sheetName val="Cartoon_3D"/>
      <sheetName val="Cartoon_3D Perf"/>
    </sheetNames>
    <sheetDataSet>
      <sheetData sheetId="0"/>
      <sheetData sheetId="1" refreshError="1">
        <row r="4">
          <cell r="A4">
            <v>11000</v>
          </cell>
          <cell r="B4" t="str">
            <v>Lay's Rock</v>
          </cell>
        </row>
        <row r="5">
          <cell r="A5">
            <v>11001</v>
          </cell>
          <cell r="B5" t="str">
            <v>Lay's Rock</v>
          </cell>
          <cell r="C5" t="str">
            <v>6 B  / 18g</v>
          </cell>
          <cell r="D5">
            <v>18</v>
          </cell>
          <cell r="E5">
            <v>120</v>
          </cell>
          <cell r="F5" t="str">
            <v xml:space="preserve">6 </v>
          </cell>
          <cell r="G5">
            <v>0.16669999999999999</v>
          </cell>
          <cell r="H5">
            <v>560.73</v>
          </cell>
          <cell r="I5">
            <v>29.7</v>
          </cell>
          <cell r="J5">
            <v>6.2</v>
          </cell>
          <cell r="K5">
            <v>15.1</v>
          </cell>
          <cell r="L5">
            <v>0.80735694257485757</v>
          </cell>
          <cell r="M5">
            <v>5.1999999999999998E-2</v>
          </cell>
          <cell r="N5">
            <v>2.5054097125782005E-3</v>
          </cell>
          <cell r="O5">
            <v>0</v>
          </cell>
          <cell r="P5">
            <v>7.0000000000000007E-2</v>
          </cell>
          <cell r="Q5">
            <v>5.1999999999999998E-2</v>
          </cell>
          <cell r="R5">
            <v>8.9999999999999993E-3</v>
          </cell>
          <cell r="S5">
            <v>3.3000000000000002E-2</v>
          </cell>
        </row>
        <row r="6">
          <cell r="A6">
            <v>11002</v>
          </cell>
          <cell r="B6" t="str">
            <v>Lay's Rock</v>
          </cell>
          <cell r="C6" t="str">
            <v>20 B / 66g</v>
          </cell>
          <cell r="D6">
            <v>66</v>
          </cell>
          <cell r="E6">
            <v>48</v>
          </cell>
          <cell r="F6" t="str">
            <v>20</v>
          </cell>
          <cell r="G6">
            <v>0.14169999999999999</v>
          </cell>
          <cell r="H6">
            <v>770.06</v>
          </cell>
          <cell r="I6">
            <v>29.7</v>
          </cell>
          <cell r="J6">
            <v>6.2</v>
          </cell>
          <cell r="K6">
            <v>15.1</v>
          </cell>
          <cell r="L6">
            <v>0.80735694257485757</v>
          </cell>
          <cell r="M6">
            <v>5.1999999999999998E-2</v>
          </cell>
          <cell r="N6">
            <v>2.5054097125782005E-3</v>
          </cell>
          <cell r="O6">
            <v>0</v>
          </cell>
          <cell r="P6">
            <v>7.0000000000000007E-2</v>
          </cell>
          <cell r="Q6">
            <v>4.2999999999999997E-2</v>
          </cell>
          <cell r="R6">
            <v>0.05</v>
          </cell>
          <cell r="S6">
            <v>0.03</v>
          </cell>
        </row>
        <row r="7">
          <cell r="A7">
            <v>11003</v>
          </cell>
          <cell r="B7" t="str">
            <v>Lay's Rock</v>
          </cell>
          <cell r="C7" t="str">
            <v>30 B / 100g</v>
          </cell>
          <cell r="D7">
            <v>100</v>
          </cell>
          <cell r="E7">
            <v>24</v>
          </cell>
          <cell r="F7" t="str">
            <v>30</v>
          </cell>
          <cell r="G7">
            <v>0.1</v>
          </cell>
          <cell r="H7">
            <v>605.61</v>
          </cell>
          <cell r="I7">
            <v>29.7</v>
          </cell>
          <cell r="J7">
            <v>6.2</v>
          </cell>
          <cell r="K7">
            <v>15.1</v>
          </cell>
          <cell r="L7">
            <v>0.80735694257485757</v>
          </cell>
          <cell r="M7">
            <v>5.1999999999999998E-2</v>
          </cell>
          <cell r="N7">
            <v>2.5054097125782005E-3</v>
          </cell>
          <cell r="O7">
            <v>0</v>
          </cell>
          <cell r="P7">
            <v>7.0000000000000007E-2</v>
          </cell>
          <cell r="Q7">
            <v>2.5999999999999999E-2</v>
          </cell>
          <cell r="R7">
            <v>0.108</v>
          </cell>
          <cell r="S7">
            <v>0.01</v>
          </cell>
        </row>
        <row r="8">
          <cell r="A8">
            <v>11004</v>
          </cell>
          <cell r="B8" t="str">
            <v>Lay's Rock</v>
          </cell>
          <cell r="C8" t="str">
            <v>42 B / 150g</v>
          </cell>
          <cell r="D8">
            <v>150</v>
          </cell>
          <cell r="E8">
            <v>18</v>
          </cell>
          <cell r="F8" t="str">
            <v>42</v>
          </cell>
          <cell r="G8">
            <v>0.1</v>
          </cell>
          <cell r="H8">
            <v>635.89</v>
          </cell>
          <cell r="I8">
            <v>29.7</v>
          </cell>
          <cell r="J8">
            <v>6.2</v>
          </cell>
          <cell r="K8">
            <v>15.1</v>
          </cell>
          <cell r="L8">
            <v>0.80735694257485757</v>
          </cell>
          <cell r="M8">
            <v>5.1999999999999998E-2</v>
          </cell>
          <cell r="N8">
            <v>2.5054097125782005E-3</v>
          </cell>
          <cell r="O8">
            <v>0</v>
          </cell>
          <cell r="P8">
            <v>7.0000000000000007E-2</v>
          </cell>
          <cell r="Q8">
            <v>0.08</v>
          </cell>
          <cell r="R8">
            <v>3.3000000000000002E-2</v>
          </cell>
          <cell r="S8">
            <v>1.2999999999999999E-2</v>
          </cell>
        </row>
        <row r="9">
          <cell r="A9">
            <v>11005</v>
          </cell>
          <cell r="B9" t="str">
            <v>Lay's Rock</v>
          </cell>
          <cell r="C9" t="str">
            <v>6 B / 21g</v>
          </cell>
          <cell r="D9">
            <v>21</v>
          </cell>
          <cell r="E9">
            <v>120</v>
          </cell>
          <cell r="F9" t="str">
            <v xml:space="preserve">6 </v>
          </cell>
          <cell r="G9">
            <v>0.16669999999999999</v>
          </cell>
          <cell r="H9">
            <v>560.73</v>
          </cell>
          <cell r="I9">
            <v>29.7</v>
          </cell>
          <cell r="J9">
            <v>6.2</v>
          </cell>
          <cell r="K9">
            <v>15.1</v>
          </cell>
          <cell r="L9">
            <v>0.80735694257485757</v>
          </cell>
          <cell r="M9">
            <v>5.1999999999999998E-2</v>
          </cell>
          <cell r="N9">
            <v>2.5054097125782005E-3</v>
          </cell>
          <cell r="O9">
            <v>0</v>
          </cell>
          <cell r="P9">
            <v>7.0000000000000007E-2</v>
          </cell>
          <cell r="Q9">
            <v>5.1999999999999998E-2</v>
          </cell>
          <cell r="R9">
            <v>8.9999999999999993E-3</v>
          </cell>
          <cell r="S9">
            <v>3.3000000000000002E-2</v>
          </cell>
        </row>
        <row r="10">
          <cell r="A10">
            <v>11006</v>
          </cell>
          <cell r="B10" t="str">
            <v>Lay's Rock</v>
          </cell>
          <cell r="C10" t="str">
            <v>20 B / 72g</v>
          </cell>
          <cell r="D10">
            <v>72</v>
          </cell>
          <cell r="E10">
            <v>48</v>
          </cell>
          <cell r="F10" t="str">
            <v>20</v>
          </cell>
          <cell r="G10">
            <v>0.14169999999999999</v>
          </cell>
          <cell r="H10">
            <v>770.06</v>
          </cell>
          <cell r="I10">
            <v>29.7</v>
          </cell>
          <cell r="J10">
            <v>6.2</v>
          </cell>
          <cell r="K10">
            <v>15.1</v>
          </cell>
          <cell r="L10">
            <v>0.80735694257485757</v>
          </cell>
          <cell r="M10">
            <v>5.1999999999999998E-2</v>
          </cell>
          <cell r="N10">
            <v>2.5054097125782005E-3</v>
          </cell>
          <cell r="O10">
            <v>0</v>
          </cell>
          <cell r="P10">
            <v>7.0000000000000007E-2</v>
          </cell>
          <cell r="Q10">
            <v>4.2999999999999997E-2</v>
          </cell>
          <cell r="R10">
            <v>0.05</v>
          </cell>
          <cell r="S10">
            <v>0.03</v>
          </cell>
        </row>
        <row r="11">
          <cell r="A11">
            <v>11007</v>
          </cell>
          <cell r="B11" t="str">
            <v>Lay's Rock</v>
          </cell>
          <cell r="C11" t="str">
            <v>6 B / 20g</v>
          </cell>
          <cell r="D11">
            <v>20</v>
          </cell>
          <cell r="E11">
            <v>120</v>
          </cell>
          <cell r="F11" t="str">
            <v xml:space="preserve">6 </v>
          </cell>
          <cell r="G11">
            <v>0.16669999999999999</v>
          </cell>
          <cell r="H11">
            <v>560.73</v>
          </cell>
          <cell r="I11">
            <v>29.7</v>
          </cell>
          <cell r="J11">
            <v>6.2</v>
          </cell>
          <cell r="K11">
            <v>15.1</v>
          </cell>
          <cell r="L11">
            <v>0.80735694257485757</v>
          </cell>
          <cell r="M11">
            <v>5.1999999999999998E-2</v>
          </cell>
          <cell r="N11">
            <v>2.5054097125782005E-3</v>
          </cell>
          <cell r="O11">
            <v>0</v>
          </cell>
          <cell r="P11">
            <v>7.0000000000000007E-2</v>
          </cell>
          <cell r="Q11">
            <v>5.1999999999999998E-2</v>
          </cell>
          <cell r="R11">
            <v>8.9999999999999993E-3</v>
          </cell>
          <cell r="S11">
            <v>3.3000000000000002E-2</v>
          </cell>
        </row>
        <row r="12">
          <cell r="A12">
            <v>11010</v>
          </cell>
          <cell r="B12" t="str">
            <v>Lay's Rock</v>
          </cell>
          <cell r="C12" t="str">
            <v>6 B / 24g</v>
          </cell>
          <cell r="D12">
            <v>24</v>
          </cell>
          <cell r="E12">
            <v>120</v>
          </cell>
          <cell r="F12" t="str">
            <v xml:space="preserve">6 </v>
          </cell>
          <cell r="G12">
            <v>0.16669999999999999</v>
          </cell>
          <cell r="H12">
            <v>560.73</v>
          </cell>
          <cell r="I12">
            <v>29.7</v>
          </cell>
          <cell r="J12">
            <v>6.2</v>
          </cell>
          <cell r="K12">
            <v>15.1</v>
          </cell>
          <cell r="L12">
            <v>0.80735694257485757</v>
          </cell>
          <cell r="M12">
            <v>5.1999999999999998E-2</v>
          </cell>
          <cell r="N12">
            <v>2.5054097125782005E-3</v>
          </cell>
          <cell r="O12">
            <v>0</v>
          </cell>
          <cell r="P12">
            <v>7.0000000000000007E-2</v>
          </cell>
          <cell r="Q12">
            <v>5.1999999999999998E-2</v>
          </cell>
          <cell r="R12">
            <v>8.9999999999999993E-3</v>
          </cell>
          <cell r="S12">
            <v>3.3000000000000002E-2</v>
          </cell>
        </row>
        <row r="13">
          <cell r="A13">
            <v>11011</v>
          </cell>
          <cell r="B13" t="str">
            <v>Lay's Rock</v>
          </cell>
          <cell r="C13" t="str">
            <v>20 B / 80g</v>
          </cell>
          <cell r="D13">
            <v>80</v>
          </cell>
          <cell r="E13">
            <v>48</v>
          </cell>
          <cell r="F13" t="str">
            <v>20</v>
          </cell>
          <cell r="G13">
            <v>0.14169999999999999</v>
          </cell>
          <cell r="H13">
            <v>770.06</v>
          </cell>
          <cell r="I13">
            <v>29.7</v>
          </cell>
          <cell r="J13">
            <v>6.2</v>
          </cell>
          <cell r="K13">
            <v>15.1</v>
          </cell>
          <cell r="L13">
            <v>0.80735694257485757</v>
          </cell>
          <cell r="M13">
            <v>5.1999999999999998E-2</v>
          </cell>
          <cell r="N13">
            <v>2.5054097125782005E-3</v>
          </cell>
          <cell r="O13">
            <v>0</v>
          </cell>
          <cell r="P13">
            <v>7.0000000000000007E-2</v>
          </cell>
          <cell r="Q13">
            <v>4.2999999999999997E-2</v>
          </cell>
          <cell r="R13">
            <v>0.05</v>
          </cell>
          <cell r="S13">
            <v>0.03</v>
          </cell>
        </row>
        <row r="14">
          <cell r="A14">
            <v>11012</v>
          </cell>
          <cell r="B14" t="str">
            <v>Lay's Rock</v>
          </cell>
          <cell r="C14" t="str">
            <v>30 B / 120g</v>
          </cell>
          <cell r="D14">
            <v>120</v>
          </cell>
          <cell r="E14">
            <v>24</v>
          </cell>
          <cell r="F14" t="str">
            <v>30</v>
          </cell>
          <cell r="G14">
            <v>0.1</v>
          </cell>
          <cell r="H14">
            <v>605.61</v>
          </cell>
          <cell r="I14">
            <v>29.7</v>
          </cell>
          <cell r="J14">
            <v>6.2</v>
          </cell>
          <cell r="K14">
            <v>15.1</v>
          </cell>
          <cell r="L14">
            <v>0.80735694257485757</v>
          </cell>
          <cell r="M14">
            <v>5.1999999999999998E-2</v>
          </cell>
          <cell r="N14">
            <v>2.5054097125782005E-3</v>
          </cell>
          <cell r="O14">
            <v>0</v>
          </cell>
          <cell r="P14">
            <v>7.0000000000000007E-2</v>
          </cell>
          <cell r="Q14">
            <v>2.5999999999999999E-2</v>
          </cell>
          <cell r="R14">
            <v>0.108</v>
          </cell>
          <cell r="S14">
            <v>0.01</v>
          </cell>
        </row>
        <row r="15">
          <cell r="A15">
            <v>11013</v>
          </cell>
          <cell r="B15" t="str">
            <v>Lay's Rock</v>
          </cell>
          <cell r="C15" t="str">
            <v>45 B / 150g</v>
          </cell>
          <cell r="D15">
            <v>150</v>
          </cell>
          <cell r="E15">
            <v>18</v>
          </cell>
          <cell r="F15" t="str">
            <v>45</v>
          </cell>
          <cell r="G15">
            <v>0.1</v>
          </cell>
          <cell r="H15">
            <v>681.31</v>
          </cell>
          <cell r="I15">
            <v>29.7</v>
          </cell>
          <cell r="J15">
            <v>6.2</v>
          </cell>
          <cell r="K15">
            <v>15.1</v>
          </cell>
          <cell r="L15">
            <v>0.80735694257485757</v>
          </cell>
          <cell r="M15">
            <v>5.1999999999999998E-2</v>
          </cell>
          <cell r="N15">
            <v>2.5054097125782005E-3</v>
          </cell>
          <cell r="O15">
            <v>0</v>
          </cell>
          <cell r="P15">
            <v>7.0000000000000007E-2</v>
          </cell>
          <cell r="Q15">
            <v>0.08</v>
          </cell>
          <cell r="R15">
            <v>3.3000000000000002E-2</v>
          </cell>
          <cell r="S15">
            <v>1.2999999999999999E-2</v>
          </cell>
        </row>
        <row r="16">
          <cell r="A16">
            <v>11014</v>
          </cell>
          <cell r="B16" t="str">
            <v>Lay's Rock</v>
          </cell>
          <cell r="C16" t="str">
            <v>30 B / 96g</v>
          </cell>
          <cell r="D16">
            <v>96</v>
          </cell>
          <cell r="E16">
            <v>24</v>
          </cell>
          <cell r="F16" t="str">
            <v>30</v>
          </cell>
          <cell r="G16">
            <v>0.1</v>
          </cell>
          <cell r="H16">
            <v>605.61</v>
          </cell>
          <cell r="I16">
            <v>29.7</v>
          </cell>
          <cell r="J16">
            <v>6.2</v>
          </cell>
          <cell r="K16">
            <v>15.1</v>
          </cell>
          <cell r="L16">
            <v>0.80735694257485757</v>
          </cell>
          <cell r="M16">
            <v>5.1999999999999998E-2</v>
          </cell>
          <cell r="N16">
            <v>2.5054097125782005E-3</v>
          </cell>
          <cell r="O16">
            <v>0</v>
          </cell>
          <cell r="P16">
            <v>7.0000000000000007E-2</v>
          </cell>
          <cell r="Q16">
            <v>2.5999999999999999E-2</v>
          </cell>
          <cell r="R16">
            <v>0.108</v>
          </cell>
          <cell r="S16">
            <v>0.01</v>
          </cell>
        </row>
        <row r="17">
          <cell r="A17">
            <v>12000</v>
          </cell>
          <cell r="B17" t="str">
            <v>Lay's Clsssic</v>
          </cell>
        </row>
        <row r="18">
          <cell r="A18">
            <v>12001</v>
          </cell>
          <cell r="B18" t="str">
            <v>Lay's Clsssic</v>
          </cell>
          <cell r="C18" t="str">
            <v>6 B / 18g</v>
          </cell>
          <cell r="D18">
            <v>18</v>
          </cell>
          <cell r="E18">
            <v>120</v>
          </cell>
          <cell r="F18" t="str">
            <v xml:space="preserve">6 </v>
          </cell>
          <cell r="G18">
            <v>0.16669999999999999</v>
          </cell>
          <cell r="H18">
            <v>560.73</v>
          </cell>
          <cell r="I18">
            <v>29.7</v>
          </cell>
          <cell r="J18">
            <v>6.2</v>
          </cell>
          <cell r="K18">
            <v>15.1</v>
          </cell>
          <cell r="L18">
            <v>0.80735694257485757</v>
          </cell>
          <cell r="M18">
            <v>5.1999999999999998E-2</v>
          </cell>
          <cell r="N18">
            <v>2.5054097125782005E-3</v>
          </cell>
          <cell r="O18">
            <v>0</v>
          </cell>
          <cell r="P18">
            <v>7.0000000000000007E-2</v>
          </cell>
          <cell r="Q18">
            <v>5.1999999999999998E-2</v>
          </cell>
          <cell r="R18">
            <v>8.9999999999999993E-3</v>
          </cell>
          <cell r="S18">
            <v>3.3000000000000002E-2</v>
          </cell>
        </row>
        <row r="19">
          <cell r="A19">
            <v>12002</v>
          </cell>
          <cell r="B19" t="str">
            <v>Lay's Clsssic</v>
          </cell>
          <cell r="C19" t="str">
            <v>20 B / 66g</v>
          </cell>
          <cell r="D19">
            <v>66</v>
          </cell>
          <cell r="E19">
            <v>48</v>
          </cell>
          <cell r="F19" t="str">
            <v>20</v>
          </cell>
          <cell r="G19">
            <v>0.14169999999999999</v>
          </cell>
          <cell r="H19">
            <v>770.06</v>
          </cell>
          <cell r="I19">
            <v>29.7</v>
          </cell>
          <cell r="J19">
            <v>6.2</v>
          </cell>
          <cell r="K19">
            <v>15.1</v>
          </cell>
          <cell r="L19">
            <v>0.80735694257485757</v>
          </cell>
          <cell r="M19">
            <v>5.1999999999999998E-2</v>
          </cell>
          <cell r="N19">
            <v>2.5054097125782005E-3</v>
          </cell>
          <cell r="O19">
            <v>0</v>
          </cell>
          <cell r="P19">
            <v>7.0000000000000007E-2</v>
          </cell>
          <cell r="Q19">
            <v>4.2999999999999997E-2</v>
          </cell>
          <cell r="R19">
            <v>0.05</v>
          </cell>
          <cell r="S19">
            <v>0.03</v>
          </cell>
        </row>
        <row r="20">
          <cell r="A20">
            <v>12003</v>
          </cell>
          <cell r="B20" t="str">
            <v>Lay's Clsssic</v>
          </cell>
          <cell r="C20" t="str">
            <v>30 B / 100g</v>
          </cell>
          <cell r="D20">
            <v>100</v>
          </cell>
          <cell r="E20">
            <v>24</v>
          </cell>
          <cell r="F20" t="str">
            <v>30</v>
          </cell>
          <cell r="G20">
            <v>0.1</v>
          </cell>
          <cell r="H20">
            <v>605.61</v>
          </cell>
          <cell r="I20">
            <v>29.7</v>
          </cell>
          <cell r="J20">
            <v>6.2</v>
          </cell>
          <cell r="K20">
            <v>15.1</v>
          </cell>
          <cell r="L20">
            <v>0.80735694257485757</v>
          </cell>
          <cell r="M20">
            <v>5.1999999999999998E-2</v>
          </cell>
          <cell r="N20">
            <v>2.5054097125782005E-3</v>
          </cell>
          <cell r="O20">
            <v>0</v>
          </cell>
          <cell r="P20">
            <v>7.0000000000000007E-2</v>
          </cell>
          <cell r="Q20">
            <v>2.5999999999999999E-2</v>
          </cell>
          <cell r="R20">
            <v>0.108</v>
          </cell>
          <cell r="S20">
            <v>0.01</v>
          </cell>
        </row>
        <row r="21">
          <cell r="A21">
            <v>12004</v>
          </cell>
          <cell r="B21" t="str">
            <v>Lay's Clsssic</v>
          </cell>
          <cell r="C21" t="str">
            <v>42 B / 150g</v>
          </cell>
          <cell r="D21">
            <v>150</v>
          </cell>
          <cell r="E21">
            <v>18</v>
          </cell>
          <cell r="F21" t="str">
            <v>42</v>
          </cell>
          <cell r="G21">
            <v>0.1</v>
          </cell>
          <cell r="H21">
            <v>635.89</v>
          </cell>
          <cell r="I21">
            <v>29.7</v>
          </cell>
          <cell r="J21">
            <v>6.2</v>
          </cell>
          <cell r="K21">
            <v>15.1</v>
          </cell>
          <cell r="L21">
            <v>0.80735694257485757</v>
          </cell>
          <cell r="M21">
            <v>5.1999999999999998E-2</v>
          </cell>
          <cell r="N21">
            <v>2.5054097125782005E-3</v>
          </cell>
          <cell r="O21">
            <v>0</v>
          </cell>
          <cell r="P21">
            <v>7.0000000000000007E-2</v>
          </cell>
          <cell r="Q21">
            <v>0.08</v>
          </cell>
          <cell r="R21">
            <v>3.3000000000000002E-2</v>
          </cell>
          <cell r="S21">
            <v>1.2999999999999999E-2</v>
          </cell>
        </row>
        <row r="22">
          <cell r="A22">
            <v>12005</v>
          </cell>
          <cell r="B22" t="str">
            <v>Lay's Clsssic</v>
          </cell>
          <cell r="C22" t="str">
            <v>6 B / 21g</v>
          </cell>
          <cell r="D22">
            <v>21</v>
          </cell>
          <cell r="E22">
            <v>120</v>
          </cell>
          <cell r="F22" t="str">
            <v xml:space="preserve">6 </v>
          </cell>
          <cell r="G22">
            <v>0.16669999999999999</v>
          </cell>
          <cell r="H22">
            <v>560.73</v>
          </cell>
          <cell r="I22">
            <v>29.7</v>
          </cell>
          <cell r="J22">
            <v>6.2</v>
          </cell>
          <cell r="K22">
            <v>15.1</v>
          </cell>
          <cell r="L22">
            <v>0.80735694257485757</v>
          </cell>
          <cell r="M22">
            <v>5.1999999999999998E-2</v>
          </cell>
          <cell r="N22">
            <v>2.5054097125782005E-3</v>
          </cell>
          <cell r="O22">
            <v>0</v>
          </cell>
          <cell r="P22">
            <v>7.0000000000000007E-2</v>
          </cell>
          <cell r="Q22">
            <v>5.1999999999999998E-2</v>
          </cell>
          <cell r="R22">
            <v>8.9999999999999993E-3</v>
          </cell>
          <cell r="S22">
            <v>3.3000000000000002E-2</v>
          </cell>
        </row>
        <row r="23">
          <cell r="A23">
            <v>12006</v>
          </cell>
          <cell r="B23" t="str">
            <v>Lay's Clsssic</v>
          </cell>
          <cell r="C23" t="str">
            <v>20 B / 72g</v>
          </cell>
          <cell r="D23">
            <v>72</v>
          </cell>
          <cell r="E23">
            <v>48</v>
          </cell>
          <cell r="F23" t="str">
            <v>20</v>
          </cell>
          <cell r="G23">
            <v>0.14169999999999999</v>
          </cell>
          <cell r="H23">
            <v>770.06</v>
          </cell>
          <cell r="I23">
            <v>29.7</v>
          </cell>
          <cell r="J23">
            <v>6.2</v>
          </cell>
          <cell r="K23">
            <v>15.1</v>
          </cell>
          <cell r="L23">
            <v>0.80735694257485757</v>
          </cell>
          <cell r="M23">
            <v>5.1999999999999998E-2</v>
          </cell>
          <cell r="N23">
            <v>2.5054097125782005E-3</v>
          </cell>
          <cell r="O23">
            <v>0</v>
          </cell>
          <cell r="P23">
            <v>7.0000000000000007E-2</v>
          </cell>
          <cell r="Q23">
            <v>4.2999999999999997E-2</v>
          </cell>
          <cell r="R23">
            <v>0.05</v>
          </cell>
          <cell r="S23">
            <v>0.03</v>
          </cell>
        </row>
        <row r="24">
          <cell r="A24">
            <v>12007</v>
          </cell>
          <cell r="B24" t="str">
            <v>Lay's Clsssic</v>
          </cell>
          <cell r="C24" t="str">
            <v>6 B / 20g</v>
          </cell>
          <cell r="D24">
            <v>20</v>
          </cell>
          <cell r="E24">
            <v>120</v>
          </cell>
          <cell r="F24" t="str">
            <v xml:space="preserve">6 </v>
          </cell>
          <cell r="G24">
            <v>0.16669999999999999</v>
          </cell>
          <cell r="H24">
            <v>560.73</v>
          </cell>
          <cell r="I24">
            <v>29.7</v>
          </cell>
          <cell r="J24">
            <v>6.2</v>
          </cell>
          <cell r="K24">
            <v>15.1</v>
          </cell>
          <cell r="L24">
            <v>0.80735694257485757</v>
          </cell>
          <cell r="M24">
            <v>5.1999999999999998E-2</v>
          </cell>
          <cell r="N24">
            <v>2.5054097125782005E-3</v>
          </cell>
          <cell r="O24">
            <v>0</v>
          </cell>
          <cell r="P24">
            <v>7.0000000000000007E-2</v>
          </cell>
          <cell r="Q24">
            <v>5.1999999999999998E-2</v>
          </cell>
          <cell r="R24">
            <v>8.9999999999999993E-3</v>
          </cell>
          <cell r="S24">
            <v>3.3000000000000002E-2</v>
          </cell>
        </row>
        <row r="25">
          <cell r="A25">
            <v>12010</v>
          </cell>
          <cell r="B25" t="str">
            <v>Lay's Clsssic</v>
          </cell>
          <cell r="C25" t="str">
            <v>6 B / 24g</v>
          </cell>
          <cell r="D25">
            <v>24</v>
          </cell>
          <cell r="E25">
            <v>120</v>
          </cell>
          <cell r="F25" t="str">
            <v xml:space="preserve">6 </v>
          </cell>
          <cell r="G25">
            <v>0.16669999999999999</v>
          </cell>
          <cell r="H25">
            <v>560.73</v>
          </cell>
          <cell r="I25">
            <v>29.7</v>
          </cell>
          <cell r="J25">
            <v>6.2</v>
          </cell>
          <cell r="K25">
            <v>15.1</v>
          </cell>
          <cell r="L25">
            <v>0.80735694257485757</v>
          </cell>
          <cell r="M25">
            <v>5.1999999999999998E-2</v>
          </cell>
          <cell r="N25">
            <v>2.5054097125782005E-3</v>
          </cell>
          <cell r="O25">
            <v>0</v>
          </cell>
          <cell r="P25">
            <v>7.0000000000000007E-2</v>
          </cell>
          <cell r="Q25">
            <v>5.1999999999999998E-2</v>
          </cell>
          <cell r="R25">
            <v>8.9999999999999993E-3</v>
          </cell>
          <cell r="S25">
            <v>3.3000000000000002E-2</v>
          </cell>
        </row>
        <row r="26">
          <cell r="A26">
            <v>12011</v>
          </cell>
          <cell r="B26" t="str">
            <v>Lay's Clsssic</v>
          </cell>
          <cell r="C26" t="str">
            <v>20 B / 80g</v>
          </cell>
          <cell r="D26">
            <v>80</v>
          </cell>
          <cell r="E26">
            <v>48</v>
          </cell>
          <cell r="F26" t="str">
            <v>20</v>
          </cell>
          <cell r="G26">
            <v>0.14169999999999999</v>
          </cell>
          <cell r="H26">
            <v>770.06</v>
          </cell>
          <cell r="I26">
            <v>29.7</v>
          </cell>
          <cell r="J26">
            <v>6.2</v>
          </cell>
          <cell r="K26">
            <v>15.1</v>
          </cell>
          <cell r="L26">
            <v>0.80735694257485757</v>
          </cell>
          <cell r="M26">
            <v>5.1999999999999998E-2</v>
          </cell>
          <cell r="N26">
            <v>2.5054097125782005E-3</v>
          </cell>
          <cell r="O26">
            <v>0</v>
          </cell>
          <cell r="P26">
            <v>7.0000000000000007E-2</v>
          </cell>
          <cell r="Q26">
            <v>4.2999999999999997E-2</v>
          </cell>
          <cell r="R26">
            <v>0.05</v>
          </cell>
          <cell r="S26">
            <v>0.03</v>
          </cell>
        </row>
        <row r="27">
          <cell r="A27">
            <v>12012</v>
          </cell>
          <cell r="B27" t="str">
            <v>Lay's Clsssic</v>
          </cell>
          <cell r="C27" t="str">
            <v>30 B / 120g</v>
          </cell>
          <cell r="D27">
            <v>120</v>
          </cell>
          <cell r="E27">
            <v>24</v>
          </cell>
          <cell r="F27" t="str">
            <v>30</v>
          </cell>
          <cell r="G27">
            <v>0.1</v>
          </cell>
          <cell r="H27">
            <v>605.61</v>
          </cell>
          <cell r="I27">
            <v>29.7</v>
          </cell>
          <cell r="J27">
            <v>6.2</v>
          </cell>
          <cell r="K27">
            <v>15.1</v>
          </cell>
          <cell r="L27">
            <v>0.80735694257485757</v>
          </cell>
          <cell r="M27">
            <v>5.1999999999999998E-2</v>
          </cell>
          <cell r="N27">
            <v>2.5054097125782005E-3</v>
          </cell>
          <cell r="O27">
            <v>0</v>
          </cell>
          <cell r="P27">
            <v>7.0000000000000007E-2</v>
          </cell>
          <cell r="Q27">
            <v>2.5999999999999999E-2</v>
          </cell>
          <cell r="R27">
            <v>0.108</v>
          </cell>
          <cell r="S27">
            <v>0.01</v>
          </cell>
        </row>
        <row r="28">
          <cell r="A28">
            <v>12013</v>
          </cell>
          <cell r="B28" t="str">
            <v>Lay's Clsssic</v>
          </cell>
          <cell r="C28" t="str">
            <v>45 B / 150g</v>
          </cell>
          <cell r="D28">
            <v>150</v>
          </cell>
          <cell r="E28">
            <v>18</v>
          </cell>
          <cell r="F28" t="str">
            <v>45</v>
          </cell>
          <cell r="G28">
            <v>0.1</v>
          </cell>
          <cell r="H28">
            <v>681.31</v>
          </cell>
          <cell r="I28">
            <v>29.7</v>
          </cell>
          <cell r="J28">
            <v>6.2</v>
          </cell>
          <cell r="K28">
            <v>15.1</v>
          </cell>
          <cell r="L28">
            <v>0.80735694257485757</v>
          </cell>
          <cell r="M28">
            <v>5.1999999999999998E-2</v>
          </cell>
          <cell r="N28">
            <v>2.5054097125782005E-3</v>
          </cell>
          <cell r="O28">
            <v>0</v>
          </cell>
          <cell r="P28">
            <v>7.0000000000000007E-2</v>
          </cell>
          <cell r="Q28">
            <v>0.08</v>
          </cell>
          <cell r="R28">
            <v>3.3000000000000002E-2</v>
          </cell>
          <cell r="S28">
            <v>1.2999999999999999E-2</v>
          </cell>
        </row>
        <row r="29">
          <cell r="A29">
            <v>12014</v>
          </cell>
          <cell r="B29" t="str">
            <v>Lay's Clsssic</v>
          </cell>
          <cell r="C29" t="str">
            <v>30 B / 96g</v>
          </cell>
          <cell r="D29">
            <v>96</v>
          </cell>
          <cell r="E29">
            <v>24</v>
          </cell>
          <cell r="F29" t="str">
            <v>30</v>
          </cell>
          <cell r="G29">
            <v>0.1</v>
          </cell>
          <cell r="H29">
            <v>605.61</v>
          </cell>
          <cell r="I29">
            <v>29.7</v>
          </cell>
          <cell r="J29">
            <v>6.2</v>
          </cell>
          <cell r="K29">
            <v>15.1</v>
          </cell>
          <cell r="L29">
            <v>0.80735694257485757</v>
          </cell>
          <cell r="M29">
            <v>5.1999999999999998E-2</v>
          </cell>
          <cell r="N29">
            <v>2.5054097125782005E-3</v>
          </cell>
          <cell r="O29">
            <v>0</v>
          </cell>
          <cell r="P29">
            <v>7.0000000000000007E-2</v>
          </cell>
          <cell r="Q29">
            <v>2.5999999999999999E-2</v>
          </cell>
          <cell r="R29">
            <v>0.108</v>
          </cell>
          <cell r="S29">
            <v>0.01</v>
          </cell>
        </row>
        <row r="30">
          <cell r="A30">
            <v>13000</v>
          </cell>
          <cell r="B30" t="str">
            <v>Lay's Smile</v>
          </cell>
        </row>
        <row r="31">
          <cell r="A31">
            <v>13008</v>
          </cell>
          <cell r="B31" t="str">
            <v>Lay's Smile</v>
          </cell>
          <cell r="C31" t="str">
            <v>10 B / 30g - Smile</v>
          </cell>
          <cell r="D31">
            <v>30</v>
          </cell>
          <cell r="E31">
            <v>48</v>
          </cell>
          <cell r="F31" t="str">
            <v>10</v>
          </cell>
          <cell r="G31">
            <v>0.14169999999999999</v>
          </cell>
          <cell r="H31">
            <v>385.03</v>
          </cell>
          <cell r="I31">
            <v>29.7</v>
          </cell>
          <cell r="J31">
            <v>6.2</v>
          </cell>
          <cell r="K31">
            <v>15.1</v>
          </cell>
          <cell r="L31">
            <v>0.80735694257485757</v>
          </cell>
          <cell r="M31">
            <v>5.1999999999999998E-2</v>
          </cell>
          <cell r="N31">
            <v>2.5054097125782005E-3</v>
          </cell>
          <cell r="O31">
            <v>0</v>
          </cell>
          <cell r="P31">
            <v>7.0000000000000007E-2</v>
          </cell>
          <cell r="Q31">
            <v>5.1999999999999998E-2</v>
          </cell>
          <cell r="R31">
            <v>0</v>
          </cell>
          <cell r="S31">
            <v>2.5000000000000001E-2</v>
          </cell>
        </row>
        <row r="32">
          <cell r="A32">
            <v>13009</v>
          </cell>
          <cell r="B32" t="str">
            <v>Lay's Smile</v>
          </cell>
          <cell r="C32" t="str">
            <v>25 B / 80g - Smile</v>
          </cell>
          <cell r="D32">
            <v>80</v>
          </cell>
          <cell r="E32">
            <v>24</v>
          </cell>
          <cell r="F32" t="str">
            <v>25</v>
          </cell>
          <cell r="G32">
            <v>0.1</v>
          </cell>
          <cell r="H32">
            <v>504.67</v>
          </cell>
          <cell r="I32">
            <v>29.7</v>
          </cell>
          <cell r="J32">
            <v>6.2</v>
          </cell>
          <cell r="K32">
            <v>15.1</v>
          </cell>
          <cell r="L32">
            <v>0.80735694257485757</v>
          </cell>
          <cell r="M32">
            <v>5.1999999999999998E-2</v>
          </cell>
          <cell r="N32">
            <v>2.5054097125782005E-3</v>
          </cell>
          <cell r="O32">
            <v>0</v>
          </cell>
          <cell r="P32">
            <v>7.0000000000000007E-2</v>
          </cell>
          <cell r="Q32">
            <v>2.5999999999999999E-2</v>
          </cell>
          <cell r="R32">
            <v>0</v>
          </cell>
          <cell r="S32">
            <v>2.5000000000000001E-2</v>
          </cell>
        </row>
        <row r="33">
          <cell r="A33">
            <v>13108</v>
          </cell>
          <cell r="B33" t="str">
            <v>Lay's Clsssic</v>
          </cell>
          <cell r="C33" t="str">
            <v>10 B / 30g - Smile</v>
          </cell>
          <cell r="D33">
            <v>30</v>
          </cell>
          <cell r="E33">
            <v>48</v>
          </cell>
          <cell r="F33" t="str">
            <v>10</v>
          </cell>
          <cell r="G33">
            <v>0.14169999999999999</v>
          </cell>
          <cell r="H33">
            <v>385.03</v>
          </cell>
          <cell r="I33">
            <v>29.7</v>
          </cell>
          <cell r="J33">
            <v>6.2</v>
          </cell>
          <cell r="K33">
            <v>15.1</v>
          </cell>
          <cell r="L33">
            <v>0.80735694257485757</v>
          </cell>
          <cell r="M33">
            <v>5.1999999999999998E-2</v>
          </cell>
          <cell r="N33">
            <v>2.5054097125782005E-3</v>
          </cell>
          <cell r="O33">
            <v>0</v>
          </cell>
          <cell r="P33">
            <v>7.0000000000000007E-2</v>
          </cell>
          <cell r="Q33">
            <v>5.1999999999999998E-2</v>
          </cell>
          <cell r="R33">
            <v>0</v>
          </cell>
          <cell r="S33">
            <v>2.5000000000000001E-2</v>
          </cell>
        </row>
        <row r="34">
          <cell r="A34">
            <v>13109</v>
          </cell>
          <cell r="B34" t="str">
            <v>Lay's Clsssic</v>
          </cell>
          <cell r="C34" t="str">
            <v>25 B / 80g - Smile</v>
          </cell>
          <cell r="D34">
            <v>80</v>
          </cell>
          <cell r="E34">
            <v>24</v>
          </cell>
          <cell r="F34" t="str">
            <v>25</v>
          </cell>
          <cell r="G34">
            <v>0.1</v>
          </cell>
          <cell r="H34">
            <v>504.67</v>
          </cell>
          <cell r="I34">
            <v>29.7</v>
          </cell>
          <cell r="J34">
            <v>6.2</v>
          </cell>
          <cell r="K34">
            <v>15.1</v>
          </cell>
          <cell r="L34">
            <v>0.80735694257485757</v>
          </cell>
          <cell r="M34">
            <v>5.1999999999999998E-2</v>
          </cell>
          <cell r="N34">
            <v>2.5054097125782005E-3</v>
          </cell>
          <cell r="O34">
            <v>0</v>
          </cell>
          <cell r="P34">
            <v>7.0000000000000007E-2</v>
          </cell>
          <cell r="Q34">
            <v>2.5999999999999999E-2</v>
          </cell>
          <cell r="R34">
            <v>0</v>
          </cell>
          <cell r="S34">
            <v>2.5000000000000001E-2</v>
          </cell>
        </row>
        <row r="35">
          <cell r="A35">
            <v>14000</v>
          </cell>
          <cell r="B35" t="str">
            <v>Mun Mun</v>
          </cell>
        </row>
        <row r="36">
          <cell r="A36">
            <v>14001</v>
          </cell>
          <cell r="B36" t="str">
            <v>Mun Mun</v>
          </cell>
          <cell r="C36" t="str">
            <v>5 B  / 16g</v>
          </cell>
          <cell r="D36">
            <v>16</v>
          </cell>
          <cell r="E36">
            <v>72</v>
          </cell>
          <cell r="F36">
            <v>5</v>
          </cell>
          <cell r="G36">
            <v>0.16669999999999999</v>
          </cell>
          <cell r="H36">
            <v>280.36</v>
          </cell>
          <cell r="I36">
            <v>29.7</v>
          </cell>
          <cell r="J36">
            <v>6.2</v>
          </cell>
          <cell r="K36">
            <v>15.1</v>
          </cell>
          <cell r="L36">
            <v>0.80735694257485757</v>
          </cell>
          <cell r="M36">
            <v>0.05</v>
          </cell>
          <cell r="N36">
            <v>2.5054097125782005E-3</v>
          </cell>
          <cell r="O36">
            <v>0</v>
          </cell>
          <cell r="P36">
            <v>7.0000000000000007E-2</v>
          </cell>
        </row>
        <row r="37">
          <cell r="A37">
            <v>14001</v>
          </cell>
          <cell r="B37" t="str">
            <v>Mun Mun</v>
          </cell>
          <cell r="C37" t="str">
            <v>20 B  / 90g</v>
          </cell>
          <cell r="D37">
            <v>90</v>
          </cell>
          <cell r="E37">
            <v>24</v>
          </cell>
          <cell r="F37">
            <v>20</v>
          </cell>
          <cell r="G37">
            <v>0.1</v>
          </cell>
          <cell r="H37">
            <v>403.74</v>
          </cell>
          <cell r="I37">
            <v>29.7</v>
          </cell>
          <cell r="J37">
            <v>6.2</v>
          </cell>
          <cell r="K37">
            <v>15.1</v>
          </cell>
          <cell r="L37">
            <v>0.80735694257485757</v>
          </cell>
          <cell r="M37">
            <v>0.05</v>
          </cell>
          <cell r="N37">
            <v>2.5054097125782005E-3</v>
          </cell>
          <cell r="O37">
            <v>0</v>
          </cell>
          <cell r="P37">
            <v>7.0000000000000007E-2</v>
          </cell>
        </row>
        <row r="38">
          <cell r="A38">
            <v>20000</v>
          </cell>
          <cell r="B38" t="str">
            <v>CHEETOS</v>
          </cell>
        </row>
        <row r="39">
          <cell r="A39">
            <v>21000</v>
          </cell>
          <cell r="B39" t="str">
            <v>CHEETOS FCP</v>
          </cell>
        </row>
        <row r="40">
          <cell r="A40">
            <v>21001</v>
          </cell>
          <cell r="B40" t="str">
            <v>CHEETOS FCP</v>
          </cell>
          <cell r="C40" t="str">
            <v>5 B  / 18g</v>
          </cell>
          <cell r="D40">
            <v>18</v>
          </cell>
          <cell r="E40">
            <v>96</v>
          </cell>
          <cell r="F40">
            <v>5</v>
          </cell>
          <cell r="G40">
            <v>0.16669999999999999</v>
          </cell>
          <cell r="H40">
            <v>373.82</v>
          </cell>
          <cell r="I40">
            <v>17.8</v>
          </cell>
          <cell r="J40">
            <v>4.7</v>
          </cell>
          <cell r="K40">
            <v>15.1</v>
          </cell>
          <cell r="L40">
            <v>0.80735694257485757</v>
          </cell>
          <cell r="M40">
            <v>0.05</v>
          </cell>
          <cell r="N40">
            <v>2.5054097125782005E-3</v>
          </cell>
          <cell r="O40">
            <v>0.01</v>
          </cell>
          <cell r="P40">
            <v>7.0000000000000007E-2</v>
          </cell>
          <cell r="Q40">
            <v>4.0172727272727284E-2</v>
          </cell>
          <cell r="R40">
            <v>1.3090909090909092E-2</v>
          </cell>
          <cell r="S40">
            <v>2.6181818181818185E-2</v>
          </cell>
        </row>
        <row r="41">
          <cell r="A41">
            <v>21002</v>
          </cell>
          <cell r="B41" t="str">
            <v>CHEETOS FCP</v>
          </cell>
          <cell r="C41" t="str">
            <v>5 B  / 20g</v>
          </cell>
          <cell r="D41">
            <v>20</v>
          </cell>
          <cell r="E41">
            <v>96</v>
          </cell>
          <cell r="F41">
            <v>5</v>
          </cell>
          <cell r="G41">
            <v>0.16669999999999999</v>
          </cell>
          <cell r="H41">
            <v>373.82</v>
          </cell>
          <cell r="I41">
            <v>17.8</v>
          </cell>
          <cell r="J41">
            <v>4.7</v>
          </cell>
          <cell r="K41">
            <v>15.1</v>
          </cell>
          <cell r="L41">
            <v>0.80735694257485757</v>
          </cell>
          <cell r="M41">
            <v>0.05</v>
          </cell>
          <cell r="N41">
            <v>2.5054097125782005E-3</v>
          </cell>
          <cell r="O41">
            <v>0.01</v>
          </cell>
          <cell r="P41">
            <v>7.0000000000000007E-2</v>
          </cell>
          <cell r="Q41">
            <v>4.0172727272727284E-2</v>
          </cell>
          <cell r="R41">
            <v>1.3090909090909092E-2</v>
          </cell>
          <cell r="S41">
            <v>2.6181818181818185E-2</v>
          </cell>
        </row>
        <row r="42">
          <cell r="A42">
            <v>21003</v>
          </cell>
          <cell r="B42" t="str">
            <v>CHEETOS FCP</v>
          </cell>
          <cell r="C42" t="str">
            <v>10 B  / 45g</v>
          </cell>
          <cell r="D42">
            <v>45</v>
          </cell>
          <cell r="E42">
            <v>48</v>
          </cell>
          <cell r="F42">
            <v>10</v>
          </cell>
          <cell r="G42">
            <v>0.14169999999999999</v>
          </cell>
          <cell r="H42">
            <v>385.03</v>
          </cell>
          <cell r="I42">
            <v>17.8</v>
          </cell>
          <cell r="J42">
            <v>4.7</v>
          </cell>
          <cell r="K42">
            <v>15.1</v>
          </cell>
          <cell r="L42">
            <v>0.80735694257485757</v>
          </cell>
          <cell r="M42">
            <v>0.05</v>
          </cell>
          <cell r="N42">
            <v>2.5054097125782005E-3</v>
          </cell>
          <cell r="O42">
            <v>0.01</v>
          </cell>
          <cell r="P42">
            <v>7.0000000000000007E-2</v>
          </cell>
          <cell r="Q42">
            <v>5.4285714285714284E-2</v>
          </cell>
          <cell r="R42">
            <v>2.7428571428571431E-2</v>
          </cell>
          <cell r="S42">
            <v>1.2571428571428574E-2</v>
          </cell>
        </row>
        <row r="43">
          <cell r="A43">
            <v>21004</v>
          </cell>
          <cell r="B43" t="str">
            <v>CHEETOS FCP</v>
          </cell>
          <cell r="C43" t="str">
            <v>10 B  / 40g</v>
          </cell>
          <cell r="D43">
            <v>40</v>
          </cell>
          <cell r="E43">
            <v>48</v>
          </cell>
          <cell r="F43">
            <v>10</v>
          </cell>
          <cell r="G43">
            <v>0.14169999999999999</v>
          </cell>
          <cell r="H43">
            <v>385.03</v>
          </cell>
          <cell r="I43">
            <v>17.8</v>
          </cell>
          <cell r="J43">
            <v>4.7</v>
          </cell>
          <cell r="K43">
            <v>15.1</v>
          </cell>
          <cell r="L43">
            <v>0.80735694257485757</v>
          </cell>
          <cell r="M43">
            <v>0.05</v>
          </cell>
          <cell r="N43">
            <v>2.5054097125782005E-3</v>
          </cell>
          <cell r="O43">
            <v>0.01</v>
          </cell>
          <cell r="P43">
            <v>7.0000000000000007E-2</v>
          </cell>
          <cell r="Q43">
            <v>5.4285714285714284E-2</v>
          </cell>
          <cell r="R43">
            <v>2.7428571428571431E-2</v>
          </cell>
          <cell r="S43">
            <v>1.2571428571428574E-2</v>
          </cell>
        </row>
        <row r="44">
          <cell r="A44">
            <v>22000</v>
          </cell>
          <cell r="B44" t="str">
            <v>CHEETOS BCP</v>
          </cell>
        </row>
        <row r="45">
          <cell r="A45">
            <v>22001</v>
          </cell>
          <cell r="B45" t="str">
            <v>CHEETOS BCP</v>
          </cell>
          <cell r="C45" t="str">
            <v>5 B  / 15g</v>
          </cell>
          <cell r="D45">
            <v>15</v>
          </cell>
          <cell r="E45">
            <v>96</v>
          </cell>
          <cell r="F45">
            <v>5</v>
          </cell>
          <cell r="G45">
            <v>0.16669999999999999</v>
          </cell>
          <cell r="H45">
            <v>373.82</v>
          </cell>
          <cell r="I45">
            <v>10.9</v>
          </cell>
          <cell r="J45">
            <v>4.7</v>
          </cell>
          <cell r="K45">
            <v>15.1</v>
          </cell>
          <cell r="L45">
            <v>0.80735694257485757</v>
          </cell>
          <cell r="M45">
            <v>5.1999999999999998E-2</v>
          </cell>
          <cell r="N45">
            <v>2.5054097125782005E-3</v>
          </cell>
          <cell r="O45">
            <v>0.01</v>
          </cell>
          <cell r="P45">
            <v>7.0000000000000007E-2</v>
          </cell>
          <cell r="Q45">
            <v>4.9099999999999998E-2</v>
          </cell>
          <cell r="R45">
            <v>1.6E-2</v>
          </cell>
          <cell r="S45">
            <v>3.2000000000000001E-2</v>
          </cell>
        </row>
        <row r="46">
          <cell r="A46">
            <v>22002</v>
          </cell>
          <cell r="B46" t="str">
            <v>CHEETOS BCP</v>
          </cell>
          <cell r="C46" t="str">
            <v>5 B  / 22g</v>
          </cell>
          <cell r="D46">
            <v>22</v>
          </cell>
          <cell r="E46">
            <v>96</v>
          </cell>
          <cell r="F46">
            <v>5</v>
          </cell>
          <cell r="G46">
            <v>0.16669999999999999</v>
          </cell>
          <cell r="H46">
            <v>373.82</v>
          </cell>
          <cell r="I46">
            <v>10.9</v>
          </cell>
          <cell r="J46">
            <v>4.7</v>
          </cell>
          <cell r="K46">
            <v>15.1</v>
          </cell>
          <cell r="L46">
            <v>0.80735694257485757</v>
          </cell>
          <cell r="M46">
            <v>5.1999999999999998E-2</v>
          </cell>
          <cell r="N46">
            <v>2.5054097125782005E-3</v>
          </cell>
          <cell r="O46">
            <v>0.01</v>
          </cell>
          <cell r="P46">
            <v>7.0000000000000007E-2</v>
          </cell>
          <cell r="Q46">
            <v>4.9099999999999998E-2</v>
          </cell>
          <cell r="R46">
            <v>1.6E-2</v>
          </cell>
          <cell r="S46">
            <v>3.2000000000000001E-2</v>
          </cell>
        </row>
        <row r="47">
          <cell r="A47">
            <v>22003</v>
          </cell>
          <cell r="B47" t="str">
            <v>CHEETOS BCP</v>
          </cell>
          <cell r="C47" t="str">
            <v>10 B  / 45g</v>
          </cell>
          <cell r="D47">
            <v>45</v>
          </cell>
          <cell r="E47">
            <v>48</v>
          </cell>
          <cell r="F47">
            <v>10</v>
          </cell>
          <cell r="G47">
            <v>0.14169999999999999</v>
          </cell>
          <cell r="H47">
            <v>385.03</v>
          </cell>
          <cell r="I47">
            <v>10.9</v>
          </cell>
          <cell r="J47">
            <v>4.7</v>
          </cell>
          <cell r="K47">
            <v>15.1</v>
          </cell>
          <cell r="L47">
            <v>0.80735694257485757</v>
          </cell>
          <cell r="M47">
            <v>5.1999999999999998E-2</v>
          </cell>
          <cell r="N47">
            <v>2.5054097125782005E-3</v>
          </cell>
          <cell r="O47">
            <v>0.01</v>
          </cell>
          <cell r="P47">
            <v>7.0000000000000007E-2</v>
          </cell>
          <cell r="Q47">
            <v>4.7500000000000001E-2</v>
          </cell>
          <cell r="R47">
            <v>2.4E-2</v>
          </cell>
          <cell r="S47">
            <v>1.0999999999999999E-2</v>
          </cell>
        </row>
        <row r="48">
          <cell r="A48">
            <v>22004</v>
          </cell>
          <cell r="B48" t="str">
            <v>CHEETOS BCP</v>
          </cell>
          <cell r="C48" t="str">
            <v>10 B  / 35g</v>
          </cell>
          <cell r="D48">
            <v>35</v>
          </cell>
          <cell r="E48">
            <v>48</v>
          </cell>
          <cell r="F48">
            <v>10</v>
          </cell>
          <cell r="G48">
            <v>0.14169999999999999</v>
          </cell>
          <cell r="H48">
            <v>385.03</v>
          </cell>
          <cell r="I48">
            <v>10.9</v>
          </cell>
          <cell r="J48">
            <v>4.7</v>
          </cell>
          <cell r="K48">
            <v>15.1</v>
          </cell>
          <cell r="L48">
            <v>0.80735694257485757</v>
          </cell>
          <cell r="M48">
            <v>5.1999999999999998E-2</v>
          </cell>
          <cell r="N48">
            <v>2.5054097125782005E-3</v>
          </cell>
          <cell r="O48">
            <v>0.01</v>
          </cell>
          <cell r="P48">
            <v>7.0000000000000007E-2</v>
          </cell>
          <cell r="Q48">
            <v>4.7500000000000001E-2</v>
          </cell>
          <cell r="R48">
            <v>2.4E-2</v>
          </cell>
          <cell r="S48">
            <v>1.0999999999999999E-2</v>
          </cell>
        </row>
        <row r="49">
          <cell r="A49">
            <v>30000</v>
          </cell>
          <cell r="B49" t="str">
            <v>Twisties</v>
          </cell>
        </row>
        <row r="50">
          <cell r="A50">
            <v>30001</v>
          </cell>
          <cell r="B50" t="str">
            <v>Twisties</v>
          </cell>
          <cell r="C50" t="str">
            <v>5 B  / 20g</v>
          </cell>
          <cell r="D50">
            <v>20</v>
          </cell>
          <cell r="E50">
            <v>72</v>
          </cell>
          <cell r="F50">
            <v>5</v>
          </cell>
          <cell r="G50">
            <v>0.16669999999999999</v>
          </cell>
          <cell r="H50">
            <v>280.36</v>
          </cell>
          <cell r="I50">
            <v>10.9</v>
          </cell>
          <cell r="J50">
            <v>4.7</v>
          </cell>
          <cell r="K50">
            <v>15.1</v>
          </cell>
          <cell r="L50">
            <v>0.80735694257485757</v>
          </cell>
          <cell r="M50">
            <v>0.05</v>
          </cell>
          <cell r="N50">
            <v>2.5054097125782005E-3</v>
          </cell>
          <cell r="O50">
            <v>0.01</v>
          </cell>
          <cell r="P50">
            <v>7.0000000000000007E-2</v>
          </cell>
          <cell r="Q50">
            <v>4.7899999999999998E-2</v>
          </cell>
          <cell r="R50">
            <v>2.4E-2</v>
          </cell>
          <cell r="S50">
            <v>2.5000000000000001E-2</v>
          </cell>
        </row>
        <row r="51">
          <cell r="A51">
            <v>30002</v>
          </cell>
          <cell r="B51" t="str">
            <v>Twisties</v>
          </cell>
          <cell r="C51" t="str">
            <v>10 B  / 40g</v>
          </cell>
          <cell r="D51">
            <v>40</v>
          </cell>
          <cell r="E51">
            <v>48</v>
          </cell>
          <cell r="F51">
            <v>10</v>
          </cell>
          <cell r="G51">
            <v>0.14169999999999999</v>
          </cell>
          <cell r="H51">
            <v>385.03</v>
          </cell>
          <cell r="I51">
            <v>10.9</v>
          </cell>
          <cell r="J51">
            <v>4.7</v>
          </cell>
          <cell r="K51">
            <v>15.1</v>
          </cell>
          <cell r="L51">
            <v>0.80735694257485757</v>
          </cell>
          <cell r="M51">
            <v>0.05</v>
          </cell>
          <cell r="N51">
            <v>2.5054097125782005E-3</v>
          </cell>
          <cell r="O51">
            <v>0.01</v>
          </cell>
          <cell r="P51">
            <v>7.0000000000000007E-2</v>
          </cell>
          <cell r="Q51">
            <v>4.3499999999999997E-2</v>
          </cell>
          <cell r="R51">
            <v>0.03</v>
          </cell>
          <cell r="S51">
            <v>1.3999999999999999E-2</v>
          </cell>
        </row>
        <row r="52">
          <cell r="A52">
            <v>30003</v>
          </cell>
          <cell r="B52" t="str">
            <v>Twisties</v>
          </cell>
          <cell r="C52" t="str">
            <v>20 B  / 90g</v>
          </cell>
          <cell r="D52">
            <v>90</v>
          </cell>
          <cell r="E52">
            <v>24</v>
          </cell>
          <cell r="F52">
            <v>20</v>
          </cell>
          <cell r="G52">
            <v>0.1</v>
          </cell>
          <cell r="H52">
            <v>403.74</v>
          </cell>
          <cell r="I52">
            <v>10.9</v>
          </cell>
          <cell r="J52">
            <v>4.7</v>
          </cell>
          <cell r="K52">
            <v>15.1</v>
          </cell>
          <cell r="L52">
            <v>0.80735694257485757</v>
          </cell>
          <cell r="M52">
            <v>0.05</v>
          </cell>
          <cell r="N52">
            <v>2.5054097125782005E-3</v>
          </cell>
          <cell r="O52">
            <v>0.01</v>
          </cell>
          <cell r="P52">
            <v>7.0000000000000007E-2</v>
          </cell>
          <cell r="Q52">
            <v>5.1799999999999999E-2</v>
          </cell>
          <cell r="R52">
            <v>6.3E-2</v>
          </cell>
          <cell r="S52">
            <v>1.3000000000000001E-2</v>
          </cell>
        </row>
        <row r="53">
          <cell r="A53">
            <v>40000</v>
          </cell>
          <cell r="B53" t="str">
            <v>3D's</v>
          </cell>
        </row>
        <row r="54">
          <cell r="A54">
            <v>41000</v>
          </cell>
          <cell r="B54" t="str">
            <v>3D's Corn</v>
          </cell>
        </row>
        <row r="55">
          <cell r="A55">
            <v>41001</v>
          </cell>
          <cell r="B55" t="str">
            <v>3D's Corn</v>
          </cell>
          <cell r="C55" t="str">
            <v>5 B  / 18g</v>
          </cell>
          <cell r="D55">
            <v>18</v>
          </cell>
          <cell r="E55">
            <v>72</v>
          </cell>
          <cell r="F55">
            <v>5</v>
          </cell>
          <cell r="G55">
            <v>0.16669999999999999</v>
          </cell>
          <cell r="H55">
            <v>280.36</v>
          </cell>
          <cell r="I55">
            <v>33.6</v>
          </cell>
          <cell r="J55">
            <v>4.7</v>
          </cell>
          <cell r="K55">
            <v>15.1</v>
          </cell>
          <cell r="L55">
            <v>0.80735694257485757</v>
          </cell>
          <cell r="M55">
            <v>0.05</v>
          </cell>
          <cell r="N55">
            <v>2.5054097125782005E-3</v>
          </cell>
          <cell r="O55">
            <v>0.04</v>
          </cell>
          <cell r="P55">
            <v>7.0000000000000007E-2</v>
          </cell>
          <cell r="Q55">
            <v>6.2899999999999998E-2</v>
          </cell>
          <cell r="R55">
            <v>3.2000000000000001E-2</v>
          </cell>
          <cell r="S55">
            <v>6.9999999999999993E-3</v>
          </cell>
        </row>
        <row r="56">
          <cell r="A56">
            <v>41002</v>
          </cell>
          <cell r="B56" t="str">
            <v>3D's Corn</v>
          </cell>
          <cell r="C56" t="str">
            <v>10 B  / 36g</v>
          </cell>
          <cell r="D56">
            <v>36</v>
          </cell>
          <cell r="E56">
            <v>48</v>
          </cell>
          <cell r="F56">
            <v>10</v>
          </cell>
          <cell r="G56">
            <v>0.14169999999999999</v>
          </cell>
          <cell r="H56">
            <v>385.03</v>
          </cell>
          <cell r="I56">
            <v>33.6</v>
          </cell>
          <cell r="J56">
            <v>4.7</v>
          </cell>
          <cell r="K56">
            <v>15.1</v>
          </cell>
          <cell r="L56">
            <v>0.80735694257485757</v>
          </cell>
          <cell r="M56">
            <v>0.05</v>
          </cell>
          <cell r="N56">
            <v>2.5054097125782005E-3</v>
          </cell>
          <cell r="O56">
            <v>0.04</v>
          </cell>
          <cell r="P56">
            <v>7.0000000000000007E-2</v>
          </cell>
          <cell r="Q56">
            <v>5.7800000000000004E-2</v>
          </cell>
          <cell r="R56">
            <v>6.9999999999999993E-3</v>
          </cell>
          <cell r="S56">
            <v>3.9E-2</v>
          </cell>
        </row>
        <row r="57">
          <cell r="A57">
            <v>41003</v>
          </cell>
          <cell r="B57" t="str">
            <v>3D's Corn</v>
          </cell>
          <cell r="C57" t="str">
            <v>20 B  / 75g</v>
          </cell>
          <cell r="D57">
            <v>75</v>
          </cell>
          <cell r="E57">
            <v>24</v>
          </cell>
          <cell r="F57">
            <v>20</v>
          </cell>
          <cell r="G57">
            <v>0.1</v>
          </cell>
          <cell r="H57">
            <v>403.74</v>
          </cell>
          <cell r="I57">
            <v>33.6</v>
          </cell>
          <cell r="J57">
            <v>4.7</v>
          </cell>
          <cell r="K57">
            <v>15.1</v>
          </cell>
          <cell r="L57">
            <v>0.80735694257485757</v>
          </cell>
          <cell r="M57">
            <v>0.05</v>
          </cell>
          <cell r="N57">
            <v>2.5054097125782005E-3</v>
          </cell>
          <cell r="O57">
            <v>0.04</v>
          </cell>
          <cell r="P57">
            <v>7.0000000000000007E-2</v>
          </cell>
          <cell r="Q57">
            <v>6.7500000000000004E-2</v>
          </cell>
          <cell r="R57">
            <v>1.2E-2</v>
          </cell>
          <cell r="S57">
            <v>0.04</v>
          </cell>
        </row>
        <row r="58">
          <cell r="A58">
            <v>41004</v>
          </cell>
          <cell r="B58" t="str">
            <v>3D's Corn</v>
          </cell>
          <cell r="C58" t="str">
            <v>5 B  / 20g</v>
          </cell>
          <cell r="D58">
            <v>20</v>
          </cell>
          <cell r="E58">
            <v>72</v>
          </cell>
          <cell r="F58">
            <v>5</v>
          </cell>
          <cell r="G58">
            <v>0.16669999999999999</v>
          </cell>
          <cell r="H58">
            <v>280.36</v>
          </cell>
          <cell r="I58">
            <v>33.6</v>
          </cell>
          <cell r="J58">
            <v>4.7</v>
          </cell>
          <cell r="K58">
            <v>15.1</v>
          </cell>
          <cell r="L58">
            <v>0.80735694257485757</v>
          </cell>
          <cell r="M58">
            <v>0.05</v>
          </cell>
          <cell r="N58">
            <v>2.5054097125782005E-3</v>
          </cell>
          <cell r="O58">
            <v>0.04</v>
          </cell>
          <cell r="P58">
            <v>7.0000000000000007E-2</v>
          </cell>
          <cell r="Q58">
            <v>6.2899999999999998E-2</v>
          </cell>
          <cell r="R58">
            <v>3.2000000000000001E-2</v>
          </cell>
          <cell r="S58">
            <v>6.9999999999999993E-3</v>
          </cell>
        </row>
        <row r="59">
          <cell r="A59">
            <v>41005</v>
          </cell>
          <cell r="B59" t="str">
            <v>3D's Corn</v>
          </cell>
          <cell r="C59" t="str">
            <v>10 B  / 40g</v>
          </cell>
          <cell r="D59">
            <v>40</v>
          </cell>
          <cell r="E59">
            <v>48</v>
          </cell>
          <cell r="F59">
            <v>10</v>
          </cell>
          <cell r="G59">
            <v>0.14169999999999999</v>
          </cell>
          <cell r="H59">
            <v>385.03</v>
          </cell>
          <cell r="I59">
            <v>33.6</v>
          </cell>
          <cell r="J59">
            <v>4.7</v>
          </cell>
          <cell r="K59">
            <v>15.1</v>
          </cell>
          <cell r="L59">
            <v>0.80735694257485757</v>
          </cell>
          <cell r="M59">
            <v>0.05</v>
          </cell>
          <cell r="N59">
            <v>2.5054097125782005E-3</v>
          </cell>
          <cell r="O59">
            <v>0.04</v>
          </cell>
          <cell r="P59">
            <v>7.0000000000000007E-2</v>
          </cell>
          <cell r="Q59">
            <v>5.7800000000000004E-2</v>
          </cell>
          <cell r="R59">
            <v>6.9999999999999993E-3</v>
          </cell>
          <cell r="S59">
            <v>3.9E-2</v>
          </cell>
        </row>
        <row r="60">
          <cell r="A60">
            <v>42000</v>
          </cell>
          <cell r="B60" t="str">
            <v>3D's Perf.</v>
          </cell>
        </row>
        <row r="61">
          <cell r="A61">
            <v>42001</v>
          </cell>
          <cell r="B61" t="str">
            <v>3D's Perf.</v>
          </cell>
          <cell r="C61" t="str">
            <v>5 B  / 17g</v>
          </cell>
          <cell r="D61">
            <v>17</v>
          </cell>
          <cell r="E61">
            <v>72</v>
          </cell>
          <cell r="F61">
            <v>5</v>
          </cell>
          <cell r="G61">
            <v>0.16669999999999999</v>
          </cell>
          <cell r="H61">
            <v>280.36</v>
          </cell>
          <cell r="I61">
            <v>33.6</v>
          </cell>
          <cell r="J61">
            <v>4.7</v>
          </cell>
          <cell r="K61">
            <v>15.1</v>
          </cell>
          <cell r="L61">
            <v>0.80735694257485757</v>
          </cell>
          <cell r="M61">
            <v>0.05</v>
          </cell>
          <cell r="N61">
            <v>2.5054097125782005E-3</v>
          </cell>
          <cell r="O61">
            <v>0.04</v>
          </cell>
          <cell r="P61">
            <v>7.0000000000000007E-2</v>
          </cell>
          <cell r="Q61">
            <v>6.2899999999999998E-2</v>
          </cell>
          <cell r="R61">
            <v>3.2000000000000001E-2</v>
          </cell>
          <cell r="S61">
            <v>6.9999999999999993E-3</v>
          </cell>
        </row>
        <row r="62">
          <cell r="A62">
            <v>42002</v>
          </cell>
          <cell r="B62" t="str">
            <v>3D's Perf.</v>
          </cell>
          <cell r="C62" t="str">
            <v>10 B  / 34g</v>
          </cell>
          <cell r="D62">
            <v>34</v>
          </cell>
          <cell r="E62">
            <v>48</v>
          </cell>
          <cell r="F62">
            <v>10</v>
          </cell>
          <cell r="G62">
            <v>0.14169999999999999</v>
          </cell>
          <cell r="H62">
            <v>385.03</v>
          </cell>
          <cell r="I62">
            <v>33.6</v>
          </cell>
          <cell r="J62">
            <v>4.7</v>
          </cell>
          <cell r="K62">
            <v>15.1</v>
          </cell>
          <cell r="L62">
            <v>0.80735694257485757</v>
          </cell>
          <cell r="M62">
            <v>0.05</v>
          </cell>
          <cell r="N62">
            <v>2.5054097125782005E-3</v>
          </cell>
          <cell r="O62">
            <v>0.04</v>
          </cell>
          <cell r="P62">
            <v>7.0000000000000007E-2</v>
          </cell>
          <cell r="Q62">
            <v>5.7800000000000004E-2</v>
          </cell>
          <cell r="R62">
            <v>6.9999999999999993E-3</v>
          </cell>
          <cell r="S62">
            <v>3.9E-2</v>
          </cell>
        </row>
        <row r="63">
          <cell r="A63">
            <v>42003</v>
          </cell>
          <cell r="B63" t="str">
            <v>3D's Perf.</v>
          </cell>
          <cell r="C63" t="str">
            <v>20 B  / 75g</v>
          </cell>
          <cell r="D63">
            <v>75</v>
          </cell>
          <cell r="E63">
            <v>24</v>
          </cell>
          <cell r="F63">
            <v>20</v>
          </cell>
          <cell r="G63">
            <v>0.1</v>
          </cell>
          <cell r="H63">
            <v>403.74</v>
          </cell>
          <cell r="I63">
            <v>33.6</v>
          </cell>
          <cell r="J63">
            <v>4.7</v>
          </cell>
          <cell r="K63">
            <v>15.1</v>
          </cell>
          <cell r="L63">
            <v>0.80735694257485757</v>
          </cell>
          <cell r="M63">
            <v>0.05</v>
          </cell>
          <cell r="N63">
            <v>2.5054097125782005E-3</v>
          </cell>
          <cell r="O63">
            <v>0.04</v>
          </cell>
          <cell r="P63">
            <v>7.0000000000000007E-2</v>
          </cell>
          <cell r="Q63">
            <v>6.7500000000000004E-2</v>
          </cell>
          <cell r="R63">
            <v>1.2E-2</v>
          </cell>
          <cell r="S63">
            <v>0.04</v>
          </cell>
        </row>
        <row r="64">
          <cell r="A64">
            <v>42004</v>
          </cell>
          <cell r="B64" t="str">
            <v>3D's Perf.</v>
          </cell>
          <cell r="C64" t="str">
            <v>5 B  / 20g</v>
          </cell>
          <cell r="D64">
            <v>20</v>
          </cell>
          <cell r="E64">
            <v>72</v>
          </cell>
          <cell r="F64">
            <v>5</v>
          </cell>
          <cell r="G64">
            <v>0.16669999999999999</v>
          </cell>
          <cell r="H64">
            <v>280.36</v>
          </cell>
          <cell r="I64">
            <v>33.6</v>
          </cell>
          <cell r="J64">
            <v>4.7</v>
          </cell>
          <cell r="K64">
            <v>15.1</v>
          </cell>
          <cell r="L64">
            <v>0.80735694257485757</v>
          </cell>
          <cell r="M64">
            <v>0.05</v>
          </cell>
          <cell r="N64">
            <v>2.5054097125782005E-3</v>
          </cell>
          <cell r="O64">
            <v>0.04</v>
          </cell>
          <cell r="P64">
            <v>7.0000000000000007E-2</v>
          </cell>
          <cell r="Q64">
            <v>6.2899999999999998E-2</v>
          </cell>
          <cell r="R64">
            <v>3.2000000000000001E-2</v>
          </cell>
          <cell r="S64">
            <v>6.9999999999999993E-3</v>
          </cell>
        </row>
        <row r="65">
          <cell r="A65">
            <v>42005</v>
          </cell>
          <cell r="B65" t="str">
            <v>3D's Perf.</v>
          </cell>
          <cell r="C65" t="str">
            <v>10 B  / 40g</v>
          </cell>
          <cell r="D65">
            <v>40</v>
          </cell>
          <cell r="E65">
            <v>48</v>
          </cell>
          <cell r="F65">
            <v>10</v>
          </cell>
          <cell r="G65">
            <v>0.14169999999999999</v>
          </cell>
          <cell r="H65">
            <v>385.03</v>
          </cell>
          <cell r="I65">
            <v>33.6</v>
          </cell>
          <cell r="J65">
            <v>4.7</v>
          </cell>
          <cell r="K65">
            <v>15.1</v>
          </cell>
          <cell r="L65">
            <v>0.80735694257485757</v>
          </cell>
          <cell r="M65">
            <v>0.05</v>
          </cell>
          <cell r="N65">
            <v>2.5054097125782005E-3</v>
          </cell>
          <cell r="O65">
            <v>0.04</v>
          </cell>
          <cell r="P65">
            <v>7.0000000000000007E-2</v>
          </cell>
          <cell r="Q65">
            <v>5.7800000000000004E-2</v>
          </cell>
          <cell r="R65">
            <v>6.9999999999999993E-3</v>
          </cell>
          <cell r="S65">
            <v>3.9E-2</v>
          </cell>
        </row>
        <row r="66">
          <cell r="A66">
            <v>50000</v>
          </cell>
          <cell r="B66" t="str">
            <v>New Product</v>
          </cell>
        </row>
        <row r="67">
          <cell r="A67">
            <v>51000</v>
          </cell>
          <cell r="B67" t="str">
            <v>Tawan</v>
          </cell>
        </row>
        <row r="68">
          <cell r="A68">
            <v>51001</v>
          </cell>
          <cell r="B68" t="str">
            <v>Tawan</v>
          </cell>
          <cell r="C68" t="str">
            <v>5 B  / 25g</v>
          </cell>
          <cell r="D68">
            <v>25</v>
          </cell>
          <cell r="E68">
            <v>72</v>
          </cell>
          <cell r="F68">
            <v>5</v>
          </cell>
          <cell r="G68">
            <v>0.16669999999999999</v>
          </cell>
          <cell r="H68">
            <v>280.36</v>
          </cell>
          <cell r="I68">
            <v>33.6</v>
          </cell>
          <cell r="J68">
            <v>4.7</v>
          </cell>
          <cell r="K68">
            <v>15.1</v>
          </cell>
          <cell r="L68">
            <v>0.80735694257485757</v>
          </cell>
          <cell r="M68">
            <v>0.05</v>
          </cell>
          <cell r="N68">
            <v>2.5054097125782005E-3</v>
          </cell>
          <cell r="O68">
            <v>0.04</v>
          </cell>
          <cell r="P68">
            <v>7.0000000000000007E-2</v>
          </cell>
          <cell r="Q68">
            <v>0.09</v>
          </cell>
          <cell r="R68">
            <v>5.0000000000000001E-3</v>
          </cell>
          <cell r="S68">
            <v>2.5000000000000001E-2</v>
          </cell>
        </row>
        <row r="69">
          <cell r="A69">
            <v>51002</v>
          </cell>
          <cell r="B69" t="str">
            <v>Tawan</v>
          </cell>
          <cell r="C69" t="str">
            <v>10 B  / 50g</v>
          </cell>
          <cell r="D69">
            <v>50</v>
          </cell>
          <cell r="E69">
            <v>24</v>
          </cell>
          <cell r="F69">
            <v>10</v>
          </cell>
          <cell r="G69">
            <v>0.14169999999999999</v>
          </cell>
          <cell r="H69">
            <v>192.52</v>
          </cell>
          <cell r="I69">
            <v>33.6</v>
          </cell>
          <cell r="J69">
            <v>4.7</v>
          </cell>
          <cell r="K69">
            <v>15.1</v>
          </cell>
          <cell r="L69">
            <v>0.80735694257485757</v>
          </cell>
          <cell r="M69">
            <v>0.05</v>
          </cell>
          <cell r="N69">
            <v>2.5054097125782005E-3</v>
          </cell>
          <cell r="O69">
            <v>0.04</v>
          </cell>
          <cell r="P69">
            <v>7.0000000000000007E-2</v>
          </cell>
          <cell r="Q69">
            <v>4.3499999999999997E-2</v>
          </cell>
          <cell r="R69">
            <v>0.03</v>
          </cell>
          <cell r="S69">
            <v>2.5000000000000001E-2</v>
          </cell>
        </row>
        <row r="70">
          <cell r="A70">
            <v>51003</v>
          </cell>
          <cell r="B70" t="str">
            <v>Tawan</v>
          </cell>
          <cell r="C70" t="str">
            <v>10 B  / 55g</v>
          </cell>
          <cell r="D70">
            <v>55</v>
          </cell>
          <cell r="E70">
            <v>24</v>
          </cell>
          <cell r="F70">
            <v>10</v>
          </cell>
          <cell r="G70">
            <v>0.14169999999999999</v>
          </cell>
          <cell r="H70">
            <v>192.52</v>
          </cell>
          <cell r="I70">
            <v>33.6</v>
          </cell>
          <cell r="J70">
            <v>4.7</v>
          </cell>
          <cell r="K70">
            <v>15.1</v>
          </cell>
          <cell r="L70">
            <v>0.80735694257485757</v>
          </cell>
          <cell r="M70">
            <v>0.05</v>
          </cell>
          <cell r="N70">
            <v>2.5054097125782005E-3</v>
          </cell>
          <cell r="O70">
            <v>0.04</v>
          </cell>
          <cell r="P70">
            <v>7.0000000000000007E-2</v>
          </cell>
          <cell r="Q70">
            <v>4.3499999999999997E-2</v>
          </cell>
          <cell r="R70">
            <v>0.03</v>
          </cell>
          <cell r="S70">
            <v>2.5000000000000001E-2</v>
          </cell>
        </row>
        <row r="71">
          <cell r="A71">
            <v>52000</v>
          </cell>
          <cell r="B71" t="str">
            <v>Fuji</v>
          </cell>
        </row>
        <row r="72">
          <cell r="A72">
            <v>52001</v>
          </cell>
          <cell r="B72" t="str">
            <v>Fuji</v>
          </cell>
          <cell r="C72" t="str">
            <v>5 B  / 18g</v>
          </cell>
          <cell r="D72">
            <v>18</v>
          </cell>
          <cell r="E72">
            <v>96</v>
          </cell>
          <cell r="F72">
            <v>5</v>
          </cell>
          <cell r="G72">
            <v>0.16669999999999999</v>
          </cell>
          <cell r="H72">
            <v>373.82</v>
          </cell>
          <cell r="I72">
            <v>10.9</v>
          </cell>
          <cell r="J72">
            <v>4.7</v>
          </cell>
          <cell r="K72">
            <v>15.1</v>
          </cell>
          <cell r="L72">
            <v>0.80735694257485757</v>
          </cell>
          <cell r="M72">
            <v>0.05</v>
          </cell>
          <cell r="N72">
            <v>2.5054097125782005E-3</v>
          </cell>
          <cell r="O72">
            <v>0.04</v>
          </cell>
          <cell r="P72">
            <v>7.0000000000000007E-2</v>
          </cell>
          <cell r="Q72">
            <v>4.9099999999999998E-2</v>
          </cell>
          <cell r="R72">
            <v>1.6E-2</v>
          </cell>
          <cell r="S72">
            <v>3.2000000000000001E-2</v>
          </cell>
        </row>
        <row r="73">
          <cell r="A73">
            <v>52002</v>
          </cell>
          <cell r="B73" t="str">
            <v>Fuji</v>
          </cell>
          <cell r="C73" t="str">
            <v>10 B  / 40g</v>
          </cell>
          <cell r="D73">
            <v>40</v>
          </cell>
          <cell r="E73">
            <v>48</v>
          </cell>
          <cell r="F73">
            <v>10</v>
          </cell>
          <cell r="G73">
            <v>0.14169999999999999</v>
          </cell>
          <cell r="H73">
            <v>385.03</v>
          </cell>
          <cell r="I73">
            <v>10.9</v>
          </cell>
          <cell r="J73">
            <v>4.7</v>
          </cell>
          <cell r="K73">
            <v>15.1</v>
          </cell>
          <cell r="L73">
            <v>0.80735694257485757</v>
          </cell>
          <cell r="M73">
            <v>0.05</v>
          </cell>
          <cell r="N73">
            <v>2.5054097125782005E-3</v>
          </cell>
          <cell r="O73">
            <v>0.04</v>
          </cell>
          <cell r="P73">
            <v>7.0000000000000007E-2</v>
          </cell>
          <cell r="Q73">
            <v>4.7500000000000001E-2</v>
          </cell>
          <cell r="R73">
            <v>2.4E-2</v>
          </cell>
          <cell r="S73">
            <v>1.0999999999999999E-2</v>
          </cell>
        </row>
        <row r="74">
          <cell r="A74">
            <v>52003</v>
          </cell>
          <cell r="B74" t="str">
            <v>Fuji</v>
          </cell>
          <cell r="C74" t="str">
            <v>5 B  / 20g</v>
          </cell>
          <cell r="D74">
            <v>20</v>
          </cell>
          <cell r="E74">
            <v>96</v>
          </cell>
          <cell r="F74">
            <v>5</v>
          </cell>
          <cell r="G74">
            <v>0.16669999999999999</v>
          </cell>
          <cell r="H74">
            <v>373.82</v>
          </cell>
          <cell r="I74">
            <v>10.9</v>
          </cell>
          <cell r="J74">
            <v>4.7</v>
          </cell>
          <cell r="K74">
            <v>15.1</v>
          </cell>
          <cell r="L74">
            <v>0.80735694257485757</v>
          </cell>
          <cell r="M74">
            <v>0.05</v>
          </cell>
          <cell r="N74">
            <v>2.5054097125782005E-3</v>
          </cell>
          <cell r="O74">
            <v>0.04</v>
          </cell>
          <cell r="P74">
            <v>7.0000000000000007E-2</v>
          </cell>
          <cell r="Q74">
            <v>4.9099999999999998E-2</v>
          </cell>
          <cell r="R74">
            <v>1.6E-2</v>
          </cell>
          <cell r="S74">
            <v>3.2000000000000001E-2</v>
          </cell>
        </row>
        <row r="75">
          <cell r="A75">
            <v>52004</v>
          </cell>
          <cell r="B75" t="str">
            <v>Fuji</v>
          </cell>
          <cell r="C75" t="str">
            <v>10 B  / 45g</v>
          </cell>
          <cell r="D75">
            <v>45</v>
          </cell>
          <cell r="E75">
            <v>48</v>
          </cell>
          <cell r="F75">
            <v>10</v>
          </cell>
          <cell r="G75">
            <v>0.14169999999999999</v>
          </cell>
          <cell r="H75">
            <v>385.03</v>
          </cell>
          <cell r="I75">
            <v>10.9</v>
          </cell>
          <cell r="J75">
            <v>4.7</v>
          </cell>
          <cell r="K75">
            <v>15.1</v>
          </cell>
          <cell r="L75">
            <v>0.80735694257485757</v>
          </cell>
          <cell r="M75">
            <v>0.05</v>
          </cell>
          <cell r="N75">
            <v>2.5054097125782005E-3</v>
          </cell>
          <cell r="O75">
            <v>0.04</v>
          </cell>
          <cell r="P75">
            <v>7.0000000000000007E-2</v>
          </cell>
          <cell r="Q75">
            <v>4.7500000000000001E-2</v>
          </cell>
          <cell r="R75">
            <v>2.4E-2</v>
          </cell>
          <cell r="S75">
            <v>1.0999999999999999E-2</v>
          </cell>
        </row>
        <row r="76">
          <cell r="A76">
            <v>52005</v>
          </cell>
          <cell r="B76" t="str">
            <v>Fuji</v>
          </cell>
          <cell r="C76" t="str">
            <v>5 B  / 40g</v>
          </cell>
          <cell r="D76">
            <v>40</v>
          </cell>
          <cell r="E76">
            <v>72</v>
          </cell>
          <cell r="F76">
            <v>5</v>
          </cell>
          <cell r="G76">
            <v>0.16669999999999999</v>
          </cell>
          <cell r="H76">
            <v>280.36</v>
          </cell>
          <cell r="I76">
            <v>10.9</v>
          </cell>
          <cell r="J76">
            <v>4.7</v>
          </cell>
          <cell r="K76">
            <v>15.1</v>
          </cell>
          <cell r="L76">
            <v>0.80735694257485757</v>
          </cell>
          <cell r="M76">
            <v>0.05</v>
          </cell>
          <cell r="N76">
            <v>2.5054097125782005E-3</v>
          </cell>
          <cell r="O76">
            <v>0.04</v>
          </cell>
          <cell r="P76">
            <v>7.0000000000000007E-2</v>
          </cell>
          <cell r="Q76">
            <v>0.09</v>
          </cell>
          <cell r="R76">
            <v>5.0000000000000001E-3</v>
          </cell>
          <cell r="S76">
            <v>1.0999999999999999E-2</v>
          </cell>
        </row>
      </sheetData>
      <sheetData sheetId="2" refreshError="1">
        <row r="2">
          <cell r="A2" t="str">
            <v>Code</v>
          </cell>
          <cell r="B2" t="str">
            <v>Description</v>
          </cell>
          <cell r="C2" t="str">
            <v>Waste</v>
          </cell>
          <cell r="D2" t="str">
            <v>Unit Price</v>
          </cell>
        </row>
        <row r="3">
          <cell r="D3" t="str">
            <v>(Bht./kg)</v>
          </cell>
        </row>
        <row r="4">
          <cell r="A4">
            <v>10000</v>
          </cell>
          <cell r="B4" t="str">
            <v>Raw Material</v>
          </cell>
        </row>
        <row r="5">
          <cell r="A5">
            <v>10001</v>
          </cell>
          <cell r="B5" t="str">
            <v>Potato</v>
          </cell>
          <cell r="C5">
            <v>0.2</v>
          </cell>
          <cell r="D5">
            <v>16.5</v>
          </cell>
        </row>
        <row r="6">
          <cell r="A6">
            <v>10002</v>
          </cell>
          <cell r="B6" t="str">
            <v>Corn Meal - FCP</v>
          </cell>
          <cell r="C6">
            <v>0.11600000000000001</v>
          </cell>
          <cell r="D6">
            <v>10.1</v>
          </cell>
        </row>
        <row r="7">
          <cell r="A7">
            <v>10003</v>
          </cell>
          <cell r="B7" t="str">
            <v>Corn Meal - BCP</v>
          </cell>
          <cell r="C7">
            <v>0.11600000000000001</v>
          </cell>
          <cell r="D7">
            <v>10.1</v>
          </cell>
        </row>
        <row r="8">
          <cell r="A8">
            <v>10004</v>
          </cell>
          <cell r="B8" t="str">
            <v>Pellet 3D's Corn</v>
          </cell>
          <cell r="C8">
            <v>0.13400000000000001</v>
          </cell>
          <cell r="D8">
            <v>30.4</v>
          </cell>
        </row>
        <row r="9">
          <cell r="A9">
            <v>10005</v>
          </cell>
          <cell r="B9" t="str">
            <v>Pellet 3D's Perf.</v>
          </cell>
          <cell r="C9">
            <v>0.09</v>
          </cell>
          <cell r="D9">
            <v>25.32</v>
          </cell>
        </row>
        <row r="10">
          <cell r="A10">
            <v>10006</v>
          </cell>
          <cell r="B10" t="str">
            <v>Broken Rice</v>
          </cell>
          <cell r="C10">
            <v>0.153</v>
          </cell>
          <cell r="D10">
            <v>10</v>
          </cell>
        </row>
        <row r="11">
          <cell r="A11">
            <v>10007</v>
          </cell>
          <cell r="B11" t="str">
            <v>Pellet - Tawan</v>
          </cell>
          <cell r="C11">
            <v>6.6000000000000003E-2</v>
          </cell>
          <cell r="D11">
            <v>14.069240362545658</v>
          </cell>
        </row>
        <row r="12">
          <cell r="A12">
            <v>10008</v>
          </cell>
          <cell r="B12" t="str">
            <v>Milano - Big Ben</v>
          </cell>
          <cell r="C12">
            <v>6.6000000000000003E-2</v>
          </cell>
          <cell r="D12">
            <v>14.48</v>
          </cell>
        </row>
        <row r="13">
          <cell r="A13">
            <v>10009</v>
          </cell>
          <cell r="B13" t="str">
            <v>Rice Meal - Fuji</v>
          </cell>
          <cell r="C13">
            <v>0.153</v>
          </cell>
          <cell r="D13">
            <v>13</v>
          </cell>
        </row>
        <row r="14">
          <cell r="A14">
            <v>10010</v>
          </cell>
        </row>
        <row r="15">
          <cell r="A15">
            <v>20000</v>
          </cell>
          <cell r="B15" t="str">
            <v>Oil</v>
          </cell>
        </row>
        <row r="16">
          <cell r="A16">
            <v>20001</v>
          </cell>
          <cell r="B16" t="str">
            <v>Oil - PC</v>
          </cell>
          <cell r="C16">
            <v>0.10100000000000001</v>
          </cell>
          <cell r="D16">
            <v>20.350000000000001</v>
          </cell>
        </row>
        <row r="17">
          <cell r="A17">
            <v>20002</v>
          </cell>
          <cell r="B17" t="str">
            <v>Oil - Cheetos FCP</v>
          </cell>
          <cell r="C17">
            <v>9.5000000000000001E-2</v>
          </cell>
          <cell r="D17">
            <v>20.350000000000001</v>
          </cell>
        </row>
        <row r="18">
          <cell r="A18">
            <v>20003</v>
          </cell>
          <cell r="B18" t="str">
            <v>Oil - Cheetos BCP</v>
          </cell>
          <cell r="C18">
            <v>9.5000000000000001E-2</v>
          </cell>
          <cell r="D18">
            <v>20.350000000000001</v>
          </cell>
        </row>
        <row r="19">
          <cell r="A19">
            <v>20004</v>
          </cell>
          <cell r="B19" t="str">
            <v>Oil - 3D's Corn</v>
          </cell>
          <cell r="C19">
            <v>9.5000000000000001E-2</v>
          </cell>
          <cell r="D19">
            <v>20.350000000000001</v>
          </cell>
        </row>
        <row r="20">
          <cell r="A20">
            <v>20005</v>
          </cell>
          <cell r="B20" t="str">
            <v>Oil - 3D's Perf.</v>
          </cell>
          <cell r="C20">
            <v>9.5000000000000001E-2</v>
          </cell>
          <cell r="D20">
            <v>20.350000000000001</v>
          </cell>
        </row>
        <row r="21">
          <cell r="A21">
            <v>20006</v>
          </cell>
          <cell r="B21" t="str">
            <v>Oil - Twisties</v>
          </cell>
          <cell r="C21">
            <v>7.4999999999999997E-2</v>
          </cell>
          <cell r="D21">
            <v>20.350000000000001</v>
          </cell>
        </row>
        <row r="22">
          <cell r="A22">
            <v>20007</v>
          </cell>
          <cell r="B22" t="str">
            <v>Oil - Tawan</v>
          </cell>
          <cell r="C22">
            <v>9.5000000000000001E-2</v>
          </cell>
          <cell r="D22">
            <v>20.350000000000001</v>
          </cell>
        </row>
        <row r="23">
          <cell r="A23">
            <v>20008</v>
          </cell>
          <cell r="B23" t="str">
            <v>Oil - Big Ben</v>
          </cell>
          <cell r="C23">
            <v>9.5000000000000001E-2</v>
          </cell>
          <cell r="D23">
            <v>20.350000000000001</v>
          </cell>
        </row>
        <row r="24">
          <cell r="A24">
            <v>20009</v>
          </cell>
          <cell r="B24" t="str">
            <v>Oil - Fuji</v>
          </cell>
          <cell r="C24">
            <v>0.05</v>
          </cell>
          <cell r="D24">
            <v>20.25</v>
          </cell>
        </row>
        <row r="25">
          <cell r="A25">
            <v>20010</v>
          </cell>
          <cell r="B25" t="str">
            <v>Oil - Base</v>
          </cell>
          <cell r="C25">
            <v>0.10100000000000001</v>
          </cell>
          <cell r="D25">
            <v>20.350000000000001</v>
          </cell>
        </row>
        <row r="26">
          <cell r="A26">
            <v>20011</v>
          </cell>
          <cell r="B26" t="str">
            <v>Oil - Spray</v>
          </cell>
          <cell r="C26">
            <v>0.15</v>
          </cell>
          <cell r="D26">
            <v>20.350000000000001</v>
          </cell>
        </row>
        <row r="27">
          <cell r="A27">
            <v>30000</v>
          </cell>
          <cell r="B27" t="str">
            <v>Seasoning</v>
          </cell>
        </row>
        <row r="28">
          <cell r="A28">
            <v>31000</v>
          </cell>
          <cell r="B28" t="str">
            <v>Lay's</v>
          </cell>
        </row>
        <row r="29">
          <cell r="A29">
            <v>31001</v>
          </cell>
          <cell r="B29" t="str">
            <v>PC Salt</v>
          </cell>
          <cell r="C29">
            <v>8.3000000000000004E-2</v>
          </cell>
          <cell r="D29">
            <v>6.5</v>
          </cell>
        </row>
        <row r="30">
          <cell r="A30">
            <v>31002</v>
          </cell>
          <cell r="B30" t="str">
            <v>TEX BBQ</v>
          </cell>
          <cell r="C30">
            <v>8.3000000000000004E-2</v>
          </cell>
          <cell r="D30">
            <v>129</v>
          </cell>
        </row>
        <row r="31">
          <cell r="A31">
            <v>31003</v>
          </cell>
          <cell r="B31" t="str">
            <v>C&amp;O</v>
          </cell>
          <cell r="C31">
            <v>8.3000000000000004E-2</v>
          </cell>
          <cell r="D31">
            <v>140</v>
          </cell>
        </row>
        <row r="32">
          <cell r="A32">
            <v>31004</v>
          </cell>
          <cell r="B32" t="str">
            <v>CHK Rock</v>
          </cell>
          <cell r="C32">
            <v>8.3000000000000004E-2</v>
          </cell>
          <cell r="D32">
            <v>170</v>
          </cell>
        </row>
        <row r="33">
          <cell r="A33">
            <v>31005</v>
          </cell>
          <cell r="B33" t="str">
            <v>Heinz</v>
          </cell>
          <cell r="C33">
            <v>8.3000000000000004E-2</v>
          </cell>
          <cell r="D33">
            <v>130</v>
          </cell>
        </row>
        <row r="34">
          <cell r="A34">
            <v>31006</v>
          </cell>
          <cell r="B34" t="str">
            <v>SWB</v>
          </cell>
          <cell r="C34">
            <v>8.3000000000000004E-2</v>
          </cell>
          <cell r="D34">
            <v>165</v>
          </cell>
        </row>
        <row r="35">
          <cell r="A35">
            <v>31007</v>
          </cell>
          <cell r="B35" t="str">
            <v>Seaweed</v>
          </cell>
          <cell r="C35">
            <v>8.3000000000000004E-2</v>
          </cell>
          <cell r="D35">
            <v>250</v>
          </cell>
        </row>
        <row r="36">
          <cell r="A36">
            <v>31008</v>
          </cell>
          <cell r="B36" t="str">
            <v>Mex BBQ</v>
          </cell>
          <cell r="C36">
            <v>8.3000000000000004E-2</v>
          </cell>
          <cell r="D36">
            <v>125</v>
          </cell>
        </row>
        <row r="37">
          <cell r="A37">
            <v>31009</v>
          </cell>
          <cell r="B37" t="str">
            <v>SC&amp;O</v>
          </cell>
          <cell r="C37">
            <v>8.3000000000000004E-2</v>
          </cell>
          <cell r="D37">
            <v>140</v>
          </cell>
        </row>
        <row r="38">
          <cell r="A38">
            <v>31010</v>
          </cell>
          <cell r="B38" t="str">
            <v>CHK Supreme</v>
          </cell>
          <cell r="C38">
            <v>8.3000000000000004E-2</v>
          </cell>
          <cell r="D38">
            <v>197.1</v>
          </cell>
        </row>
        <row r="39">
          <cell r="A39">
            <v>31011</v>
          </cell>
          <cell r="B39" t="str">
            <v>Smile Bit</v>
          </cell>
        </row>
        <row r="40">
          <cell r="A40">
            <v>31012</v>
          </cell>
          <cell r="B40" t="str">
            <v>Prik Pao Prung Ros</v>
          </cell>
          <cell r="C40">
            <v>8.3000000000000004E-2</v>
          </cell>
          <cell r="D40">
            <v>160</v>
          </cell>
        </row>
        <row r="41">
          <cell r="A41">
            <v>31013</v>
          </cell>
          <cell r="B41" t="str">
            <v>Meing Kham Krob Ros</v>
          </cell>
          <cell r="C41">
            <v>8.3000000000000004E-2</v>
          </cell>
          <cell r="D41">
            <v>170</v>
          </cell>
        </row>
        <row r="42">
          <cell r="A42">
            <v>31014</v>
          </cell>
          <cell r="B42" t="str">
            <v>Krob Krieng Tom Yum</v>
          </cell>
          <cell r="C42">
            <v>8.3000000000000004E-2</v>
          </cell>
          <cell r="D42">
            <v>188</v>
          </cell>
        </row>
        <row r="43">
          <cell r="A43">
            <v>31015</v>
          </cell>
          <cell r="B43" t="str">
            <v>Smile PPPR</v>
          </cell>
          <cell r="C43">
            <v>0.15</v>
          </cell>
          <cell r="D43">
            <v>330</v>
          </cell>
        </row>
        <row r="44">
          <cell r="A44">
            <v>31016</v>
          </cell>
          <cell r="B44" t="str">
            <v>Smile MKKR</v>
          </cell>
          <cell r="C44">
            <v>0.15</v>
          </cell>
          <cell r="D44">
            <v>270</v>
          </cell>
        </row>
        <row r="45">
          <cell r="A45">
            <v>31017</v>
          </cell>
          <cell r="B45" t="str">
            <v>Smile KKTY</v>
          </cell>
          <cell r="C45">
            <v>0.15</v>
          </cell>
          <cell r="D45">
            <v>290</v>
          </cell>
        </row>
        <row r="46">
          <cell r="A46">
            <v>32000</v>
          </cell>
          <cell r="B46" t="str">
            <v>Cheetos</v>
          </cell>
        </row>
        <row r="47">
          <cell r="A47">
            <v>32101</v>
          </cell>
          <cell r="B47" t="str">
            <v>AM Cheese</v>
          </cell>
          <cell r="C47">
            <v>8.5999999999999993E-2</v>
          </cell>
          <cell r="D47">
            <v>170</v>
          </cell>
        </row>
        <row r="48">
          <cell r="A48">
            <v>32102</v>
          </cell>
          <cell r="B48" t="str">
            <v>SHD</v>
          </cell>
          <cell r="C48">
            <v>8.5999999999999993E-2</v>
          </cell>
          <cell r="D48">
            <v>158</v>
          </cell>
        </row>
        <row r="49">
          <cell r="A49">
            <v>32103</v>
          </cell>
          <cell r="B49" t="str">
            <v>NEW 1</v>
          </cell>
          <cell r="C49">
            <v>8.5999999999999993E-2</v>
          </cell>
          <cell r="D49">
            <v>158</v>
          </cell>
        </row>
        <row r="50">
          <cell r="A50">
            <v>32201</v>
          </cell>
          <cell r="B50" t="str">
            <v>Roasted Corn</v>
          </cell>
          <cell r="C50">
            <v>8.5999999999999993E-2</v>
          </cell>
          <cell r="D50">
            <v>135</v>
          </cell>
        </row>
        <row r="51">
          <cell r="A51">
            <v>32202</v>
          </cell>
          <cell r="B51" t="str">
            <v>Butter Corn</v>
          </cell>
          <cell r="C51">
            <v>8.5999999999999993E-2</v>
          </cell>
          <cell r="D51">
            <v>140</v>
          </cell>
        </row>
        <row r="52">
          <cell r="A52">
            <v>32203</v>
          </cell>
          <cell r="B52" t="str">
            <v>Pizza</v>
          </cell>
          <cell r="C52">
            <v>8.5999999999999993E-2</v>
          </cell>
          <cell r="D52">
            <v>140</v>
          </cell>
        </row>
        <row r="53">
          <cell r="A53">
            <v>32204</v>
          </cell>
          <cell r="B53" t="str">
            <v>Sccocer</v>
          </cell>
          <cell r="C53">
            <v>8.5999999999999993E-2</v>
          </cell>
          <cell r="D53">
            <v>140</v>
          </cell>
        </row>
        <row r="54">
          <cell r="A54">
            <v>33000</v>
          </cell>
          <cell r="B54" t="str">
            <v>Twisties</v>
          </cell>
        </row>
        <row r="55">
          <cell r="A55">
            <v>33001</v>
          </cell>
          <cell r="B55" t="str">
            <v>Cheese</v>
          </cell>
          <cell r="C55">
            <v>7.0999999999999994E-2</v>
          </cell>
          <cell r="D55">
            <v>125</v>
          </cell>
        </row>
        <row r="56">
          <cell r="A56">
            <v>33002</v>
          </cell>
          <cell r="B56" t="str">
            <v>Chicken</v>
          </cell>
          <cell r="C56">
            <v>7.0999999999999994E-2</v>
          </cell>
          <cell r="D56">
            <v>105</v>
          </cell>
        </row>
        <row r="57">
          <cell r="A57">
            <v>33003</v>
          </cell>
          <cell r="B57" t="str">
            <v>Paprika</v>
          </cell>
          <cell r="C57">
            <v>7.0999999999999994E-2</v>
          </cell>
          <cell r="D57">
            <v>130</v>
          </cell>
        </row>
        <row r="58">
          <cell r="A58">
            <v>34000</v>
          </cell>
          <cell r="B58" t="str">
            <v>3D's</v>
          </cell>
        </row>
        <row r="59">
          <cell r="A59">
            <v>34101</v>
          </cell>
          <cell r="B59" t="str">
            <v>Hot Grill</v>
          </cell>
          <cell r="C59">
            <v>0.12</v>
          </cell>
          <cell r="D59">
            <v>125</v>
          </cell>
        </row>
        <row r="60">
          <cell r="A60">
            <v>34102</v>
          </cell>
          <cell r="B60" t="str">
            <v>Sweet Pep</v>
          </cell>
          <cell r="C60">
            <v>0.12</v>
          </cell>
          <cell r="D60">
            <v>237.61</v>
          </cell>
        </row>
        <row r="61">
          <cell r="A61">
            <v>34103</v>
          </cell>
          <cell r="B61" t="str">
            <v>Honey BBQ</v>
          </cell>
          <cell r="C61">
            <v>0.12</v>
          </cell>
          <cell r="D61">
            <v>178.9</v>
          </cell>
        </row>
        <row r="62">
          <cell r="A62">
            <v>34104</v>
          </cell>
          <cell r="B62" t="str">
            <v>Smoky Cheese</v>
          </cell>
          <cell r="C62">
            <v>0.12</v>
          </cell>
          <cell r="D62">
            <v>140</v>
          </cell>
        </row>
        <row r="63">
          <cell r="A63">
            <v>34201</v>
          </cell>
          <cell r="B63" t="str">
            <v>CHK Ceasar</v>
          </cell>
          <cell r="C63">
            <v>0.12</v>
          </cell>
          <cell r="D63">
            <v>140</v>
          </cell>
        </row>
        <row r="64">
          <cell r="A64">
            <v>34202</v>
          </cell>
          <cell r="B64" t="str">
            <v>Dance Chilli</v>
          </cell>
          <cell r="C64">
            <v>0.12</v>
          </cell>
          <cell r="D64">
            <v>140</v>
          </cell>
        </row>
        <row r="65">
          <cell r="A65">
            <v>35000</v>
          </cell>
          <cell r="B65" t="str">
            <v>Tawan</v>
          </cell>
        </row>
      </sheetData>
      <sheetData sheetId="3" refreshError="1">
        <row r="2">
          <cell r="A2" t="str">
            <v>Code</v>
          </cell>
          <cell r="B2" t="str">
            <v>Description</v>
          </cell>
          <cell r="C2" t="str">
            <v>Height</v>
          </cell>
          <cell r="D2" t="str">
            <v>Waste</v>
          </cell>
          <cell r="E2" t="str">
            <v>Unit Price</v>
          </cell>
          <cell r="F2" t="str">
            <v>Cost/bag</v>
          </cell>
        </row>
        <row r="3">
          <cell r="C3" t="str">
            <v>(mm.)</v>
          </cell>
          <cell r="D3" t="str">
            <v>%</v>
          </cell>
          <cell r="F3" t="str">
            <v>@ 0% waste</v>
          </cell>
        </row>
        <row r="4">
          <cell r="A4">
            <v>10000</v>
          </cell>
          <cell r="B4" t="str">
            <v>Film</v>
          </cell>
        </row>
        <row r="5">
          <cell r="A5">
            <v>11000</v>
          </cell>
          <cell r="B5" t="str">
            <v>Film Lay's</v>
          </cell>
        </row>
        <row r="6">
          <cell r="A6">
            <v>11001</v>
          </cell>
          <cell r="B6" t="str">
            <v>Film 18g (320 x 160 mm)</v>
          </cell>
          <cell r="C6">
            <v>160</v>
          </cell>
          <cell r="D6">
            <v>1.55E-2</v>
          </cell>
          <cell r="E6">
            <v>3857</v>
          </cell>
          <cell r="F6">
            <v>0.61712</v>
          </cell>
        </row>
        <row r="7">
          <cell r="A7">
            <v>11002</v>
          </cell>
          <cell r="B7" t="str">
            <v>Film 66g (354 x 255 mm)</v>
          </cell>
          <cell r="C7">
            <v>255</v>
          </cell>
          <cell r="D7">
            <v>1.55E-2</v>
          </cell>
          <cell r="E7">
            <v>4267</v>
          </cell>
          <cell r="F7">
            <v>1.088085</v>
          </cell>
        </row>
        <row r="8">
          <cell r="A8">
            <v>11003</v>
          </cell>
          <cell r="B8" t="str">
            <v>Film 100g (404 x 280 mm)</v>
          </cell>
          <cell r="C8">
            <v>280</v>
          </cell>
          <cell r="D8">
            <v>1.55E-2</v>
          </cell>
          <cell r="E8">
            <v>4810</v>
          </cell>
          <cell r="F8">
            <v>1.3468</v>
          </cell>
        </row>
        <row r="9">
          <cell r="A9">
            <v>11004</v>
          </cell>
          <cell r="B9" t="str">
            <v>Film 150g (484 x 305 mm)</v>
          </cell>
          <cell r="C9">
            <v>305</v>
          </cell>
          <cell r="D9">
            <v>1.55E-2</v>
          </cell>
          <cell r="E9">
            <v>5925</v>
          </cell>
          <cell r="F9">
            <v>1.8071249999999999</v>
          </cell>
        </row>
        <row r="10">
          <cell r="A10">
            <v>11005</v>
          </cell>
          <cell r="B10" t="str">
            <v>Film 21g (320 x 175 mm)-Rock</v>
          </cell>
          <cell r="C10">
            <v>175</v>
          </cell>
          <cell r="D10">
            <v>1.55E-2</v>
          </cell>
          <cell r="E10">
            <v>3857</v>
          </cell>
          <cell r="F10">
            <v>0.67497499999999999</v>
          </cell>
        </row>
        <row r="11">
          <cell r="A11">
            <v>11006</v>
          </cell>
          <cell r="B11" t="str">
            <v>Film 72g (404 x 255 mm)</v>
          </cell>
          <cell r="C11">
            <v>255</v>
          </cell>
          <cell r="D11">
            <v>1.55E-2</v>
          </cell>
          <cell r="E11">
            <v>4810</v>
          </cell>
          <cell r="F11">
            <v>1.22655</v>
          </cell>
        </row>
        <row r="12">
          <cell r="A12">
            <v>11007</v>
          </cell>
          <cell r="B12" t="str">
            <v>Film 21g (320 x 180 mm)-Flat</v>
          </cell>
          <cell r="C12">
            <v>180</v>
          </cell>
          <cell r="D12">
            <v>1.55E-2</v>
          </cell>
          <cell r="E12">
            <v>3857</v>
          </cell>
          <cell r="F12">
            <v>0.69425999999999999</v>
          </cell>
        </row>
        <row r="13">
          <cell r="A13">
            <v>11008</v>
          </cell>
          <cell r="B13" t="str">
            <v>Film 30g (320 x 200 mm) - Smile</v>
          </cell>
          <cell r="C13">
            <v>200</v>
          </cell>
          <cell r="D13">
            <v>1.55E-2</v>
          </cell>
          <cell r="E13">
            <v>3857</v>
          </cell>
          <cell r="F13">
            <v>0.77140000000000009</v>
          </cell>
        </row>
        <row r="14">
          <cell r="A14">
            <v>11009</v>
          </cell>
          <cell r="B14" t="str">
            <v>Film 80g (404 x 265 mm) - Smile</v>
          </cell>
          <cell r="C14">
            <v>265</v>
          </cell>
          <cell r="D14">
            <v>1.55E-2</v>
          </cell>
          <cell r="E14">
            <v>4810</v>
          </cell>
          <cell r="F14">
            <v>1.2746500000000001</v>
          </cell>
        </row>
        <row r="15">
          <cell r="A15">
            <v>11010</v>
          </cell>
          <cell r="B15" t="str">
            <v>Film 24g (320 x 175 mm)</v>
          </cell>
          <cell r="C15">
            <v>175</v>
          </cell>
          <cell r="D15">
            <v>1.55E-2</v>
          </cell>
          <cell r="E15">
            <v>3857</v>
          </cell>
          <cell r="F15">
            <v>0.67497499999999999</v>
          </cell>
        </row>
        <row r="16">
          <cell r="A16">
            <v>11011</v>
          </cell>
          <cell r="B16" t="str">
            <v>Film 80g (354 x 265 mm)</v>
          </cell>
          <cell r="C16">
            <v>265</v>
          </cell>
          <cell r="D16">
            <v>1.55E-2</v>
          </cell>
          <cell r="E16">
            <v>4310</v>
          </cell>
          <cell r="F16">
            <v>1.14215</v>
          </cell>
        </row>
        <row r="17">
          <cell r="A17">
            <v>11012</v>
          </cell>
          <cell r="B17" t="str">
            <v>Film 120g (404 x 325 mm)</v>
          </cell>
          <cell r="C17">
            <v>325</v>
          </cell>
          <cell r="D17">
            <v>1.55E-2</v>
          </cell>
          <cell r="E17">
            <v>4810</v>
          </cell>
          <cell r="F17">
            <v>1.56325</v>
          </cell>
        </row>
        <row r="18">
          <cell r="A18">
            <v>12000</v>
          </cell>
          <cell r="B18" t="str">
            <v>Film Cheetos</v>
          </cell>
        </row>
        <row r="19">
          <cell r="A19">
            <v>12101</v>
          </cell>
          <cell r="B19" t="str">
            <v>Film 18g (280 x 155 mm)</v>
          </cell>
          <cell r="C19">
            <v>155</v>
          </cell>
          <cell r="D19">
            <v>1.7999999999999999E-2</v>
          </cell>
          <cell r="E19">
            <v>3788</v>
          </cell>
          <cell r="F19">
            <v>0.58714</v>
          </cell>
        </row>
        <row r="20">
          <cell r="A20">
            <v>12104</v>
          </cell>
          <cell r="B20" t="str">
            <v>Film 40g (320 x 185 mm)</v>
          </cell>
          <cell r="C20">
            <v>185</v>
          </cell>
          <cell r="D20">
            <v>1.7999999999999999E-2</v>
          </cell>
          <cell r="E20">
            <v>4044</v>
          </cell>
          <cell r="F20">
            <v>0.74814000000000003</v>
          </cell>
        </row>
        <row r="21">
          <cell r="A21">
            <v>12201</v>
          </cell>
          <cell r="B21" t="str">
            <v>Film 15g (280 x 160 mm)</v>
          </cell>
          <cell r="C21">
            <v>160</v>
          </cell>
          <cell r="D21">
            <v>1.7999999999999999E-2</v>
          </cell>
          <cell r="E21">
            <v>3788</v>
          </cell>
          <cell r="F21">
            <v>0.60608000000000006</v>
          </cell>
        </row>
        <row r="22">
          <cell r="A22">
            <v>12202</v>
          </cell>
          <cell r="B22" t="str">
            <v>Film 22g (280 x 190 mm)</v>
          </cell>
          <cell r="C22">
            <v>190</v>
          </cell>
          <cell r="D22">
            <v>2.1999999999999999E-2</v>
          </cell>
          <cell r="E22">
            <v>4002</v>
          </cell>
          <cell r="F22">
            <v>0.76038000000000006</v>
          </cell>
        </row>
        <row r="23">
          <cell r="A23">
            <v>12203</v>
          </cell>
          <cell r="B23" t="str">
            <v>Film 45g (320 x 255 mm)</v>
          </cell>
          <cell r="C23">
            <v>255</v>
          </cell>
          <cell r="D23">
            <v>2.1999999999999999E-2</v>
          </cell>
          <cell r="E23">
            <v>4126</v>
          </cell>
          <cell r="F23">
            <v>1.05213</v>
          </cell>
        </row>
        <row r="24">
          <cell r="A24">
            <v>12204</v>
          </cell>
          <cell r="B24" t="str">
            <v>Film 35g (280 x 205 mm)</v>
          </cell>
          <cell r="C24">
            <v>205</v>
          </cell>
          <cell r="D24">
            <v>2.1999999999999999E-2</v>
          </cell>
          <cell r="E24">
            <v>4126</v>
          </cell>
          <cell r="F24">
            <v>0.84583000000000008</v>
          </cell>
        </row>
        <row r="25">
          <cell r="A25">
            <v>13000</v>
          </cell>
          <cell r="B25" t="str">
            <v>Film Twisties</v>
          </cell>
        </row>
        <row r="26">
          <cell r="A26">
            <v>13001</v>
          </cell>
          <cell r="B26" t="str">
            <v>Film 20g (280 x 155 mm)</v>
          </cell>
          <cell r="C26">
            <v>155</v>
          </cell>
          <cell r="D26">
            <v>1.7999999999999999E-2</v>
          </cell>
          <cell r="E26">
            <v>3538</v>
          </cell>
          <cell r="F26">
            <v>0.54838999999999993</v>
          </cell>
        </row>
        <row r="27">
          <cell r="A27">
            <v>13002</v>
          </cell>
          <cell r="B27" t="str">
            <v>Film 45g (320 x 185 mm)</v>
          </cell>
          <cell r="C27">
            <v>185</v>
          </cell>
          <cell r="D27">
            <v>1.7999999999999999E-2</v>
          </cell>
          <cell r="E27">
            <v>4253</v>
          </cell>
          <cell r="F27">
            <v>0.78680499999999998</v>
          </cell>
        </row>
        <row r="28">
          <cell r="A28">
            <v>13003</v>
          </cell>
          <cell r="B28" t="str">
            <v>Film 90g (404 x 250 mm)</v>
          </cell>
          <cell r="C28">
            <v>250</v>
          </cell>
          <cell r="D28">
            <v>1.7999999999999999E-2</v>
          </cell>
          <cell r="E28">
            <v>4380</v>
          </cell>
          <cell r="F28">
            <v>1.095</v>
          </cell>
        </row>
        <row r="29">
          <cell r="A29">
            <v>14000</v>
          </cell>
          <cell r="B29" t="str">
            <v>Film 3D's</v>
          </cell>
        </row>
        <row r="30">
          <cell r="A30">
            <v>14100</v>
          </cell>
          <cell r="B30" t="str">
            <v>3D's Corn</v>
          </cell>
        </row>
        <row r="31">
          <cell r="A31">
            <v>14101</v>
          </cell>
          <cell r="B31" t="str">
            <v>Film 18g (280 x 180 mm)</v>
          </cell>
          <cell r="C31">
            <v>180</v>
          </cell>
          <cell r="D31">
            <v>0.02</v>
          </cell>
          <cell r="E31">
            <v>3857</v>
          </cell>
          <cell r="F31">
            <v>0.69425999999999999</v>
          </cell>
        </row>
        <row r="32">
          <cell r="A32">
            <v>14102</v>
          </cell>
          <cell r="B32" t="str">
            <v>Film 36g (320 x 215 mm)</v>
          </cell>
          <cell r="C32">
            <v>215</v>
          </cell>
          <cell r="D32">
            <v>0.02</v>
          </cell>
          <cell r="E32">
            <v>4118</v>
          </cell>
          <cell r="F32">
            <v>0.88536999999999999</v>
          </cell>
        </row>
        <row r="33">
          <cell r="A33">
            <v>14103</v>
          </cell>
          <cell r="B33" t="str">
            <v>Film 75g (404 x 260 mm)</v>
          </cell>
          <cell r="C33">
            <v>260</v>
          </cell>
          <cell r="D33">
            <v>0.02</v>
          </cell>
          <cell r="E33">
            <v>5249</v>
          </cell>
          <cell r="F33">
            <v>1.3647400000000001</v>
          </cell>
        </row>
        <row r="34">
          <cell r="A34">
            <v>14200</v>
          </cell>
          <cell r="B34" t="str">
            <v>3D's Perf.</v>
          </cell>
        </row>
        <row r="35">
          <cell r="A35">
            <v>14201</v>
          </cell>
          <cell r="B35" t="str">
            <v>Film 17g (280 x 180 mm)</v>
          </cell>
          <cell r="C35">
            <v>180</v>
          </cell>
          <cell r="D35">
            <v>0.02</v>
          </cell>
          <cell r="E35">
            <v>3857</v>
          </cell>
          <cell r="F35">
            <v>0.69425999999999999</v>
          </cell>
        </row>
        <row r="36">
          <cell r="A36">
            <v>14202</v>
          </cell>
          <cell r="B36" t="str">
            <v>Film 34g (320 x 215 mm)</v>
          </cell>
          <cell r="C36">
            <v>215</v>
          </cell>
          <cell r="D36">
            <v>0.02</v>
          </cell>
          <cell r="E36">
            <v>4118</v>
          </cell>
          <cell r="F36">
            <v>0.88536999999999999</v>
          </cell>
        </row>
        <row r="37">
          <cell r="A37">
            <v>14203</v>
          </cell>
          <cell r="B37" t="str">
            <v>Film 75g (404 x 260 mm)</v>
          </cell>
          <cell r="C37">
            <v>260</v>
          </cell>
          <cell r="D37">
            <v>0.02</v>
          </cell>
          <cell r="E37">
            <v>5249</v>
          </cell>
          <cell r="F37">
            <v>1.3647400000000001</v>
          </cell>
        </row>
        <row r="38">
          <cell r="A38">
            <v>15000</v>
          </cell>
          <cell r="B38" t="str">
            <v>Tawan</v>
          </cell>
        </row>
        <row r="39">
          <cell r="A39">
            <v>15001</v>
          </cell>
          <cell r="B39" t="str">
            <v>Film 25g (320 x 235 mm)</v>
          </cell>
          <cell r="C39">
            <v>235</v>
          </cell>
          <cell r="D39">
            <v>1.6E-2</v>
          </cell>
          <cell r="E39">
            <v>3750</v>
          </cell>
          <cell r="F39">
            <v>0.88124999999999998</v>
          </cell>
        </row>
        <row r="40">
          <cell r="A40">
            <v>15002</v>
          </cell>
          <cell r="B40" t="str">
            <v>Film 50g (404 x 280 mm)</v>
          </cell>
          <cell r="C40">
            <v>280</v>
          </cell>
          <cell r="D40">
            <v>1.6E-2</v>
          </cell>
          <cell r="E40">
            <v>4860</v>
          </cell>
          <cell r="F40">
            <v>1.3608</v>
          </cell>
        </row>
        <row r="41">
          <cell r="A41">
            <v>15003</v>
          </cell>
          <cell r="B41" t="str">
            <v>Film 55g (404 x 290 mm)</v>
          </cell>
          <cell r="C41">
            <v>290</v>
          </cell>
          <cell r="D41">
            <v>1.6E-2</v>
          </cell>
          <cell r="E41">
            <v>4860</v>
          </cell>
          <cell r="F41">
            <v>1.4094</v>
          </cell>
        </row>
        <row r="42">
          <cell r="A42">
            <v>16000</v>
          </cell>
          <cell r="B42" t="str">
            <v>Fuji</v>
          </cell>
        </row>
        <row r="43">
          <cell r="A43">
            <v>16001</v>
          </cell>
          <cell r="B43" t="str">
            <v>Film 18g (280 x 190 mm)</v>
          </cell>
          <cell r="C43">
            <v>190</v>
          </cell>
          <cell r="D43">
            <v>1.55E-2</v>
          </cell>
          <cell r="E43">
            <v>4043</v>
          </cell>
          <cell r="F43">
            <v>0.76816999999999991</v>
          </cell>
        </row>
        <row r="44">
          <cell r="A44">
            <v>16002</v>
          </cell>
          <cell r="B44" t="str">
            <v>Film 40g (320 x 255 mm)</v>
          </cell>
          <cell r="C44">
            <v>255</v>
          </cell>
          <cell r="D44">
            <v>1.55E-2</v>
          </cell>
          <cell r="E44">
            <v>4126</v>
          </cell>
          <cell r="F44">
            <v>1.05213</v>
          </cell>
        </row>
        <row r="45">
          <cell r="A45">
            <v>16003</v>
          </cell>
          <cell r="B45" t="str">
            <v>Film 40g (320 x 235 mm)</v>
          </cell>
          <cell r="C45">
            <v>235</v>
          </cell>
          <cell r="D45">
            <v>1.6E-2</v>
          </cell>
          <cell r="E45">
            <v>3750</v>
          </cell>
          <cell r="F45">
            <v>0.88124999999999998</v>
          </cell>
        </row>
        <row r="46">
          <cell r="A46">
            <v>15400</v>
          </cell>
          <cell r="B46" t="str">
            <v>Soccer Ball</v>
          </cell>
        </row>
        <row r="47">
          <cell r="A47">
            <v>15401</v>
          </cell>
          <cell r="B47" t="str">
            <v>Film 24g (280 x 175 mm)</v>
          </cell>
          <cell r="C47">
            <v>175</v>
          </cell>
          <cell r="D47">
            <v>1.7999999999999999E-2</v>
          </cell>
          <cell r="E47">
            <v>3582</v>
          </cell>
          <cell r="F47">
            <v>0.62685000000000002</v>
          </cell>
        </row>
        <row r="48">
          <cell r="A48">
            <v>15402</v>
          </cell>
          <cell r="B48" t="str">
            <v>Film 45g (320 x 225 mm)</v>
          </cell>
          <cell r="C48">
            <v>225</v>
          </cell>
          <cell r="D48">
            <v>1.7999999999999999E-2</v>
          </cell>
          <cell r="E48">
            <v>4085</v>
          </cell>
          <cell r="F48">
            <v>0.91912499999999997</v>
          </cell>
        </row>
        <row r="49">
          <cell r="A49">
            <v>15500</v>
          </cell>
          <cell r="B49" t="str">
            <v>Cartoon Shape</v>
          </cell>
        </row>
        <row r="50">
          <cell r="A50">
            <v>15501</v>
          </cell>
          <cell r="B50" t="str">
            <v>Film (280 x 155 mm)</v>
          </cell>
          <cell r="C50">
            <v>155</v>
          </cell>
          <cell r="D50">
            <v>1.7999999999999999E-2</v>
          </cell>
          <cell r="E50">
            <v>3788</v>
          </cell>
          <cell r="F50">
            <v>0.58714</v>
          </cell>
        </row>
        <row r="51">
          <cell r="A51">
            <v>15502</v>
          </cell>
          <cell r="B51" t="str">
            <v>Film (320 x 185 mm)</v>
          </cell>
          <cell r="C51">
            <v>185</v>
          </cell>
          <cell r="D51">
            <v>1.7999999999999999E-2</v>
          </cell>
          <cell r="E51">
            <v>4044</v>
          </cell>
          <cell r="F51">
            <v>0.74814000000000003</v>
          </cell>
        </row>
        <row r="52">
          <cell r="A52">
            <v>15503</v>
          </cell>
          <cell r="B52" t="str">
            <v>Film (280 x 190 mm)</v>
          </cell>
          <cell r="C52">
            <v>190</v>
          </cell>
          <cell r="D52">
            <v>2.1999999999999999E-2</v>
          </cell>
          <cell r="E52">
            <v>3788</v>
          </cell>
          <cell r="F52">
            <v>0.71972000000000003</v>
          </cell>
        </row>
        <row r="53">
          <cell r="A53">
            <v>15504</v>
          </cell>
          <cell r="B53" t="str">
            <v>Film (320 x 255 mm)</v>
          </cell>
          <cell r="C53">
            <v>255</v>
          </cell>
          <cell r="D53">
            <v>2.1999999999999999E-2</v>
          </cell>
          <cell r="E53">
            <v>4044</v>
          </cell>
          <cell r="F53">
            <v>1.03122</v>
          </cell>
        </row>
        <row r="54">
          <cell r="A54">
            <v>20000</v>
          </cell>
          <cell r="B54" t="str">
            <v>Strip</v>
          </cell>
        </row>
        <row r="55">
          <cell r="A55">
            <v>20001</v>
          </cell>
          <cell r="B55" t="str">
            <v>Strip 180 mm</v>
          </cell>
          <cell r="C55">
            <v>180</v>
          </cell>
          <cell r="D55">
            <v>0.03</v>
          </cell>
          <cell r="E55">
            <v>315</v>
          </cell>
          <cell r="F55">
            <v>5.67E-2</v>
          </cell>
        </row>
        <row r="56">
          <cell r="A56">
            <v>20002</v>
          </cell>
          <cell r="B56" t="str">
            <v>Strip 220 mm</v>
          </cell>
          <cell r="C56">
            <v>220</v>
          </cell>
          <cell r="D56">
            <v>0.03</v>
          </cell>
          <cell r="E56">
            <v>315</v>
          </cell>
          <cell r="F56">
            <v>6.93E-2</v>
          </cell>
        </row>
        <row r="57">
          <cell r="A57">
            <v>20003</v>
          </cell>
          <cell r="B57" t="str">
            <v>Strip 260 mm</v>
          </cell>
          <cell r="C57">
            <v>260</v>
          </cell>
          <cell r="D57">
            <v>0.03</v>
          </cell>
          <cell r="E57">
            <v>315</v>
          </cell>
          <cell r="F57">
            <v>8.1900000000000001E-2</v>
          </cell>
        </row>
        <row r="58">
          <cell r="A58">
            <v>20004</v>
          </cell>
          <cell r="B58" t="str">
            <v>Strip 235 mm</v>
          </cell>
          <cell r="C58">
            <v>235</v>
          </cell>
          <cell r="D58">
            <v>0.03</v>
          </cell>
          <cell r="E58">
            <v>315</v>
          </cell>
          <cell r="F58">
            <v>7.4025000000000007E-2</v>
          </cell>
        </row>
        <row r="59">
          <cell r="A59">
            <v>20005</v>
          </cell>
          <cell r="B59" t="str">
            <v>Strip 205 mm</v>
          </cell>
          <cell r="C59">
            <v>205</v>
          </cell>
          <cell r="D59">
            <v>0.03</v>
          </cell>
          <cell r="E59">
            <v>315</v>
          </cell>
          <cell r="F59">
            <v>6.4575000000000007E-2</v>
          </cell>
        </row>
        <row r="60">
          <cell r="A60">
            <v>20006</v>
          </cell>
          <cell r="B60" t="str">
            <v>Strip 255 mm</v>
          </cell>
          <cell r="C60">
            <v>255</v>
          </cell>
          <cell r="D60">
            <v>0.03</v>
          </cell>
          <cell r="E60">
            <v>315</v>
          </cell>
          <cell r="F60">
            <v>8.0325000000000008E-2</v>
          </cell>
        </row>
        <row r="61">
          <cell r="A61">
            <v>20007</v>
          </cell>
          <cell r="B61" t="str">
            <v>Strip 175 mm</v>
          </cell>
          <cell r="C61">
            <v>175</v>
          </cell>
          <cell r="D61">
            <v>0.03</v>
          </cell>
          <cell r="E61">
            <v>315</v>
          </cell>
          <cell r="F61">
            <v>5.5125E-2</v>
          </cell>
        </row>
        <row r="62">
          <cell r="A62">
            <v>20008</v>
          </cell>
          <cell r="B62" t="str">
            <v>Strip 225 mm</v>
          </cell>
          <cell r="C62">
            <v>225</v>
          </cell>
          <cell r="D62">
            <v>0.03</v>
          </cell>
          <cell r="E62">
            <v>315</v>
          </cell>
          <cell r="F62">
            <v>7.0875000000000007E-2</v>
          </cell>
        </row>
        <row r="63">
          <cell r="A63">
            <v>20009</v>
          </cell>
          <cell r="B63" t="str">
            <v>Strip 290 mm</v>
          </cell>
          <cell r="C63">
            <v>290</v>
          </cell>
          <cell r="D63">
            <v>0.03</v>
          </cell>
          <cell r="E63">
            <v>315</v>
          </cell>
          <cell r="F63">
            <v>9.1350000000000001E-2</v>
          </cell>
        </row>
        <row r="64">
          <cell r="A64">
            <v>20010</v>
          </cell>
          <cell r="B64" t="str">
            <v>Strip 300 mm</v>
          </cell>
          <cell r="C64">
            <v>300</v>
          </cell>
          <cell r="D64">
            <v>0.03</v>
          </cell>
          <cell r="E64">
            <v>315</v>
          </cell>
          <cell r="F64">
            <v>9.4500000000000001E-2</v>
          </cell>
        </row>
        <row r="65">
          <cell r="A65">
            <v>20011</v>
          </cell>
          <cell r="B65" t="str">
            <v>Strip 155 mm</v>
          </cell>
          <cell r="C65">
            <v>155</v>
          </cell>
          <cell r="D65">
            <v>0.03</v>
          </cell>
          <cell r="E65">
            <v>315</v>
          </cell>
          <cell r="F65">
            <v>4.8825E-2</v>
          </cell>
        </row>
        <row r="66">
          <cell r="A66">
            <v>20012</v>
          </cell>
          <cell r="B66" t="str">
            <v>Strip 280 mm</v>
          </cell>
          <cell r="C66">
            <v>280</v>
          </cell>
          <cell r="D66">
            <v>0.03</v>
          </cell>
          <cell r="E66">
            <v>315</v>
          </cell>
          <cell r="F66">
            <v>8.8200000000000001E-2</v>
          </cell>
        </row>
        <row r="67">
          <cell r="A67">
            <v>20013</v>
          </cell>
          <cell r="B67" t="str">
            <v>Strip 185 mm</v>
          </cell>
          <cell r="C67">
            <v>185</v>
          </cell>
          <cell r="D67">
            <v>0.03</v>
          </cell>
          <cell r="E67">
            <v>315</v>
          </cell>
          <cell r="F67">
            <v>5.8275E-2</v>
          </cell>
        </row>
        <row r="68">
          <cell r="A68">
            <v>20014</v>
          </cell>
          <cell r="B68" t="str">
            <v>Strip 190 mm</v>
          </cell>
          <cell r="C68">
            <v>190</v>
          </cell>
          <cell r="D68">
            <v>0.03</v>
          </cell>
          <cell r="E68">
            <v>315</v>
          </cell>
          <cell r="F68">
            <v>5.985E-2</v>
          </cell>
        </row>
        <row r="69">
          <cell r="A69">
            <v>20015</v>
          </cell>
          <cell r="B69" t="str">
            <v>Strip 215 mm</v>
          </cell>
          <cell r="C69">
            <v>215</v>
          </cell>
          <cell r="D69">
            <v>0.03</v>
          </cell>
          <cell r="E69">
            <v>315</v>
          </cell>
          <cell r="F69">
            <v>6.7725000000000007E-2</v>
          </cell>
        </row>
        <row r="70">
          <cell r="A70">
            <v>30000</v>
          </cell>
          <cell r="B70" t="str">
            <v>PP Bags</v>
          </cell>
        </row>
        <row r="71">
          <cell r="A71">
            <v>30001</v>
          </cell>
          <cell r="B71" t="str">
            <v>PP Bag Small</v>
          </cell>
          <cell r="C71">
            <v>67</v>
          </cell>
          <cell r="D71">
            <v>7.4999999999999997E-3</v>
          </cell>
          <cell r="E71">
            <v>38</v>
          </cell>
          <cell r="F71">
            <v>0.56716417910447758</v>
          </cell>
        </row>
        <row r="72">
          <cell r="A72">
            <v>30002</v>
          </cell>
          <cell r="B72" t="str">
            <v>PP Bag Medium</v>
          </cell>
          <cell r="C72">
            <v>75</v>
          </cell>
          <cell r="D72">
            <v>7.4999999999999997E-3</v>
          </cell>
          <cell r="E72">
            <v>38</v>
          </cell>
          <cell r="F72">
            <v>0.50666666666666671</v>
          </cell>
        </row>
        <row r="73">
          <cell r="A73">
            <v>30003</v>
          </cell>
          <cell r="B73" t="str">
            <v>PP Bag Medium Sedweed</v>
          </cell>
          <cell r="C73">
            <v>67</v>
          </cell>
          <cell r="D73">
            <v>7.4999999999999997E-3</v>
          </cell>
          <cell r="E73">
            <v>38</v>
          </cell>
          <cell r="F73">
            <v>0.56716417910447758</v>
          </cell>
        </row>
        <row r="74">
          <cell r="A74">
            <v>30004</v>
          </cell>
          <cell r="B74" t="str">
            <v>PP Bag Small (17 x 17)</v>
          </cell>
          <cell r="C74">
            <v>70</v>
          </cell>
          <cell r="D74">
            <v>7.4999999999999997E-3</v>
          </cell>
          <cell r="E74">
            <v>38</v>
          </cell>
          <cell r="F74">
            <v>0.54285714285714282</v>
          </cell>
        </row>
        <row r="75">
          <cell r="A75">
            <v>30005</v>
          </cell>
          <cell r="B75" t="str">
            <v>PP Bag Medium (14.5 x 16)</v>
          </cell>
          <cell r="C75">
            <v>90</v>
          </cell>
          <cell r="D75">
            <v>7.4999999999999997E-3</v>
          </cell>
          <cell r="E75">
            <v>38</v>
          </cell>
          <cell r="F75">
            <v>0.42222222222222222</v>
          </cell>
        </row>
        <row r="76">
          <cell r="A76">
            <v>30006</v>
          </cell>
          <cell r="B76" t="str">
            <v>PP Bag Smile 30 g.</v>
          </cell>
          <cell r="C76">
            <v>110</v>
          </cell>
          <cell r="D76">
            <v>7.4999999999999997E-3</v>
          </cell>
          <cell r="E76">
            <v>45</v>
          </cell>
          <cell r="F76">
            <v>0.40909090909090912</v>
          </cell>
        </row>
        <row r="77">
          <cell r="A77">
            <v>30007</v>
          </cell>
          <cell r="B77" t="str">
            <v>PP Bag Smile 80 g.</v>
          </cell>
          <cell r="C77">
            <v>75</v>
          </cell>
          <cell r="D77">
            <v>7.4999999999999997E-3</v>
          </cell>
          <cell r="E77">
            <v>45</v>
          </cell>
          <cell r="F77">
            <v>0.6</v>
          </cell>
        </row>
        <row r="78">
          <cell r="A78">
            <v>40000</v>
          </cell>
          <cell r="B78" t="str">
            <v>OPP Tape</v>
          </cell>
        </row>
        <row r="79">
          <cell r="A79">
            <v>40001</v>
          </cell>
          <cell r="B79" t="str">
            <v>OPP Tape</v>
          </cell>
          <cell r="C79">
            <v>900</v>
          </cell>
          <cell r="D79">
            <v>7.4999999999999997E-3</v>
          </cell>
          <cell r="E79">
            <v>359.5</v>
          </cell>
          <cell r="F79">
            <v>0.39944444444444444</v>
          </cell>
        </row>
        <row r="80">
          <cell r="A80">
            <v>40002</v>
          </cell>
          <cell r="B80" t="str">
            <v>OPP Tape Smile</v>
          </cell>
          <cell r="C80">
            <v>900</v>
          </cell>
          <cell r="D80">
            <v>7.4999999999999997E-3</v>
          </cell>
          <cell r="E80">
            <v>359</v>
          </cell>
          <cell r="F80">
            <v>0.3988888888888889</v>
          </cell>
        </row>
        <row r="81">
          <cell r="A81">
            <v>50000</v>
          </cell>
          <cell r="B81" t="str">
            <v>Shipper</v>
          </cell>
        </row>
        <row r="82">
          <cell r="A82">
            <v>51000</v>
          </cell>
          <cell r="B82" t="str">
            <v>Shipper - Lay's</v>
          </cell>
        </row>
        <row r="83">
          <cell r="A83">
            <v>51001</v>
          </cell>
          <cell r="B83" t="str">
            <v>Shipper 18g (1 x 120)</v>
          </cell>
          <cell r="C83">
            <v>1</v>
          </cell>
          <cell r="D83">
            <v>3.0000000000000001E-3</v>
          </cell>
          <cell r="E83">
            <v>15.58</v>
          </cell>
          <cell r="F83">
            <v>15.58</v>
          </cell>
        </row>
        <row r="84">
          <cell r="A84">
            <v>51002</v>
          </cell>
          <cell r="B84" t="str">
            <v>Shipper 66g (1 x 48)</v>
          </cell>
          <cell r="C84">
            <v>1</v>
          </cell>
          <cell r="D84">
            <v>3.0000000000000001E-3</v>
          </cell>
          <cell r="E84">
            <v>13.82</v>
          </cell>
          <cell r="F84">
            <v>13.82</v>
          </cell>
        </row>
        <row r="85">
          <cell r="A85">
            <v>51003</v>
          </cell>
          <cell r="B85" t="str">
            <v>Shipper 100g (1 x 24)</v>
          </cell>
          <cell r="C85">
            <v>1</v>
          </cell>
          <cell r="D85">
            <v>3.0000000000000001E-3</v>
          </cell>
          <cell r="E85">
            <v>11.35</v>
          </cell>
          <cell r="F85">
            <v>11.35</v>
          </cell>
        </row>
        <row r="86">
          <cell r="A86">
            <v>51004</v>
          </cell>
          <cell r="B86" t="str">
            <v>Shipper 150g (1 x 18)</v>
          </cell>
          <cell r="C86">
            <v>1</v>
          </cell>
          <cell r="D86">
            <v>3.0000000000000001E-3</v>
          </cell>
          <cell r="E86">
            <v>12.52</v>
          </cell>
          <cell r="F86">
            <v>12.52</v>
          </cell>
        </row>
        <row r="87">
          <cell r="A87">
            <v>51005</v>
          </cell>
          <cell r="B87" t="str">
            <v>Shipper 21g (1 x 120)</v>
          </cell>
          <cell r="C87">
            <v>1</v>
          </cell>
          <cell r="D87">
            <v>3.0000000000000001E-3</v>
          </cell>
          <cell r="E87">
            <v>15.58</v>
          </cell>
          <cell r="F87">
            <v>15.58</v>
          </cell>
        </row>
        <row r="88">
          <cell r="A88">
            <v>51006</v>
          </cell>
          <cell r="B88" t="str">
            <v>Shipper 72g (1 x 48)</v>
          </cell>
          <cell r="C88">
            <v>1</v>
          </cell>
          <cell r="D88">
            <v>3.0000000000000001E-3</v>
          </cell>
          <cell r="E88">
            <v>16.25</v>
          </cell>
          <cell r="F88">
            <v>16.25</v>
          </cell>
        </row>
        <row r="89">
          <cell r="A89">
            <v>51008</v>
          </cell>
          <cell r="B89" t="str">
            <v>Shipper 30g (1 x 48) - Smile 330*480*300</v>
          </cell>
          <cell r="C89">
            <v>1</v>
          </cell>
          <cell r="D89">
            <v>3.0000000000000001E-3</v>
          </cell>
          <cell r="E89">
            <v>9.65</v>
          </cell>
          <cell r="F89">
            <v>9.65</v>
          </cell>
        </row>
        <row r="90">
          <cell r="A90">
            <v>51009</v>
          </cell>
          <cell r="B90" t="str">
            <v>Shipper 80g (1 x 24) - Smile 330*480*375</v>
          </cell>
          <cell r="C90">
            <v>1</v>
          </cell>
          <cell r="D90">
            <v>3.0000000000000001E-3</v>
          </cell>
          <cell r="E90">
            <v>10.8</v>
          </cell>
          <cell r="F90">
            <v>10.8</v>
          </cell>
        </row>
        <row r="91">
          <cell r="A91">
            <v>51010</v>
          </cell>
          <cell r="B91" t="str">
            <v>Shipper 24g (1 x 120)</v>
          </cell>
          <cell r="C91">
            <v>1</v>
          </cell>
          <cell r="D91">
            <v>3.0000000000000001E-3</v>
          </cell>
          <cell r="E91">
            <v>15.58</v>
          </cell>
          <cell r="F91">
            <v>15.58</v>
          </cell>
        </row>
        <row r="92">
          <cell r="A92">
            <v>51011</v>
          </cell>
          <cell r="B92" t="str">
            <v>Shipper 80g (1 x 48)</v>
          </cell>
          <cell r="C92">
            <v>1</v>
          </cell>
          <cell r="D92">
            <v>3.0000000000000001E-3</v>
          </cell>
          <cell r="E92">
            <v>18.21</v>
          </cell>
          <cell r="F92">
            <v>18.21</v>
          </cell>
        </row>
        <row r="93">
          <cell r="A93">
            <v>51012</v>
          </cell>
          <cell r="B93" t="str">
            <v>Shipper 120g (1 x 24)</v>
          </cell>
          <cell r="C93">
            <v>1</v>
          </cell>
          <cell r="D93">
            <v>3.0000000000000001E-3</v>
          </cell>
          <cell r="E93">
            <v>12.58</v>
          </cell>
          <cell r="F93">
            <v>12.58</v>
          </cell>
        </row>
        <row r="94">
          <cell r="A94">
            <v>52000</v>
          </cell>
          <cell r="B94" t="str">
            <v>Shipper - Cheetos</v>
          </cell>
        </row>
        <row r="95">
          <cell r="A95">
            <v>52001</v>
          </cell>
          <cell r="B95" t="str">
            <v>Shipper 18g (1 x 96)</v>
          </cell>
          <cell r="C95">
            <v>1</v>
          </cell>
          <cell r="D95">
            <v>3.0000000000000001E-3</v>
          </cell>
          <cell r="E95">
            <v>11.26</v>
          </cell>
          <cell r="F95">
            <v>11.26</v>
          </cell>
        </row>
        <row r="96">
          <cell r="A96">
            <v>52004</v>
          </cell>
          <cell r="B96" t="str">
            <v>Shipper 40g (1 x 48)</v>
          </cell>
          <cell r="C96">
            <v>1</v>
          </cell>
          <cell r="D96">
            <v>3.0000000000000001E-3</v>
          </cell>
          <cell r="E96">
            <v>9.9</v>
          </cell>
          <cell r="F96">
            <v>9.9</v>
          </cell>
        </row>
        <row r="97">
          <cell r="A97">
            <v>52005</v>
          </cell>
          <cell r="B97" t="str">
            <v>Shipper 15g (1 x 96)</v>
          </cell>
          <cell r="C97">
            <v>1</v>
          </cell>
          <cell r="D97">
            <v>3.0000000000000001E-3</v>
          </cell>
          <cell r="E97">
            <v>11.85</v>
          </cell>
          <cell r="F97">
            <v>11.85</v>
          </cell>
        </row>
        <row r="98">
          <cell r="A98">
            <v>52006</v>
          </cell>
          <cell r="B98" t="str">
            <v>Shipper 22g (1 x 96)</v>
          </cell>
          <cell r="C98">
            <v>1</v>
          </cell>
          <cell r="D98">
            <v>3.0000000000000001E-3</v>
          </cell>
          <cell r="E98">
            <v>11.85</v>
          </cell>
          <cell r="F98">
            <v>11.85</v>
          </cell>
        </row>
        <row r="99">
          <cell r="A99">
            <v>52007</v>
          </cell>
          <cell r="B99" t="str">
            <v>Shipper 35g (1 x 48)</v>
          </cell>
          <cell r="C99">
            <v>1</v>
          </cell>
          <cell r="D99">
            <v>3.0000000000000001E-3</v>
          </cell>
          <cell r="E99">
            <v>11.9</v>
          </cell>
          <cell r="F99">
            <v>11.9</v>
          </cell>
        </row>
        <row r="100">
          <cell r="A100">
            <v>52008</v>
          </cell>
          <cell r="B100" t="str">
            <v>Shipper 45g (1 x 48)</v>
          </cell>
          <cell r="C100">
            <v>1</v>
          </cell>
          <cell r="D100">
            <v>3.0000000000000001E-3</v>
          </cell>
          <cell r="E100">
            <v>11.9</v>
          </cell>
          <cell r="F100">
            <v>11.9</v>
          </cell>
        </row>
        <row r="101">
          <cell r="A101">
            <v>52009</v>
          </cell>
          <cell r="B101" t="str">
            <v>Shipper 18g (1 x 36)</v>
          </cell>
          <cell r="C101">
            <v>1</v>
          </cell>
          <cell r="D101">
            <v>3.0000000000000001E-3</v>
          </cell>
          <cell r="E101">
            <v>5.66</v>
          </cell>
          <cell r="F101">
            <v>5.66</v>
          </cell>
        </row>
      </sheetData>
      <sheetData sheetId="4" refreshError="1">
        <row r="2">
          <cell r="A2" t="str">
            <v>Code</v>
          </cell>
          <cell r="B2" t="str">
            <v>Description</v>
          </cell>
          <cell r="C2" t="str">
            <v>Man Hour</v>
          </cell>
          <cell r="D2" t="str">
            <v>Waste %</v>
          </cell>
          <cell r="E2" t="str">
            <v>Bht./Hr.</v>
          </cell>
        </row>
        <row r="4">
          <cell r="A4">
            <v>10000</v>
          </cell>
          <cell r="B4" t="str">
            <v>Lay's Salt</v>
          </cell>
          <cell r="C4">
            <v>5.3571428571428572E-3</v>
          </cell>
          <cell r="D4">
            <v>2.8</v>
          </cell>
          <cell r="E4">
            <v>17.5</v>
          </cell>
        </row>
        <row r="5">
          <cell r="A5">
            <v>11000</v>
          </cell>
          <cell r="B5" t="str">
            <v>Lay's Others</v>
          </cell>
          <cell r="C5">
            <v>5.3571428571428572E-3</v>
          </cell>
          <cell r="D5">
            <v>2.8</v>
          </cell>
          <cell r="E5">
            <v>17.5</v>
          </cell>
        </row>
        <row r="6">
          <cell r="A6">
            <v>12001</v>
          </cell>
          <cell r="B6" t="str">
            <v>Smile PP</v>
          </cell>
          <cell r="C6">
            <v>5.3099999999999996E-3</v>
          </cell>
          <cell r="D6">
            <v>2.8</v>
          </cell>
          <cell r="E6">
            <v>17.5</v>
          </cell>
        </row>
        <row r="7">
          <cell r="A7">
            <v>12002</v>
          </cell>
          <cell r="B7" t="str">
            <v>Smile MK</v>
          </cell>
          <cell r="C7">
            <v>5.0899999999999999E-3</v>
          </cell>
          <cell r="D7">
            <v>2.8</v>
          </cell>
          <cell r="E7">
            <v>17.5</v>
          </cell>
        </row>
        <row r="8">
          <cell r="A8">
            <v>12003</v>
          </cell>
          <cell r="B8" t="str">
            <v>Smile TY</v>
          </cell>
          <cell r="C8">
            <v>5.1000000000000004E-3</v>
          </cell>
          <cell r="D8">
            <v>2.8</v>
          </cell>
          <cell r="E8">
            <v>17.5</v>
          </cell>
        </row>
        <row r="9">
          <cell r="A9">
            <v>21000</v>
          </cell>
          <cell r="B9" t="str">
            <v>Cheetos - FCP</v>
          </cell>
          <cell r="C9">
            <v>3.5300925925925929E-3</v>
          </cell>
          <cell r="D9">
            <v>2.8</v>
          </cell>
          <cell r="E9">
            <v>17.5</v>
          </cell>
        </row>
        <row r="10">
          <cell r="A10">
            <v>22000</v>
          </cell>
          <cell r="B10" t="str">
            <v>Cheetos - BCP</v>
          </cell>
          <cell r="C10">
            <v>5.2556818181818182E-3</v>
          </cell>
          <cell r="D10">
            <v>2.8</v>
          </cell>
          <cell r="E10">
            <v>17.5</v>
          </cell>
        </row>
        <row r="11">
          <cell r="A11">
            <v>30000</v>
          </cell>
          <cell r="B11" t="str">
            <v>Twisties</v>
          </cell>
          <cell r="C11">
            <v>5.6249999999999998E-3</v>
          </cell>
          <cell r="D11">
            <v>2.8</v>
          </cell>
          <cell r="E11">
            <v>17.5</v>
          </cell>
        </row>
        <row r="12">
          <cell r="A12">
            <v>41000</v>
          </cell>
          <cell r="B12" t="str">
            <v>3D's - Corn</v>
          </cell>
          <cell r="C12">
            <v>3.317901234567901E-3</v>
          </cell>
          <cell r="D12">
            <v>2.8</v>
          </cell>
          <cell r="E12">
            <v>17.5</v>
          </cell>
        </row>
      </sheetData>
      <sheetData sheetId="5" refreshError="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2">
          <cell r="A2" t="str">
            <v>Code</v>
          </cell>
          <cell r="B2" t="str">
            <v>Description</v>
          </cell>
          <cell r="C2" t="str">
            <v>Man Hour/Per kg</v>
          </cell>
          <cell r="D2" t="str">
            <v>Waste %</v>
          </cell>
          <cell r="E2" t="str">
            <v>Bht./Hr.</v>
          </cell>
        </row>
        <row r="3">
          <cell r="A3">
            <v>10000</v>
          </cell>
          <cell r="B3" t="str">
            <v>Lay's</v>
          </cell>
        </row>
        <row r="4">
          <cell r="A4">
            <v>10001</v>
          </cell>
          <cell r="B4" t="str">
            <v>Lay's 18g (1 x 120)</v>
          </cell>
          <cell r="C4">
            <v>4.3935185185185181E-2</v>
          </cell>
          <cell r="D4">
            <v>2.8</v>
          </cell>
          <cell r="E4">
            <v>17.5</v>
          </cell>
        </row>
        <row r="5">
          <cell r="A5">
            <v>10002</v>
          </cell>
          <cell r="B5" t="str">
            <v>Lay's 66g (1 x 48)</v>
          </cell>
          <cell r="C5">
            <v>1.5372474747474748E-2</v>
          </cell>
          <cell r="D5">
            <v>2.8</v>
          </cell>
          <cell r="E5">
            <v>17.5</v>
          </cell>
        </row>
        <row r="6">
          <cell r="A6">
            <v>10003</v>
          </cell>
          <cell r="B6" t="str">
            <v>Lay's 100g (1 x 24)</v>
          </cell>
          <cell r="C6">
            <v>8.0833333333333347E-3</v>
          </cell>
          <cell r="D6">
            <v>2.8</v>
          </cell>
          <cell r="E6">
            <v>17.5</v>
          </cell>
        </row>
        <row r="7">
          <cell r="A7">
            <v>10004</v>
          </cell>
          <cell r="B7" t="str">
            <v>Lay's 150g (1 x 18)</v>
          </cell>
          <cell r="C7">
            <v>7.1851851851851851E-3</v>
          </cell>
          <cell r="D7">
            <v>2.8</v>
          </cell>
          <cell r="E7">
            <v>17.5</v>
          </cell>
        </row>
        <row r="8">
          <cell r="A8">
            <v>10005</v>
          </cell>
          <cell r="B8" t="str">
            <v>Lay's 21g (1 x 120)</v>
          </cell>
          <cell r="C8">
            <v>3.7658730158730155E-2</v>
          </cell>
          <cell r="D8">
            <v>2.8</v>
          </cell>
          <cell r="E8">
            <v>17.5</v>
          </cell>
        </row>
        <row r="9">
          <cell r="A9">
            <v>10006</v>
          </cell>
          <cell r="B9" t="str">
            <v>Lay's 72g (1 x 48)</v>
          </cell>
          <cell r="C9">
            <v>1.4091435185185186E-2</v>
          </cell>
          <cell r="D9">
            <v>2.8</v>
          </cell>
          <cell r="E9">
            <v>17.5</v>
          </cell>
        </row>
        <row r="10">
          <cell r="A10">
            <v>10008</v>
          </cell>
          <cell r="B10" t="str">
            <v>Lay's 30g (1 x 48)-Smile</v>
          </cell>
          <cell r="C10">
            <v>2.2281639928698752E-2</v>
          </cell>
          <cell r="D10">
            <v>2.8</v>
          </cell>
          <cell r="E10">
            <v>17.5</v>
          </cell>
        </row>
        <row r="11">
          <cell r="A11">
            <v>10009</v>
          </cell>
          <cell r="B11" t="str">
            <v>Lay's 80g (1 x 24)-Smile</v>
          </cell>
          <cell r="C11">
            <v>1.0008006405124099E-2</v>
          </cell>
          <cell r="D11">
            <v>2.8</v>
          </cell>
          <cell r="E11">
            <v>17.5</v>
          </cell>
        </row>
        <row r="12">
          <cell r="A12">
            <v>10010</v>
          </cell>
          <cell r="B12" t="str">
            <v>Lay's 24g (1 x 120)</v>
          </cell>
          <cell r="C12">
            <v>3.2951388888888891E-2</v>
          </cell>
          <cell r="D12">
            <v>2.8</v>
          </cell>
          <cell r="E12">
            <v>17.5</v>
          </cell>
        </row>
        <row r="13">
          <cell r="A13">
            <v>10011</v>
          </cell>
          <cell r="B13" t="str">
            <v>Lay's 80g (1 x 48)</v>
          </cell>
          <cell r="C13">
            <v>1.2682291666666666E-2</v>
          </cell>
          <cell r="D13">
            <v>2.8</v>
          </cell>
          <cell r="E13">
            <v>17.5</v>
          </cell>
        </row>
        <row r="14">
          <cell r="A14">
            <v>10012</v>
          </cell>
          <cell r="B14" t="str">
            <v>Lay's 120g (1 x 24)</v>
          </cell>
          <cell r="C14">
            <v>6.736111111111112E-3</v>
          </cell>
          <cell r="D14">
            <v>2.8</v>
          </cell>
          <cell r="E14">
            <v>17.5</v>
          </cell>
        </row>
        <row r="15">
          <cell r="A15">
            <v>20000</v>
          </cell>
          <cell r="B15" t="str">
            <v>Cheetos</v>
          </cell>
        </row>
        <row r="16">
          <cell r="A16">
            <v>21001</v>
          </cell>
          <cell r="B16" t="str">
            <v>FCP 18g (1 x 72)</v>
          </cell>
          <cell r="C16">
            <v>1.8209876543209876E-2</v>
          </cell>
          <cell r="D16">
            <v>2.8</v>
          </cell>
          <cell r="E16">
            <v>17.5</v>
          </cell>
        </row>
        <row r="17">
          <cell r="A17">
            <v>21002</v>
          </cell>
          <cell r="B17" t="str">
            <v>FCP 20g (1 x 72)</v>
          </cell>
          <cell r="C17">
            <v>1.638888888888889E-2</v>
          </cell>
          <cell r="D17">
            <v>2.8</v>
          </cell>
          <cell r="E17">
            <v>17.5</v>
          </cell>
        </row>
        <row r="18">
          <cell r="A18">
            <v>21003</v>
          </cell>
          <cell r="B18" t="str">
            <v>FCP 45g (1 x 48)</v>
          </cell>
          <cell r="C18">
            <v>1.5879629629629629E-2</v>
          </cell>
          <cell r="D18">
            <v>2.8</v>
          </cell>
          <cell r="E18">
            <v>17.5</v>
          </cell>
        </row>
        <row r="19">
          <cell r="A19">
            <v>21004</v>
          </cell>
          <cell r="B19" t="str">
            <v>FCP 40g (1 x 48)</v>
          </cell>
          <cell r="C19">
            <v>1.7864583333333333E-2</v>
          </cell>
          <cell r="D19">
            <v>2.8</v>
          </cell>
          <cell r="E19">
            <v>17.5</v>
          </cell>
        </row>
        <row r="20">
          <cell r="A20">
            <v>21005</v>
          </cell>
          <cell r="B20" t="str">
            <v>FCP 18g (1 x 36) 7-11</v>
          </cell>
          <cell r="C20">
            <v>3.6419753086419752E-2</v>
          </cell>
          <cell r="D20">
            <v>2.8</v>
          </cell>
          <cell r="E20">
            <v>17.5</v>
          </cell>
        </row>
        <row r="21">
          <cell r="A21">
            <v>22001</v>
          </cell>
          <cell r="B21" t="str">
            <v>BCP 15g (1 x 96)</v>
          </cell>
          <cell r="C21">
            <v>4.3680555555555556E-2</v>
          </cell>
          <cell r="D21">
            <v>2.8</v>
          </cell>
          <cell r="E21">
            <v>17.5</v>
          </cell>
        </row>
        <row r="22">
          <cell r="A22">
            <v>22002</v>
          </cell>
          <cell r="B22" t="str">
            <v>BCP 22g (1 x 96)</v>
          </cell>
          <cell r="C22">
            <v>2.9782196969696965E-2</v>
          </cell>
          <cell r="D22">
            <v>2.8</v>
          </cell>
          <cell r="E22">
            <v>17.5</v>
          </cell>
        </row>
        <row r="23">
          <cell r="A23">
            <v>22003</v>
          </cell>
          <cell r="B23" t="str">
            <v>BCP 35g (1 x 48)</v>
          </cell>
          <cell r="C23">
            <v>2.0416666666666666E-2</v>
          </cell>
          <cell r="D23">
            <v>2.8</v>
          </cell>
          <cell r="E23">
            <v>17.5</v>
          </cell>
        </row>
        <row r="24">
          <cell r="A24">
            <v>22004</v>
          </cell>
          <cell r="B24" t="str">
            <v>BCP 45g (1 x 48)</v>
          </cell>
          <cell r="C24">
            <v>1.5879629629629629E-2</v>
          </cell>
          <cell r="D24">
            <v>2.8</v>
          </cell>
          <cell r="E24">
            <v>17.5</v>
          </cell>
        </row>
        <row r="25">
          <cell r="A25">
            <v>22005</v>
          </cell>
          <cell r="B25" t="str">
            <v>BCP 15g (1 x 36) 7-11</v>
          </cell>
          <cell r="C25">
            <v>0.11648148148148146</v>
          </cell>
          <cell r="D25">
            <v>2.8</v>
          </cell>
          <cell r="E25">
            <v>17.5</v>
          </cell>
        </row>
        <row r="26">
          <cell r="A26">
            <v>30000</v>
          </cell>
          <cell r="B26" t="str">
            <v>Twisties</v>
          </cell>
        </row>
        <row r="27">
          <cell r="A27">
            <v>30001</v>
          </cell>
          <cell r="B27" t="str">
            <v>Twisties 20g (1 x 96)</v>
          </cell>
          <cell r="C27">
            <v>3.2760416666666667E-2</v>
          </cell>
          <cell r="D27">
            <v>2.8</v>
          </cell>
          <cell r="E27">
            <v>17.5</v>
          </cell>
        </row>
        <row r="28">
          <cell r="A28">
            <v>30002</v>
          </cell>
          <cell r="B28" t="str">
            <v>Twisties 40g (1 x 48)</v>
          </cell>
          <cell r="C28">
            <v>1.7864583333333333E-2</v>
          </cell>
          <cell r="D28">
            <v>2.8</v>
          </cell>
          <cell r="E28">
            <v>17.5</v>
          </cell>
        </row>
        <row r="29">
          <cell r="A29">
            <v>30003</v>
          </cell>
          <cell r="B29" t="str">
            <v>Twisties 90g (1 x 24)</v>
          </cell>
          <cell r="C29">
            <v>6.9444444444444441E-3</v>
          </cell>
          <cell r="D29">
            <v>2.8</v>
          </cell>
          <cell r="E29">
            <v>17.5</v>
          </cell>
        </row>
        <row r="30">
          <cell r="A30">
            <v>40000</v>
          </cell>
          <cell r="B30" t="str">
            <v>3D's</v>
          </cell>
        </row>
        <row r="31">
          <cell r="A31">
            <v>41000</v>
          </cell>
          <cell r="B31" t="str">
            <v>3D's Corn</v>
          </cell>
        </row>
        <row r="32">
          <cell r="A32">
            <v>41001</v>
          </cell>
          <cell r="B32" t="str">
            <v>3D's 18g (1 x 72)</v>
          </cell>
          <cell r="C32">
            <v>4.8533950617283945E-2</v>
          </cell>
          <cell r="D32">
            <v>2.8</v>
          </cell>
          <cell r="E32">
            <v>17.5</v>
          </cell>
        </row>
        <row r="33">
          <cell r="A33">
            <v>41002</v>
          </cell>
          <cell r="B33" t="str">
            <v>3D's 36g (1 x 48)</v>
          </cell>
          <cell r="C33">
            <v>2.4074074074074074E-2</v>
          </cell>
          <cell r="D33">
            <v>2.8</v>
          </cell>
          <cell r="E33">
            <v>17.5</v>
          </cell>
        </row>
        <row r="34">
          <cell r="A34">
            <v>41003</v>
          </cell>
          <cell r="B34" t="str">
            <v>3D's 75g (1 x 24)</v>
          </cell>
          <cell r="C34">
            <v>1.4222222222222223E-2</v>
          </cell>
          <cell r="D34">
            <v>2.8</v>
          </cell>
          <cell r="E34">
            <v>17.5</v>
          </cell>
        </row>
        <row r="35">
          <cell r="A35">
            <v>41004</v>
          </cell>
          <cell r="B35" t="str">
            <v>3D's 20g (1 x 72)</v>
          </cell>
          <cell r="C35">
            <v>4.3680555555555556E-2</v>
          </cell>
          <cell r="D35">
            <v>2.8</v>
          </cell>
          <cell r="E35">
            <v>17.5</v>
          </cell>
        </row>
        <row r="36">
          <cell r="A36">
            <v>41005</v>
          </cell>
          <cell r="B36" t="str">
            <v>3D's 40g (1 x 48)</v>
          </cell>
          <cell r="C36">
            <v>2.1666666666666667E-2</v>
          </cell>
          <cell r="D36">
            <v>2.8</v>
          </cell>
          <cell r="E36">
            <v>17.5</v>
          </cell>
        </row>
        <row r="37">
          <cell r="A37">
            <v>42000</v>
          </cell>
          <cell r="B37" t="str">
            <v>3D's Perf.</v>
          </cell>
        </row>
        <row r="38">
          <cell r="A38">
            <v>42006</v>
          </cell>
          <cell r="B38" t="str">
            <v>3D's 17g (1 x 72)</v>
          </cell>
          <cell r="C38">
            <v>5.1388888888888887E-2</v>
          </cell>
          <cell r="D38">
            <v>2.8</v>
          </cell>
          <cell r="E38">
            <v>17.5</v>
          </cell>
        </row>
        <row r="39">
          <cell r="A39">
            <v>42007</v>
          </cell>
          <cell r="B39" t="str">
            <v>3D's 34g (1 x 48)</v>
          </cell>
          <cell r="C39">
            <v>2.5490196078431372E-2</v>
          </cell>
          <cell r="D39">
            <v>2.8</v>
          </cell>
          <cell r="E39">
            <v>17.5</v>
          </cell>
        </row>
        <row r="40">
          <cell r="A40">
            <v>42008</v>
          </cell>
          <cell r="B40" t="str">
            <v>3D's 75g (1 x 24)</v>
          </cell>
          <cell r="C40">
            <v>1.4222222222222223E-2</v>
          </cell>
          <cell r="D40">
            <v>2.8</v>
          </cell>
          <cell r="E40">
            <v>17.5</v>
          </cell>
        </row>
        <row r="41">
          <cell r="A41">
            <v>43000</v>
          </cell>
          <cell r="B41" t="str">
            <v>Tawan</v>
          </cell>
        </row>
        <row r="42">
          <cell r="A42">
            <v>43001</v>
          </cell>
          <cell r="B42" t="str">
            <v xml:space="preserve"> Tawan 25g (1 x 72)</v>
          </cell>
          <cell r="C42">
            <v>1.6645699444444446E-2</v>
          </cell>
          <cell r="D42">
            <v>2.8</v>
          </cell>
          <cell r="E42">
            <v>17.5</v>
          </cell>
        </row>
        <row r="43">
          <cell r="A43">
            <v>43002</v>
          </cell>
          <cell r="B43" t="str">
            <v xml:space="preserve"> Tawan 50g (1 x 48)</v>
          </cell>
          <cell r="C43">
            <v>1.6166666666666669E-2</v>
          </cell>
          <cell r="D43">
            <v>2.8</v>
          </cell>
          <cell r="E43">
            <v>17.5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ESTI_"/>
      <sheetName val="DI_ESTI"/>
      <sheetName val="Daily"/>
      <sheetName val="Data-input"/>
      <sheetName val="Data"/>
      <sheetName val="TK12"/>
      <sheetName val="XXXXXXXX"/>
      <sheetName val="MAU_A"/>
      <sheetName val="MAU_B"/>
      <sheetName val="MAU_C"/>
      <sheetName val="MAU E -XCD"/>
      <sheetName val="MAU E -TDS1"/>
      <sheetName val="MAU E- NDH"/>
      <sheetName val="TH9"/>
      <sheetName val="TH12"/>
      <sheetName val="Sheet3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?? MTL"/>
      <sheetName val="?? DI"/>
      <sheetName val="415"/>
      <sheetName val="421"/>
      <sheetName val="511.BT"/>
      <sheetName val="631.BT"/>
      <sheetName val="642"/>
      <sheetName val="NKSC1"/>
      <sheetName val="CDKT"/>
      <sheetName val="BCDTCP"/>
      <sheetName val="20000000"/>
      <sheetName val="IBASE"/>
      <sheetName val="MTL$-INTER"/>
      <sheetName val="KEM NGHIEN GIA CONG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</sheetNames>
    <sheetDataSet>
      <sheetData sheetId="0" refreshError="1"/>
      <sheetData sheetId="1" refreshError="1"/>
      <sheetData sheetId="2" refreshError="1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 xml:space="preserve">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 xml:space="preserve"> </v>
          </cell>
          <cell r="U6" t="str">
            <v xml:space="preserve"> </v>
          </cell>
        </row>
        <row r="7">
          <cell r="A7">
            <v>2</v>
          </cell>
          <cell r="B7">
            <v>0.75</v>
          </cell>
          <cell r="E7" t="str">
            <v xml:space="preserve"> 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 xml:space="preserve"> </v>
          </cell>
          <cell r="U7" t="str">
            <v xml:space="preserve"> </v>
          </cell>
        </row>
        <row r="8">
          <cell r="A8">
            <v>3</v>
          </cell>
          <cell r="B8">
            <v>1</v>
          </cell>
          <cell r="E8" t="str">
            <v xml:space="preserve"> 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 xml:space="preserve"> </v>
          </cell>
          <cell r="U8" t="str">
            <v xml:space="preserve"> </v>
          </cell>
        </row>
        <row r="9">
          <cell r="A9">
            <v>4</v>
          </cell>
          <cell r="B9">
            <v>1.5</v>
          </cell>
          <cell r="E9" t="str">
            <v xml:space="preserve"> 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 xml:space="preserve"> </v>
          </cell>
          <cell r="U9" t="str">
            <v xml:space="preserve"> </v>
          </cell>
        </row>
        <row r="10">
          <cell r="A10">
            <v>5</v>
          </cell>
          <cell r="B10">
            <v>2</v>
          </cell>
          <cell r="E10" t="str">
            <v xml:space="preserve"> 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 xml:space="preserve"> </v>
          </cell>
          <cell r="U10" t="str">
            <v xml:space="preserve"> </v>
          </cell>
        </row>
        <row r="11">
          <cell r="A11">
            <v>6</v>
          </cell>
          <cell r="B11">
            <v>2.5</v>
          </cell>
          <cell r="E11" t="str">
            <v xml:space="preserve"> 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 xml:space="preserve"> </v>
          </cell>
          <cell r="U11" t="str">
            <v xml:space="preserve"> </v>
          </cell>
        </row>
        <row r="12">
          <cell r="A12">
            <v>7</v>
          </cell>
          <cell r="B12">
            <v>3</v>
          </cell>
          <cell r="E12" t="str">
            <v xml:space="preserve"> 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 xml:space="preserve"> </v>
          </cell>
          <cell r="U12" t="str">
            <v xml:space="preserve"> </v>
          </cell>
        </row>
        <row r="13">
          <cell r="A13">
            <v>8</v>
          </cell>
          <cell r="B13">
            <v>4</v>
          </cell>
          <cell r="E13" t="str">
            <v xml:space="preserve"> 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 xml:space="preserve"> </v>
          </cell>
          <cell r="U13" t="str">
            <v xml:space="preserve"> </v>
          </cell>
        </row>
        <row r="14">
          <cell r="A14">
            <v>9</v>
          </cell>
          <cell r="B14">
            <v>5</v>
          </cell>
          <cell r="E14" t="str">
            <v xml:space="preserve"> 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 xml:space="preserve"> </v>
          </cell>
          <cell r="U14" t="str">
            <v xml:space="preserve"> </v>
          </cell>
        </row>
        <row r="15">
          <cell r="A15">
            <v>10</v>
          </cell>
          <cell r="B15">
            <v>6</v>
          </cell>
          <cell r="E15" t="str">
            <v xml:space="preserve"> 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 xml:space="preserve"> </v>
          </cell>
          <cell r="U15" t="str">
            <v xml:space="preserve"> </v>
          </cell>
        </row>
        <row r="16">
          <cell r="A16">
            <v>11</v>
          </cell>
          <cell r="B16">
            <v>8</v>
          </cell>
          <cell r="E16" t="str">
            <v xml:space="preserve"> 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 xml:space="preserve"> </v>
          </cell>
          <cell r="U16" t="str">
            <v xml:space="preserve"> </v>
          </cell>
        </row>
        <row r="17">
          <cell r="A17">
            <v>12</v>
          </cell>
          <cell r="B17">
            <v>10</v>
          </cell>
          <cell r="E17" t="str">
            <v xml:space="preserve"> 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 xml:space="preserve"> </v>
          </cell>
          <cell r="U17" t="str">
            <v xml:space="preserve"> </v>
          </cell>
        </row>
        <row r="18">
          <cell r="A18">
            <v>13</v>
          </cell>
          <cell r="B18">
            <v>12</v>
          </cell>
          <cell r="E18" t="str">
            <v xml:space="preserve"> 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 xml:space="preserve"> </v>
          </cell>
          <cell r="U18" t="str">
            <v xml:space="preserve"> </v>
          </cell>
        </row>
        <row r="19">
          <cell r="A19">
            <v>14</v>
          </cell>
          <cell r="B19">
            <v>14</v>
          </cell>
          <cell r="E19" t="str">
            <v xml:space="preserve"> 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 xml:space="preserve"> </v>
          </cell>
          <cell r="U19" t="str">
            <v xml:space="preserve"> </v>
          </cell>
        </row>
        <row r="20">
          <cell r="A20">
            <v>15</v>
          </cell>
          <cell r="B20">
            <v>16</v>
          </cell>
          <cell r="E20" t="str">
            <v xml:space="preserve"> 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 xml:space="preserve"> </v>
          </cell>
          <cell r="U20" t="str">
            <v xml:space="preserve"> </v>
          </cell>
        </row>
        <row r="21">
          <cell r="A21">
            <v>16</v>
          </cell>
          <cell r="B21">
            <v>18</v>
          </cell>
          <cell r="E21" t="str">
            <v xml:space="preserve"> 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 xml:space="preserve"> </v>
          </cell>
          <cell r="U21" t="str">
            <v xml:space="preserve"> </v>
          </cell>
        </row>
        <row r="22">
          <cell r="A22">
            <v>17</v>
          </cell>
          <cell r="B22">
            <v>20</v>
          </cell>
          <cell r="E22" t="str">
            <v xml:space="preserve"> 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 xml:space="preserve"> </v>
          </cell>
          <cell r="U22" t="str">
            <v xml:space="preserve"> </v>
          </cell>
        </row>
        <row r="23">
          <cell r="A23">
            <v>18</v>
          </cell>
          <cell r="B23">
            <v>22</v>
          </cell>
          <cell r="E23" t="str">
            <v xml:space="preserve"> 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 xml:space="preserve"> </v>
          </cell>
          <cell r="U23" t="str">
            <v xml:space="preserve"> </v>
          </cell>
        </row>
        <row r="24">
          <cell r="A24">
            <v>19</v>
          </cell>
          <cell r="B24">
            <v>24</v>
          </cell>
          <cell r="E24" t="str">
            <v xml:space="preserve"> 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 xml:space="preserve"> </v>
          </cell>
          <cell r="U24" t="str">
            <v xml:space="preserve"> </v>
          </cell>
        </row>
        <row r="25">
          <cell r="A25">
            <v>20</v>
          </cell>
          <cell r="B25">
            <v>26</v>
          </cell>
          <cell r="E25" t="str">
            <v xml:space="preserve"> 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 xml:space="preserve"> </v>
          </cell>
          <cell r="U25" t="str">
            <v xml:space="preserve"> </v>
          </cell>
        </row>
        <row r="26">
          <cell r="A26">
            <v>21</v>
          </cell>
          <cell r="B26">
            <v>28</v>
          </cell>
          <cell r="E26" t="str">
            <v xml:space="preserve"> 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 xml:space="preserve"> </v>
          </cell>
          <cell r="U26" t="str">
            <v xml:space="preserve"> </v>
          </cell>
        </row>
        <row r="27">
          <cell r="A27">
            <v>22</v>
          </cell>
          <cell r="B27">
            <v>30</v>
          </cell>
          <cell r="E27" t="str">
            <v xml:space="preserve"> 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 xml:space="preserve"> </v>
          </cell>
          <cell r="U27" t="str">
            <v xml:space="preserve"> </v>
          </cell>
        </row>
        <row r="28">
          <cell r="A28">
            <v>23</v>
          </cell>
          <cell r="B28">
            <v>32</v>
          </cell>
          <cell r="E28" t="str">
            <v xml:space="preserve"> 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 xml:space="preserve"> </v>
          </cell>
          <cell r="U28" t="str">
            <v xml:space="preserve"> </v>
          </cell>
        </row>
        <row r="29">
          <cell r="A29">
            <v>24</v>
          </cell>
          <cell r="B29">
            <v>34</v>
          </cell>
          <cell r="E29" t="str">
            <v xml:space="preserve"> 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 xml:space="preserve"> </v>
          </cell>
          <cell r="U29" t="str">
            <v xml:space="preserve"> </v>
          </cell>
        </row>
        <row r="30">
          <cell r="A30">
            <v>25</v>
          </cell>
          <cell r="B30">
            <v>36</v>
          </cell>
          <cell r="E30" t="str">
            <v xml:space="preserve"> 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 xml:space="preserve"> </v>
          </cell>
          <cell r="U30" t="str">
            <v xml:space="preserve"> </v>
          </cell>
        </row>
        <row r="31">
          <cell r="A31">
            <v>26</v>
          </cell>
          <cell r="B31">
            <v>38</v>
          </cell>
          <cell r="E31" t="str">
            <v xml:space="preserve"> 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 xml:space="preserve"> </v>
          </cell>
          <cell r="U31" t="str">
            <v xml:space="preserve"> </v>
          </cell>
        </row>
        <row r="32">
          <cell r="A32">
            <v>27</v>
          </cell>
          <cell r="B32">
            <v>40</v>
          </cell>
          <cell r="E32" t="str">
            <v xml:space="preserve"> 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 xml:space="preserve"> </v>
          </cell>
          <cell r="U32" t="str">
            <v xml:space="preserve"> </v>
          </cell>
        </row>
        <row r="33">
          <cell r="A33">
            <v>28</v>
          </cell>
          <cell r="B33">
            <v>42</v>
          </cell>
          <cell r="E33" t="str">
            <v xml:space="preserve"> 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 xml:space="preserve"> </v>
          </cell>
          <cell r="U33" t="str">
            <v xml:space="preserve"> </v>
          </cell>
        </row>
        <row r="34">
          <cell r="A34">
            <v>29</v>
          </cell>
          <cell r="B34">
            <v>44</v>
          </cell>
          <cell r="E34" t="str">
            <v xml:space="preserve"> 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 xml:space="preserve"> </v>
          </cell>
          <cell r="U34" t="str">
            <v xml:space="preserve"> </v>
          </cell>
        </row>
        <row r="35">
          <cell r="A35">
            <v>30</v>
          </cell>
          <cell r="B35">
            <v>46</v>
          </cell>
          <cell r="E35" t="str">
            <v xml:space="preserve"> 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 xml:space="preserve"> </v>
          </cell>
          <cell r="U35" t="str">
            <v xml:space="preserve"> </v>
          </cell>
        </row>
        <row r="36">
          <cell r="A36">
            <v>31</v>
          </cell>
          <cell r="B36">
            <v>48</v>
          </cell>
          <cell r="E36" t="str">
            <v xml:space="preserve"> 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 xml:space="preserve"> </v>
          </cell>
          <cell r="U36" t="str">
            <v xml:space="preserve"> </v>
          </cell>
        </row>
        <row r="37">
          <cell r="A37">
            <v>32</v>
          </cell>
          <cell r="B37">
            <v>52</v>
          </cell>
          <cell r="E37" t="str">
            <v xml:space="preserve"> 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 xml:space="preserve"> </v>
          </cell>
          <cell r="U37" t="str">
            <v xml:space="preserve"> </v>
          </cell>
        </row>
        <row r="38">
          <cell r="A38">
            <v>33</v>
          </cell>
          <cell r="B38">
            <v>56</v>
          </cell>
          <cell r="E38" t="str">
            <v xml:space="preserve"> 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 xml:space="preserve"> </v>
          </cell>
          <cell r="U38" t="str">
            <v xml:space="preserve"> </v>
          </cell>
        </row>
        <row r="39">
          <cell r="A39">
            <v>34</v>
          </cell>
          <cell r="B39">
            <v>60</v>
          </cell>
          <cell r="E39" t="str">
            <v xml:space="preserve"> 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 xml:space="preserve"> </v>
          </cell>
          <cell r="U39" t="str">
            <v xml:space="preserve"> </v>
          </cell>
        </row>
        <row r="40">
          <cell r="A40">
            <v>35</v>
          </cell>
          <cell r="B40">
            <v>64</v>
          </cell>
          <cell r="E40" t="str">
            <v xml:space="preserve"> 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 xml:space="preserve"> </v>
          </cell>
          <cell r="U40" t="str">
            <v xml:space="preserve"> </v>
          </cell>
        </row>
        <row r="41">
          <cell r="A41">
            <v>36</v>
          </cell>
          <cell r="B41">
            <v>68</v>
          </cell>
          <cell r="E41" t="str">
            <v xml:space="preserve"> 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 xml:space="preserve"> </v>
          </cell>
          <cell r="U41" t="str">
            <v xml:space="preserve"> </v>
          </cell>
        </row>
        <row r="42">
          <cell r="A42">
            <v>37</v>
          </cell>
          <cell r="B42">
            <v>72</v>
          </cell>
          <cell r="E42" t="str">
            <v xml:space="preserve">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 xml:space="preserve"> </v>
          </cell>
          <cell r="U42" t="str">
            <v xml:space="preserve"> </v>
          </cell>
        </row>
        <row r="43">
          <cell r="A43">
            <v>38</v>
          </cell>
          <cell r="B43">
            <v>76</v>
          </cell>
          <cell r="E43" t="str">
            <v xml:space="preserve"> 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 xml:space="preserve"> </v>
          </cell>
          <cell r="U43" t="str">
            <v xml:space="preserve"> </v>
          </cell>
        </row>
        <row r="44">
          <cell r="A44">
            <v>39</v>
          </cell>
          <cell r="B44">
            <v>80</v>
          </cell>
          <cell r="E44" t="str">
            <v xml:space="preserve"> 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 xml:space="preserve"> </v>
          </cell>
          <cell r="U44" t="str">
            <v xml:space="preserve"> </v>
          </cell>
        </row>
        <row r="45">
          <cell r="A45" t="str">
            <v>AVE.</v>
          </cell>
          <cell r="B45" t="str">
            <v xml:space="preserve">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 xml:space="preserve"> </v>
          </cell>
          <cell r="U45" t="str">
            <v xml:space="preserve"> </v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 refreshError="1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J54">
            <v>0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J55">
            <v>0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J56">
            <v>0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J57">
            <v>0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J58">
            <v>0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J59">
            <v>0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L337">
            <v>4</v>
          </cell>
          <cell r="O337">
            <v>160</v>
          </cell>
          <cell r="P337">
            <v>2</v>
          </cell>
          <cell r="Q337">
            <v>0</v>
          </cell>
          <cell r="R337">
            <v>7.1299110383168641E-312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CH"/>
      <sheetName val="Menu"/>
      <sheetName val="COCH_C"/>
      <sheetName val="CostCenter"/>
      <sheetName val="CostCenter_Base"/>
      <sheetName val="Pre-spend"/>
      <sheetName val="PI Integ. Cost"/>
      <sheetName val="Domestic"/>
      <sheetName val="T&amp;E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17">
          <cell r="B17" t="str">
            <v>Code</v>
          </cell>
          <cell r="C17" t="str">
            <v>Description</v>
          </cell>
          <cell r="G17" t="str">
            <v>Type</v>
          </cell>
          <cell r="H17" t="str">
            <v>Assets</v>
          </cell>
          <cell r="K17" t="str">
            <v>(Total)</v>
          </cell>
          <cell r="M17" t="str">
            <v>Jan</v>
          </cell>
          <cell r="N17" t="str">
            <v>Feb</v>
          </cell>
          <cell r="O17" t="str">
            <v>Mar</v>
          </cell>
          <cell r="P17" t="str">
            <v>Apr</v>
          </cell>
          <cell r="Q17" t="str">
            <v>May</v>
          </cell>
          <cell r="R17" t="str">
            <v>Jun</v>
          </cell>
          <cell r="S17" t="str">
            <v>Jul</v>
          </cell>
          <cell r="T17" t="str">
            <v>Aug</v>
          </cell>
          <cell r="U17" t="str">
            <v>Sep</v>
          </cell>
          <cell r="V17" t="str">
            <v>Oct</v>
          </cell>
          <cell r="W17" t="str">
            <v>Nov</v>
          </cell>
          <cell r="X17" t="str">
            <v>Dec</v>
          </cell>
          <cell r="Y17" t="str">
            <v>Total</v>
          </cell>
        </row>
        <row r="18">
          <cell r="B18" t="str">
            <v>D</v>
          </cell>
          <cell r="C18" t="str">
            <v>Operating Necessity</v>
          </cell>
          <cell r="D18" t="str">
            <v>Desktop Replacement</v>
          </cell>
          <cell r="E18" t="str">
            <v>AOP 2004</v>
          </cell>
          <cell r="F18" t="str">
            <v>BOY</v>
          </cell>
          <cell r="G18">
            <v>6</v>
          </cell>
          <cell r="H18" t="str">
            <v>Computer &amp; Telephone Equip.</v>
          </cell>
          <cell r="I18">
            <v>15</v>
          </cell>
          <cell r="J18">
            <v>15</v>
          </cell>
          <cell r="K18">
            <v>40000</v>
          </cell>
          <cell r="M18">
            <v>1111.1111111111111</v>
          </cell>
          <cell r="N18">
            <v>1111.1111111111111</v>
          </cell>
          <cell r="O18">
            <v>1111.1111111111111</v>
          </cell>
          <cell r="P18">
            <v>1111.1111111111111</v>
          </cell>
          <cell r="Q18">
            <v>1111.1111111111111</v>
          </cell>
          <cell r="R18">
            <v>1111.1111111111111</v>
          </cell>
          <cell r="S18">
            <v>1111.1111111111111</v>
          </cell>
          <cell r="T18">
            <v>1111.1111111111111</v>
          </cell>
          <cell r="U18">
            <v>1111.1111111111111</v>
          </cell>
          <cell r="V18">
            <v>1111.1111111111111</v>
          </cell>
          <cell r="W18">
            <v>1111.1111111111111</v>
          </cell>
          <cell r="X18">
            <v>1111.1111111111111</v>
          </cell>
          <cell r="Y18">
            <v>13333.333333333334</v>
          </cell>
        </row>
        <row r="19">
          <cell r="B19" t="str">
            <v>D</v>
          </cell>
          <cell r="C19" t="str">
            <v>Operating Necessity</v>
          </cell>
          <cell r="D19" t="str">
            <v>Desktop Replacement</v>
          </cell>
          <cell r="E19" t="str">
            <v>AOP 2004</v>
          </cell>
          <cell r="F19" t="str">
            <v>BOY</v>
          </cell>
          <cell r="G19">
            <v>6</v>
          </cell>
          <cell r="H19" t="str">
            <v>Computer &amp; Telephone Equip.</v>
          </cell>
          <cell r="I19">
            <v>15</v>
          </cell>
          <cell r="J19">
            <v>15</v>
          </cell>
          <cell r="K19">
            <v>40000</v>
          </cell>
          <cell r="M19">
            <v>1111.1111111111111</v>
          </cell>
          <cell r="N19">
            <v>1111.1111111111111</v>
          </cell>
          <cell r="O19">
            <v>1111.1111111111111</v>
          </cell>
          <cell r="P19">
            <v>1111.1111111111111</v>
          </cell>
          <cell r="Q19">
            <v>1111.1111111111111</v>
          </cell>
          <cell r="R19">
            <v>1111.1111111111111</v>
          </cell>
          <cell r="S19">
            <v>1111.1111111111111</v>
          </cell>
          <cell r="T19">
            <v>1111.1111111111111</v>
          </cell>
          <cell r="U19">
            <v>1111.1111111111111</v>
          </cell>
          <cell r="V19">
            <v>1111.1111111111111</v>
          </cell>
          <cell r="W19">
            <v>1111.1111111111111</v>
          </cell>
          <cell r="X19">
            <v>1111.1111111111111</v>
          </cell>
          <cell r="Y19">
            <v>13333.333333333334</v>
          </cell>
        </row>
        <row r="20">
          <cell r="B20" t="str">
            <v>D</v>
          </cell>
          <cell r="C20" t="str">
            <v>Operating Necessity</v>
          </cell>
          <cell r="D20" t="str">
            <v>Notebook for New Cat Management</v>
          </cell>
          <cell r="F20" t="str">
            <v>Opened</v>
          </cell>
          <cell r="G20">
            <v>6</v>
          </cell>
          <cell r="H20" t="str">
            <v>Computer &amp; Telephone Equip.</v>
          </cell>
          <cell r="I20">
            <v>15</v>
          </cell>
          <cell r="J20">
            <v>15</v>
          </cell>
          <cell r="K20">
            <v>85407</v>
          </cell>
          <cell r="M20">
            <v>2372.4166666666665</v>
          </cell>
          <cell r="N20">
            <v>2372.4166666666665</v>
          </cell>
          <cell r="O20">
            <v>2372.4166666666665</v>
          </cell>
          <cell r="P20">
            <v>2372.4166666666665</v>
          </cell>
          <cell r="Q20">
            <v>2372.4166666666665</v>
          </cell>
          <cell r="R20">
            <v>2372.4166666666665</v>
          </cell>
          <cell r="S20">
            <v>2372.4166666666665</v>
          </cell>
          <cell r="T20">
            <v>2372.4166666666665</v>
          </cell>
          <cell r="U20">
            <v>2372.4166666666665</v>
          </cell>
          <cell r="V20">
            <v>2372.4166666666665</v>
          </cell>
          <cell r="W20">
            <v>2372.4166666666665</v>
          </cell>
          <cell r="X20">
            <v>2372.4166666666665</v>
          </cell>
          <cell r="Y20">
            <v>28469.000000000004</v>
          </cell>
        </row>
        <row r="21">
          <cell r="B21" t="str">
            <v>D</v>
          </cell>
          <cell r="C21" t="str">
            <v>Operating Necessity</v>
          </cell>
          <cell r="D21" t="str">
            <v>Desktop for new TM</v>
          </cell>
          <cell r="F21" t="str">
            <v>BOY</v>
          </cell>
          <cell r="G21">
            <v>6</v>
          </cell>
          <cell r="H21" t="str">
            <v>Computer &amp; Telephone Equip.</v>
          </cell>
          <cell r="I21">
            <v>15</v>
          </cell>
          <cell r="J21">
            <v>15</v>
          </cell>
          <cell r="K21">
            <v>39110</v>
          </cell>
          <cell r="M21">
            <v>1086.3888888888887</v>
          </cell>
          <cell r="N21">
            <v>1086.3888888888887</v>
          </cell>
          <cell r="O21">
            <v>1086.3888888888887</v>
          </cell>
          <cell r="P21">
            <v>1086.3888888888887</v>
          </cell>
          <cell r="Q21">
            <v>1086.3888888888887</v>
          </cell>
          <cell r="R21">
            <v>1086.3888888888887</v>
          </cell>
          <cell r="S21">
            <v>1086.3888888888887</v>
          </cell>
          <cell r="T21">
            <v>1086.3888888888887</v>
          </cell>
          <cell r="U21">
            <v>1086.3888888888887</v>
          </cell>
          <cell r="V21">
            <v>1086.3888888888887</v>
          </cell>
          <cell r="W21">
            <v>1086.3888888888887</v>
          </cell>
          <cell r="X21">
            <v>1086.3888888888887</v>
          </cell>
          <cell r="Y21">
            <v>13036.666666666664</v>
          </cell>
        </row>
        <row r="22">
          <cell r="C22" t="str">
            <v/>
          </cell>
          <cell r="H22" t="str">
            <v/>
          </cell>
          <cell r="I22">
            <v>31</v>
          </cell>
          <cell r="J22">
            <v>31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C23" t="str">
            <v/>
          </cell>
          <cell r="H23" t="str">
            <v/>
          </cell>
          <cell r="I23">
            <v>30</v>
          </cell>
          <cell r="J23">
            <v>32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</row>
        <row r="24">
          <cell r="C24" t="str">
            <v/>
          </cell>
          <cell r="H24" t="str">
            <v/>
          </cell>
          <cell r="I24">
            <v>4</v>
          </cell>
          <cell r="J24">
            <v>2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</row>
        <row r="25">
          <cell r="C25" t="str">
            <v/>
          </cell>
          <cell r="H25" t="str">
            <v/>
          </cell>
          <cell r="I25">
            <v>5</v>
          </cell>
          <cell r="J25">
            <v>2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</row>
        <row r="26">
          <cell r="C26" t="str">
            <v/>
          </cell>
          <cell r="H26" t="str">
            <v/>
          </cell>
          <cell r="I26">
            <v>32</v>
          </cell>
          <cell r="J26">
            <v>32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</row>
        <row r="27">
          <cell r="C27" t="str">
            <v/>
          </cell>
          <cell r="H27" t="str">
            <v/>
          </cell>
          <cell r="I27">
            <v>32</v>
          </cell>
          <cell r="J27">
            <v>32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</row>
        <row r="28">
          <cell r="C28" t="str">
            <v/>
          </cell>
          <cell r="H28" t="str">
            <v/>
          </cell>
          <cell r="I28">
            <v>32</v>
          </cell>
          <cell r="J28">
            <v>32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</row>
        <row r="29">
          <cell r="C29" t="str">
            <v/>
          </cell>
          <cell r="H29" t="str">
            <v/>
          </cell>
          <cell r="I29">
            <v>32</v>
          </cell>
          <cell r="J29">
            <v>32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C30" t="str">
            <v/>
          </cell>
          <cell r="H30" t="str">
            <v/>
          </cell>
          <cell r="I30">
            <v>32</v>
          </cell>
          <cell r="J30">
            <v>32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C31" t="str">
            <v/>
          </cell>
          <cell r="H31" t="str">
            <v/>
          </cell>
          <cell r="I31">
            <v>32</v>
          </cell>
          <cell r="J31">
            <v>32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</row>
        <row r="32">
          <cell r="C32" t="str">
            <v/>
          </cell>
          <cell r="H32" t="str">
            <v/>
          </cell>
          <cell r="I32">
            <v>32</v>
          </cell>
          <cell r="J32">
            <v>32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</row>
        <row r="33">
          <cell r="C33" t="str">
            <v/>
          </cell>
          <cell r="H33" t="str">
            <v/>
          </cell>
          <cell r="I33">
            <v>32</v>
          </cell>
          <cell r="J33">
            <v>32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</row>
        <row r="34">
          <cell r="C34" t="str">
            <v/>
          </cell>
          <cell r="H34" t="str">
            <v/>
          </cell>
          <cell r="I34">
            <v>32</v>
          </cell>
          <cell r="J34">
            <v>32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C35" t="str">
            <v/>
          </cell>
          <cell r="H35" t="str">
            <v/>
          </cell>
          <cell r="I35">
            <v>32</v>
          </cell>
          <cell r="J35">
            <v>32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</row>
        <row r="36">
          <cell r="C36" t="str">
            <v/>
          </cell>
          <cell r="H36" t="str">
            <v/>
          </cell>
          <cell r="I36">
            <v>32</v>
          </cell>
          <cell r="J36">
            <v>32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C37" t="str">
            <v/>
          </cell>
          <cell r="H37" t="str">
            <v/>
          </cell>
          <cell r="I37">
            <v>32</v>
          </cell>
          <cell r="J37">
            <v>32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</row>
        <row r="38">
          <cell r="C38" t="str">
            <v/>
          </cell>
          <cell r="H38" t="str">
            <v/>
          </cell>
          <cell r="I38">
            <v>32</v>
          </cell>
          <cell r="J38">
            <v>32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</row>
        <row r="39">
          <cell r="C39" t="str">
            <v/>
          </cell>
          <cell r="H39" t="str">
            <v/>
          </cell>
          <cell r="I39">
            <v>32</v>
          </cell>
          <cell r="J39">
            <v>32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</row>
        <row r="40">
          <cell r="C40" t="str">
            <v/>
          </cell>
          <cell r="H40" t="str">
            <v/>
          </cell>
          <cell r="I40">
            <v>32</v>
          </cell>
          <cell r="J40">
            <v>32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</row>
        <row r="41">
          <cell r="J41" t="str">
            <v>Total BOY 2004</v>
          </cell>
          <cell r="K41">
            <v>204517</v>
          </cell>
          <cell r="M41">
            <v>5681.0277777777774</v>
          </cell>
          <cell r="N41">
            <v>5681.0277777777774</v>
          </cell>
          <cell r="O41">
            <v>5681.0277777777774</v>
          </cell>
          <cell r="P41">
            <v>5681.0277777777774</v>
          </cell>
          <cell r="Q41">
            <v>5681.0277777777774</v>
          </cell>
          <cell r="R41">
            <v>5681.0277777777774</v>
          </cell>
          <cell r="S41">
            <v>5681.0277777777774</v>
          </cell>
          <cell r="T41">
            <v>5681.0277777777774</v>
          </cell>
          <cell r="U41">
            <v>5681.0277777777774</v>
          </cell>
          <cell r="V41">
            <v>5681.0277777777774</v>
          </cell>
          <cell r="W41">
            <v>5681.0277777777774</v>
          </cell>
          <cell r="X41">
            <v>5681.0277777777774</v>
          </cell>
          <cell r="Y41">
            <v>68172.333333333343</v>
          </cell>
        </row>
      </sheetData>
      <sheetData sheetId="20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H"/>
      <sheetName val="Menu"/>
      <sheetName val="COCH_C"/>
      <sheetName val="CostCenter"/>
      <sheetName val="PI Integ. Cost"/>
      <sheetName val="Domestic"/>
      <sheetName val="Overseas"/>
      <sheetName val="Vech_Runing"/>
      <sheetName val="Vech_Rent"/>
      <sheetName val="Business Meeting"/>
      <sheetName val="Communication"/>
      <sheetName val="Insurance"/>
      <sheetName val="Rental"/>
      <sheetName val="Legal"/>
      <sheetName val="Member"/>
      <sheetName val="Instruc."/>
      <sheetName val="Capex"/>
      <sheetName val="Depr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>
        <row r="6">
          <cell r="B6" t="str">
            <v>A</v>
          </cell>
          <cell r="C6" t="str">
            <v>Expansion/Growth</v>
          </cell>
        </row>
        <row r="7">
          <cell r="B7" t="str">
            <v>B</v>
          </cell>
          <cell r="C7" t="str">
            <v>Productivity</v>
          </cell>
        </row>
        <row r="8">
          <cell r="B8" t="str">
            <v>C</v>
          </cell>
          <cell r="C8" t="str">
            <v>Quality</v>
          </cell>
        </row>
        <row r="9">
          <cell r="B9" t="str">
            <v>D</v>
          </cell>
          <cell r="C9" t="str">
            <v>Operating Necessity</v>
          </cell>
        </row>
      </sheetData>
      <sheetData sheetId="17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and"/>
      <sheetName val="Menu"/>
      <sheetName val="COCH"/>
      <sheetName val="COCH_C"/>
      <sheetName val="Overview"/>
      <sheetName val="Comparision"/>
      <sheetName val="CostCenter"/>
      <sheetName val="Training"/>
      <sheetName val="Entertainment"/>
      <sheetName val="Due,Membership"/>
      <sheetName val="Member"/>
      <sheetName val="Postage"/>
      <sheetName val="R&amp;M Land"/>
      <sheetName val="OS-Cln&amp;WWT supply"/>
      <sheetName val="OS-Safety"/>
      <sheetName val="OS-Lab supplies"/>
      <sheetName val="OS-Office sup."/>
      <sheetName val="OS-Other"/>
      <sheetName val="Corrosion inhibitor"/>
      <sheetName val="Stationery"/>
      <sheetName val="Printing form"/>
      <sheetName val="Clean &amp;Waste Removal"/>
      <sheetName val="Sludge,oil,grease"/>
      <sheetName val="Lab analysis"/>
      <sheetName val="Domestics Travel"/>
      <sheetName val="Domestic"/>
      <sheetName val="Overseas"/>
      <sheetName val="Vech_Runing"/>
      <sheetName val="Vech_Rent"/>
      <sheetName val="Communication"/>
      <sheetName val="Insurance"/>
      <sheetName val="Rental"/>
      <sheetName val="Legal"/>
      <sheetName val="Instruc."/>
      <sheetName val="Capex"/>
      <sheetName val="Depre"/>
      <sheetName val="R&amp;M EQ"/>
      <sheetName val="Water"/>
      <sheetName val="Air comp"/>
      <sheetName val="Chiller"/>
      <sheetName val="Boiler"/>
      <sheetName val="Tank"/>
      <sheetName val="Split AC"/>
      <sheetName val="Vent"/>
      <sheetName val="Other"/>
      <sheetName val="PABX&amp;Tel"/>
      <sheetName val="R&amp;M Plant"/>
      <sheetName val="WWTP"/>
      <sheetName val="R&amp;M Computer"/>
      <sheetName val="Sheet1"/>
      <sheetName val="Chart_rHD Clear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>
        <row r="20">
          <cell r="B20" t="str">
            <v>China</v>
          </cell>
          <cell r="C20" t="str">
            <v>Shanghai</v>
          </cell>
          <cell r="D20">
            <v>28515</v>
          </cell>
          <cell r="E20">
            <v>1020</v>
          </cell>
          <cell r="F20">
            <v>1000</v>
          </cell>
          <cell r="G20">
            <v>30535</v>
          </cell>
          <cell r="H20">
            <v>5899.5</v>
          </cell>
          <cell r="I20">
            <v>3750</v>
          </cell>
          <cell r="J20">
            <v>9649.5</v>
          </cell>
          <cell r="K20" t="str">
            <v>Business Restricted</v>
          </cell>
        </row>
        <row r="21">
          <cell r="B21" t="str">
            <v>Singapore</v>
          </cell>
          <cell r="C21" t="str">
            <v>Singapore</v>
          </cell>
          <cell r="D21">
            <v>18555</v>
          </cell>
          <cell r="E21">
            <v>850</v>
          </cell>
          <cell r="F21">
            <v>1000</v>
          </cell>
          <cell r="G21">
            <v>20405</v>
          </cell>
          <cell r="H21">
            <v>4855.5999999999995</v>
          </cell>
          <cell r="I21">
            <v>3750</v>
          </cell>
          <cell r="J21">
            <v>8605.5999999999985</v>
          </cell>
          <cell r="K21" t="str">
            <v>Economy Full Fare</v>
          </cell>
        </row>
        <row r="22">
          <cell r="B22" t="str">
            <v>Taiwan</v>
          </cell>
          <cell r="C22" t="str">
            <v>Taipei</v>
          </cell>
          <cell r="D22">
            <v>30710</v>
          </cell>
          <cell r="E22">
            <v>1850</v>
          </cell>
          <cell r="F22">
            <v>1000</v>
          </cell>
          <cell r="G22">
            <v>33560</v>
          </cell>
          <cell r="H22">
            <v>5491.2</v>
          </cell>
          <cell r="I22">
            <v>3750</v>
          </cell>
          <cell r="J22">
            <v>9241.2000000000007</v>
          </cell>
          <cell r="K22" t="str">
            <v>Business Restricted</v>
          </cell>
        </row>
        <row r="23">
          <cell r="B23" t="str">
            <v>India</v>
          </cell>
          <cell r="C23" t="str">
            <v>Mumbai</v>
          </cell>
          <cell r="D23">
            <v>31385</v>
          </cell>
          <cell r="E23">
            <v>2350</v>
          </cell>
          <cell r="F23">
            <v>1000</v>
          </cell>
          <cell r="G23">
            <v>34735</v>
          </cell>
          <cell r="H23">
            <v>8303</v>
          </cell>
          <cell r="I23">
            <v>3750</v>
          </cell>
          <cell r="J23">
            <v>12053</v>
          </cell>
          <cell r="K23" t="str">
            <v>Business Full Fare</v>
          </cell>
        </row>
        <row r="24">
          <cell r="B24" t="str">
            <v>United Kingdom</v>
          </cell>
          <cell r="C24" t="str">
            <v>London</v>
          </cell>
          <cell r="D24">
            <v>109495</v>
          </cell>
          <cell r="E24">
            <v>2594</v>
          </cell>
          <cell r="F24">
            <v>1000</v>
          </cell>
          <cell r="G24">
            <v>113089</v>
          </cell>
          <cell r="H24">
            <v>9722.369999999999</v>
          </cell>
          <cell r="I24">
            <v>5000</v>
          </cell>
          <cell r="J24">
            <v>14722.369999999999</v>
          </cell>
          <cell r="K24" t="str">
            <v>Business Restricted</v>
          </cell>
        </row>
        <row r="26">
          <cell r="B26" t="str">
            <v>Australia</v>
          </cell>
          <cell r="C26" t="str">
            <v>Sydney</v>
          </cell>
          <cell r="D26">
            <v>96585</v>
          </cell>
          <cell r="E26">
            <v>1800</v>
          </cell>
          <cell r="F26">
            <v>1000</v>
          </cell>
          <cell r="G26">
            <v>99385</v>
          </cell>
          <cell r="H26">
            <v>3305.7742000000003</v>
          </cell>
          <cell r="I26">
            <v>4500</v>
          </cell>
          <cell r="J26">
            <v>7805.7741999999998</v>
          </cell>
          <cell r="K26" t="str">
            <v>Business Full Fare</v>
          </cell>
        </row>
        <row r="28">
          <cell r="B28" t="str">
            <v>USA</v>
          </cell>
          <cell r="C28" t="str">
            <v>Dallas</v>
          </cell>
          <cell r="D28">
            <v>168703.85</v>
          </cell>
          <cell r="E28">
            <v>2316.5</v>
          </cell>
          <cell r="F28">
            <v>1000</v>
          </cell>
          <cell r="G28">
            <v>172020.35</v>
          </cell>
          <cell r="H28">
            <v>5681</v>
          </cell>
          <cell r="I28">
            <v>5000</v>
          </cell>
          <cell r="J28">
            <v>10681</v>
          </cell>
          <cell r="K28" t="str">
            <v>Business Restricted</v>
          </cell>
        </row>
        <row r="29">
          <cell r="B29" t="str">
            <v>Mexico</v>
          </cell>
          <cell r="C29" t="str">
            <v>Mexico City</v>
          </cell>
          <cell r="D29">
            <v>171397.95500000002</v>
          </cell>
          <cell r="E29">
            <v>6198</v>
          </cell>
          <cell r="F29">
            <v>1000</v>
          </cell>
          <cell r="G29">
            <v>178595.95500000002</v>
          </cell>
          <cell r="H29">
            <v>6773.5</v>
          </cell>
          <cell r="I29">
            <v>5000</v>
          </cell>
          <cell r="J29">
            <v>11773.5</v>
          </cell>
          <cell r="K29" t="str">
            <v>Business Restricted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Chart_rHD Cle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84AC8-EE87-429D-88FB-AAA3EA4B134A}">
  <sheetPr>
    <tabColor rgb="FF92D050"/>
    <pageSetUpPr fitToPage="1"/>
  </sheetPr>
  <dimension ref="B3:CN75"/>
  <sheetViews>
    <sheetView showGridLines="0" tabSelected="1" topLeftCell="O47" zoomScale="80" zoomScaleNormal="80" workbookViewId="0">
      <selection activeCell="AL61" sqref="AL61"/>
    </sheetView>
  </sheetViews>
  <sheetFormatPr defaultColWidth="8.81640625" defaultRowHeight="14.5" x14ac:dyDescent="0.35"/>
  <cols>
    <col min="1" max="1" width="3.453125" bestFit="1" customWidth="1"/>
    <col min="2" max="2" width="22.1796875" customWidth="1"/>
    <col min="3" max="3" width="11" hidden="1" customWidth="1"/>
    <col min="4" max="4" width="7.81640625" hidden="1" customWidth="1"/>
    <col min="5" max="5" width="7.54296875" hidden="1" customWidth="1"/>
    <col min="6" max="6" width="7.81640625" hidden="1" customWidth="1"/>
    <col min="7" max="7" width="8.1796875" hidden="1" customWidth="1"/>
    <col min="8" max="10" width="6.54296875" hidden="1" customWidth="1"/>
    <col min="11" max="11" width="7.1796875" hidden="1" customWidth="1"/>
    <col min="12" max="14" width="6.54296875" hidden="1" customWidth="1"/>
    <col min="15" max="15" width="6.81640625" customWidth="1"/>
    <col min="16" max="16" width="5.81640625" bestFit="1" customWidth="1"/>
    <col min="17" max="18" width="6.81640625" bestFit="1" customWidth="1"/>
    <col min="29" max="43" width="8.81640625" style="25"/>
    <col min="44" max="44" width="34.1796875" style="1" customWidth="1"/>
    <col min="45" max="46" width="9.453125" style="1" hidden="1" customWidth="1"/>
    <col min="47" max="47" width="11.453125" style="1" hidden="1" customWidth="1"/>
    <col min="48" max="52" width="11.1796875" style="1" hidden="1" customWidth="1"/>
    <col min="53" max="54" width="11.1796875" style="9" hidden="1" customWidth="1"/>
    <col min="55" max="56" width="11.1796875" style="1" hidden="1" customWidth="1"/>
    <col min="57" max="61" width="11.1796875" style="1" bestFit="1" customWidth="1"/>
    <col min="62" max="65" width="11.1796875" style="9" bestFit="1" customWidth="1"/>
    <col min="78" max="78" width="10.453125" style="10" bestFit="1" customWidth="1"/>
    <col min="80" max="80" width="10.453125" bestFit="1" customWidth="1"/>
  </cols>
  <sheetData>
    <row r="3" spans="44:92" x14ac:dyDescent="0.35">
      <c r="AR3" s="1" t="s">
        <v>0</v>
      </c>
      <c r="AS3" s="2" t="s">
        <v>1</v>
      </c>
      <c r="AT3" s="3">
        <v>2</v>
      </c>
      <c r="AU3" s="3">
        <v>3</v>
      </c>
      <c r="AV3" s="3">
        <v>4</v>
      </c>
      <c r="AW3" s="3">
        <v>5</v>
      </c>
      <c r="AX3" s="3">
        <v>6</v>
      </c>
      <c r="AY3" s="3">
        <v>7</v>
      </c>
      <c r="AZ3" s="3">
        <v>8</v>
      </c>
      <c r="BA3" s="4">
        <v>9</v>
      </c>
      <c r="BB3" s="4">
        <v>10</v>
      </c>
      <c r="BC3" s="3">
        <v>11</v>
      </c>
      <c r="BD3" s="3">
        <v>12</v>
      </c>
      <c r="BE3" s="5" t="s">
        <v>2</v>
      </c>
      <c r="BF3" s="5">
        <v>2</v>
      </c>
      <c r="BG3" s="5">
        <v>3</v>
      </c>
      <c r="BH3" s="5">
        <v>4</v>
      </c>
      <c r="BI3" s="5">
        <v>5</v>
      </c>
      <c r="BJ3" s="6">
        <v>6</v>
      </c>
      <c r="BK3" s="6">
        <v>7</v>
      </c>
      <c r="BL3" s="6">
        <v>8</v>
      </c>
      <c r="BM3" s="6">
        <v>9</v>
      </c>
      <c r="BN3" s="7">
        <v>10</v>
      </c>
      <c r="BO3" s="7">
        <v>11</v>
      </c>
      <c r="BP3" s="7">
        <v>12</v>
      </c>
      <c r="BQ3" s="7" t="s">
        <v>3</v>
      </c>
      <c r="BR3" s="7">
        <v>2</v>
      </c>
      <c r="BS3" s="7">
        <v>3</v>
      </c>
      <c r="BT3" s="7">
        <v>4</v>
      </c>
      <c r="BU3" s="7">
        <v>5</v>
      </c>
      <c r="BV3" s="7">
        <v>6</v>
      </c>
      <c r="BW3" s="7">
        <v>7</v>
      </c>
      <c r="BX3" s="7">
        <v>8</v>
      </c>
      <c r="BY3" s="7">
        <v>9</v>
      </c>
      <c r="BZ3" s="7">
        <v>10</v>
      </c>
      <c r="CA3" s="7">
        <v>11</v>
      </c>
      <c r="CB3" s="7">
        <v>12</v>
      </c>
      <c r="CC3">
        <v>1.26</v>
      </c>
      <c r="CD3" s="7">
        <v>2</v>
      </c>
      <c r="CE3" s="7">
        <v>3</v>
      </c>
      <c r="CF3" s="7">
        <v>4</v>
      </c>
      <c r="CG3" s="7">
        <v>5</v>
      </c>
      <c r="CH3" s="7">
        <v>6</v>
      </c>
      <c r="CI3" s="7">
        <v>7</v>
      </c>
      <c r="CJ3" s="7">
        <v>8</v>
      </c>
      <c r="CK3" s="7">
        <v>9</v>
      </c>
      <c r="CL3" s="7">
        <v>10</v>
      </c>
      <c r="CM3" s="7">
        <v>11</v>
      </c>
      <c r="CN3" s="7">
        <v>12</v>
      </c>
    </row>
    <row r="4" spans="44:92" x14ac:dyDescent="0.35">
      <c r="AR4" s="1" t="s">
        <v>4</v>
      </c>
      <c r="AS4" s="8">
        <v>23250</v>
      </c>
      <c r="AT4" s="8">
        <v>23570</v>
      </c>
      <c r="AU4" s="8">
        <v>23260</v>
      </c>
      <c r="AV4" s="8">
        <v>23260</v>
      </c>
      <c r="AW4" s="8">
        <v>23295</v>
      </c>
      <c r="AX4" s="8">
        <v>23330</v>
      </c>
      <c r="AY4" s="9">
        <v>23380</v>
      </c>
      <c r="AZ4" s="9">
        <v>23840</v>
      </c>
      <c r="BA4" s="9">
        <v>23960</v>
      </c>
      <c r="BB4" s="9">
        <v>24280</v>
      </c>
      <c r="BC4" s="9">
        <v>24730</v>
      </c>
      <c r="BD4" s="9">
        <v>24930</v>
      </c>
      <c r="BE4" s="9">
        <v>24210</v>
      </c>
      <c r="BF4" s="9">
        <v>24250</v>
      </c>
      <c r="BG4" s="9">
        <v>24490</v>
      </c>
      <c r="BH4" s="9">
        <v>24690</v>
      </c>
      <c r="BI4" s="9">
        <v>25475</v>
      </c>
      <c r="BJ4" s="9">
        <v>25250</v>
      </c>
      <c r="BK4" s="9">
        <v>25270</v>
      </c>
      <c r="BL4" s="9">
        <v>25130</v>
      </c>
      <c r="BM4" s="9">
        <f>'[1]Chai B1- Tháng'!CQ4</f>
        <v>24580</v>
      </c>
      <c r="BN4" s="9">
        <f>'[1]Chai B1- Tháng'!CR4</f>
        <v>24410</v>
      </c>
      <c r="BO4" s="9">
        <f>'[1]Chai B1- Tháng'!CS4</f>
        <v>25120</v>
      </c>
      <c r="BP4" s="9">
        <f>'[1]Chai B1- Tháng'!CT4</f>
        <v>25140</v>
      </c>
      <c r="BQ4" s="9">
        <f>'[1]Chai B1- Tháng'!CU4</f>
        <v>25290</v>
      </c>
      <c r="BR4" s="9">
        <f>'[1]Chai B1- Tháng'!CV4</f>
        <v>25050</v>
      </c>
      <c r="BS4" s="9">
        <f>'[1]Chai B1- Tháng'!CW4</f>
        <v>25400</v>
      </c>
      <c r="BT4" s="9">
        <f>'[1]Chai B1- Tháng'!CX4</f>
        <v>25460</v>
      </c>
      <c r="BU4" s="9">
        <f>'[1]Chai B1- Tháng'!CY4</f>
        <v>25830</v>
      </c>
      <c r="BV4" s="9">
        <f>'[1]Chai B1- Tháng'!CZ4</f>
        <v>25880</v>
      </c>
      <c r="BW4" s="9">
        <f>'[1]Chai B1- Tháng'!DA4</f>
        <v>25920</v>
      </c>
      <c r="BX4" s="9">
        <f>'[1]Chai B1- Tháng'!DB4</f>
        <v>26030</v>
      </c>
      <c r="BY4" s="9">
        <f>'[1]Chai B1- Tháng'!DC4</f>
        <v>26180</v>
      </c>
      <c r="BZ4" s="10">
        <f>'[1]Chai B1- Tháng'!DD4</f>
        <v>26183</v>
      </c>
      <c r="CA4" s="10">
        <f>'[1]Chai B1- Tháng'!DE4</f>
        <v>26107</v>
      </c>
      <c r="CB4" s="10">
        <f>'[1]Chai B1- Tháng'!DF4</f>
        <v>26181</v>
      </c>
      <c r="CC4" s="10">
        <f>'[1]Chai B1- Tháng'!DG4</f>
        <v>26078</v>
      </c>
      <c r="CD4" s="10">
        <f>'[1]Chai B1- Tháng'!DH4</f>
        <v>26081</v>
      </c>
    </row>
    <row r="5" spans="44:92" x14ac:dyDescent="0.35">
      <c r="AR5" s="1" t="s">
        <v>5</v>
      </c>
      <c r="AS5" s="9">
        <f t="shared" ref="AS5:BY5" si="0">C40*AS4/1000</f>
        <v>23250</v>
      </c>
      <c r="AT5" s="9">
        <f t="shared" si="0"/>
        <v>24630.65</v>
      </c>
      <c r="AU5" s="9">
        <f t="shared" si="0"/>
        <v>23725.200000000001</v>
      </c>
      <c r="AV5" s="9">
        <f t="shared" si="0"/>
        <v>24539.3</v>
      </c>
      <c r="AW5" s="9">
        <f t="shared" si="0"/>
        <v>22689.33</v>
      </c>
      <c r="AX5" s="9">
        <f t="shared" si="0"/>
        <v>20880.349999999999</v>
      </c>
      <c r="AY5" s="9">
        <f t="shared" si="0"/>
        <v>21112.14</v>
      </c>
      <c r="AZ5" s="9">
        <f t="shared" si="0"/>
        <v>21885.119999999999</v>
      </c>
      <c r="BA5" s="9">
        <f t="shared" si="0"/>
        <v>22282.799999999999</v>
      </c>
      <c r="BB5" s="9">
        <f t="shared" si="0"/>
        <v>22398.3</v>
      </c>
      <c r="BC5" s="9">
        <f t="shared" si="0"/>
        <v>22257</v>
      </c>
      <c r="BD5" s="9">
        <f t="shared" si="0"/>
        <v>22437</v>
      </c>
      <c r="BE5" s="9">
        <f t="shared" si="0"/>
        <v>22515.3</v>
      </c>
      <c r="BF5" s="9">
        <f t="shared" si="0"/>
        <v>22867.75</v>
      </c>
      <c r="BG5" s="9">
        <f t="shared" si="0"/>
        <v>23020.6</v>
      </c>
      <c r="BH5" s="9">
        <f t="shared" si="0"/>
        <v>23208.6</v>
      </c>
      <c r="BI5" s="9">
        <f t="shared" si="0"/>
        <v>23997.45</v>
      </c>
      <c r="BJ5" s="9">
        <f t="shared" si="0"/>
        <v>23987.5</v>
      </c>
      <c r="BK5" s="9">
        <f t="shared" si="0"/>
        <v>23955.96</v>
      </c>
      <c r="BL5" s="9">
        <f t="shared" si="0"/>
        <v>23370.9</v>
      </c>
      <c r="BM5" s="9">
        <f t="shared" si="0"/>
        <v>21630.400000000001</v>
      </c>
      <c r="BN5" s="9">
        <f t="shared" si="0"/>
        <v>21053.625</v>
      </c>
      <c r="BO5" s="9">
        <f t="shared" si="0"/>
        <v>21402.240000000002</v>
      </c>
      <c r="BP5" s="9">
        <f t="shared" si="0"/>
        <v>20866.2</v>
      </c>
      <c r="BQ5" s="9">
        <f t="shared" si="0"/>
        <v>20940.12</v>
      </c>
      <c r="BR5" s="9">
        <f t="shared" si="0"/>
        <v>21042</v>
      </c>
      <c r="BS5" s="9">
        <f t="shared" si="0"/>
        <v>20904.2</v>
      </c>
      <c r="BT5" s="9">
        <f t="shared" si="0"/>
        <v>19476.900000000001</v>
      </c>
      <c r="BU5" s="9">
        <f t="shared" si="0"/>
        <v>20199.060000000001</v>
      </c>
      <c r="BV5" s="9">
        <f t="shared" si="0"/>
        <v>20898.099999999999</v>
      </c>
      <c r="BW5" s="9">
        <f t="shared" si="0"/>
        <v>20787.84</v>
      </c>
      <c r="BX5" s="9">
        <f t="shared" si="0"/>
        <v>20693.849999999999</v>
      </c>
      <c r="BY5" s="9">
        <f t="shared" si="0"/>
        <v>20498.939999999999</v>
      </c>
      <c r="BZ5" s="10">
        <f>'[1]Chai B1- Tháng'!DD5</f>
        <v>20213.276000000002</v>
      </c>
      <c r="CA5" s="10">
        <f>'[1]Chai B1- Tháng'!DE5</f>
        <v>20102.39</v>
      </c>
      <c r="CB5" s="10">
        <f>'[1]Chai B1- Tháng'!DF5</f>
        <v>20237.913</v>
      </c>
      <c r="CC5" s="10">
        <f>'[1]Chai B1- Tháng'!DG5</f>
        <v>20732.009999999998</v>
      </c>
      <c r="CD5" s="10">
        <f>'[1]Chai B1- Tháng'!DH5</f>
        <v>20734.395</v>
      </c>
    </row>
    <row r="6" spans="44:92" x14ac:dyDescent="0.35">
      <c r="AR6" s="1" t="s">
        <v>6</v>
      </c>
      <c r="AS6" s="9">
        <v>17500</v>
      </c>
      <c r="AT6" s="9">
        <v>17500</v>
      </c>
      <c r="AU6" s="9">
        <v>18500</v>
      </c>
      <c r="AV6" s="9">
        <v>18500</v>
      </c>
      <c r="AW6" s="9">
        <v>18500</v>
      </c>
      <c r="AX6" s="9">
        <v>17500</v>
      </c>
      <c r="AY6" s="9">
        <v>16000</v>
      </c>
      <c r="AZ6" s="9">
        <v>16000</v>
      </c>
      <c r="BA6" s="9">
        <v>16500</v>
      </c>
      <c r="BB6" s="9">
        <v>17500</v>
      </c>
      <c r="BC6" s="9">
        <v>18100</v>
      </c>
      <c r="BD6" s="9">
        <v>18100</v>
      </c>
      <c r="BE6" s="9">
        <v>18100</v>
      </c>
      <c r="BF6" s="9">
        <f>18500+100</f>
        <v>18600</v>
      </c>
      <c r="BG6" s="9">
        <f>18800+100</f>
        <v>18900</v>
      </c>
      <c r="BH6" s="9">
        <v>19300</v>
      </c>
      <c r="BI6" s="9">
        <v>19800</v>
      </c>
      <c r="BJ6" s="9">
        <v>19800</v>
      </c>
      <c r="BK6" s="9">
        <v>18300</v>
      </c>
      <c r="BL6" s="9">
        <v>18300</v>
      </c>
      <c r="BM6" s="9">
        <f>18300+350</f>
        <v>18650</v>
      </c>
      <c r="BN6" s="9">
        <f>18000+350</f>
        <v>18350</v>
      </c>
      <c r="BO6" s="9">
        <f>18000+350+200</f>
        <v>18550</v>
      </c>
      <c r="BP6" s="9">
        <f>18200+350</f>
        <v>18550</v>
      </c>
      <c r="BQ6" s="9">
        <f>18200+350</f>
        <v>18550</v>
      </c>
      <c r="BR6" s="9">
        <f>18500+350</f>
        <v>18850</v>
      </c>
      <c r="BS6" s="9">
        <f>19000+350+200</f>
        <v>19550</v>
      </c>
      <c r="BT6" s="9">
        <f>19700+350</f>
        <v>20050</v>
      </c>
      <c r="BU6" s="9">
        <f>19000+350</f>
        <v>19350</v>
      </c>
      <c r="BV6" s="9">
        <f>19500+350</f>
        <v>19850</v>
      </c>
      <c r="BW6" s="9">
        <f>19500+350</f>
        <v>19850</v>
      </c>
      <c r="BX6" s="9">
        <f>18500+350</f>
        <v>18850</v>
      </c>
      <c r="BY6" s="9">
        <f>(17000+16700+16300)/3</f>
        <v>16666.666666666668</v>
      </c>
      <c r="BZ6" s="10">
        <v>16500</v>
      </c>
      <c r="CA6" s="10">
        <v>16000</v>
      </c>
      <c r="CB6" s="10">
        <v>16000</v>
      </c>
      <c r="CC6" s="11">
        <v>16300</v>
      </c>
      <c r="CD6" s="11">
        <v>16300</v>
      </c>
    </row>
    <row r="7" spans="44:92" x14ac:dyDescent="0.35">
      <c r="AR7" s="1" t="s">
        <v>7</v>
      </c>
      <c r="AS7" s="9">
        <f>AS14*AS4/1000</f>
        <v>22227</v>
      </c>
      <c r="AT7" s="9">
        <f t="shared" ref="AT7:CD7" si="1">AT14*AT4/1000</f>
        <v>22462.21</v>
      </c>
      <c r="AU7" s="9">
        <f t="shared" si="1"/>
        <v>21980.7</v>
      </c>
      <c r="AV7" s="9">
        <f t="shared" si="1"/>
        <v>21282.9</v>
      </c>
      <c r="AW7" s="9">
        <f t="shared" si="1"/>
        <v>20336.535</v>
      </c>
      <c r="AX7" s="9">
        <f t="shared" si="1"/>
        <v>19958.814999999999</v>
      </c>
      <c r="AY7" s="9">
        <f t="shared" si="1"/>
        <v>20001.59</v>
      </c>
      <c r="AZ7" s="9">
        <f t="shared" si="1"/>
        <v>21587.119999999999</v>
      </c>
      <c r="BA7" s="9">
        <f t="shared" si="1"/>
        <v>21156.68</v>
      </c>
      <c r="BB7" s="9">
        <f t="shared" si="1"/>
        <v>21269.279999999999</v>
      </c>
      <c r="BC7" s="9">
        <f t="shared" si="1"/>
        <v>22071.525000000001</v>
      </c>
      <c r="BD7" s="9">
        <f t="shared" si="1"/>
        <v>22250.025000000001</v>
      </c>
      <c r="BE7" s="9">
        <f t="shared" si="1"/>
        <v>21728.474999999999</v>
      </c>
      <c r="BF7" s="9">
        <f t="shared" si="1"/>
        <v>21764.375</v>
      </c>
      <c r="BG7" s="9">
        <f t="shared" si="1"/>
        <v>21979.775000000001</v>
      </c>
      <c r="BH7" s="9">
        <f t="shared" si="1"/>
        <v>22406.174999999999</v>
      </c>
      <c r="BI7" s="9">
        <f t="shared" si="1"/>
        <v>24328.625</v>
      </c>
      <c r="BJ7" s="9">
        <f t="shared" si="1"/>
        <v>25628.75</v>
      </c>
      <c r="BK7" s="9">
        <f t="shared" si="1"/>
        <v>25143.65</v>
      </c>
      <c r="BL7" s="9">
        <f t="shared" si="1"/>
        <v>25004.35</v>
      </c>
      <c r="BM7" s="9">
        <f t="shared" si="1"/>
        <v>25071.599999999999</v>
      </c>
      <c r="BN7" s="9">
        <f t="shared" si="1"/>
        <v>24898.2</v>
      </c>
      <c r="BO7" s="9">
        <f t="shared" si="1"/>
        <v>25622.400000000001</v>
      </c>
      <c r="BP7" s="9">
        <f t="shared" si="1"/>
        <v>25768.5</v>
      </c>
      <c r="BQ7" s="9">
        <f t="shared" si="1"/>
        <v>25922.25</v>
      </c>
      <c r="BR7" s="9">
        <f t="shared" si="1"/>
        <v>25300.5</v>
      </c>
      <c r="BS7" s="9">
        <f t="shared" si="1"/>
        <v>25717.5</v>
      </c>
      <c r="BT7" s="9">
        <f t="shared" si="1"/>
        <v>25841.9</v>
      </c>
      <c r="BU7" s="9">
        <f t="shared" si="1"/>
        <v>26256.195</v>
      </c>
      <c r="BV7" s="9">
        <f t="shared" si="1"/>
        <v>27096.36</v>
      </c>
      <c r="BW7" s="9">
        <f t="shared" si="1"/>
        <v>24932.448</v>
      </c>
      <c r="BX7" s="9">
        <f t="shared" si="1"/>
        <v>23793.046875</v>
      </c>
      <c r="BY7" s="9">
        <f t="shared" si="1"/>
        <v>21700.601999999999</v>
      </c>
      <c r="BZ7" s="9">
        <f t="shared" si="1"/>
        <v>21213.4666</v>
      </c>
      <c r="CA7" s="9">
        <f t="shared" si="1"/>
        <v>20462.666599999997</v>
      </c>
      <c r="CB7" s="9">
        <f t="shared" si="1"/>
        <v>19963.012500000001</v>
      </c>
      <c r="CC7" s="9">
        <f t="shared" si="1"/>
        <v>19318.582399999999</v>
      </c>
      <c r="CD7" s="9">
        <f t="shared" si="1"/>
        <v>19320.804799999998</v>
      </c>
    </row>
    <row r="8" spans="44:92" x14ac:dyDescent="0.35">
      <c r="AR8" s="1" t="s">
        <v>8</v>
      </c>
      <c r="AS8" s="12">
        <f>AS6</f>
        <v>17500</v>
      </c>
      <c r="AT8" s="12">
        <f t="shared" ref="AT8:BY8" si="2">AT6</f>
        <v>17500</v>
      </c>
      <c r="AU8" s="12">
        <f t="shared" si="2"/>
        <v>18500</v>
      </c>
      <c r="AV8" s="12">
        <f t="shared" si="2"/>
        <v>18500</v>
      </c>
      <c r="AW8" s="12">
        <f t="shared" si="2"/>
        <v>18500</v>
      </c>
      <c r="AX8" s="12">
        <f t="shared" si="2"/>
        <v>17500</v>
      </c>
      <c r="AY8" s="12">
        <f t="shared" si="2"/>
        <v>16000</v>
      </c>
      <c r="AZ8" s="12">
        <f t="shared" si="2"/>
        <v>16000</v>
      </c>
      <c r="BA8" s="12">
        <f t="shared" si="2"/>
        <v>16500</v>
      </c>
      <c r="BB8" s="12">
        <f t="shared" si="2"/>
        <v>17500</v>
      </c>
      <c r="BC8" s="12">
        <f t="shared" si="2"/>
        <v>18100</v>
      </c>
      <c r="BD8" s="12">
        <f t="shared" si="2"/>
        <v>18100</v>
      </c>
      <c r="BE8" s="12">
        <f t="shared" si="2"/>
        <v>18100</v>
      </c>
      <c r="BF8" s="12">
        <f t="shared" si="2"/>
        <v>18600</v>
      </c>
      <c r="BG8" s="12">
        <f t="shared" si="2"/>
        <v>18900</v>
      </c>
      <c r="BH8" s="12">
        <f t="shared" si="2"/>
        <v>19300</v>
      </c>
      <c r="BI8" s="12">
        <f t="shared" si="2"/>
        <v>19800</v>
      </c>
      <c r="BJ8" s="9">
        <f t="shared" si="2"/>
        <v>19800</v>
      </c>
      <c r="BK8" s="9">
        <f t="shared" si="2"/>
        <v>18300</v>
      </c>
      <c r="BL8" s="9">
        <f t="shared" si="2"/>
        <v>18300</v>
      </c>
      <c r="BM8" s="9">
        <f t="shared" si="2"/>
        <v>18650</v>
      </c>
      <c r="BN8" s="9">
        <f t="shared" si="2"/>
        <v>18350</v>
      </c>
      <c r="BO8" s="9">
        <f t="shared" si="2"/>
        <v>18550</v>
      </c>
      <c r="BP8" s="9">
        <f t="shared" si="2"/>
        <v>18550</v>
      </c>
      <c r="BQ8" s="9">
        <f t="shared" si="2"/>
        <v>18550</v>
      </c>
      <c r="BR8" s="9">
        <f t="shared" si="2"/>
        <v>18850</v>
      </c>
      <c r="BS8" s="9">
        <f t="shared" si="2"/>
        <v>19550</v>
      </c>
      <c r="BT8" s="9">
        <f t="shared" si="2"/>
        <v>20050</v>
      </c>
      <c r="BU8" s="9">
        <f t="shared" si="2"/>
        <v>19350</v>
      </c>
      <c r="BV8" s="9">
        <f t="shared" si="2"/>
        <v>19850</v>
      </c>
      <c r="BW8" s="9">
        <f t="shared" si="2"/>
        <v>19850</v>
      </c>
      <c r="BX8" s="9">
        <f t="shared" si="2"/>
        <v>18850</v>
      </c>
      <c r="BY8" s="9">
        <f t="shared" si="2"/>
        <v>16666.666666666668</v>
      </c>
      <c r="BZ8" s="9">
        <f>BZ6</f>
        <v>16500</v>
      </c>
      <c r="CA8" s="9">
        <f>CA6</f>
        <v>16000</v>
      </c>
      <c r="CB8" s="9">
        <f>CB6</f>
        <v>16000</v>
      </c>
      <c r="CC8" s="9">
        <f>CC6</f>
        <v>16300</v>
      </c>
      <c r="CD8" s="9">
        <f>CD6</f>
        <v>16300</v>
      </c>
    </row>
    <row r="9" spans="44:92" s="13" customFormat="1" x14ac:dyDescent="0.35">
      <c r="AR9" s="13" t="s">
        <v>9</v>
      </c>
      <c r="AS9" s="14">
        <v>17112</v>
      </c>
      <c r="AT9" s="14">
        <v>17235</v>
      </c>
      <c r="AU9" s="14">
        <v>17583</v>
      </c>
      <c r="AV9" s="14">
        <v>17672</v>
      </c>
      <c r="AW9" s="14">
        <v>17728</v>
      </c>
      <c r="AX9" s="14">
        <v>16972.599999999999</v>
      </c>
      <c r="AY9" s="14">
        <v>15973.53940270698</v>
      </c>
      <c r="AZ9" s="14">
        <v>15985.320314636492</v>
      </c>
      <c r="BA9" s="14">
        <v>16507.339197056153</v>
      </c>
      <c r="BB9" s="14">
        <v>16955.713321902564</v>
      </c>
      <c r="BC9" s="14">
        <v>18100</v>
      </c>
      <c r="BD9" s="14">
        <v>18100</v>
      </c>
      <c r="BE9" s="14">
        <v>17983.907005412482</v>
      </c>
      <c r="BF9" s="14">
        <v>18622.996075226682</v>
      </c>
      <c r="BG9" s="14">
        <v>19295.576893227546</v>
      </c>
      <c r="BH9" s="14">
        <v>19576.984003622449</v>
      </c>
      <c r="BI9" s="14">
        <v>19725.621079005861</v>
      </c>
      <c r="BJ9" s="14">
        <v>19648.514806053445</v>
      </c>
      <c r="BK9" s="14">
        <v>17863.337349886751</v>
      </c>
      <c r="BL9" s="14">
        <v>17899.536281190693</v>
      </c>
      <c r="BM9" s="14">
        <v>18513.416247829598</v>
      </c>
      <c r="BN9" s="14">
        <v>18204.855045759934</v>
      </c>
      <c r="BO9" s="15">
        <v>18460.148776302332</v>
      </c>
      <c r="BP9" s="15">
        <v>18530.381106406789</v>
      </c>
      <c r="BQ9" s="16">
        <v>18233.789680269274</v>
      </c>
      <c r="BR9" s="16">
        <v>18955.246160112143</v>
      </c>
      <c r="BS9" s="15">
        <v>19549.832796426479</v>
      </c>
      <c r="BT9" s="15">
        <v>20207.22025888781</v>
      </c>
      <c r="BU9" s="15">
        <v>19559.257953862314</v>
      </c>
      <c r="BV9" s="15">
        <v>20221.371253092591</v>
      </c>
      <c r="BW9" s="15">
        <v>20096.025084974961</v>
      </c>
      <c r="BX9" s="15">
        <v>19291.318294214616</v>
      </c>
      <c r="BY9" s="15">
        <v>16751.835736942743</v>
      </c>
      <c r="BZ9" s="14">
        <v>16016.425464118958</v>
      </c>
      <c r="CA9" s="14">
        <v>15747.968968705656</v>
      </c>
      <c r="CB9" s="14">
        <v>15969.32506354553</v>
      </c>
      <c r="CC9" s="14">
        <v>15943.94812297203</v>
      </c>
      <c r="CD9" s="17">
        <v>15943.94812297203</v>
      </c>
    </row>
    <row r="10" spans="44:92" x14ac:dyDescent="0.35">
      <c r="AR10" s="1" t="s">
        <v>10</v>
      </c>
      <c r="AS10" s="18">
        <f>AS5/AS6-1</f>
        <v>0.32857142857142851</v>
      </c>
      <c r="AT10" s="18">
        <f t="shared" ref="AT10:BI10" si="3">AT5/AT6-1</f>
        <v>0.40746571428571432</v>
      </c>
      <c r="AU10" s="18">
        <f t="shared" si="3"/>
        <v>0.28244324324324332</v>
      </c>
      <c r="AV10" s="18">
        <f t="shared" si="3"/>
        <v>0.32644864864864864</v>
      </c>
      <c r="AW10" s="18">
        <f t="shared" si="3"/>
        <v>0.22645027027027043</v>
      </c>
      <c r="AX10" s="18">
        <f t="shared" si="3"/>
        <v>0.19316285714285697</v>
      </c>
      <c r="AY10" s="18">
        <f t="shared" si="3"/>
        <v>0.31950875000000001</v>
      </c>
      <c r="AZ10" s="18">
        <f t="shared" si="3"/>
        <v>0.36782000000000004</v>
      </c>
      <c r="BA10" s="18">
        <f t="shared" si="3"/>
        <v>0.35047272727272727</v>
      </c>
      <c r="BB10" s="18">
        <f t="shared" si="3"/>
        <v>0.27990285714285701</v>
      </c>
      <c r="BC10" s="18">
        <f t="shared" si="3"/>
        <v>0.22966850828729291</v>
      </c>
      <c r="BD10" s="18">
        <f t="shared" si="3"/>
        <v>0.23961325966850833</v>
      </c>
      <c r="BE10" s="18">
        <f t="shared" si="3"/>
        <v>0.24393922651933697</v>
      </c>
      <c r="BF10" s="18">
        <f t="shared" si="3"/>
        <v>0.22944892473118284</v>
      </c>
      <c r="BG10" s="18">
        <f t="shared" si="3"/>
        <v>0.218021164021164</v>
      </c>
      <c r="BH10" s="18">
        <f t="shared" si="3"/>
        <v>0.20251813471502578</v>
      </c>
      <c r="BI10" s="18">
        <f t="shared" si="3"/>
        <v>0.21199242424242426</v>
      </c>
      <c r="BJ10" s="18">
        <f>BJ5/BJ6-1</f>
        <v>0.21148989898989901</v>
      </c>
      <c r="BK10" s="18">
        <f t="shared" ref="BK10:BY10" si="4">BK5/BK6-1</f>
        <v>0.30906885245901639</v>
      </c>
      <c r="BL10" s="18">
        <f t="shared" si="4"/>
        <v>0.27709836065573779</v>
      </c>
      <c r="BM10" s="18">
        <f t="shared" si="4"/>
        <v>0.15980697050938342</v>
      </c>
      <c r="BN10" s="18">
        <f t="shared" si="4"/>
        <v>0.1473365122615804</v>
      </c>
      <c r="BO10" s="18">
        <f t="shared" si="4"/>
        <v>0.15375956873315366</v>
      </c>
      <c r="BP10" s="18">
        <f t="shared" si="4"/>
        <v>0.12486253369272249</v>
      </c>
      <c r="BQ10" s="18">
        <f t="shared" si="4"/>
        <v>0.12884743935309961</v>
      </c>
      <c r="BR10" s="18">
        <f t="shared" si="4"/>
        <v>0.11628647214854104</v>
      </c>
      <c r="BS10" s="18">
        <f t="shared" si="4"/>
        <v>6.9268542199488525E-2</v>
      </c>
      <c r="BT10" s="18">
        <f t="shared" si="4"/>
        <v>-2.858354114713213E-2</v>
      </c>
      <c r="BU10" s="18">
        <f t="shared" si="4"/>
        <v>4.3879069767441825E-2</v>
      </c>
      <c r="BV10" s="18">
        <f t="shared" si="4"/>
        <v>5.2801007556674939E-2</v>
      </c>
      <c r="BW10" s="18">
        <f t="shared" si="4"/>
        <v>4.7246347607052819E-2</v>
      </c>
      <c r="BX10" s="18">
        <f t="shared" si="4"/>
        <v>9.7816976127320876E-2</v>
      </c>
      <c r="BY10" s="18">
        <f t="shared" si="4"/>
        <v>0.22993639999999993</v>
      </c>
      <c r="BZ10" s="18">
        <f>BZ5/BZ6-1</f>
        <v>0.2250470303030303</v>
      </c>
      <c r="CA10" s="18">
        <f>CA5/CA6-1</f>
        <v>0.25639937499999998</v>
      </c>
      <c r="CB10" s="18">
        <f>CB5/CB6-1</f>
        <v>0.26486956249999993</v>
      </c>
      <c r="CC10" s="18">
        <f>CC5/CC6-1</f>
        <v>0.27190245398772994</v>
      </c>
      <c r="CD10" s="18">
        <f>CD5/CD6-1</f>
        <v>0.27204877300613495</v>
      </c>
    </row>
    <row r="11" spans="44:92" x14ac:dyDescent="0.35">
      <c r="AR11" s="1" t="s">
        <v>11</v>
      </c>
      <c r="AS11" s="12">
        <f>AS5-AS6</f>
        <v>5750</v>
      </c>
      <c r="AT11" s="12">
        <f t="shared" ref="AT11:BY11" si="5">AT5-AT6</f>
        <v>7130.6500000000015</v>
      </c>
      <c r="AU11" s="12">
        <f t="shared" si="5"/>
        <v>5225.2000000000007</v>
      </c>
      <c r="AV11" s="12">
        <f t="shared" si="5"/>
        <v>6039.2999999999993</v>
      </c>
      <c r="AW11" s="12">
        <f t="shared" si="5"/>
        <v>4189.3300000000017</v>
      </c>
      <c r="AX11" s="12">
        <f t="shared" si="5"/>
        <v>3380.3499999999985</v>
      </c>
      <c r="AY11" s="12">
        <f t="shared" si="5"/>
        <v>5112.1399999999994</v>
      </c>
      <c r="AZ11" s="12">
        <f t="shared" si="5"/>
        <v>5885.119999999999</v>
      </c>
      <c r="BA11" s="9">
        <f t="shared" si="5"/>
        <v>5782.7999999999993</v>
      </c>
      <c r="BB11" s="9">
        <f t="shared" si="5"/>
        <v>4898.2999999999993</v>
      </c>
      <c r="BC11" s="9">
        <f t="shared" si="5"/>
        <v>4157</v>
      </c>
      <c r="BD11" s="9">
        <f t="shared" si="5"/>
        <v>4337</v>
      </c>
      <c r="BE11" s="9">
        <f t="shared" si="5"/>
        <v>4415.2999999999993</v>
      </c>
      <c r="BF11" s="9">
        <f t="shared" si="5"/>
        <v>4267.75</v>
      </c>
      <c r="BG11" s="9">
        <f t="shared" si="5"/>
        <v>4120.5999999999985</v>
      </c>
      <c r="BH11" s="9">
        <f t="shared" si="5"/>
        <v>3908.5999999999985</v>
      </c>
      <c r="BI11" s="9">
        <f t="shared" si="5"/>
        <v>4197.4500000000007</v>
      </c>
      <c r="BJ11" s="9">
        <f t="shared" si="5"/>
        <v>4187.5</v>
      </c>
      <c r="BK11" s="9">
        <f t="shared" si="5"/>
        <v>5655.9599999999991</v>
      </c>
      <c r="BL11" s="9">
        <f t="shared" si="5"/>
        <v>5070.9000000000015</v>
      </c>
      <c r="BM11" s="9">
        <f t="shared" si="5"/>
        <v>2980.4000000000015</v>
      </c>
      <c r="BN11" s="9">
        <f t="shared" si="5"/>
        <v>2703.625</v>
      </c>
      <c r="BO11" s="9">
        <f t="shared" si="5"/>
        <v>2852.2400000000016</v>
      </c>
      <c r="BP11" s="9">
        <f t="shared" si="5"/>
        <v>2316.2000000000007</v>
      </c>
      <c r="BQ11" s="9">
        <f t="shared" si="5"/>
        <v>2390.119999999999</v>
      </c>
      <c r="BR11" s="9">
        <f t="shared" si="5"/>
        <v>2192</v>
      </c>
      <c r="BS11" s="9">
        <f t="shared" si="5"/>
        <v>1354.2000000000007</v>
      </c>
      <c r="BT11" s="9">
        <f t="shared" si="5"/>
        <v>-573.09999999999854</v>
      </c>
      <c r="BU11" s="9">
        <f t="shared" si="5"/>
        <v>849.06000000000131</v>
      </c>
      <c r="BV11" s="9">
        <f t="shared" si="5"/>
        <v>1048.0999999999985</v>
      </c>
      <c r="BW11" s="9">
        <f t="shared" si="5"/>
        <v>937.84000000000015</v>
      </c>
      <c r="BX11" s="9">
        <f t="shared" si="5"/>
        <v>1843.8499999999985</v>
      </c>
      <c r="BY11" s="9">
        <f t="shared" si="5"/>
        <v>3832.2733333333308</v>
      </c>
      <c r="BZ11" s="9">
        <f>BZ5-BZ6</f>
        <v>3713.2760000000017</v>
      </c>
      <c r="CA11" s="9">
        <f>CA5-CA6</f>
        <v>4102.3899999999994</v>
      </c>
      <c r="CB11" s="9">
        <f>CB5-CB6</f>
        <v>4237.9130000000005</v>
      </c>
      <c r="CC11" s="9">
        <f>CC5-CC6</f>
        <v>4432.0099999999984</v>
      </c>
      <c r="CD11" s="9">
        <f>CD5-CD6</f>
        <v>4434.3950000000004</v>
      </c>
    </row>
    <row r="12" spans="44:92" ht="14.5" customHeight="1" x14ac:dyDescent="0.35">
      <c r="AR12" s="1" t="s">
        <v>12</v>
      </c>
      <c r="AS12" s="19">
        <v>1330</v>
      </c>
      <c r="AT12" s="19">
        <v>1330</v>
      </c>
      <c r="AU12" s="19">
        <v>1380</v>
      </c>
      <c r="AV12" s="19">
        <v>1380</v>
      </c>
      <c r="AW12" s="19">
        <v>1380</v>
      </c>
      <c r="AX12" s="19">
        <v>1350</v>
      </c>
      <c r="AY12" s="19">
        <v>1300</v>
      </c>
      <c r="AZ12" s="1">
        <v>1250</v>
      </c>
      <c r="BA12" s="9">
        <v>1250</v>
      </c>
      <c r="BB12" s="9">
        <v>1250</v>
      </c>
      <c r="BC12" s="9">
        <v>1250</v>
      </c>
      <c r="BD12" s="9">
        <v>1250</v>
      </c>
      <c r="BE12" s="9">
        <v>1250</v>
      </c>
      <c r="BF12" s="9">
        <v>1250</v>
      </c>
      <c r="BG12" s="9">
        <v>1250</v>
      </c>
      <c r="BH12" s="9">
        <v>1250</v>
      </c>
      <c r="BI12" s="9">
        <v>1300</v>
      </c>
      <c r="BJ12" s="9">
        <v>1300</v>
      </c>
      <c r="BK12" s="9">
        <v>1300</v>
      </c>
      <c r="BL12" s="9">
        <v>1300</v>
      </c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CA12" s="10"/>
    </row>
    <row r="13" spans="44:92" ht="14.5" customHeight="1" x14ac:dyDescent="0.35">
      <c r="AR13" s="20" t="s">
        <v>13</v>
      </c>
      <c r="AS13" s="21">
        <f>AS5</f>
        <v>23250</v>
      </c>
      <c r="AT13" s="21">
        <f t="shared" ref="AT13:CD13" si="6">AT5</f>
        <v>24630.65</v>
      </c>
      <c r="AU13" s="21">
        <f t="shared" si="6"/>
        <v>23725.200000000001</v>
      </c>
      <c r="AV13" s="21">
        <f t="shared" si="6"/>
        <v>24539.3</v>
      </c>
      <c r="AW13" s="21">
        <f t="shared" si="6"/>
        <v>22689.33</v>
      </c>
      <c r="AX13" s="21">
        <f t="shared" si="6"/>
        <v>20880.349999999999</v>
      </c>
      <c r="AY13" s="21">
        <f t="shared" si="6"/>
        <v>21112.14</v>
      </c>
      <c r="AZ13" s="21">
        <f t="shared" si="6"/>
        <v>21885.119999999999</v>
      </c>
      <c r="BA13" s="21">
        <f t="shared" si="6"/>
        <v>22282.799999999999</v>
      </c>
      <c r="BB13" s="21">
        <f t="shared" si="6"/>
        <v>22398.3</v>
      </c>
      <c r="BC13" s="21">
        <f t="shared" si="6"/>
        <v>22257</v>
      </c>
      <c r="BD13" s="21">
        <f t="shared" si="6"/>
        <v>22437</v>
      </c>
      <c r="BE13" s="21">
        <f t="shared" si="6"/>
        <v>22515.3</v>
      </c>
      <c r="BF13" s="21">
        <f t="shared" si="6"/>
        <v>22867.75</v>
      </c>
      <c r="BG13" s="21">
        <f t="shared" si="6"/>
        <v>23020.6</v>
      </c>
      <c r="BH13" s="21">
        <f t="shared" si="6"/>
        <v>23208.6</v>
      </c>
      <c r="BI13" s="21">
        <f t="shared" si="6"/>
        <v>23997.45</v>
      </c>
      <c r="BJ13" s="21">
        <f t="shared" si="6"/>
        <v>23987.5</v>
      </c>
      <c r="BK13" s="21">
        <f t="shared" si="6"/>
        <v>23955.96</v>
      </c>
      <c r="BL13" s="21">
        <f t="shared" si="6"/>
        <v>23370.9</v>
      </c>
      <c r="BM13" s="21">
        <f t="shared" si="6"/>
        <v>21630.400000000001</v>
      </c>
      <c r="BN13" s="21">
        <f t="shared" si="6"/>
        <v>21053.625</v>
      </c>
      <c r="BO13" s="21">
        <f t="shared" si="6"/>
        <v>21402.240000000002</v>
      </c>
      <c r="BP13" s="21">
        <f t="shared" si="6"/>
        <v>20866.2</v>
      </c>
      <c r="BQ13" s="21">
        <f t="shared" si="6"/>
        <v>20940.12</v>
      </c>
      <c r="BR13" s="21">
        <f t="shared" si="6"/>
        <v>21042</v>
      </c>
      <c r="BS13" s="21">
        <f t="shared" si="6"/>
        <v>20904.2</v>
      </c>
      <c r="BT13" s="21">
        <f t="shared" si="6"/>
        <v>19476.900000000001</v>
      </c>
      <c r="BU13" s="21">
        <f t="shared" si="6"/>
        <v>20199.060000000001</v>
      </c>
      <c r="BV13" s="21">
        <f t="shared" si="6"/>
        <v>20898.099999999999</v>
      </c>
      <c r="BW13" s="21">
        <f t="shared" si="6"/>
        <v>20787.84</v>
      </c>
      <c r="BX13" s="21">
        <f t="shared" si="6"/>
        <v>20693.849999999999</v>
      </c>
      <c r="BY13" s="21">
        <f t="shared" si="6"/>
        <v>20498.939999999999</v>
      </c>
      <c r="BZ13" s="21">
        <f t="shared" si="6"/>
        <v>20213.276000000002</v>
      </c>
      <c r="CA13" s="21">
        <f t="shared" si="6"/>
        <v>20102.39</v>
      </c>
      <c r="CB13" s="21">
        <f t="shared" si="6"/>
        <v>20237.913</v>
      </c>
      <c r="CC13" s="21">
        <f t="shared" si="6"/>
        <v>20732.009999999998</v>
      </c>
      <c r="CD13" s="21">
        <f t="shared" si="6"/>
        <v>20734.395</v>
      </c>
    </row>
    <row r="14" spans="44:92" ht="14.5" customHeight="1" x14ac:dyDescent="0.35">
      <c r="AR14" s="1" t="s">
        <v>14</v>
      </c>
      <c r="AS14" s="22">
        <v>956</v>
      </c>
      <c r="AT14" s="22">
        <v>953</v>
      </c>
      <c r="AU14" s="22">
        <v>945</v>
      </c>
      <c r="AV14" s="22">
        <v>915</v>
      </c>
      <c r="AW14" s="22">
        <v>873</v>
      </c>
      <c r="AX14" s="22">
        <f>+(851+860)/2</f>
        <v>855.5</v>
      </c>
      <c r="AY14" s="23">
        <f>+(851+860)/2</f>
        <v>855.5</v>
      </c>
      <c r="AZ14" s="23">
        <f>(859+952)/2</f>
        <v>905.5</v>
      </c>
      <c r="BA14" s="9">
        <f>(825+941)/2</f>
        <v>883</v>
      </c>
      <c r="BB14" s="9">
        <f>(825+927)/2</f>
        <v>876</v>
      </c>
      <c r="BC14" s="23">
        <f>(840+945)/2</f>
        <v>892.5</v>
      </c>
      <c r="BD14" s="23">
        <f>(840+945)/2</f>
        <v>892.5</v>
      </c>
      <c r="BE14" s="23">
        <f>(840+955)/2</f>
        <v>897.5</v>
      </c>
      <c r="BF14" s="23">
        <f>(840+955)/2</f>
        <v>897.5</v>
      </c>
      <c r="BG14" s="23">
        <f>(840+955)/2</f>
        <v>897.5</v>
      </c>
      <c r="BH14" s="23">
        <f>(860+955)/2</f>
        <v>907.5</v>
      </c>
      <c r="BI14" s="23">
        <v>955</v>
      </c>
      <c r="BJ14" s="9">
        <v>1015</v>
      </c>
      <c r="BK14" s="9">
        <v>995</v>
      </c>
      <c r="BL14" s="9">
        <v>995</v>
      </c>
      <c r="BM14" s="9">
        <v>1020</v>
      </c>
      <c r="BN14" s="9">
        <v>1020</v>
      </c>
      <c r="BO14" s="9">
        <v>1020</v>
      </c>
      <c r="BP14" s="9">
        <v>1025</v>
      </c>
      <c r="BQ14" s="9">
        <v>1025</v>
      </c>
      <c r="BR14" s="9">
        <v>1010</v>
      </c>
      <c r="BS14" s="9">
        <v>1012.5</v>
      </c>
      <c r="BT14" s="9">
        <v>1015</v>
      </c>
      <c r="BU14" s="9">
        <v>1016.5</v>
      </c>
      <c r="BV14" s="9">
        <v>1047</v>
      </c>
      <c r="BW14" s="9">
        <v>961.9</v>
      </c>
      <c r="BX14" s="9">
        <v>914.0625</v>
      </c>
      <c r="BY14" s="9">
        <v>828.9</v>
      </c>
      <c r="BZ14" s="10">
        <v>810.2</v>
      </c>
      <c r="CA14" s="10">
        <v>783.8</v>
      </c>
      <c r="CB14">
        <v>762.5</v>
      </c>
      <c r="CC14" s="24">
        <v>740.8</v>
      </c>
      <c r="CD14" s="24">
        <v>740.8</v>
      </c>
    </row>
    <row r="15" spans="44:92" ht="14.5" customHeight="1" x14ac:dyDescent="0.35">
      <c r="CA15" s="10"/>
    </row>
    <row r="18" spans="2:78" ht="14.5" customHeight="1" x14ac:dyDescent="0.35"/>
    <row r="19" spans="2:78" ht="14.5" customHeight="1" x14ac:dyDescent="0.35"/>
    <row r="20" spans="2:78" ht="14.5" customHeight="1" x14ac:dyDescent="0.35"/>
    <row r="25" spans="2:78" x14ac:dyDescent="0.35"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1"/>
      <c r="M25" s="25"/>
      <c r="N25" s="25"/>
      <c r="O25" s="25"/>
      <c r="P25" s="25"/>
    </row>
    <row r="26" spans="2:78" s="30" customFormat="1" ht="18.5" x14ac:dyDescent="0.45">
      <c r="B26" s="26"/>
      <c r="C26" s="27"/>
      <c r="D26" s="27"/>
      <c r="E26" s="27"/>
      <c r="F26" s="27"/>
      <c r="G26" s="27"/>
      <c r="H26" s="27"/>
      <c r="I26" s="27"/>
      <c r="J26" s="27"/>
      <c r="K26" s="28"/>
      <c r="L26" s="29"/>
      <c r="M26" s="28"/>
      <c r="N26" s="28"/>
      <c r="O26" s="28"/>
      <c r="P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9"/>
      <c r="AS26" s="29"/>
      <c r="AT26" s="29"/>
      <c r="AU26" s="29"/>
      <c r="AV26" s="29"/>
      <c r="AW26" s="29"/>
      <c r="AX26" s="29"/>
      <c r="AY26" s="29"/>
      <c r="AZ26" s="29"/>
      <c r="BA26" s="31"/>
      <c r="BB26" s="31"/>
      <c r="BC26" s="29"/>
      <c r="BD26" s="29"/>
      <c r="BE26" s="29"/>
      <c r="BF26" s="29"/>
      <c r="BG26" s="29"/>
      <c r="BH26" s="29"/>
      <c r="BI26" s="29"/>
      <c r="BJ26" s="31"/>
      <c r="BK26" s="31"/>
      <c r="BL26" s="31"/>
      <c r="BM26" s="31"/>
      <c r="BZ26" s="32"/>
    </row>
    <row r="27" spans="2:78" s="36" customFormat="1" ht="18.5" x14ac:dyDescent="0.45">
      <c r="B27" s="33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5"/>
      <c r="N27" s="34"/>
      <c r="O27" s="34"/>
      <c r="P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7"/>
      <c r="AS27" s="37"/>
      <c r="AT27" s="37"/>
      <c r="AU27" s="37"/>
      <c r="AV27" s="37"/>
      <c r="AW27" s="37"/>
      <c r="AX27" s="37"/>
      <c r="AY27" s="37"/>
      <c r="AZ27" s="37"/>
      <c r="BA27" s="38"/>
      <c r="BB27" s="38"/>
      <c r="BC27" s="37"/>
      <c r="BD27" s="37"/>
      <c r="BE27" s="37"/>
      <c r="BF27" s="37"/>
      <c r="BG27" s="37"/>
      <c r="BH27" s="37"/>
      <c r="BI27" s="37"/>
      <c r="BJ27" s="38"/>
      <c r="BK27" s="38"/>
      <c r="BL27" s="38"/>
      <c r="BM27" s="38"/>
      <c r="BZ27" s="39"/>
    </row>
    <row r="28" spans="2:78" s="13" customFormat="1" ht="18.5" x14ac:dyDescent="0.45">
      <c r="B28" s="33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1"/>
      <c r="AS28" s="1"/>
      <c r="AT28" s="1"/>
      <c r="AU28" s="1"/>
      <c r="AV28" s="1"/>
      <c r="AW28" s="1"/>
      <c r="AX28" s="1"/>
      <c r="AY28" s="1"/>
      <c r="AZ28" s="1"/>
      <c r="BA28" s="9"/>
      <c r="BB28" s="9"/>
      <c r="BC28" s="1"/>
      <c r="BD28" s="1"/>
      <c r="BE28" s="1"/>
      <c r="BF28" s="1"/>
      <c r="BG28" s="1"/>
      <c r="BH28" s="1"/>
      <c r="BI28" s="1"/>
      <c r="BJ28" s="9"/>
      <c r="BK28" s="9"/>
      <c r="BL28" s="9"/>
      <c r="BM28" s="9"/>
      <c r="BZ28" s="14"/>
    </row>
    <row r="29" spans="2:78" s="13" customFormat="1" ht="14.5" hidden="1" customHeight="1" x14ac:dyDescent="0.35">
      <c r="B29" s="25"/>
      <c r="C29" s="25"/>
      <c r="D29" s="25"/>
      <c r="E29" s="25"/>
      <c r="F29" s="25"/>
      <c r="G29" s="25"/>
      <c r="H29" s="25"/>
      <c r="I29" s="25"/>
      <c r="J29" s="25"/>
      <c r="K29" s="25">
        <v>-13700</v>
      </c>
      <c r="L29" s="25"/>
      <c r="M29" s="25"/>
      <c r="N29" s="25"/>
      <c r="O29" s="25"/>
      <c r="P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1"/>
      <c r="AS29" s="1"/>
      <c r="AT29" s="1"/>
      <c r="AU29" s="1"/>
      <c r="AV29" s="1"/>
      <c r="AW29" s="1"/>
      <c r="AX29" s="1"/>
      <c r="AY29" s="1"/>
      <c r="AZ29" s="1"/>
      <c r="BA29" s="9"/>
      <c r="BB29" s="9"/>
      <c r="BC29" s="1"/>
      <c r="BD29" s="1"/>
      <c r="BE29" s="1"/>
      <c r="BF29" s="1"/>
      <c r="BG29" s="1"/>
      <c r="BH29" s="1"/>
      <c r="BI29" s="1"/>
      <c r="BJ29" s="9"/>
      <c r="BK29" s="9"/>
      <c r="BL29" s="9"/>
      <c r="BM29" s="9"/>
      <c r="BZ29" s="14"/>
    </row>
    <row r="30" spans="2:78" s="13" customFormat="1" ht="14.5" hidden="1" customHeight="1" x14ac:dyDescent="0.35">
      <c r="B30" s="25"/>
      <c r="C30" s="25" t="s">
        <v>15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1"/>
      <c r="AS30" s="1"/>
      <c r="AT30" s="1"/>
      <c r="AU30" s="1"/>
      <c r="AV30" s="1"/>
      <c r="AW30" s="1"/>
      <c r="AX30" s="1"/>
      <c r="AY30" s="1"/>
      <c r="AZ30" s="1"/>
      <c r="BA30" s="9"/>
      <c r="BB30" s="9"/>
      <c r="BC30" s="1"/>
      <c r="BD30" s="1"/>
      <c r="BE30" s="1"/>
      <c r="BF30" s="1"/>
      <c r="BG30" s="1"/>
      <c r="BH30" s="1"/>
      <c r="BI30" s="1"/>
      <c r="BJ30" s="9"/>
      <c r="BK30" s="9"/>
      <c r="BL30" s="9"/>
      <c r="BM30" s="9"/>
      <c r="BZ30" s="14"/>
    </row>
    <row r="31" spans="2:78" s="13" customFormat="1" ht="14.5" hidden="1" customHeight="1" x14ac:dyDescent="0.35"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1"/>
      <c r="AS31" s="1"/>
      <c r="AT31" s="1"/>
      <c r="AU31" s="1"/>
      <c r="AV31" s="1"/>
      <c r="AW31" s="1"/>
      <c r="AX31" s="1"/>
      <c r="AY31" s="1"/>
      <c r="AZ31" s="1"/>
      <c r="BA31" s="9"/>
      <c r="BB31" s="9"/>
      <c r="BC31" s="1"/>
      <c r="BD31" s="1"/>
      <c r="BE31" s="1"/>
      <c r="BF31" s="1"/>
      <c r="BG31" s="1"/>
      <c r="BH31" s="1"/>
      <c r="BI31" s="1"/>
      <c r="BJ31" s="9"/>
      <c r="BK31" s="9"/>
      <c r="BL31" s="9"/>
      <c r="BM31" s="9"/>
      <c r="BZ31" s="14"/>
    </row>
    <row r="32" spans="2:78" s="13" customFormat="1" ht="14.5" hidden="1" customHeight="1" x14ac:dyDescent="0.35">
      <c r="B32" s="25"/>
      <c r="C32" s="25">
        <v>1165</v>
      </c>
      <c r="D32" s="25">
        <v>1272.5</v>
      </c>
      <c r="E32" s="25">
        <v>1346</v>
      </c>
      <c r="F32" s="25">
        <v>1297.5</v>
      </c>
      <c r="G32" s="25">
        <v>1316.6666666666499</v>
      </c>
      <c r="H32" s="25">
        <v>1390</v>
      </c>
      <c r="I32" s="25">
        <v>1220</v>
      </c>
      <c r="J32" s="25">
        <v>1270</v>
      </c>
      <c r="K32" s="25">
        <v>1190</v>
      </c>
      <c r="L32" s="25">
        <v>1130</v>
      </c>
      <c r="M32" s="25">
        <v>1040</v>
      </c>
      <c r="N32" s="25">
        <v>1040</v>
      </c>
      <c r="O32" s="25"/>
      <c r="P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1"/>
      <c r="AS32" s="1"/>
      <c r="AT32" s="1"/>
      <c r="AU32" s="1"/>
      <c r="AV32" s="1"/>
      <c r="AW32" s="1"/>
      <c r="AX32" s="1"/>
      <c r="AY32" s="1"/>
      <c r="AZ32" s="1"/>
      <c r="BA32" s="9"/>
      <c r="BB32" s="9"/>
      <c r="BC32" s="1"/>
      <c r="BD32" s="1"/>
      <c r="BE32" s="1"/>
      <c r="BF32" s="1"/>
      <c r="BG32" s="1"/>
      <c r="BH32" s="1"/>
      <c r="BI32" s="1"/>
      <c r="BJ32" s="9"/>
      <c r="BK32" s="9"/>
      <c r="BL32" s="9"/>
      <c r="BM32" s="9"/>
      <c r="BZ32" s="14"/>
    </row>
    <row r="33" spans="2:78" s="13" customFormat="1" ht="14.5" hidden="1" customHeight="1" x14ac:dyDescent="0.35">
      <c r="B33" s="25" t="s">
        <v>16</v>
      </c>
      <c r="C33" s="25">
        <v>27960</v>
      </c>
      <c r="D33" s="25">
        <v>30540</v>
      </c>
      <c r="E33" s="25">
        <v>32304</v>
      </c>
      <c r="F33" s="25">
        <v>31140</v>
      </c>
      <c r="G33" s="25">
        <v>31599.9999999996</v>
      </c>
      <c r="H33" s="25">
        <v>33360</v>
      </c>
      <c r="I33" s="25">
        <v>29280</v>
      </c>
      <c r="J33" s="25">
        <v>30480</v>
      </c>
      <c r="K33" s="25">
        <v>28560</v>
      </c>
      <c r="L33" s="25">
        <v>27120</v>
      </c>
      <c r="M33" s="25">
        <v>24960</v>
      </c>
      <c r="N33" s="25">
        <v>24960</v>
      </c>
      <c r="O33" s="25"/>
      <c r="P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1"/>
      <c r="AS33" s="1"/>
      <c r="AT33" s="1"/>
      <c r="AU33" s="1"/>
      <c r="AV33" s="1"/>
      <c r="AW33" s="1"/>
      <c r="AX33" s="1"/>
      <c r="AY33" s="1"/>
      <c r="AZ33" s="1"/>
      <c r="BA33" s="9"/>
      <c r="BB33" s="9"/>
      <c r="BC33" s="1"/>
      <c r="BD33" s="1"/>
      <c r="BE33" s="1"/>
      <c r="BF33" s="1"/>
      <c r="BG33" s="1"/>
      <c r="BH33" s="1"/>
      <c r="BI33" s="1"/>
      <c r="BJ33" s="9"/>
      <c r="BK33" s="9"/>
      <c r="BL33" s="9"/>
      <c r="BM33" s="9"/>
      <c r="BZ33" s="14"/>
    </row>
    <row r="34" spans="2:78" s="13" customFormat="1" ht="14.5" hidden="1" customHeight="1" x14ac:dyDescent="0.35"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1"/>
      <c r="AS34" s="1"/>
      <c r="AT34" s="1"/>
      <c r="AU34" s="1"/>
      <c r="AV34" s="1"/>
      <c r="AW34" s="1"/>
      <c r="AX34" s="1"/>
      <c r="AY34" s="1"/>
      <c r="AZ34" s="1"/>
      <c r="BA34" s="9"/>
      <c r="BB34" s="9"/>
      <c r="BC34" s="1"/>
      <c r="BD34" s="1"/>
      <c r="BE34" s="1"/>
      <c r="BF34" s="1"/>
      <c r="BG34" s="1"/>
      <c r="BH34" s="1"/>
      <c r="BI34" s="1"/>
      <c r="BJ34" s="9"/>
      <c r="BK34" s="9"/>
      <c r="BL34" s="9"/>
      <c r="BM34" s="9"/>
      <c r="BZ34" s="14"/>
    </row>
    <row r="35" spans="2:78" s="13" customFormat="1" x14ac:dyDescent="0.35"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1"/>
      <c r="AS35" s="1"/>
      <c r="AT35" s="1"/>
      <c r="AU35" s="1"/>
      <c r="AV35" s="1"/>
      <c r="AW35" s="1"/>
      <c r="AX35" s="1"/>
      <c r="AY35" s="1"/>
      <c r="AZ35" s="1"/>
      <c r="BA35" s="9"/>
      <c r="BB35" s="9"/>
      <c r="BC35" s="1"/>
      <c r="BD35" s="1"/>
      <c r="BE35" s="1"/>
      <c r="BF35" s="1"/>
      <c r="BG35" s="1"/>
      <c r="BH35" s="1"/>
      <c r="BI35" s="1"/>
      <c r="BJ35" s="9"/>
      <c r="BK35" s="9"/>
      <c r="BL35" s="9"/>
      <c r="BM35" s="9"/>
      <c r="BZ35" s="14"/>
    </row>
    <row r="36" spans="2:78" s="13" customFormat="1" x14ac:dyDescent="0.35"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1"/>
      <c r="AS36" s="1"/>
      <c r="AT36" s="1"/>
      <c r="AU36" s="1"/>
      <c r="AV36" s="1"/>
      <c r="AW36" s="1"/>
      <c r="AX36" s="1"/>
      <c r="AY36" s="1"/>
      <c r="AZ36" s="1"/>
      <c r="BA36" s="9"/>
      <c r="BB36" s="9"/>
      <c r="BC36" s="1"/>
      <c r="BD36" s="1"/>
      <c r="BE36" s="1"/>
      <c r="BF36" s="1"/>
      <c r="BG36" s="1"/>
      <c r="BH36" s="1"/>
      <c r="BI36" s="1"/>
      <c r="BJ36" s="9"/>
      <c r="BK36" s="9"/>
      <c r="BL36" s="9"/>
      <c r="BM36" s="9"/>
      <c r="BZ36" s="14"/>
    </row>
    <row r="39" spans="2:78" s="46" customFormat="1" ht="15" x14ac:dyDescent="0.3">
      <c r="B39" s="40" t="s">
        <v>17</v>
      </c>
      <c r="C39" s="41" t="s">
        <v>18</v>
      </c>
      <c r="D39" s="41">
        <v>2</v>
      </c>
      <c r="E39" s="41">
        <v>3</v>
      </c>
      <c r="F39" s="41">
        <v>4</v>
      </c>
      <c r="G39" s="41">
        <v>5</v>
      </c>
      <c r="H39" s="41">
        <v>6</v>
      </c>
      <c r="I39" s="41">
        <v>7</v>
      </c>
      <c r="J39" s="41">
        <v>8</v>
      </c>
      <c r="K39" s="41">
        <v>9</v>
      </c>
      <c r="L39" s="41">
        <v>10</v>
      </c>
      <c r="M39" s="41">
        <v>11</v>
      </c>
      <c r="N39" s="41">
        <v>12</v>
      </c>
      <c r="O39" s="41" t="s">
        <v>2</v>
      </c>
      <c r="P39" s="41">
        <v>2</v>
      </c>
      <c r="Q39" s="42">
        <v>3</v>
      </c>
      <c r="R39" s="42">
        <v>4</v>
      </c>
      <c r="S39" s="42">
        <v>5</v>
      </c>
      <c r="T39" s="42">
        <v>6</v>
      </c>
      <c r="U39" s="42">
        <v>7</v>
      </c>
      <c r="V39" s="42">
        <v>8</v>
      </c>
      <c r="W39" s="42">
        <v>9</v>
      </c>
      <c r="X39" s="42">
        <v>10</v>
      </c>
      <c r="Y39" s="42">
        <v>11</v>
      </c>
      <c r="Z39" s="42">
        <v>12</v>
      </c>
      <c r="AA39" s="42" t="s">
        <v>3</v>
      </c>
      <c r="AB39" s="42">
        <v>2</v>
      </c>
      <c r="AC39" s="42">
        <v>3</v>
      </c>
      <c r="AD39" s="42">
        <v>4</v>
      </c>
      <c r="AE39" s="42">
        <v>5</v>
      </c>
      <c r="AF39" s="42">
        <v>6</v>
      </c>
      <c r="AG39" s="42">
        <v>7</v>
      </c>
      <c r="AH39" s="42">
        <v>8</v>
      </c>
      <c r="AI39" s="42">
        <v>9</v>
      </c>
      <c r="AJ39" s="42">
        <v>10</v>
      </c>
      <c r="AK39" s="42">
        <v>11</v>
      </c>
      <c r="AL39" s="42">
        <v>12</v>
      </c>
      <c r="AM39" s="42" t="str">
        <f>'[1]Chai B1- Tháng'!AS35</f>
        <v>T1.26</v>
      </c>
      <c r="AN39" s="42">
        <f>'[1]Chai B1- Tháng'!AT35</f>
        <v>2</v>
      </c>
      <c r="AO39" s="43"/>
      <c r="AP39" s="43"/>
      <c r="AQ39" s="43"/>
      <c r="AR39" s="44"/>
      <c r="AS39" s="44"/>
      <c r="AT39" s="44"/>
      <c r="AU39" s="44"/>
      <c r="AV39" s="44"/>
      <c r="AW39" s="44"/>
      <c r="AX39" s="44"/>
      <c r="AY39" s="44"/>
      <c r="AZ39" s="44"/>
      <c r="BA39" s="45"/>
      <c r="BB39" s="45"/>
      <c r="BC39" s="44"/>
      <c r="BD39" s="44"/>
      <c r="BE39" s="44"/>
      <c r="BF39" s="44"/>
      <c r="BG39" s="44"/>
      <c r="BH39" s="44"/>
      <c r="BI39" s="44"/>
      <c r="BJ39" s="45"/>
      <c r="BK39" s="45"/>
      <c r="BL39" s="45"/>
      <c r="BM39" s="45"/>
      <c r="BZ39" s="47"/>
    </row>
    <row r="40" spans="2:78" s="54" customFormat="1" ht="18" x14ac:dyDescent="0.35">
      <c r="B40" s="48" t="s">
        <v>19</v>
      </c>
      <c r="C40" s="49">
        <v>1000</v>
      </c>
      <c r="D40" s="49">
        <v>1045</v>
      </c>
      <c r="E40" s="49">
        <v>1020</v>
      </c>
      <c r="F40" s="49">
        <v>1055</v>
      </c>
      <c r="G40" s="49">
        <v>974</v>
      </c>
      <c r="H40" s="49">
        <v>895</v>
      </c>
      <c r="I40" s="49">
        <v>903</v>
      </c>
      <c r="J40" s="49">
        <v>918</v>
      </c>
      <c r="K40" s="49">
        <v>930</v>
      </c>
      <c r="L40" s="49">
        <v>922.5</v>
      </c>
      <c r="M40" s="49">
        <v>900</v>
      </c>
      <c r="N40" s="49">
        <v>900</v>
      </c>
      <c r="O40" s="49">
        <v>930</v>
      </c>
      <c r="P40" s="49">
        <v>943</v>
      </c>
      <c r="Q40" s="50">
        <v>940</v>
      </c>
      <c r="R40" s="50">
        <v>940</v>
      </c>
      <c r="S40" s="50">
        <v>942</v>
      </c>
      <c r="T40" s="50">
        <v>950</v>
      </c>
      <c r="U40" s="50">
        <v>948</v>
      </c>
      <c r="V40" s="50">
        <v>930</v>
      </c>
      <c r="W40" s="50">
        <v>880</v>
      </c>
      <c r="X40" s="50">
        <v>862.5</v>
      </c>
      <c r="Y40" s="50">
        <v>852</v>
      </c>
      <c r="Z40" s="50">
        <v>830</v>
      </c>
      <c r="AA40" s="50">
        <v>828</v>
      </c>
      <c r="AB40" s="50">
        <v>840</v>
      </c>
      <c r="AC40" s="50">
        <v>823</v>
      </c>
      <c r="AD40" s="50">
        <v>765</v>
      </c>
      <c r="AE40" s="50">
        <v>782</v>
      </c>
      <c r="AF40" s="50">
        <v>807.5</v>
      </c>
      <c r="AG40" s="50">
        <v>802</v>
      </c>
      <c r="AH40" s="50">
        <v>795</v>
      </c>
      <c r="AI40" s="50">
        <f>'[1]Chai B1- Tháng'!AO36</f>
        <v>783</v>
      </c>
      <c r="AJ40" s="50">
        <f>'[1]Chai B1- Tháng'!AP36</f>
        <v>772</v>
      </c>
      <c r="AK40" s="50">
        <f>'[1]Chai B1- Tháng'!AQ36</f>
        <v>770</v>
      </c>
      <c r="AL40" s="50">
        <f>'[1]Chai B1- Tháng'!AR36</f>
        <v>773</v>
      </c>
      <c r="AM40" s="50">
        <f>'[1]Chai B1- Tháng'!AS36</f>
        <v>795</v>
      </c>
      <c r="AN40" s="50">
        <f>'[1]Chai B1- Tháng'!AT36</f>
        <v>795</v>
      </c>
      <c r="AO40" s="51"/>
      <c r="AP40" s="51"/>
      <c r="AQ40" s="51"/>
      <c r="AR40" s="52"/>
      <c r="AS40" s="52"/>
      <c r="AT40" s="52"/>
      <c r="AU40" s="52"/>
      <c r="AV40" s="52"/>
      <c r="AW40" s="52"/>
      <c r="AX40" s="52"/>
      <c r="AY40" s="52"/>
      <c r="AZ40" s="52"/>
      <c r="BA40" s="53"/>
      <c r="BB40" s="53"/>
      <c r="BC40" s="52"/>
      <c r="BD40" s="52"/>
      <c r="BE40" s="52"/>
      <c r="BF40" s="52"/>
      <c r="BG40" s="52"/>
      <c r="BH40" s="52"/>
      <c r="BI40" s="52"/>
      <c r="BJ40" s="53"/>
      <c r="BK40" s="53"/>
      <c r="BL40" s="53"/>
      <c r="BM40" s="53"/>
      <c r="BZ40" s="55"/>
    </row>
    <row r="41" spans="2:78" s="54" customFormat="1" ht="15.5" x14ac:dyDescent="0.35"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2"/>
      <c r="AS41" s="52"/>
      <c r="AT41" s="52"/>
      <c r="AU41" s="52"/>
      <c r="AV41" s="52"/>
      <c r="AW41" s="52"/>
      <c r="AX41" s="52"/>
      <c r="AY41" s="52"/>
      <c r="AZ41" s="52"/>
      <c r="BA41" s="53"/>
      <c r="BB41" s="53"/>
      <c r="BC41" s="52"/>
      <c r="BD41" s="52"/>
      <c r="BE41" s="52"/>
      <c r="BF41" s="52"/>
      <c r="BG41" s="52"/>
      <c r="BH41" s="52"/>
      <c r="BI41" s="52"/>
      <c r="BJ41" s="53"/>
      <c r="BK41" s="53"/>
      <c r="BL41" s="53"/>
      <c r="BM41" s="53"/>
      <c r="BZ41" s="55"/>
    </row>
    <row r="42" spans="2:78" s="54" customFormat="1" ht="15.5" x14ac:dyDescent="0.35"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2"/>
      <c r="AS42" s="52"/>
      <c r="AT42" s="52"/>
      <c r="AU42" s="52"/>
      <c r="AV42" s="52"/>
      <c r="AW42" s="52"/>
      <c r="AX42" s="52"/>
      <c r="AY42" s="52"/>
      <c r="AZ42" s="52"/>
      <c r="BA42" s="53"/>
      <c r="BB42" s="53"/>
      <c r="BC42" s="52"/>
      <c r="BD42" s="52"/>
      <c r="BE42" s="52"/>
      <c r="BF42" s="52"/>
      <c r="BG42" s="52"/>
      <c r="BH42" s="52"/>
      <c r="BI42" s="52"/>
      <c r="BJ42" s="53"/>
      <c r="BK42" s="53"/>
      <c r="BL42" s="53"/>
      <c r="BM42" s="53"/>
      <c r="BZ42" s="55"/>
    </row>
    <row r="43" spans="2:78" s="54" customFormat="1" ht="15.5" x14ac:dyDescent="0.35"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2"/>
      <c r="AS43" s="52"/>
      <c r="AT43" s="52"/>
      <c r="AU43" s="52"/>
      <c r="AV43" s="52"/>
      <c r="AW43" s="52"/>
      <c r="AX43" s="52"/>
      <c r="AY43" s="52"/>
      <c r="AZ43" s="52"/>
      <c r="BA43" s="53"/>
      <c r="BB43" s="53"/>
      <c r="BC43" s="52"/>
      <c r="BD43" s="52"/>
      <c r="BE43" s="52"/>
      <c r="BF43" s="52"/>
      <c r="BG43" s="52"/>
      <c r="BH43" s="52"/>
      <c r="BI43" s="52"/>
      <c r="BJ43" s="53"/>
      <c r="BK43" s="53"/>
      <c r="BL43" s="53"/>
      <c r="BM43" s="53"/>
      <c r="BZ43" s="55"/>
    </row>
    <row r="75" spans="13:13" x14ac:dyDescent="0.35">
      <c r="M75" s="56"/>
    </row>
  </sheetData>
  <printOptions horizontalCentered="1"/>
  <pageMargins left="0.2" right="0.2" top="0.75" bottom="0.75" header="0.3" footer="0.3"/>
  <pageSetup paperSize="9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Vảy PET- Tháng</vt:lpstr>
      <vt:lpstr>'Vảy PET- Tháng'!Print_Area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Cư, Lê Hoành</dc:creator>
  <cp:lastModifiedBy>Cư, Lê Hoành</cp:lastModifiedBy>
  <dcterms:created xsi:type="dcterms:W3CDTF">2026-03-05T14:47:25Z</dcterms:created>
  <dcterms:modified xsi:type="dcterms:W3CDTF">2026-03-05T14:48:09Z</dcterms:modified>
</cp:coreProperties>
</file>