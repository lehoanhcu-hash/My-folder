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\Dư án dây đai đại lộc\"/>
    </mc:Choice>
  </mc:AlternateContent>
  <xr:revisionPtr revIDLastSave="0" documentId="13_ncr:1_{7790502F-F50D-47F2-A60F-6FEF33040296}" xr6:coauthVersionLast="47" xr6:coauthVersionMax="47" xr10:uidLastSave="{00000000-0000-0000-0000-000000000000}"/>
  <bookViews>
    <workbookView xWindow="-110" yWindow="-110" windowWidth="19420" windowHeight="10300" tabRatio="430" firstSheet="2" activeTab="2" xr2:uid="{00000000-000D-0000-FFFF-FFFF00000000}"/>
  </bookViews>
  <sheets>
    <sheet name="P&amp;L day dai Ktoan DLoc" sheetId="2" r:id="rId1"/>
    <sheet name="P&amp;L day dai Ktoan DLoc (2)" sheetId="3" r:id="rId2"/>
    <sheet name="P&amp;L day dai Ktoan DLoc (3)" sheetId="4" r:id="rId3"/>
    <sheet name="Sheet1" sheetId="5" r:id="rId4"/>
  </sheets>
  <definedNames>
    <definedName name="_xlnm._FilterDatabase" localSheetId="0" hidden="1">'P&amp;L day dai Ktoan DLoc'!$A$2:$R$39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" i="4" l="1"/>
  <c r="AF20" i="4" s="1"/>
  <c r="AE11" i="4"/>
  <c r="AE20" i="4" s="1"/>
  <c r="AD11" i="4"/>
  <c r="AD20" i="4" s="1"/>
  <c r="AC11" i="4"/>
  <c r="AB11" i="4"/>
  <c r="AA11" i="4"/>
  <c r="AA20" i="4" s="1"/>
  <c r="Z11" i="4"/>
  <c r="Z20" i="4" s="1"/>
  <c r="Y11" i="4"/>
  <c r="Y20" i="4" s="1"/>
  <c r="X11" i="4"/>
  <c r="X20" i="4" s="1"/>
  <c r="W11" i="4"/>
  <c r="W20" i="4" s="1"/>
  <c r="V11" i="4"/>
  <c r="V20" i="4" s="1"/>
  <c r="U11" i="4"/>
  <c r="U20" i="4" s="1"/>
  <c r="AC20" i="4"/>
  <c r="AB20" i="4"/>
  <c r="T20" i="4"/>
  <c r="T11" i="4"/>
  <c r="N23" i="4" l="1"/>
  <c r="B36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AE35" i="4"/>
  <c r="AD35" i="4"/>
  <c r="AF35" i="4" s="1"/>
  <c r="AC35" i="4"/>
  <c r="AB35" i="4"/>
  <c r="AA35" i="4"/>
  <c r="Z35" i="4"/>
  <c r="Y35" i="4"/>
  <c r="X35" i="4"/>
  <c r="W35" i="4"/>
  <c r="V35" i="4"/>
  <c r="U35" i="4"/>
  <c r="T35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AE32" i="4"/>
  <c r="AF32" i="4" s="1"/>
  <c r="AD32" i="4"/>
  <c r="AC32" i="4"/>
  <c r="AA32" i="4"/>
  <c r="Z32" i="4"/>
  <c r="Y32" i="4"/>
  <c r="X32" i="4"/>
  <c r="W32" i="4"/>
  <c r="V32" i="4"/>
  <c r="U32" i="4"/>
  <c r="T32" i="4"/>
  <c r="AE31" i="4"/>
  <c r="AD31" i="4"/>
  <c r="AF31" i="4" s="1"/>
  <c r="AC31" i="4"/>
  <c r="AB31" i="4"/>
  <c r="AA31" i="4"/>
  <c r="Z31" i="4"/>
  <c r="Y31" i="4"/>
  <c r="X31" i="4"/>
  <c r="W31" i="4"/>
  <c r="V31" i="4"/>
  <c r="U31" i="4"/>
  <c r="T31" i="4"/>
  <c r="AE30" i="4"/>
  <c r="AD30" i="4"/>
  <c r="AC30" i="4"/>
  <c r="AF30" i="4" s="1"/>
  <c r="AB30" i="4"/>
  <c r="AA30" i="4"/>
  <c r="Z30" i="4"/>
  <c r="Y30" i="4"/>
  <c r="X30" i="4"/>
  <c r="W30" i="4"/>
  <c r="V30" i="4"/>
  <c r="U30" i="4"/>
  <c r="T30" i="4"/>
  <c r="AE29" i="4"/>
  <c r="AD29" i="4"/>
  <c r="AC29" i="4"/>
  <c r="AB29" i="4"/>
  <c r="AF29" i="4" s="1"/>
  <c r="AA29" i="4"/>
  <c r="Z29" i="4"/>
  <c r="Y29" i="4"/>
  <c r="X29" i="4"/>
  <c r="W29" i="4"/>
  <c r="V29" i="4"/>
  <c r="U29" i="4"/>
  <c r="T29" i="4"/>
  <c r="AE28" i="4"/>
  <c r="AD28" i="4"/>
  <c r="AC28" i="4"/>
  <c r="AB28" i="4"/>
  <c r="AA28" i="4"/>
  <c r="AF28" i="4" s="1"/>
  <c r="Z28" i="4"/>
  <c r="Y28" i="4"/>
  <c r="X28" i="4"/>
  <c r="W28" i="4"/>
  <c r="V28" i="4"/>
  <c r="U28" i="4"/>
  <c r="T28" i="4"/>
  <c r="AE27" i="4"/>
  <c r="AD27" i="4"/>
  <c r="AC27" i="4"/>
  <c r="AB27" i="4"/>
  <c r="AA27" i="4"/>
  <c r="Z27" i="4"/>
  <c r="AF27" i="4" s="1"/>
  <c r="Y27" i="4"/>
  <c r="X27" i="4"/>
  <c r="W27" i="4"/>
  <c r="V27" i="4"/>
  <c r="U27" i="4"/>
  <c r="T27" i="4"/>
  <c r="AE26" i="4"/>
  <c r="AD26" i="4"/>
  <c r="AC26" i="4"/>
  <c r="AB26" i="4"/>
  <c r="AA26" i="4"/>
  <c r="Z26" i="4"/>
  <c r="Y26" i="4"/>
  <c r="AF26" i="4" s="1"/>
  <c r="X26" i="4"/>
  <c r="W26" i="4"/>
  <c r="V26" i="4"/>
  <c r="U26" i="4"/>
  <c r="T26" i="4"/>
  <c r="AE25" i="4"/>
  <c r="AD25" i="4"/>
  <c r="AC25" i="4"/>
  <c r="AB25" i="4"/>
  <c r="AA25" i="4"/>
  <c r="Z25" i="4"/>
  <c r="Y25" i="4"/>
  <c r="X25" i="4"/>
  <c r="AF25" i="4" s="1"/>
  <c r="W25" i="4"/>
  <c r="V25" i="4"/>
  <c r="U25" i="4"/>
  <c r="T25" i="4"/>
  <c r="AE24" i="4"/>
  <c r="AD24" i="4"/>
  <c r="AC24" i="4"/>
  <c r="AB24" i="4"/>
  <c r="AA24" i="4"/>
  <c r="Z24" i="4"/>
  <c r="Y24" i="4"/>
  <c r="X24" i="4"/>
  <c r="W24" i="4"/>
  <c r="AF24" i="4" s="1"/>
  <c r="V24" i="4"/>
  <c r="U24" i="4"/>
  <c r="T24" i="4"/>
  <c r="AE23" i="4"/>
  <c r="AD23" i="4"/>
  <c r="AC23" i="4"/>
  <c r="AB23" i="4"/>
  <c r="AA23" i="4"/>
  <c r="Z23" i="4"/>
  <c r="Y23" i="4"/>
  <c r="X23" i="4"/>
  <c r="W23" i="4"/>
  <c r="V23" i="4"/>
  <c r="AF23" i="4" s="1"/>
  <c r="U23" i="4"/>
  <c r="T23" i="4"/>
  <c r="AE22" i="4"/>
  <c r="AD22" i="4"/>
  <c r="AC22" i="4"/>
  <c r="AB22" i="4"/>
  <c r="AA22" i="4"/>
  <c r="Z22" i="4"/>
  <c r="Y22" i="4"/>
  <c r="X22" i="4"/>
  <c r="W22" i="4"/>
  <c r="V22" i="4"/>
  <c r="U22" i="4"/>
  <c r="T22" i="4"/>
  <c r="AF22" i="4" s="1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F37" i="4"/>
  <c r="C51" i="4"/>
  <c r="P33" i="4"/>
  <c r="C30" i="4"/>
  <c r="C29" i="4"/>
  <c r="C28" i="4"/>
  <c r="C26" i="4"/>
  <c r="O25" i="4"/>
  <c r="N25" i="4"/>
  <c r="C25" i="4"/>
  <c r="L25" i="4" s="1"/>
  <c r="P20" i="4"/>
  <c r="P18" i="4"/>
  <c r="N13" i="4"/>
  <c r="M13" i="4"/>
  <c r="L13" i="4"/>
  <c r="N12" i="4"/>
  <c r="M12" i="4"/>
  <c r="J12" i="4"/>
  <c r="N11" i="4"/>
  <c r="M11" i="4"/>
  <c r="L11" i="4"/>
  <c r="L10" i="4" s="1"/>
  <c r="K11" i="4"/>
  <c r="P9" i="4"/>
  <c r="N8" i="4"/>
  <c r="N14" i="4" s="1"/>
  <c r="M8" i="4"/>
  <c r="M14" i="4" s="1"/>
  <c r="L8" i="4"/>
  <c r="L14" i="4" s="1"/>
  <c r="K8" i="4"/>
  <c r="K14" i="4" s="1"/>
  <c r="J8" i="4"/>
  <c r="J14" i="4" s="1"/>
  <c r="G8" i="4"/>
  <c r="G14" i="4" s="1"/>
  <c r="F8" i="4"/>
  <c r="F14" i="4" s="1"/>
  <c r="N7" i="4"/>
  <c r="M7" i="4"/>
  <c r="L7" i="4"/>
  <c r="K7" i="4"/>
  <c r="K13" i="4" s="1"/>
  <c r="J7" i="4"/>
  <c r="J13" i="4" s="1"/>
  <c r="I7" i="4"/>
  <c r="I13" i="4" s="1"/>
  <c r="H7" i="4"/>
  <c r="H13" i="4" s="1"/>
  <c r="N6" i="4"/>
  <c r="M6" i="4"/>
  <c r="L6" i="4"/>
  <c r="L12" i="4" s="1"/>
  <c r="K6" i="4"/>
  <c r="K12" i="4" s="1"/>
  <c r="J6" i="4"/>
  <c r="G6" i="4"/>
  <c r="G12" i="4" s="1"/>
  <c r="F6" i="4"/>
  <c r="F12" i="4" s="1"/>
  <c r="E6" i="4"/>
  <c r="E12" i="4" s="1"/>
  <c r="D6" i="4"/>
  <c r="N5" i="4"/>
  <c r="M5" i="4"/>
  <c r="L5" i="4"/>
  <c r="K5" i="4"/>
  <c r="J5" i="4"/>
  <c r="J11" i="4" s="1"/>
  <c r="J10" i="4" s="1"/>
  <c r="G5" i="4"/>
  <c r="F5" i="4"/>
  <c r="E5" i="4"/>
  <c r="D5" i="4"/>
  <c r="O3" i="4"/>
  <c r="N3" i="4"/>
  <c r="M3" i="4"/>
  <c r="L3" i="4"/>
  <c r="K3" i="4"/>
  <c r="K25" i="4" s="1"/>
  <c r="J3" i="4"/>
  <c r="J25" i="4" s="1"/>
  <c r="I3" i="4"/>
  <c r="H3" i="4"/>
  <c r="H25" i="4" s="1"/>
  <c r="G3" i="4"/>
  <c r="F3" i="4"/>
  <c r="F25" i="4" s="1"/>
  <c r="E3" i="4"/>
  <c r="E8" i="4" s="1"/>
  <c r="E14" i="4" s="1"/>
  <c r="D3" i="4"/>
  <c r="P2" i="4"/>
  <c r="C47" i="3"/>
  <c r="E19" i="3"/>
  <c r="P22" i="3"/>
  <c r="C58" i="3"/>
  <c r="E58" i="3" s="1"/>
  <c r="E57" i="3"/>
  <c r="C57" i="3"/>
  <c r="C52" i="3"/>
  <c r="C51" i="3"/>
  <c r="C29" i="3"/>
  <c r="K10" i="4" l="1"/>
  <c r="J15" i="4"/>
  <c r="L15" i="4"/>
  <c r="K15" i="4"/>
  <c r="O7" i="4"/>
  <c r="O13" i="4" s="1"/>
  <c r="O8" i="4"/>
  <c r="O14" i="4" s="1"/>
  <c r="O5" i="4"/>
  <c r="O6" i="4"/>
  <c r="O12" i="4" s="1"/>
  <c r="P3" i="4"/>
  <c r="M10" i="4"/>
  <c r="N10" i="4"/>
  <c r="D12" i="4"/>
  <c r="J4" i="4"/>
  <c r="D11" i="4"/>
  <c r="E11" i="4"/>
  <c r="H6" i="4"/>
  <c r="H12" i="4" s="1"/>
  <c r="I25" i="4"/>
  <c r="I8" i="4"/>
  <c r="I14" i="4" s="1"/>
  <c r="F11" i="4"/>
  <c r="F10" i="4" s="1"/>
  <c r="F4" i="4"/>
  <c r="I6" i="4"/>
  <c r="I12" i="4" s="1"/>
  <c r="G11" i="4"/>
  <c r="G10" i="4" s="1"/>
  <c r="H8" i="4"/>
  <c r="H14" i="4" s="1"/>
  <c r="H5" i="4"/>
  <c r="N29" i="4"/>
  <c r="M29" i="4"/>
  <c r="I5" i="4"/>
  <c r="M25" i="4"/>
  <c r="D7" i="4"/>
  <c r="D8" i="4"/>
  <c r="K4" i="4"/>
  <c r="D25" i="4"/>
  <c r="L4" i="4"/>
  <c r="E7" i="4"/>
  <c r="E13" i="4" s="1"/>
  <c r="E25" i="4"/>
  <c r="M4" i="4"/>
  <c r="F7" i="4"/>
  <c r="F13" i="4" s="1"/>
  <c r="J28" i="4"/>
  <c r="G25" i="4"/>
  <c r="N4" i="4"/>
  <c r="G7" i="4"/>
  <c r="G13" i="4" s="1"/>
  <c r="K28" i="4"/>
  <c r="C28" i="3"/>
  <c r="C30" i="3"/>
  <c r="I11" i="4" l="1"/>
  <c r="I10" i="4" s="1"/>
  <c r="I4" i="4"/>
  <c r="G15" i="4"/>
  <c r="N15" i="4"/>
  <c r="L24" i="4"/>
  <c r="L23" i="4"/>
  <c r="L31" i="4"/>
  <c r="L27" i="4"/>
  <c r="L30" i="4"/>
  <c r="L26" i="4"/>
  <c r="L28" i="4"/>
  <c r="L17" i="4"/>
  <c r="L29" i="4"/>
  <c r="F27" i="4"/>
  <c r="F26" i="4"/>
  <c r="F31" i="4"/>
  <c r="F30" i="4"/>
  <c r="F24" i="4"/>
  <c r="F17" i="4"/>
  <c r="F23" i="4"/>
  <c r="M15" i="4"/>
  <c r="F15" i="4"/>
  <c r="O4" i="4"/>
  <c r="O11" i="4"/>
  <c r="O10" i="4" s="1"/>
  <c r="F28" i="4"/>
  <c r="E4" i="4"/>
  <c r="N26" i="4"/>
  <c r="N30" i="4"/>
  <c r="N28" i="4"/>
  <c r="N24" i="4"/>
  <c r="N17" i="4"/>
  <c r="N31" i="4"/>
  <c r="N27" i="4"/>
  <c r="P25" i="4"/>
  <c r="E10" i="4"/>
  <c r="C56" i="4"/>
  <c r="K17" i="4"/>
  <c r="K24" i="4"/>
  <c r="K23" i="4"/>
  <c r="K31" i="4"/>
  <c r="K27" i="4"/>
  <c r="K30" i="4"/>
  <c r="K26" i="4"/>
  <c r="K29" i="4"/>
  <c r="F29" i="4"/>
  <c r="P8" i="4"/>
  <c r="D14" i="4"/>
  <c r="P14" i="4" s="1"/>
  <c r="P5" i="4"/>
  <c r="P4" i="4" s="1"/>
  <c r="D13" i="4"/>
  <c r="P13" i="4" s="1"/>
  <c r="P7" i="4"/>
  <c r="D4" i="4"/>
  <c r="H11" i="4"/>
  <c r="H10" i="4" s="1"/>
  <c r="H4" i="4"/>
  <c r="J27" i="4"/>
  <c r="J26" i="4"/>
  <c r="J23" i="4"/>
  <c r="J17" i="4"/>
  <c r="J24" i="4"/>
  <c r="J31" i="4"/>
  <c r="J30" i="4"/>
  <c r="J29" i="4"/>
  <c r="M26" i="4"/>
  <c r="M30" i="4"/>
  <c r="M28" i="4"/>
  <c r="M24" i="4"/>
  <c r="M17" i="4"/>
  <c r="M23" i="4"/>
  <c r="M31" i="4"/>
  <c r="M27" i="4"/>
  <c r="P12" i="4"/>
  <c r="G4" i="4"/>
  <c r="P6" i="4"/>
  <c r="P33" i="3"/>
  <c r="C25" i="3"/>
  <c r="C26" i="3" s="1"/>
  <c r="P20" i="3"/>
  <c r="P18" i="3"/>
  <c r="P9" i="3"/>
  <c r="O3" i="3"/>
  <c r="O7" i="3" s="1"/>
  <c r="O13" i="3" s="1"/>
  <c r="N3" i="3"/>
  <c r="N6" i="3" s="1"/>
  <c r="N12" i="3" s="1"/>
  <c r="M3" i="3"/>
  <c r="M6" i="3" s="1"/>
  <c r="M12" i="3" s="1"/>
  <c r="L3" i="3"/>
  <c r="L8" i="3" s="1"/>
  <c r="L14" i="3" s="1"/>
  <c r="K3" i="3"/>
  <c r="K5" i="3" s="1"/>
  <c r="J3" i="3"/>
  <c r="I3" i="3"/>
  <c r="I7" i="3" s="1"/>
  <c r="I13" i="3" s="1"/>
  <c r="H3" i="3"/>
  <c r="H7" i="3" s="1"/>
  <c r="H13" i="3" s="1"/>
  <c r="G3" i="3"/>
  <c r="G7" i="3" s="1"/>
  <c r="G13" i="3" s="1"/>
  <c r="F3" i="3"/>
  <c r="F6" i="3" s="1"/>
  <c r="F12" i="3" s="1"/>
  <c r="E3" i="3"/>
  <c r="E6" i="3" s="1"/>
  <c r="E12" i="3" s="1"/>
  <c r="D3" i="3"/>
  <c r="D8" i="3" s="1"/>
  <c r="P2" i="3"/>
  <c r="E42" i="2"/>
  <c r="D30" i="2"/>
  <c r="Q5" i="2"/>
  <c r="E6" i="2"/>
  <c r="E9" i="2" s="1"/>
  <c r="F6" i="2"/>
  <c r="F11" i="2" s="1"/>
  <c r="F17" i="2" s="1"/>
  <c r="G6" i="2"/>
  <c r="G11" i="2" s="1"/>
  <c r="G17" i="2" s="1"/>
  <c r="H6" i="2"/>
  <c r="H10" i="2" s="1"/>
  <c r="H16" i="2" s="1"/>
  <c r="I6" i="2"/>
  <c r="I9" i="2" s="1"/>
  <c r="I15" i="2" s="1"/>
  <c r="J6" i="2"/>
  <c r="J8" i="2" s="1"/>
  <c r="K6" i="2"/>
  <c r="K11" i="2" s="1"/>
  <c r="K17" i="2" s="1"/>
  <c r="L6" i="2"/>
  <c r="L8" i="2" s="1"/>
  <c r="L14" i="2" s="1"/>
  <c r="M6" i="2"/>
  <c r="M9" i="2" s="1"/>
  <c r="M15" i="2" s="1"/>
  <c r="N6" i="2"/>
  <c r="N8" i="2" s="1"/>
  <c r="O6" i="2"/>
  <c r="O8" i="2" s="1"/>
  <c r="P6" i="2"/>
  <c r="P8" i="2" s="1"/>
  <c r="P14" i="2" s="1"/>
  <c r="H8" i="2"/>
  <c r="H14" i="2" s="1"/>
  <c r="G9" i="2"/>
  <c r="G15" i="2" s="1"/>
  <c r="H9" i="2"/>
  <c r="H15" i="2" s="1"/>
  <c r="J9" i="2"/>
  <c r="J15" i="2" s="1"/>
  <c r="G10" i="2"/>
  <c r="I10" i="2"/>
  <c r="I16" i="2" s="1"/>
  <c r="N10" i="2"/>
  <c r="N16" i="2" s="1"/>
  <c r="P10" i="2"/>
  <c r="P16" i="2" s="1"/>
  <c r="H11" i="2"/>
  <c r="Q12" i="2"/>
  <c r="Q13" i="2"/>
  <c r="Q21" i="2"/>
  <c r="Q23" i="2"/>
  <c r="D27" i="2"/>
  <c r="F27" i="2" s="1"/>
  <c r="D32" i="2"/>
  <c r="Q33" i="2"/>
  <c r="O15" i="4" l="1"/>
  <c r="E15" i="4"/>
  <c r="D10" i="4"/>
  <c r="J19" i="4"/>
  <c r="J36" i="4"/>
  <c r="Z36" i="4" s="1"/>
  <c r="J37" i="4"/>
  <c r="N37" i="4"/>
  <c r="N36" i="4"/>
  <c r="AD36" i="4" s="1"/>
  <c r="N19" i="4"/>
  <c r="L22" i="4"/>
  <c r="M19" i="4"/>
  <c r="M37" i="4"/>
  <c r="M36" i="4"/>
  <c r="AC36" i="4" s="1"/>
  <c r="H15" i="4"/>
  <c r="K19" i="4"/>
  <c r="K37" i="4"/>
  <c r="K36" i="4"/>
  <c r="AA36" i="4" s="1"/>
  <c r="L19" i="4"/>
  <c r="L37" i="4"/>
  <c r="L36" i="4"/>
  <c r="AB36" i="4" s="1"/>
  <c r="O26" i="4"/>
  <c r="O23" i="4"/>
  <c r="O30" i="4"/>
  <c r="O28" i="4"/>
  <c r="O24" i="4"/>
  <c r="O17" i="4"/>
  <c r="O31" i="4"/>
  <c r="O27" i="4"/>
  <c r="O29" i="4"/>
  <c r="P11" i="4"/>
  <c r="G31" i="4"/>
  <c r="G30" i="4"/>
  <c r="G26" i="4"/>
  <c r="G17" i="4"/>
  <c r="G27" i="4"/>
  <c r="G24" i="4"/>
  <c r="G23" i="4"/>
  <c r="G29" i="4"/>
  <c r="G28" i="4"/>
  <c r="F22" i="4"/>
  <c r="J22" i="4"/>
  <c r="F36" i="4"/>
  <c r="V36" i="4" s="1"/>
  <c r="F19" i="4"/>
  <c r="M22" i="4"/>
  <c r="H27" i="4"/>
  <c r="H24" i="4"/>
  <c r="H23" i="4"/>
  <c r="H26" i="4"/>
  <c r="H17" i="4"/>
  <c r="H31" i="4"/>
  <c r="H30" i="4"/>
  <c r="H29" i="4"/>
  <c r="H28" i="4"/>
  <c r="N22" i="4"/>
  <c r="D31" i="4"/>
  <c r="D30" i="4"/>
  <c r="D17" i="4"/>
  <c r="D23" i="4"/>
  <c r="D27" i="4"/>
  <c r="D26" i="4"/>
  <c r="D24" i="4"/>
  <c r="D28" i="4"/>
  <c r="D29" i="4"/>
  <c r="K22" i="4"/>
  <c r="E31" i="4"/>
  <c r="C57" i="4"/>
  <c r="E57" i="4" s="1"/>
  <c r="E30" i="4"/>
  <c r="C47" i="4" s="1"/>
  <c r="E17" i="4"/>
  <c r="E23" i="4"/>
  <c r="E27" i="4"/>
  <c r="E26" i="4"/>
  <c r="E24" i="4"/>
  <c r="E29" i="4"/>
  <c r="E28" i="4"/>
  <c r="I17" i="4"/>
  <c r="I24" i="4"/>
  <c r="I27" i="4"/>
  <c r="I26" i="4"/>
  <c r="I23" i="4"/>
  <c r="I31" i="4"/>
  <c r="I30" i="4"/>
  <c r="I29" i="4"/>
  <c r="I28" i="4"/>
  <c r="I15" i="4"/>
  <c r="F10" i="2"/>
  <c r="F16" i="2" s="1"/>
  <c r="N9" i="2"/>
  <c r="N15" i="2" s="1"/>
  <c r="N11" i="2"/>
  <c r="N17" i="2" s="1"/>
  <c r="F8" i="2"/>
  <c r="F14" i="2" s="1"/>
  <c r="P11" i="2"/>
  <c r="F9" i="2"/>
  <c r="F15" i="2" s="1"/>
  <c r="J11" i="2"/>
  <c r="J17" i="2" s="1"/>
  <c r="I8" i="2"/>
  <c r="I14" i="2" s="1"/>
  <c r="G6" i="3"/>
  <c r="G12" i="3" s="1"/>
  <c r="H6" i="3"/>
  <c r="H12" i="3" s="1"/>
  <c r="J25" i="3"/>
  <c r="J7" i="3"/>
  <c r="J13" i="3" s="1"/>
  <c r="O6" i="3"/>
  <c r="O12" i="3" s="1"/>
  <c r="D5" i="3"/>
  <c r="D11" i="3" s="1"/>
  <c r="K7" i="3"/>
  <c r="K13" i="3" s="1"/>
  <c r="E5" i="3"/>
  <c r="E11" i="3" s="1"/>
  <c r="C56" i="3" s="1"/>
  <c r="E8" i="3"/>
  <c r="E14" i="3" s="1"/>
  <c r="L5" i="3"/>
  <c r="L11" i="3" s="1"/>
  <c r="M8" i="3"/>
  <c r="M14" i="3" s="1"/>
  <c r="M5" i="3"/>
  <c r="M11" i="3" s="1"/>
  <c r="D14" i="3"/>
  <c r="K11" i="3"/>
  <c r="P3" i="3"/>
  <c r="F5" i="3"/>
  <c r="N5" i="3"/>
  <c r="I6" i="3"/>
  <c r="I12" i="3" s="1"/>
  <c r="D7" i="3"/>
  <c r="L7" i="3"/>
  <c r="L13" i="3" s="1"/>
  <c r="G8" i="3"/>
  <c r="G14" i="3" s="1"/>
  <c r="O8" i="3"/>
  <c r="O14" i="3" s="1"/>
  <c r="E25" i="3"/>
  <c r="M25" i="3"/>
  <c r="L25" i="3"/>
  <c r="G5" i="3"/>
  <c r="O5" i="3"/>
  <c r="J6" i="3"/>
  <c r="J12" i="3" s="1"/>
  <c r="E7" i="3"/>
  <c r="E13" i="3" s="1"/>
  <c r="M7" i="3"/>
  <c r="M13" i="3" s="1"/>
  <c r="H8" i="3"/>
  <c r="H14" i="3" s="1"/>
  <c r="F25" i="3"/>
  <c r="N25" i="3"/>
  <c r="H5" i="3"/>
  <c r="K6" i="3"/>
  <c r="K12" i="3" s="1"/>
  <c r="F7" i="3"/>
  <c r="F13" i="3" s="1"/>
  <c r="N7" i="3"/>
  <c r="N13" i="3" s="1"/>
  <c r="I8" i="3"/>
  <c r="I14" i="3" s="1"/>
  <c r="G25" i="3"/>
  <c r="O25" i="3"/>
  <c r="I5" i="3"/>
  <c r="D6" i="3"/>
  <c r="L6" i="3"/>
  <c r="L12" i="3" s="1"/>
  <c r="J8" i="3"/>
  <c r="J14" i="3" s="1"/>
  <c r="H25" i="3"/>
  <c r="J5" i="3"/>
  <c r="K8" i="3"/>
  <c r="K14" i="3" s="1"/>
  <c r="I25" i="3"/>
  <c r="K25" i="3"/>
  <c r="F8" i="3"/>
  <c r="F14" i="3" s="1"/>
  <c r="N8" i="3"/>
  <c r="N14" i="3" s="1"/>
  <c r="D25" i="3"/>
  <c r="O11" i="2"/>
  <c r="O17" i="2" s="1"/>
  <c r="E10" i="2"/>
  <c r="E16" i="2" s="1"/>
  <c r="G8" i="2"/>
  <c r="G7" i="2" s="1"/>
  <c r="G32" i="2" s="1"/>
  <c r="O10" i="2"/>
  <c r="O16" i="2" s="1"/>
  <c r="N14" i="2"/>
  <c r="N18" i="2" s="1"/>
  <c r="N19" i="2" s="1"/>
  <c r="P9" i="2"/>
  <c r="P15" i="2" s="1"/>
  <c r="F18" i="2"/>
  <c r="F19" i="2" s="1"/>
  <c r="L11" i="2"/>
  <c r="L17" i="2" s="1"/>
  <c r="M10" i="2"/>
  <c r="M16" i="2" s="1"/>
  <c r="O9" i="2"/>
  <c r="O15" i="2" s="1"/>
  <c r="L10" i="2"/>
  <c r="L16" i="2" s="1"/>
  <c r="H7" i="2"/>
  <c r="H20" i="2" s="1"/>
  <c r="H35" i="2" s="1"/>
  <c r="L9" i="2"/>
  <c r="L15" i="2" s="1"/>
  <c r="J14" i="2"/>
  <c r="E15" i="2"/>
  <c r="L27" i="2"/>
  <c r="D28" i="2"/>
  <c r="K27" i="2"/>
  <c r="I11" i="2"/>
  <c r="I17" i="2" s="1"/>
  <c r="K9" i="2"/>
  <c r="K15" i="2" s="1"/>
  <c r="J27" i="2"/>
  <c r="G16" i="2"/>
  <c r="Q6" i="2"/>
  <c r="I27" i="2"/>
  <c r="P27" i="2"/>
  <c r="H27" i="2"/>
  <c r="P17" i="2"/>
  <c r="H17" i="2"/>
  <c r="H18" i="2" s="1"/>
  <c r="H19" i="2" s="1"/>
  <c r="O14" i="2"/>
  <c r="G14" i="2"/>
  <c r="K10" i="2"/>
  <c r="K16" i="2" s="1"/>
  <c r="M8" i="2"/>
  <c r="E8" i="2"/>
  <c r="O27" i="2"/>
  <c r="G27" i="2"/>
  <c r="M11" i="2"/>
  <c r="M17" i="2" s="1"/>
  <c r="E11" i="2"/>
  <c r="J10" i="2"/>
  <c r="J16" i="2" s="1"/>
  <c r="N27" i="2"/>
  <c r="K8" i="2"/>
  <c r="M27" i="2"/>
  <c r="E27" i="2"/>
  <c r="I22" i="4" l="1"/>
  <c r="M21" i="4"/>
  <c r="AC21" i="4" s="1"/>
  <c r="M35" i="4"/>
  <c r="M34" i="4" s="1"/>
  <c r="AC34" i="4" s="1"/>
  <c r="G22" i="4"/>
  <c r="P29" i="4"/>
  <c r="H19" i="4"/>
  <c r="H36" i="4"/>
  <c r="X36" i="4" s="1"/>
  <c r="H37" i="4"/>
  <c r="O22" i="4"/>
  <c r="N35" i="4"/>
  <c r="N34" i="4" s="1"/>
  <c r="N21" i="4"/>
  <c r="AD21" i="4" s="1"/>
  <c r="P28" i="4"/>
  <c r="I19" i="4"/>
  <c r="I36" i="4"/>
  <c r="Y36" i="4" s="1"/>
  <c r="I37" i="4"/>
  <c r="P24" i="4"/>
  <c r="H22" i="4"/>
  <c r="G19" i="4"/>
  <c r="G36" i="4"/>
  <c r="W36" i="4" s="1"/>
  <c r="G37" i="4"/>
  <c r="P26" i="4"/>
  <c r="P27" i="4"/>
  <c r="Q27" i="4" s="1"/>
  <c r="L35" i="4"/>
  <c r="L34" i="4" s="1"/>
  <c r="L21" i="4"/>
  <c r="AB21" i="4" s="1"/>
  <c r="P23" i="4"/>
  <c r="D22" i="4"/>
  <c r="J21" i="4"/>
  <c r="Z21" i="4" s="1"/>
  <c r="J35" i="4"/>
  <c r="J34" i="4" s="1"/>
  <c r="D37" i="4"/>
  <c r="D36" i="4"/>
  <c r="T36" i="4" s="1"/>
  <c r="D19" i="4"/>
  <c r="P17" i="4"/>
  <c r="P10" i="4"/>
  <c r="D15" i="4"/>
  <c r="P15" i="4" s="1"/>
  <c r="P30" i="4"/>
  <c r="F35" i="4"/>
  <c r="F34" i="4" s="1"/>
  <c r="F21" i="4"/>
  <c r="V21" i="4" s="1"/>
  <c r="K21" i="4"/>
  <c r="AA21" i="4" s="1"/>
  <c r="K35" i="4"/>
  <c r="K34" i="4" s="1"/>
  <c r="E22" i="4"/>
  <c r="P31" i="4"/>
  <c r="E37" i="4"/>
  <c r="E36" i="4"/>
  <c r="C52" i="4"/>
  <c r="E19" i="4"/>
  <c r="O37" i="4"/>
  <c r="O36" i="4"/>
  <c r="AE36" i="4" s="1"/>
  <c r="O19" i="4"/>
  <c r="N7" i="2"/>
  <c r="P7" i="2"/>
  <c r="F7" i="2"/>
  <c r="F26" i="2" s="1"/>
  <c r="L10" i="3"/>
  <c r="L15" i="3" s="1"/>
  <c r="E10" i="3"/>
  <c r="M10" i="3"/>
  <c r="M15" i="3" s="1"/>
  <c r="P5" i="3"/>
  <c r="L4" i="3"/>
  <c r="K10" i="3"/>
  <c r="K15" i="3" s="1"/>
  <c r="N4" i="3"/>
  <c r="N29" i="3" s="1"/>
  <c r="N11" i="3"/>
  <c r="N10" i="3" s="1"/>
  <c r="N15" i="3" s="1"/>
  <c r="D12" i="3"/>
  <c r="P6" i="3"/>
  <c r="D13" i="3"/>
  <c r="P13" i="3" s="1"/>
  <c r="P7" i="3"/>
  <c r="P25" i="3"/>
  <c r="P8" i="3"/>
  <c r="J4" i="3"/>
  <c r="J29" i="3" s="1"/>
  <c r="J11" i="3"/>
  <c r="J10" i="3" s="1"/>
  <c r="J15" i="3" s="1"/>
  <c r="H4" i="3"/>
  <c r="H29" i="3" s="1"/>
  <c r="H11" i="3"/>
  <c r="H10" i="3" s="1"/>
  <c r="H15" i="3" s="1"/>
  <c r="M4" i="3"/>
  <c r="M29" i="3" s="1"/>
  <c r="O11" i="3"/>
  <c r="O10" i="3" s="1"/>
  <c r="O15" i="3" s="1"/>
  <c r="O4" i="3"/>
  <c r="O29" i="3" s="1"/>
  <c r="P14" i="3"/>
  <c r="D4" i="3"/>
  <c r="D29" i="3" s="1"/>
  <c r="F4" i="3"/>
  <c r="F29" i="3" s="1"/>
  <c r="F11" i="3"/>
  <c r="I11" i="3"/>
  <c r="I10" i="3" s="1"/>
  <c r="I15" i="3" s="1"/>
  <c r="I4" i="3"/>
  <c r="I29" i="3" s="1"/>
  <c r="E4" i="3"/>
  <c r="G11" i="3"/>
  <c r="G10" i="3" s="1"/>
  <c r="G15" i="3" s="1"/>
  <c r="G4" i="3"/>
  <c r="G29" i="3" s="1"/>
  <c r="K4" i="3"/>
  <c r="K29" i="3" s="1"/>
  <c r="H32" i="2"/>
  <c r="P18" i="2"/>
  <c r="P19" i="2" s="1"/>
  <c r="O18" i="2"/>
  <c r="O19" i="2" s="1"/>
  <c r="N26" i="2"/>
  <c r="N37" i="2"/>
  <c r="I7" i="2"/>
  <c r="I32" i="2" s="1"/>
  <c r="P26" i="2"/>
  <c r="P37" i="2"/>
  <c r="P30" i="2"/>
  <c r="P29" i="2"/>
  <c r="P25" i="2"/>
  <c r="F20" i="2"/>
  <c r="F35" i="2" s="1"/>
  <c r="F37" i="2"/>
  <c r="F30" i="2"/>
  <c r="F29" i="2"/>
  <c r="F25" i="2"/>
  <c r="H26" i="2"/>
  <c r="H37" i="2"/>
  <c r="H30" i="2"/>
  <c r="H29" i="2"/>
  <c r="H25" i="2"/>
  <c r="G20" i="2"/>
  <c r="G35" i="2" s="1"/>
  <c r="G37" i="2"/>
  <c r="G30" i="2"/>
  <c r="G29" i="2"/>
  <c r="G25" i="2"/>
  <c r="P32" i="2"/>
  <c r="P20" i="2"/>
  <c r="F32" i="2"/>
  <c r="Q16" i="2"/>
  <c r="G26" i="2"/>
  <c r="L7" i="2"/>
  <c r="I18" i="2"/>
  <c r="I19" i="2" s="1"/>
  <c r="O7" i="2"/>
  <c r="L18" i="2"/>
  <c r="L19" i="2" s="1"/>
  <c r="Q10" i="2"/>
  <c r="Q27" i="2"/>
  <c r="H28" i="2"/>
  <c r="J18" i="2"/>
  <c r="J19" i="2" s="1"/>
  <c r="I20" i="2"/>
  <c r="I35" i="2" s="1"/>
  <c r="I28" i="2"/>
  <c r="I26" i="2"/>
  <c r="P28" i="2"/>
  <c r="H22" i="2"/>
  <c r="H24" i="2" s="1"/>
  <c r="H36" i="2"/>
  <c r="J7" i="2"/>
  <c r="F28" i="2"/>
  <c r="E17" i="2"/>
  <c r="Q17" i="2" s="1"/>
  <c r="Q11" i="2"/>
  <c r="E14" i="2"/>
  <c r="Q8" i="2"/>
  <c r="E7" i="2"/>
  <c r="M14" i="2"/>
  <c r="M18" i="2" s="1"/>
  <c r="M19" i="2" s="1"/>
  <c r="M7" i="2"/>
  <c r="Q15" i="2"/>
  <c r="K7" i="2"/>
  <c r="K14" i="2"/>
  <c r="K18" i="2" s="1"/>
  <c r="K19" i="2" s="1"/>
  <c r="G18" i="2"/>
  <c r="G19" i="2" s="1"/>
  <c r="G28" i="2"/>
  <c r="Q9" i="2"/>
  <c r="C58" i="4" l="1"/>
  <c r="E58" i="4" s="1"/>
  <c r="U36" i="4"/>
  <c r="AF36" i="4" s="1"/>
  <c r="J38" i="4"/>
  <c r="J39" i="4" s="1"/>
  <c r="Z34" i="4"/>
  <c r="M38" i="4"/>
  <c r="M39" i="4" s="1"/>
  <c r="K38" i="4"/>
  <c r="K39" i="4" s="1"/>
  <c r="AA34" i="4"/>
  <c r="N38" i="4"/>
  <c r="N39" i="4" s="1"/>
  <c r="AD34" i="4"/>
  <c r="F38" i="4"/>
  <c r="F39" i="4" s="1"/>
  <c r="V34" i="4"/>
  <c r="L38" i="4"/>
  <c r="L39" i="4" s="1"/>
  <c r="AB34" i="4"/>
  <c r="E35" i="4"/>
  <c r="E34" i="4" s="1"/>
  <c r="E21" i="4"/>
  <c r="U21" i="4" s="1"/>
  <c r="O35" i="4"/>
  <c r="O34" i="4" s="1"/>
  <c r="O21" i="4"/>
  <c r="AE21" i="4" s="1"/>
  <c r="Q24" i="4"/>
  <c r="I21" i="4"/>
  <c r="Y21" i="4" s="1"/>
  <c r="I35" i="4"/>
  <c r="I34" i="4" s="1"/>
  <c r="Q28" i="4"/>
  <c r="Q33" i="4"/>
  <c r="Q25" i="4"/>
  <c r="Q26" i="4"/>
  <c r="D35" i="4"/>
  <c r="D21" i="4"/>
  <c r="T21" i="4" s="1"/>
  <c r="P19" i="4"/>
  <c r="Q31" i="4"/>
  <c r="P36" i="4"/>
  <c r="Q36" i="4" s="1"/>
  <c r="H21" i="4"/>
  <c r="X21" i="4" s="1"/>
  <c r="H35" i="4"/>
  <c r="H34" i="4" s="1"/>
  <c r="P37" i="4"/>
  <c r="Q37" i="4" s="1"/>
  <c r="G21" i="4"/>
  <c r="W21" i="4" s="1"/>
  <c r="G35" i="4"/>
  <c r="G34" i="4" s="1"/>
  <c r="Q29" i="4"/>
  <c r="Q23" i="4"/>
  <c r="P22" i="4"/>
  <c r="Q30" i="4"/>
  <c r="E29" i="3"/>
  <c r="E15" i="3"/>
  <c r="N20" i="2"/>
  <c r="N32" i="2"/>
  <c r="N30" i="2"/>
  <c r="P22" i="2"/>
  <c r="P24" i="2" s="1"/>
  <c r="P35" i="2"/>
  <c r="N28" i="2"/>
  <c r="N25" i="2"/>
  <c r="G22" i="2"/>
  <c r="N29" i="2"/>
  <c r="D10" i="3"/>
  <c r="L23" i="3"/>
  <c r="L29" i="3"/>
  <c r="P29" i="3" s="1"/>
  <c r="L28" i="3"/>
  <c r="L24" i="3"/>
  <c r="L31" i="3"/>
  <c r="L17" i="3"/>
  <c r="L36" i="3" s="1"/>
  <c r="L27" i="3"/>
  <c r="L26" i="3"/>
  <c r="L30" i="3"/>
  <c r="P4" i="3"/>
  <c r="E27" i="3"/>
  <c r="E23" i="3"/>
  <c r="E26" i="3"/>
  <c r="E30" i="3"/>
  <c r="E17" i="3"/>
  <c r="E31" i="3"/>
  <c r="E24" i="3"/>
  <c r="E28" i="3"/>
  <c r="O30" i="3"/>
  <c r="O17" i="3"/>
  <c r="O27" i="3"/>
  <c r="O28" i="3"/>
  <c r="O31" i="3"/>
  <c r="O24" i="3"/>
  <c r="O26" i="3"/>
  <c r="O23" i="3"/>
  <c r="I31" i="3"/>
  <c r="I24" i="3"/>
  <c r="I30" i="3"/>
  <c r="I17" i="3"/>
  <c r="I26" i="3"/>
  <c r="I27" i="3"/>
  <c r="I28" i="3"/>
  <c r="I23" i="3"/>
  <c r="F10" i="3"/>
  <c r="F15" i="3" s="1"/>
  <c r="P11" i="3"/>
  <c r="F23" i="3"/>
  <c r="F30" i="3"/>
  <c r="F17" i="3"/>
  <c r="F31" i="3"/>
  <c r="F24" i="3"/>
  <c r="F27" i="3"/>
  <c r="F26" i="3"/>
  <c r="F28" i="3"/>
  <c r="H30" i="3"/>
  <c r="H17" i="3"/>
  <c r="H31" i="3"/>
  <c r="H24" i="3"/>
  <c r="H28" i="3"/>
  <c r="H26" i="3"/>
  <c r="H27" i="3"/>
  <c r="H23" i="3"/>
  <c r="P12" i="3"/>
  <c r="K26" i="3"/>
  <c r="K31" i="3"/>
  <c r="K27" i="3"/>
  <c r="K23" i="3"/>
  <c r="K30" i="3"/>
  <c r="K17" i="3"/>
  <c r="K24" i="3"/>
  <c r="K28" i="3"/>
  <c r="D27" i="3"/>
  <c r="D23" i="3"/>
  <c r="D30" i="3"/>
  <c r="D17" i="3"/>
  <c r="D26" i="3"/>
  <c r="D31" i="3"/>
  <c r="D24" i="3"/>
  <c r="D28" i="3"/>
  <c r="N23" i="3"/>
  <c r="N27" i="3"/>
  <c r="N30" i="3"/>
  <c r="N17" i="3"/>
  <c r="N31" i="3"/>
  <c r="N24" i="3"/>
  <c r="N26" i="3"/>
  <c r="N28" i="3"/>
  <c r="M27" i="3"/>
  <c r="M23" i="3"/>
  <c r="M30" i="3"/>
  <c r="M17" i="3"/>
  <c r="M26" i="3"/>
  <c r="M31" i="3"/>
  <c r="M24" i="3"/>
  <c r="M28" i="3"/>
  <c r="G30" i="3"/>
  <c r="G17" i="3"/>
  <c r="G27" i="3"/>
  <c r="G23" i="3"/>
  <c r="G31" i="3"/>
  <c r="G24" i="3"/>
  <c r="G26" i="3"/>
  <c r="G28" i="3"/>
  <c r="J26" i="3"/>
  <c r="J24" i="3"/>
  <c r="J27" i="3"/>
  <c r="J28" i="3"/>
  <c r="J23" i="3"/>
  <c r="J31" i="3"/>
  <c r="J30" i="3"/>
  <c r="J17" i="3"/>
  <c r="G36" i="2"/>
  <c r="G38" i="2" s="1"/>
  <c r="P36" i="2"/>
  <c r="O37" i="2"/>
  <c r="O30" i="2"/>
  <c r="O29" i="2"/>
  <c r="O25" i="2"/>
  <c r="J25" i="2"/>
  <c r="J37" i="2"/>
  <c r="J30" i="2"/>
  <c r="J29" i="2"/>
  <c r="F22" i="2"/>
  <c r="F24" i="2" s="1"/>
  <c r="F36" i="2"/>
  <c r="K29" i="2"/>
  <c r="K25" i="2"/>
  <c r="K30" i="2"/>
  <c r="K37" i="2"/>
  <c r="L28" i="2"/>
  <c r="L25" i="2"/>
  <c r="L37" i="2"/>
  <c r="L30" i="2"/>
  <c r="L29" i="2"/>
  <c r="E25" i="2"/>
  <c r="E37" i="2"/>
  <c r="E30" i="2"/>
  <c r="E29" i="2"/>
  <c r="M37" i="2"/>
  <c r="M30" i="2"/>
  <c r="M29" i="2"/>
  <c r="M25" i="2"/>
  <c r="I25" i="2"/>
  <c r="I37" i="2"/>
  <c r="I30" i="2"/>
  <c r="I29" i="2"/>
  <c r="O20" i="2"/>
  <c r="O35" i="2" s="1"/>
  <c r="O26" i="2"/>
  <c r="O32" i="2"/>
  <c r="H38" i="2"/>
  <c r="H39" i="2" s="1"/>
  <c r="H40" i="2" s="1"/>
  <c r="O28" i="2"/>
  <c r="L26" i="2"/>
  <c r="L32" i="2"/>
  <c r="L20" i="2"/>
  <c r="L35" i="2" s="1"/>
  <c r="K32" i="2"/>
  <c r="K26" i="2"/>
  <c r="K20" i="2"/>
  <c r="K35" i="2" s="1"/>
  <c r="K28" i="2"/>
  <c r="E26" i="2"/>
  <c r="E28" i="2"/>
  <c r="E32" i="2"/>
  <c r="E20" i="2"/>
  <c r="E35" i="2" s="1"/>
  <c r="J32" i="2"/>
  <c r="J20" i="2"/>
  <c r="J35" i="2" s="1"/>
  <c r="J28" i="2"/>
  <c r="J26" i="2"/>
  <c r="Q7" i="2"/>
  <c r="Q14" i="2"/>
  <c r="E18" i="2"/>
  <c r="M26" i="2"/>
  <c r="M32" i="2"/>
  <c r="M20" i="2"/>
  <c r="M35" i="2" s="1"/>
  <c r="M28" i="2"/>
  <c r="I22" i="2"/>
  <c r="I24" i="2" s="1"/>
  <c r="I36" i="2"/>
  <c r="G24" i="2"/>
  <c r="E38" i="4" l="1"/>
  <c r="U38" i="4" s="1"/>
  <c r="U34" i="4"/>
  <c r="AB38" i="4"/>
  <c r="V38" i="4"/>
  <c r="AD38" i="4"/>
  <c r="AA38" i="4"/>
  <c r="G38" i="4"/>
  <c r="G39" i="4" s="1"/>
  <c r="W34" i="4"/>
  <c r="I38" i="4"/>
  <c r="Y34" i="4"/>
  <c r="AC38" i="4"/>
  <c r="H38" i="4"/>
  <c r="H39" i="4" s="1"/>
  <c r="X34" i="4"/>
  <c r="Z38" i="4"/>
  <c r="O38" i="4"/>
  <c r="AE34" i="4"/>
  <c r="O39" i="4"/>
  <c r="AE38" i="4"/>
  <c r="J40" i="4"/>
  <c r="Z39" i="4"/>
  <c r="AF21" i="4"/>
  <c r="L40" i="4"/>
  <c r="AB39" i="4"/>
  <c r="F40" i="4"/>
  <c r="V39" i="4"/>
  <c r="N40" i="4"/>
  <c r="AD39" i="4"/>
  <c r="I39" i="4"/>
  <c r="Y38" i="4"/>
  <c r="K40" i="4"/>
  <c r="AA39" i="4"/>
  <c r="M40" i="4"/>
  <c r="AC39" i="4"/>
  <c r="C48" i="4"/>
  <c r="D56" i="4"/>
  <c r="E56" i="4" s="1"/>
  <c r="E39" i="4"/>
  <c r="U39" i="4" s="1"/>
  <c r="Q22" i="4"/>
  <c r="P21" i="4"/>
  <c r="D34" i="4"/>
  <c r="P35" i="4"/>
  <c r="P38" i="2"/>
  <c r="P39" i="2" s="1"/>
  <c r="P40" i="2" s="1"/>
  <c r="N35" i="2"/>
  <c r="N38" i="2" s="1"/>
  <c r="N36" i="2"/>
  <c r="N22" i="2"/>
  <c r="N24" i="2" s="1"/>
  <c r="L19" i="3"/>
  <c r="L35" i="3" s="1"/>
  <c r="L37" i="3"/>
  <c r="K22" i="3"/>
  <c r="F22" i="3"/>
  <c r="J22" i="3"/>
  <c r="O22" i="3"/>
  <c r="L22" i="3"/>
  <c r="H22" i="3"/>
  <c r="E22" i="3"/>
  <c r="M22" i="3"/>
  <c r="D22" i="3"/>
  <c r="G22" i="3"/>
  <c r="N22" i="3"/>
  <c r="I22" i="3"/>
  <c r="P28" i="3"/>
  <c r="P24" i="3"/>
  <c r="K19" i="3"/>
  <c r="K36" i="3"/>
  <c r="K37" i="3"/>
  <c r="M36" i="3"/>
  <c r="M37" i="3"/>
  <c r="M19" i="3"/>
  <c r="P26" i="3"/>
  <c r="E36" i="3"/>
  <c r="E37" i="3"/>
  <c r="D15" i="3"/>
  <c r="P15" i="3" s="1"/>
  <c r="P10" i="3"/>
  <c r="H19" i="3"/>
  <c r="H37" i="3"/>
  <c r="H36" i="3"/>
  <c r="P31" i="3"/>
  <c r="N37" i="3"/>
  <c r="N19" i="3"/>
  <c r="N36" i="3"/>
  <c r="D36" i="3"/>
  <c r="P17" i="3"/>
  <c r="Q29" i="3" s="1"/>
  <c r="D37" i="3"/>
  <c r="D19" i="3"/>
  <c r="D35" i="3" s="1"/>
  <c r="G37" i="3"/>
  <c r="G36" i="3"/>
  <c r="G19" i="3"/>
  <c r="P30" i="3"/>
  <c r="F36" i="3"/>
  <c r="F37" i="3"/>
  <c r="F19" i="3"/>
  <c r="P23" i="3"/>
  <c r="O37" i="3"/>
  <c r="O36" i="3"/>
  <c r="O19" i="3"/>
  <c r="I19" i="3"/>
  <c r="I37" i="3"/>
  <c r="I36" i="3"/>
  <c r="J36" i="3"/>
  <c r="J19" i="3"/>
  <c r="J37" i="3"/>
  <c r="P27" i="3"/>
  <c r="I38" i="2"/>
  <c r="I39" i="2" s="1"/>
  <c r="I40" i="2" s="1"/>
  <c r="F38" i="2"/>
  <c r="F39" i="2" s="1"/>
  <c r="F40" i="2" s="1"/>
  <c r="G39" i="2"/>
  <c r="G40" i="2" s="1"/>
  <c r="Q37" i="2"/>
  <c r="Q25" i="2"/>
  <c r="L22" i="2"/>
  <c r="L24" i="2" s="1"/>
  <c r="L38" i="2"/>
  <c r="L36" i="2"/>
  <c r="O36" i="2"/>
  <c r="O22" i="2"/>
  <c r="O24" i="2" s="1"/>
  <c r="Q18" i="2"/>
  <c r="E19" i="2"/>
  <c r="Q19" i="2" s="1"/>
  <c r="Q26" i="2"/>
  <c r="Q20" i="2"/>
  <c r="E22" i="2"/>
  <c r="E34" i="2" s="1"/>
  <c r="Q34" i="2" s="1"/>
  <c r="E36" i="2"/>
  <c r="K22" i="2"/>
  <c r="K24" i="2" s="1"/>
  <c r="K36" i="2"/>
  <c r="J22" i="2"/>
  <c r="J24" i="2" s="1"/>
  <c r="J36" i="2"/>
  <c r="Q29" i="2"/>
  <c r="M22" i="2"/>
  <c r="M24" i="2" s="1"/>
  <c r="M36" i="2"/>
  <c r="Q32" i="2"/>
  <c r="Q28" i="2"/>
  <c r="X38" i="4" l="1"/>
  <c r="W38" i="4"/>
  <c r="D38" i="4"/>
  <c r="D39" i="4" s="1"/>
  <c r="T34" i="4"/>
  <c r="AF34" i="4" s="1"/>
  <c r="I40" i="4"/>
  <c r="Y39" i="4"/>
  <c r="H40" i="4"/>
  <c r="X39" i="4"/>
  <c r="G40" i="4"/>
  <c r="W39" i="4"/>
  <c r="O40" i="4"/>
  <c r="AE39" i="4"/>
  <c r="P34" i="4"/>
  <c r="Q35" i="4"/>
  <c r="C59" i="4"/>
  <c r="E59" i="4" s="1"/>
  <c r="E40" i="4"/>
  <c r="D51" i="4"/>
  <c r="D52" i="4"/>
  <c r="E52" i="4" s="1"/>
  <c r="N39" i="2"/>
  <c r="N40" i="2" s="1"/>
  <c r="Q35" i="2"/>
  <c r="R35" i="2" s="1"/>
  <c r="L21" i="3"/>
  <c r="L34" i="3"/>
  <c r="L38" i="3" s="1"/>
  <c r="L39" i="3" s="1"/>
  <c r="L40" i="3" s="1"/>
  <c r="Q23" i="3"/>
  <c r="M21" i="3"/>
  <c r="M35" i="3"/>
  <c r="M34" i="3" s="1"/>
  <c r="M38" i="3" s="1"/>
  <c r="M39" i="3" s="1"/>
  <c r="M40" i="3" s="1"/>
  <c r="H21" i="3"/>
  <c r="H35" i="3"/>
  <c r="H34" i="3" s="1"/>
  <c r="H38" i="3" s="1"/>
  <c r="H39" i="3" s="1"/>
  <c r="H40" i="3" s="1"/>
  <c r="F21" i="3"/>
  <c r="F35" i="3"/>
  <c r="F34" i="3" s="1"/>
  <c r="F38" i="3" s="1"/>
  <c r="F39" i="3" s="1"/>
  <c r="F40" i="3" s="1"/>
  <c r="I21" i="3"/>
  <c r="I35" i="3"/>
  <c r="I34" i="3" s="1"/>
  <c r="I38" i="3" s="1"/>
  <c r="I39" i="3" s="1"/>
  <c r="I40" i="3" s="1"/>
  <c r="J21" i="3"/>
  <c r="J35" i="3"/>
  <c r="J34" i="3" s="1"/>
  <c r="J38" i="3" s="1"/>
  <c r="J39" i="3" s="1"/>
  <c r="J40" i="3" s="1"/>
  <c r="O21" i="3"/>
  <c r="O35" i="3"/>
  <c r="O34" i="3" s="1"/>
  <c r="O38" i="3" s="1"/>
  <c r="O39" i="3" s="1"/>
  <c r="O40" i="3" s="1"/>
  <c r="G21" i="3"/>
  <c r="G35" i="3"/>
  <c r="G34" i="3" s="1"/>
  <c r="G38" i="3" s="1"/>
  <c r="G39" i="3" s="1"/>
  <c r="G40" i="3" s="1"/>
  <c r="N21" i="3"/>
  <c r="N35" i="3"/>
  <c r="N34" i="3" s="1"/>
  <c r="N38" i="3" s="1"/>
  <c r="N39" i="3" s="1"/>
  <c r="N40" i="3" s="1"/>
  <c r="E21" i="3"/>
  <c r="E35" i="3"/>
  <c r="K21" i="3"/>
  <c r="K35" i="3"/>
  <c r="K34" i="3" s="1"/>
  <c r="K38" i="3" s="1"/>
  <c r="K39" i="3" s="1"/>
  <c r="K40" i="3" s="1"/>
  <c r="Q28" i="3"/>
  <c r="Q27" i="3"/>
  <c r="Q30" i="3"/>
  <c r="Q31" i="3"/>
  <c r="Q24" i="3"/>
  <c r="P19" i="3"/>
  <c r="D21" i="3"/>
  <c r="D34" i="3"/>
  <c r="D38" i="3" s="1"/>
  <c r="D39" i="3" s="1"/>
  <c r="D40" i="3" s="1"/>
  <c r="P37" i="3"/>
  <c r="Q37" i="3" s="1"/>
  <c r="Q33" i="3"/>
  <c r="Q25" i="3"/>
  <c r="Q26" i="3"/>
  <c r="P36" i="3"/>
  <c r="Q36" i="3" s="1"/>
  <c r="R28" i="2"/>
  <c r="J38" i="2"/>
  <c r="J39" i="2" s="1"/>
  <c r="J40" i="2" s="1"/>
  <c r="Q30" i="2"/>
  <c r="R30" i="2" s="1"/>
  <c r="K38" i="2"/>
  <c r="K39" i="2" s="1"/>
  <c r="K40" i="2" s="1"/>
  <c r="O38" i="2"/>
  <c r="O39" i="2" s="1"/>
  <c r="O40" i="2" s="1"/>
  <c r="L39" i="2"/>
  <c r="L40" i="2" s="1"/>
  <c r="M38" i="2"/>
  <c r="M39" i="2" s="1"/>
  <c r="M40" i="2" s="1"/>
  <c r="R33" i="2"/>
  <c r="R37" i="2"/>
  <c r="R27" i="2"/>
  <c r="R32" i="2"/>
  <c r="R29" i="2"/>
  <c r="E38" i="2"/>
  <c r="Q36" i="2"/>
  <c r="R36" i="2" s="1"/>
  <c r="R26" i="2"/>
  <c r="Q22" i="2"/>
  <c r="E24" i="2"/>
  <c r="T39" i="4" l="1"/>
  <c r="D40" i="4"/>
  <c r="P39" i="4"/>
  <c r="T38" i="4"/>
  <c r="AF38" i="4" s="1"/>
  <c r="AF39" i="4"/>
  <c r="C53" i="4"/>
  <c r="E53" i="4" s="1"/>
  <c r="E51" i="4"/>
  <c r="Q34" i="4"/>
  <c r="Q38" i="4" s="1"/>
  <c r="P38" i="4"/>
  <c r="E34" i="3"/>
  <c r="E38" i="3" s="1"/>
  <c r="Q22" i="3"/>
  <c r="P35" i="3"/>
  <c r="P21" i="3"/>
  <c r="R38" i="2"/>
  <c r="Q38" i="2"/>
  <c r="Q24" i="2"/>
  <c r="E39" i="2"/>
  <c r="D56" i="3" l="1"/>
  <c r="E56" i="3" s="1"/>
  <c r="C48" i="3"/>
  <c r="E39" i="3"/>
  <c r="P34" i="3"/>
  <c r="Q35" i="3"/>
  <c r="Q39" i="2"/>
  <c r="E40" i="2"/>
  <c r="E40" i="3" l="1"/>
  <c r="C59" i="3"/>
  <c r="E59" i="3" s="1"/>
  <c r="D52" i="3"/>
  <c r="E52" i="3" s="1"/>
  <c r="D51" i="3"/>
  <c r="P39" i="3"/>
  <c r="P38" i="3"/>
  <c r="Q34" i="3"/>
  <c r="Q38" i="3" s="1"/>
  <c r="E51" i="3" l="1"/>
  <c r="C53" i="3"/>
  <c r="E5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Hương, Trần Thị</author>
  </authors>
  <commentList>
    <comment ref="D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KQQT DTR tính
</t>
        </r>
      </text>
    </comment>
    <comment ref="B2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Lấy theo đơn giá Anh Sĩ</t>
        </r>
      </text>
    </comment>
    <comment ref="B2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3 ns</t>
        </r>
      </text>
    </comment>
    <comment ref="B3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màng PE quấn, Bìa cứng, máy quấn màng PE …, tạm tính theo giá ban đầu Anh Sĩ đưa
</t>
        </r>
      </text>
    </comment>
    <comment ref="B3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3 ns: xe nâng, vận hành, QC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tc={DA9F47F0-E54E-4F71-A916-8A7A28846D89}</author>
    <author>tc={B61903B9-8686-41FF-81B8-85DE38CAF1DB}</author>
    <author>Hương, Trần Thị</author>
  </authors>
  <commentList>
    <comment ref="S1" authorId="0" shapeId="0" xr:uid="{DA9F47F0-E54E-4F71-A916-8A7A288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Tổng Định Phí/Tháng (FC) </t>
      </text>
    </comment>
    <comment ref="S2" authorId="1" shapeId="0" xr:uid="{B61903B9-8686-41FF-81B8-85DE38CAF1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Tổng Biến Phí/Tháng (VC </t>
      </text>
    </comment>
    <comment ref="C11" authorId="2" shapeId="0" xr:uid="{00000000-0006-0000-0200-000001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KQQT DTR tính
</t>
        </r>
      </text>
    </comment>
    <comment ref="A23" authorId="2" shapeId="0" xr:uid="{00000000-0006-0000-0200-000002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Lấy theo đơn giá Anh Sĩ</t>
        </r>
      </text>
    </comment>
    <comment ref="A27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3 ns</t>
        </r>
      </text>
    </comment>
    <comment ref="A28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màng PE quấn, Bìa cứng, máy quấn màng PE …, tạm tính theo giá ban đầu Anh Sĩ đưa
</t>
        </r>
      </text>
    </comment>
    <comment ref="A29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lõi ống cứng: 7.500đ/kg</t>
        </r>
      </text>
    </comment>
    <comment ref="A30" authorId="2" shapeId="0" xr:uid="{00000000-0006-0000-0200-000006000000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3 ns: xe nâng, vận hành, QC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tc={EB14C914-C68C-45E5-8EA7-B560B7F953D2}</author>
    <author>tc={822D417F-A47B-4974-B913-3644F135A301}</author>
    <author>Hương, Trần Thị</author>
  </authors>
  <commentList>
    <comment ref="S1" authorId="0" shapeId="0" xr:uid="{EB14C914-C68C-45E5-8EA7-B560B7F953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Tổng Định Phí/Tháng (FC) </t>
      </text>
    </comment>
    <comment ref="S2" authorId="1" shapeId="0" xr:uid="{822D417F-A47B-4974-B913-3644F135A3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Tổng Biến Phí/Tháng (VC </t>
      </text>
    </comment>
    <comment ref="C11" authorId="2" shapeId="0" xr:uid="{025E2A2C-8AA8-4FE2-9F44-B4737FEB33BA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KQQT DTR tính
</t>
        </r>
      </text>
    </comment>
    <comment ref="A23" authorId="2" shapeId="0" xr:uid="{3B6BA9F9-7061-485F-B013-4E28125CBE9C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Lấy theo đơn giá Anh Sĩ</t>
        </r>
      </text>
    </comment>
    <comment ref="A27" authorId="2" shapeId="0" xr:uid="{D726903B-FC3A-41C9-8387-E5E957545CBA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3 ns</t>
        </r>
      </text>
    </comment>
    <comment ref="A28" authorId="2" shapeId="0" xr:uid="{0BEC8185-6673-4B8A-BE90-A74C455C6F5B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màng PE quấn, Bìa cứng, máy quấn màng PE …, tạm tính theo giá ban đầu Anh Sĩ đưa
</t>
        </r>
      </text>
    </comment>
    <comment ref="A29" authorId="2" shapeId="0" xr:uid="{0996AD4D-C7B9-4A5B-A4A4-508E51A61B48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lõi ống cứng: 7.500đ/kg</t>
        </r>
      </text>
    </comment>
    <comment ref="A30" authorId="2" shapeId="0" xr:uid="{6226C398-77DD-4A6C-8B77-1FBE8F9AA5B7}">
      <text>
        <r>
          <rPr>
            <b/>
            <sz val="9"/>
            <color indexed="81"/>
            <rFont val="Tahoma"/>
            <family val="2"/>
          </rPr>
          <t>Hương, Trần Thị:</t>
        </r>
        <r>
          <rPr>
            <sz val="9"/>
            <color indexed="81"/>
            <rFont val="Tahoma"/>
            <family val="2"/>
          </rPr>
          <t xml:space="preserve">
3 ns: xe nâng, vận hành, QC</t>
        </r>
      </text>
    </comment>
  </commentList>
</comments>
</file>

<file path=xl/sharedStrings.xml><?xml version="1.0" encoding="utf-8"?>
<sst xmlns="http://schemas.openxmlformats.org/spreadsheetml/2006/main" count="235" uniqueCount="90">
  <si>
    <t>1. Dây đai</t>
  </si>
  <si>
    <t>Giá bán</t>
  </si>
  <si>
    <t>Hóa chất rửa vảy</t>
  </si>
  <si>
    <t>Nhân công trực tiếp</t>
  </si>
  <si>
    <t>Khấu hao</t>
  </si>
  <si>
    <t>Doanh thu</t>
  </si>
  <si>
    <t>CP NVL</t>
  </si>
  <si>
    <t>Cp vận chuyển</t>
  </si>
  <si>
    <t>HH 4%</t>
  </si>
  <si>
    <t>TP</t>
  </si>
  <si>
    <t>Hao hụt: 4%</t>
  </si>
  <si>
    <t>Tổng CP SX-Bán hàng</t>
  </si>
  <si>
    <t>SL NVL</t>
  </si>
  <si>
    <t>Cp khác</t>
  </si>
  <si>
    <t>CP NVL (tính theo giá bán về DTR)</t>
  </si>
  <si>
    <t>LÃI NVL</t>
  </si>
  <si>
    <t>P&amp;L</t>
  </si>
  <si>
    <t>Tháng</t>
  </si>
  <si>
    <t>KH 2026</t>
  </si>
  <si>
    <t>Vảy GCDD</t>
  </si>
  <si>
    <t>Công suất 300kg/h</t>
  </si>
  <si>
    <t>SX 2 ca</t>
  </si>
  <si>
    <t>VNĐ/kg</t>
  </si>
  <si>
    <t>Tấn</t>
  </si>
  <si>
    <t>Trđ</t>
  </si>
  <si>
    <t>Đvt</t>
  </si>
  <si>
    <t>Công suất</t>
  </si>
  <si>
    <t>Kg/h</t>
  </si>
  <si>
    <t>Điện</t>
  </si>
  <si>
    <t>Nước</t>
  </si>
  <si>
    <t>VNĐ/h</t>
  </si>
  <si>
    <t>LN mong muốn</t>
  </si>
  <si>
    <t>M3</t>
  </si>
  <si>
    <t>Kw</t>
  </si>
  <si>
    <t>CP xử lý nước thải</t>
  </si>
  <si>
    <t>Bao bì đóng gói</t>
  </si>
  <si>
    <t>Vật tư sản xuất</t>
  </si>
  <si>
    <t>P&amp;L DÂY ĐAI - KẾ TOÁN ĐẠI LỘC TÍNH</t>
  </si>
  <si>
    <t>CPđ/kg - Không tính Hh</t>
  </si>
  <si>
    <t>Nhân công gián tiếp sx</t>
  </si>
  <si>
    <t>Đơn giá</t>
  </si>
  <si>
    <t>Ghi chú</t>
  </si>
  <si>
    <t>Chi phí bán hàng</t>
  </si>
  <si>
    <t>Chiết khấu hàng bán</t>
  </si>
  <si>
    <t>Tạm tính</t>
  </si>
  <si>
    <t>CP SẢN XUẤT</t>
  </si>
  <si>
    <t>CP BÁN HÀNG</t>
  </si>
  <si>
    <t>KTQT DTR tính</t>
  </si>
  <si>
    <t>Phế phẩm</t>
  </si>
  <si>
    <t>h</t>
  </si>
  <si>
    <t>Sản lượng bán</t>
  </si>
  <si>
    <t>Tính theo giá bán lẻ</t>
  </si>
  <si>
    <t>Mặt bằng</t>
  </si>
  <si>
    <t>MASTER DASHBOARD: KIỂM SOÁT HÒA VỐN &amp; RỦI RO</t>
  </si>
  <si>
    <t>DỮ LIỆU THÁNG 2</t>
  </si>
  <si>
    <t>ĐÈN BÁO</t>
  </si>
  <si>
    <t>NẾU ĐỎ -&gt; LÀM GÌ?</t>
  </si>
  <si>
    <t>1. INPUT TÍNH TOÁN (DÒNG ẨN)</t>
  </si>
  <si>
    <t>Tổng Định Phí "Cứng" (Fixed Cost)</t>
  </si>
  <si>
    <t>VNĐ</t>
  </si>
  <si>
    <t>Biến Phí Đơn Vị (Var Cost/Unit)</t>
  </si>
  <si>
    <t>2. KPI SỐNG CÒN (TÀI CHÍNH)</t>
  </si>
  <si>
    <t>Giá Bán Hòa Vốn (Floor Price)</t>
  </si>
  <si>
    <t>Sản Lượng Hòa Vốn (B.E Vol)</t>
  </si>
  <si>
    <t>Kg</t>
  </si>
  <si>
    <t>Biên An Toàn (Safety Margin)</t>
  </si>
  <si>
    <t>%</t>
  </si>
  <si>
    <t>3. KPI VẬN HÀNH &amp; KINH DOANH</t>
  </si>
  <si>
    <t>Trần Giá Mua NVL (Max Buying)</t>
  </si>
  <si>
    <t>Tỷ Lệ Hao Hụt (Waste Rate)</t>
  </si>
  <si>
    <t>Kiểm tra lưới lọc/Nhiệt độ</t>
  </si>
  <si>
    <t>Thực Thu về Túi (Net Price)</t>
  </si>
  <si>
    <t>Hiệu Suất Dòng Tiền (ROI/kg)</t>
  </si>
  <si>
    <t>(TIÊU CHUẨN / GIỚI HẠN)</t>
  </si>
  <si>
    <t>Fixed Cost</t>
  </si>
  <si>
    <t>Var Cost/kg</t>
  </si>
  <si>
    <t>🔒 CỐ ĐỊNH</t>
  </si>
  <si>
    <t>📉 TỐI ƯU</t>
  </si>
  <si>
    <t>&gt; 20.000VND</t>
  </si>
  <si>
    <t>&gt;0</t>
  </si>
  <si>
    <t>Khấu hao + Lương GT</t>
  </si>
  <si>
    <t>Phải giảm NVL &amp; Điện</t>
  </si>
  <si>
    <t>DỪNG BÁN HOẶC CẮT CHIẾT KHẤU</t>
  </si>
  <si>
    <t>Tím cách tăng sản lượng</t>
  </si>
  <si>
    <t>GIẢM GIÁ MUA NVL NGAY</t>
  </si>
  <si>
    <t>TỪ CHỐI NHẬP KHO</t>
  </si>
  <si>
    <t>KHÔNG DUYỆT KHUYẾN MÃI</t>
  </si>
  <si>
    <t>TÁI CẤU TRÚC TOÀN DIỆN</t>
  </si>
  <si>
    <t>s</t>
  </si>
  <si>
    <t>Giá bán (Thuần =GB- tất cả 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</si>
</sst>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#,"/>
    <numFmt numFmtId="166" formatCode="#,###.0,,"/>
    <numFmt numFmtId="167" formatCode="[$VND]\ 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</font>
    <font>
      <i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theme="1"/>
      <name val="Arial"/>
      <family val="2"/>
    </font>
    <font>
      <b/>
      <sz val="14"/>
      <color rgb="FF0070C0"/>
      <name val="Arial"/>
      <family val="2"/>
    </font>
    <font>
      <b/>
      <sz val="14"/>
      <color theme="9" tint="-0.249977111117893"/>
      <name val="Arial"/>
      <family val="2"/>
    </font>
    <font>
      <b/>
      <sz val="14"/>
      <color theme="1"/>
      <name val="Arial"/>
      <family val="2"/>
    </font>
    <font>
      <sz val="14"/>
      <color rgb="FF0070C0"/>
      <name val="Arial"/>
      <family val="2"/>
    </font>
    <font>
      <i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theme="9" tint="-0.499984740745262"/>
      <name val="Arial"/>
      <family val="2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rgb="FFC00000"/>
      <name val="Arial"/>
      <family val="2"/>
    </font>
    <font>
      <sz val="18"/>
      <color theme="1"/>
      <name val="Arial Unicode MS"/>
    </font>
    <font>
      <i/>
      <sz val="18"/>
      <color theme="1"/>
      <name val="Calibri"/>
      <family val="2"/>
      <scheme val="minor"/>
    </font>
    <font>
      <sz val="18"/>
      <color rgb="FFC00000"/>
      <name val="Arial Unicode MS"/>
    </font>
    <font>
      <sz val="18"/>
      <color rgb="FFC00000"/>
      <name val="Calibri"/>
      <family val="2"/>
      <scheme val="minor"/>
    </font>
    <font>
      <sz val="14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3" fillId="2" borderId="0" xfId="2" applyFont="1" applyFill="1"/>
    <xf numFmtId="0" fontId="2" fillId="2" borderId="0" xfId="2" applyFill="1"/>
    <xf numFmtId="164" fontId="2" fillId="2" borderId="0" xfId="1" applyNumberFormat="1" applyFont="1" applyFill="1"/>
    <xf numFmtId="0" fontId="2" fillId="2" borderId="1" xfId="2" applyFill="1" applyBorder="1"/>
    <xf numFmtId="164" fontId="2" fillId="2" borderId="1" xfId="1" applyNumberFormat="1" applyFont="1" applyFill="1" applyBorder="1"/>
    <xf numFmtId="0" fontId="2" fillId="2" borderId="1" xfId="2" applyFill="1" applyBorder="1" applyAlignment="1">
      <alignment horizontal="left" indent="1"/>
    </xf>
    <xf numFmtId="0" fontId="2" fillId="2" borderId="1" xfId="2" applyFill="1" applyBorder="1" applyAlignment="1">
      <alignment horizontal="left" indent="2"/>
    </xf>
    <xf numFmtId="166" fontId="2" fillId="2" borderId="1" xfId="2" applyNumberFormat="1" applyFill="1" applyBorder="1"/>
    <xf numFmtId="166" fontId="4" fillId="2" borderId="1" xfId="2" applyNumberFormat="1" applyFont="1" applyFill="1" applyBorder="1"/>
    <xf numFmtId="165" fontId="2" fillId="2" borderId="1" xfId="1" applyNumberFormat="1" applyFont="1" applyFill="1" applyBorder="1"/>
    <xf numFmtId="0" fontId="5" fillId="2" borderId="0" xfId="2" applyFont="1" applyFill="1"/>
    <xf numFmtId="0" fontId="6" fillId="2" borderId="0" xfId="2" applyFont="1" applyFill="1"/>
    <xf numFmtId="0" fontId="7" fillId="2" borderId="1" xfId="2" applyFont="1" applyFill="1" applyBorder="1"/>
    <xf numFmtId="0" fontId="5" fillId="2" borderId="2" xfId="2" applyFont="1" applyFill="1" applyBorder="1" applyAlignment="1">
      <alignment horizontal="left" indent="1"/>
    </xf>
    <xf numFmtId="9" fontId="5" fillId="2" borderId="2" xfId="2" applyNumberFormat="1" applyFont="1" applyFill="1" applyBorder="1"/>
    <xf numFmtId="165" fontId="5" fillId="2" borderId="2" xfId="1" applyNumberFormat="1" applyFont="1" applyFill="1" applyBorder="1"/>
    <xf numFmtId="0" fontId="5" fillId="2" borderId="3" xfId="2" applyFont="1" applyFill="1" applyBorder="1" applyAlignment="1">
      <alignment horizontal="left" indent="1"/>
    </xf>
    <xf numFmtId="9" fontId="5" fillId="2" borderId="3" xfId="2" applyNumberFormat="1" applyFont="1" applyFill="1" applyBorder="1"/>
    <xf numFmtId="165" fontId="5" fillId="2" borderId="3" xfId="1" applyNumberFormat="1" applyFont="1" applyFill="1" applyBorder="1"/>
    <xf numFmtId="0" fontId="5" fillId="2" borderId="4" xfId="2" applyFont="1" applyFill="1" applyBorder="1" applyAlignment="1">
      <alignment horizontal="left" indent="1"/>
    </xf>
    <xf numFmtId="9" fontId="5" fillId="2" borderId="4" xfId="2" applyNumberFormat="1" applyFont="1" applyFill="1" applyBorder="1"/>
    <xf numFmtId="164" fontId="5" fillId="2" borderId="4" xfId="1" applyNumberFormat="1" applyFont="1" applyFill="1" applyBorder="1"/>
    <xf numFmtId="164" fontId="5" fillId="2" borderId="2" xfId="1" applyNumberFormat="1" applyFont="1" applyFill="1" applyBorder="1"/>
    <xf numFmtId="166" fontId="5" fillId="2" borderId="2" xfId="2" applyNumberFormat="1" applyFont="1" applyFill="1" applyBorder="1"/>
    <xf numFmtId="164" fontId="5" fillId="2" borderId="3" xfId="1" applyNumberFormat="1" applyFont="1" applyFill="1" applyBorder="1"/>
    <xf numFmtId="166" fontId="5" fillId="2" borderId="3" xfId="2" applyNumberFormat="1" applyFont="1" applyFill="1" applyBorder="1"/>
    <xf numFmtId="166" fontId="5" fillId="2" borderId="4" xfId="2" applyNumberFormat="1" applyFont="1" applyFill="1" applyBorder="1"/>
    <xf numFmtId="0" fontId="2" fillId="2" borderId="2" xfId="2" applyFill="1" applyBorder="1"/>
    <xf numFmtId="164" fontId="2" fillId="2" borderId="2" xfId="1" applyNumberFormat="1" applyFont="1" applyFill="1" applyBorder="1"/>
    <xf numFmtId="166" fontId="2" fillId="2" borderId="2" xfId="2" applyNumberFormat="1" applyFill="1" applyBorder="1"/>
    <xf numFmtId="0" fontId="2" fillId="2" borderId="3" xfId="2" applyFill="1" applyBorder="1"/>
    <xf numFmtId="164" fontId="2" fillId="2" borderId="3" xfId="1" applyNumberFormat="1" applyFont="1" applyFill="1" applyBorder="1"/>
    <xf numFmtId="166" fontId="2" fillId="2" borderId="3" xfId="1" applyNumberFormat="1" applyFont="1" applyFill="1" applyBorder="1"/>
    <xf numFmtId="0" fontId="2" fillId="2" borderId="4" xfId="2" applyFill="1" applyBorder="1"/>
    <xf numFmtId="164" fontId="2" fillId="2" borderId="4" xfId="1" applyNumberFormat="1" applyFont="1" applyFill="1" applyBorder="1"/>
    <xf numFmtId="166" fontId="2" fillId="2" borderId="4" xfId="1" applyNumberFormat="1" applyFont="1" applyFill="1" applyBorder="1"/>
    <xf numFmtId="164" fontId="7" fillId="2" borderId="1" xfId="1" applyNumberFormat="1" applyFont="1" applyFill="1" applyBorder="1" applyAlignment="1">
      <alignment horizontal="center"/>
    </xf>
    <xf numFmtId="9" fontId="2" fillId="2" borderId="1" xfId="2" applyNumberFormat="1" applyFill="1" applyBorder="1"/>
    <xf numFmtId="43" fontId="2" fillId="2" borderId="0" xfId="1" applyFont="1" applyFill="1"/>
    <xf numFmtId="164" fontId="5" fillId="2" borderId="1" xfId="1" applyNumberFormat="1" applyFont="1" applyFill="1" applyBorder="1"/>
    <xf numFmtId="0" fontId="10" fillId="2" borderId="1" xfId="2" applyFont="1" applyFill="1" applyBorder="1"/>
    <xf numFmtId="166" fontId="10" fillId="2" borderId="1" xfId="1" applyNumberFormat="1" applyFont="1" applyFill="1" applyBorder="1"/>
    <xf numFmtId="164" fontId="10" fillId="2" borderId="1" xfId="1" applyNumberFormat="1" applyFont="1" applyFill="1" applyBorder="1"/>
    <xf numFmtId="0" fontId="10" fillId="2" borderId="0" xfId="2" applyFont="1" applyFill="1"/>
    <xf numFmtId="0" fontId="11" fillId="2" borderId="1" xfId="2" applyFont="1" applyFill="1" applyBorder="1"/>
    <xf numFmtId="166" fontId="11" fillId="2" borderId="1" xfId="1" applyNumberFormat="1" applyFont="1" applyFill="1" applyBorder="1"/>
    <xf numFmtId="164" fontId="11" fillId="2" borderId="1" xfId="1" applyNumberFormat="1" applyFont="1" applyFill="1" applyBorder="1"/>
    <xf numFmtId="0" fontId="11" fillId="2" borderId="0" xfId="2" applyFont="1" applyFill="1"/>
    <xf numFmtId="166" fontId="11" fillId="2" borderId="1" xfId="2" applyNumberFormat="1" applyFont="1" applyFill="1" applyBorder="1"/>
    <xf numFmtId="0" fontId="12" fillId="2" borderId="0" xfId="2" applyFont="1" applyFill="1"/>
    <xf numFmtId="164" fontId="7" fillId="2" borderId="1" xfId="1" applyNumberFormat="1" applyFont="1" applyFill="1" applyBorder="1" applyAlignment="1">
      <alignment horizontal="center" vertical="center"/>
    </xf>
    <xf numFmtId="0" fontId="2" fillId="2" borderId="1" xfId="2" applyFill="1" applyBorder="1" applyAlignment="1">
      <alignment horizontal="center" vertical="center" wrapText="1"/>
    </xf>
    <xf numFmtId="0" fontId="2" fillId="2" borderId="0" xfId="2" applyFill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2" fillId="3" borderId="3" xfId="2" applyFill="1" applyBorder="1"/>
    <xf numFmtId="164" fontId="2" fillId="3" borderId="3" xfId="1" applyNumberFormat="1" applyFont="1" applyFill="1" applyBorder="1"/>
    <xf numFmtId="166" fontId="2" fillId="3" borderId="3" xfId="1" applyNumberFormat="1" applyFont="1" applyFill="1" applyBorder="1"/>
    <xf numFmtId="43" fontId="2" fillId="3" borderId="3" xfId="1" applyFont="1" applyFill="1" applyBorder="1"/>
    <xf numFmtId="9" fontId="2" fillId="2" borderId="0" xfId="5" applyFont="1" applyFill="1"/>
    <xf numFmtId="9" fontId="2" fillId="2" borderId="3" xfId="5" applyFont="1" applyFill="1" applyBorder="1"/>
    <xf numFmtId="0" fontId="13" fillId="2" borderId="0" xfId="2" applyFont="1" applyFill="1"/>
    <xf numFmtId="0" fontId="14" fillId="2" borderId="0" xfId="2" applyFont="1" applyFill="1"/>
    <xf numFmtId="0" fontId="15" fillId="2" borderId="0" xfId="2" applyFont="1" applyFill="1"/>
    <xf numFmtId="164" fontId="13" fillId="2" borderId="0" xfId="1" applyNumberFormat="1" applyFont="1" applyFill="1"/>
    <xf numFmtId="0" fontId="13" fillId="2" borderId="0" xfId="2" applyFont="1" applyFill="1" applyAlignment="1">
      <alignment horizontal="center" vertical="center"/>
    </xf>
    <xf numFmtId="0" fontId="16" fillId="2" borderId="1" xfId="2" applyFont="1" applyFill="1" applyBorder="1" applyAlignment="1">
      <alignment horizontal="center" vertical="center"/>
    </xf>
    <xf numFmtId="164" fontId="16" fillId="2" borderId="1" xfId="1" applyNumberFormat="1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6" fillId="2" borderId="1" xfId="2" applyFont="1" applyFill="1" applyBorder="1"/>
    <xf numFmtId="0" fontId="13" fillId="2" borderId="1" xfId="2" applyFont="1" applyFill="1" applyBorder="1"/>
    <xf numFmtId="164" fontId="16" fillId="2" borderId="1" xfId="1" applyNumberFormat="1" applyFont="1" applyFill="1" applyBorder="1" applyAlignment="1">
      <alignment horizontal="center"/>
    </xf>
    <xf numFmtId="164" fontId="13" fillId="2" borderId="1" xfId="1" applyNumberFormat="1" applyFont="1" applyFill="1" applyBorder="1"/>
    <xf numFmtId="165" fontId="13" fillId="2" borderId="1" xfId="1" applyNumberFormat="1" applyFont="1" applyFill="1" applyBorder="1"/>
    <xf numFmtId="165" fontId="17" fillId="2" borderId="2" xfId="1" applyNumberFormat="1" applyFont="1" applyFill="1" applyBorder="1"/>
    <xf numFmtId="0" fontId="17" fillId="2" borderId="0" xfId="2" applyFont="1" applyFill="1"/>
    <xf numFmtId="0" fontId="17" fillId="2" borderId="2" xfId="2" applyFont="1" applyFill="1" applyBorder="1" applyAlignment="1">
      <alignment horizontal="left" indent="1"/>
    </xf>
    <xf numFmtId="9" fontId="17" fillId="2" borderId="2" xfId="2" applyNumberFormat="1" applyFont="1" applyFill="1" applyBorder="1"/>
    <xf numFmtId="164" fontId="17" fillId="2" borderId="1" xfId="1" applyNumberFormat="1" applyFont="1" applyFill="1" applyBorder="1"/>
    <xf numFmtId="0" fontId="17" fillId="2" borderId="3" xfId="2" applyFont="1" applyFill="1" applyBorder="1" applyAlignment="1">
      <alignment horizontal="left" indent="1"/>
    </xf>
    <xf numFmtId="9" fontId="17" fillId="2" borderId="3" xfId="2" applyNumberFormat="1" applyFont="1" applyFill="1" applyBorder="1"/>
    <xf numFmtId="165" fontId="17" fillId="2" borderId="3" xfId="1" applyNumberFormat="1" applyFont="1" applyFill="1" applyBorder="1"/>
    <xf numFmtId="0" fontId="17" fillId="2" borderId="4" xfId="2" applyFont="1" applyFill="1" applyBorder="1" applyAlignment="1">
      <alignment horizontal="left" indent="1"/>
    </xf>
    <xf numFmtId="9" fontId="17" fillId="2" borderId="4" xfId="2" applyNumberFormat="1" applyFont="1" applyFill="1" applyBorder="1"/>
    <xf numFmtId="164" fontId="17" fillId="2" borderId="4" xfId="1" applyNumberFormat="1" applyFont="1" applyFill="1" applyBorder="1"/>
    <xf numFmtId="0" fontId="13" fillId="2" borderId="1" xfId="2" applyFont="1" applyFill="1" applyBorder="1" applyAlignment="1">
      <alignment horizontal="left" indent="1"/>
    </xf>
    <xf numFmtId="164" fontId="17" fillId="2" borderId="2" xfId="1" applyNumberFormat="1" applyFont="1" applyFill="1" applyBorder="1"/>
    <xf numFmtId="166" fontId="17" fillId="2" borderId="2" xfId="2" applyNumberFormat="1" applyFont="1" applyFill="1" applyBorder="1"/>
    <xf numFmtId="164" fontId="17" fillId="2" borderId="3" xfId="1" applyNumberFormat="1" applyFont="1" applyFill="1" applyBorder="1"/>
    <xf numFmtId="166" fontId="17" fillId="2" borderId="3" xfId="2" applyNumberFormat="1" applyFont="1" applyFill="1" applyBorder="1"/>
    <xf numFmtId="166" fontId="17" fillId="2" borderId="4" xfId="2" applyNumberFormat="1" applyFont="1" applyFill="1" applyBorder="1"/>
    <xf numFmtId="166" fontId="13" fillId="2" borderId="1" xfId="2" applyNumberFormat="1" applyFont="1" applyFill="1" applyBorder="1"/>
    <xf numFmtId="0" fontId="13" fillId="2" borderId="1" xfId="2" applyFont="1" applyFill="1" applyBorder="1" applyAlignment="1">
      <alignment horizontal="left" indent="2"/>
    </xf>
    <xf numFmtId="166" fontId="18" fillId="2" borderId="1" xfId="2" applyNumberFormat="1" applyFont="1" applyFill="1" applyBorder="1"/>
    <xf numFmtId="0" fontId="14" fillId="2" borderId="1" xfId="2" applyFont="1" applyFill="1" applyBorder="1"/>
    <xf numFmtId="166" fontId="14" fillId="2" borderId="1" xfId="1" applyNumberFormat="1" applyFont="1" applyFill="1" applyBorder="1"/>
    <xf numFmtId="164" fontId="14" fillId="2" borderId="1" xfId="1" applyNumberFormat="1" applyFont="1" applyFill="1" applyBorder="1"/>
    <xf numFmtId="166" fontId="14" fillId="2" borderId="1" xfId="2" applyNumberFormat="1" applyFont="1" applyFill="1" applyBorder="1"/>
    <xf numFmtId="0" fontId="14" fillId="2" borderId="5" xfId="2" applyFont="1" applyFill="1" applyBorder="1"/>
    <xf numFmtId="166" fontId="14" fillId="2" borderId="5" xfId="2" applyNumberFormat="1" applyFont="1" applyFill="1" applyBorder="1"/>
    <xf numFmtId="164" fontId="14" fillId="2" borderId="5" xfId="1" applyNumberFormat="1" applyFont="1" applyFill="1" applyBorder="1"/>
    <xf numFmtId="0" fontId="13" fillId="0" borderId="2" xfId="2" applyFont="1" applyBorder="1"/>
    <xf numFmtId="164" fontId="13" fillId="0" borderId="2" xfId="1" applyNumberFormat="1" applyFont="1" applyFill="1" applyBorder="1"/>
    <xf numFmtId="166" fontId="13" fillId="0" borderId="2" xfId="2" applyNumberFormat="1" applyFont="1" applyBorder="1"/>
    <xf numFmtId="164" fontId="13" fillId="0" borderId="3" xfId="1" applyNumberFormat="1" applyFont="1" applyFill="1" applyBorder="1"/>
    <xf numFmtId="0" fontId="13" fillId="0" borderId="3" xfId="2" applyFont="1" applyBorder="1"/>
    <xf numFmtId="166" fontId="13" fillId="0" borderId="3" xfId="1" applyNumberFormat="1" applyFont="1" applyFill="1" applyBorder="1"/>
    <xf numFmtId="43" fontId="13" fillId="0" borderId="3" xfId="1" applyFont="1" applyFill="1" applyBorder="1"/>
    <xf numFmtId="0" fontId="13" fillId="0" borderId="6" xfId="2" applyFont="1" applyBorder="1"/>
    <xf numFmtId="43" fontId="13" fillId="0" borderId="6" xfId="1" applyFont="1" applyFill="1" applyBorder="1"/>
    <xf numFmtId="166" fontId="13" fillId="0" borderId="6" xfId="1" applyNumberFormat="1" applyFont="1" applyFill="1" applyBorder="1"/>
    <xf numFmtId="164" fontId="13" fillId="0" borderId="6" xfId="1" applyNumberFormat="1" applyFont="1" applyFill="1" applyBorder="1"/>
    <xf numFmtId="0" fontId="14" fillId="0" borderId="1" xfId="2" applyFont="1" applyBorder="1"/>
    <xf numFmtId="164" fontId="14" fillId="0" borderId="1" xfId="1" applyNumberFormat="1" applyFont="1" applyFill="1" applyBorder="1"/>
    <xf numFmtId="166" fontId="14" fillId="0" borderId="1" xfId="1" applyNumberFormat="1" applyFont="1" applyFill="1" applyBorder="1"/>
    <xf numFmtId="164" fontId="14" fillId="0" borderId="3" xfId="1" applyNumberFormat="1" applyFont="1" applyFill="1" applyBorder="1"/>
    <xf numFmtId="0" fontId="13" fillId="0" borderId="7" xfId="2" applyFont="1" applyBorder="1"/>
    <xf numFmtId="166" fontId="13" fillId="0" borderId="7" xfId="1" applyNumberFormat="1" applyFont="1" applyFill="1" applyBorder="1"/>
    <xf numFmtId="164" fontId="13" fillId="0" borderId="7" xfId="1" applyNumberFormat="1" applyFont="1" applyFill="1" applyBorder="1"/>
    <xf numFmtId="0" fontId="13" fillId="2" borderId="3" xfId="2" applyFont="1" applyFill="1" applyBorder="1"/>
    <xf numFmtId="164" fontId="13" fillId="2" borderId="3" xfId="1" applyNumberFormat="1" applyFont="1" applyFill="1" applyBorder="1"/>
    <xf numFmtId="166" fontId="13" fillId="2" borderId="3" xfId="1" applyNumberFormat="1" applyFont="1" applyFill="1" applyBorder="1"/>
    <xf numFmtId="0" fontId="15" fillId="2" borderId="1" xfId="2" applyFont="1" applyFill="1" applyBorder="1"/>
    <xf numFmtId="164" fontId="15" fillId="2" borderId="1" xfId="1" applyNumberFormat="1" applyFont="1" applyFill="1" applyBorder="1"/>
    <xf numFmtId="166" fontId="15" fillId="2" borderId="1" xfId="1" applyNumberFormat="1" applyFont="1" applyFill="1" applyBorder="1"/>
    <xf numFmtId="9" fontId="13" fillId="2" borderId="0" xfId="5" applyFont="1" applyFill="1"/>
    <xf numFmtId="43" fontId="13" fillId="2" borderId="0" xfId="1" applyFont="1" applyFill="1"/>
    <xf numFmtId="0" fontId="16" fillId="2" borderId="1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17" fillId="2" borderId="2" xfId="2" applyFont="1" applyFill="1" applyBorder="1" applyAlignment="1">
      <alignment horizontal="center"/>
    </xf>
    <xf numFmtId="0" fontId="17" fillId="2" borderId="3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0" fontId="14" fillId="2" borderId="1" xfId="2" applyFont="1" applyFill="1" applyBorder="1" applyAlignment="1">
      <alignment horizontal="center"/>
    </xf>
    <xf numFmtId="0" fontId="14" fillId="2" borderId="5" xfId="2" applyFont="1" applyFill="1" applyBorder="1" applyAlignment="1">
      <alignment horizontal="center"/>
    </xf>
    <xf numFmtId="0" fontId="13" fillId="0" borderId="2" xfId="2" applyFont="1" applyBorder="1" applyAlignment="1">
      <alignment horizontal="center"/>
    </xf>
    <xf numFmtId="0" fontId="13" fillId="0" borderId="3" xfId="2" applyFont="1" applyBorder="1" applyAlignment="1">
      <alignment horizontal="center"/>
    </xf>
    <xf numFmtId="0" fontId="13" fillId="0" borderId="6" xfId="2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3" fillId="0" borderId="7" xfId="2" applyFont="1" applyBorder="1" applyAlignment="1">
      <alignment horizontal="center"/>
    </xf>
    <xf numFmtId="0" fontId="13" fillId="2" borderId="3" xfId="2" applyFont="1" applyFill="1" applyBorder="1" applyAlignment="1">
      <alignment horizontal="center"/>
    </xf>
    <xf numFmtId="0" fontId="15" fillId="2" borderId="1" xfId="2" applyFont="1" applyFill="1" applyBorder="1" applyAlignment="1">
      <alignment horizontal="center"/>
    </xf>
    <xf numFmtId="0" fontId="17" fillId="2" borderId="1" xfId="2" applyFont="1" applyFill="1" applyBorder="1"/>
    <xf numFmtId="0" fontId="17" fillId="2" borderId="1" xfId="2" applyFont="1" applyFill="1" applyBorder="1" applyAlignment="1">
      <alignment horizontal="center"/>
    </xf>
    <xf numFmtId="9" fontId="17" fillId="2" borderId="1" xfId="2" applyNumberFormat="1" applyFont="1" applyFill="1" applyBorder="1"/>
    <xf numFmtId="165" fontId="17" fillId="2" borderId="1" xfId="1" applyNumberFormat="1" applyFont="1" applyFill="1" applyBorder="1"/>
    <xf numFmtId="0" fontId="13" fillId="0" borderId="6" xfId="1" applyNumberFormat="1" applyFont="1" applyFill="1" applyBorder="1"/>
    <xf numFmtId="166" fontId="0" fillId="0" borderId="0" xfId="0" applyNumberForma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0" fillId="0" borderId="0" xfId="0" applyFont="1" applyAlignment="1">
      <alignment horizontal="left" vertical="center" indent="2"/>
    </xf>
    <xf numFmtId="164" fontId="17" fillId="3" borderId="1" xfId="1" applyNumberFormat="1" applyFont="1" applyFill="1" applyBorder="1"/>
    <xf numFmtId="0" fontId="21" fillId="4" borderId="8" xfId="0" applyFont="1" applyFill="1" applyBorder="1" applyAlignment="1">
      <alignment horizontal="center" vertical="center"/>
    </xf>
    <xf numFmtId="0" fontId="22" fillId="4" borderId="9" xfId="2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4" fillId="5" borderId="0" xfId="2" applyFont="1" applyFill="1" applyAlignment="1">
      <alignment horizontal="center" vertical="center"/>
    </xf>
    <xf numFmtId="0" fontId="25" fillId="5" borderId="0" xfId="2" applyFont="1" applyFill="1" applyAlignment="1">
      <alignment horizontal="center" vertical="center"/>
    </xf>
    <xf numFmtId="0" fontId="24" fillId="5" borderId="12" xfId="2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167" fontId="26" fillId="5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167" fontId="23" fillId="5" borderId="0" xfId="0" applyNumberFormat="1" applyFont="1" applyFill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4" fillId="5" borderId="11" xfId="2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4" fillId="6" borderId="0" xfId="2" applyFont="1" applyFill="1" applyAlignment="1">
      <alignment horizontal="center" vertical="center"/>
    </xf>
    <xf numFmtId="0" fontId="25" fillId="6" borderId="0" xfId="2" applyFont="1" applyFill="1" applyAlignment="1">
      <alignment horizontal="center" vertical="center"/>
    </xf>
    <xf numFmtId="0" fontId="24" fillId="6" borderId="12" xfId="2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167" fontId="26" fillId="6" borderId="0" xfId="0" applyNumberFormat="1" applyFont="1" applyFill="1" applyAlignment="1">
      <alignment horizontal="center" vertical="center"/>
    </xf>
    <xf numFmtId="167" fontId="28" fillId="6" borderId="0" xfId="0" applyNumberFormat="1" applyFont="1" applyFill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3" fontId="23" fillId="6" borderId="0" xfId="0" applyNumberFormat="1" applyFont="1" applyFill="1" applyAlignment="1">
      <alignment horizontal="center" vertical="center"/>
    </xf>
    <xf numFmtId="3" fontId="29" fillId="6" borderId="0" xfId="0" applyNumberFormat="1" applyFont="1" applyFill="1" applyAlignment="1">
      <alignment horizontal="center" vertical="center"/>
    </xf>
    <xf numFmtId="10" fontId="23" fillId="6" borderId="0" xfId="5" applyNumberFormat="1" applyFont="1" applyFill="1" applyBorder="1" applyAlignment="1">
      <alignment horizontal="center" vertical="center"/>
    </xf>
    <xf numFmtId="9" fontId="25" fillId="6" borderId="0" xfId="2" applyNumberFormat="1" applyFont="1" applyFill="1" applyAlignment="1">
      <alignment horizontal="center" vertical="center"/>
    </xf>
    <xf numFmtId="0" fontId="24" fillId="6" borderId="11" xfId="2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4" fillId="7" borderId="0" xfId="2" applyFont="1" applyFill="1" applyAlignment="1">
      <alignment horizontal="center" vertical="center"/>
    </xf>
    <xf numFmtId="0" fontId="25" fillId="7" borderId="0" xfId="2" applyFont="1" applyFill="1" applyAlignment="1">
      <alignment horizontal="center" vertical="center"/>
    </xf>
    <xf numFmtId="0" fontId="24" fillId="7" borderId="12" xfId="2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167" fontId="26" fillId="7" borderId="0" xfId="0" applyNumberFormat="1" applyFont="1" applyFill="1" applyAlignment="1">
      <alignment horizontal="center" vertical="center"/>
    </xf>
    <xf numFmtId="167" fontId="28" fillId="7" borderId="0" xfId="0" applyNumberFormat="1" applyFont="1" applyFill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10" fontId="23" fillId="7" borderId="0" xfId="5" applyNumberFormat="1" applyFont="1" applyFill="1" applyBorder="1" applyAlignment="1">
      <alignment horizontal="center" vertical="center"/>
    </xf>
    <xf numFmtId="9" fontId="25" fillId="7" borderId="0" xfId="2" applyNumberFormat="1" applyFont="1" applyFill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167" fontId="26" fillId="7" borderId="14" xfId="0" applyNumberFormat="1" applyFont="1" applyFill="1" applyBorder="1" applyAlignment="1">
      <alignment horizontal="center" vertical="center"/>
    </xf>
    <xf numFmtId="0" fontId="25" fillId="7" borderId="14" xfId="2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9" fontId="13" fillId="3" borderId="7" xfId="5" applyFont="1" applyFill="1" applyBorder="1"/>
    <xf numFmtId="164" fontId="13" fillId="3" borderId="3" xfId="1" applyNumberFormat="1" applyFont="1" applyFill="1" applyBorder="1"/>
    <xf numFmtId="164" fontId="30" fillId="3" borderId="1" xfId="1" applyNumberFormat="1" applyFont="1" applyFill="1" applyBorder="1"/>
    <xf numFmtId="164" fontId="14" fillId="2" borderId="0" xfId="1" applyNumberFormat="1" applyFont="1" applyFill="1"/>
    <xf numFmtId="164" fontId="14" fillId="2" borderId="0" xfId="2" applyNumberFormat="1" applyFont="1" applyFill="1"/>
    <xf numFmtId="164" fontId="31" fillId="2" borderId="0" xfId="1" applyNumberFormat="1" applyFont="1" applyFill="1"/>
    <xf numFmtId="164" fontId="31" fillId="2" borderId="0" xfId="2" applyNumberFormat="1" applyFont="1" applyFill="1"/>
    <xf numFmtId="164" fontId="32" fillId="2" borderId="0" xfId="1" applyNumberFormat="1" applyFont="1" applyFill="1"/>
    <xf numFmtId="164" fontId="32" fillId="2" borderId="0" xfId="2" applyNumberFormat="1" applyFont="1" applyFill="1"/>
    <xf numFmtId="164" fontId="33" fillId="3" borderId="0" xfId="1" applyNumberFormat="1" applyFont="1" applyFill="1"/>
    <xf numFmtId="164" fontId="33" fillId="3" borderId="0" xfId="2" applyNumberFormat="1" applyFont="1" applyFill="1"/>
    <xf numFmtId="9" fontId="13" fillId="0" borderId="3" xfId="5" applyFont="1" applyBorder="1" applyAlignment="1">
      <alignment horizontal="center"/>
    </xf>
    <xf numFmtId="164" fontId="14" fillId="3" borderId="1" xfId="1" applyNumberFormat="1" applyFont="1" applyFill="1" applyBorder="1"/>
    <xf numFmtId="9" fontId="14" fillId="2" borderId="0" xfId="5" applyFont="1" applyFill="1"/>
  </cellXfs>
  <cellStyles count="6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" xfId="5" builtinId="5"/>
    <cellStyle name="Percent 2" xfId="4" xr:uid="{00000000-0005-0000-0000-000005000000}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20</xdr:col>
      <xdr:colOff>464169</xdr:colOff>
      <xdr:row>28</xdr:row>
      <xdr:rowOff>171705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53CB7-4D1B-B979-E7BC-2861E675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2046569" cy="49596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20</xdr:col>
      <xdr:colOff>231588</xdr:colOff>
      <xdr:row>45</xdr:row>
      <xdr:rowOff>123424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CF3476-ABE5-31DD-D2A3-3621ACD6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88" y="5416176"/>
          <a:ext cx="11870765" cy="31116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ĩ, Phạm Thanh" id="{2C26D764-B0FA-460F-9C7A-623A9B2FB28A}" userId="S::SiPT@duytanrecycling.com::b95997db-34bd-46c5-9c58-80c4baa4e0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12-18T05:57:09.31" personId="{2C26D764-B0FA-460F-9C7A-623A9B2FB28A}" id="{DA9F47F0-E54E-4F71-A916-8A7A28846D89}">
    <text xml:space="preserve">Tổng Định Phí/Tháng (FC) </text>
  </threadedComment>
  <threadedComment ref="S2" dT="2025-12-18T05:57:31.43" personId="{2C26D764-B0FA-460F-9C7A-623A9B2FB28A}" id="{B61903B9-8686-41FF-81B8-85DE38CAF1DB}">
    <text xml:space="preserve">Tổng Biến Phí/Tháng (VC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1" dT="2025-12-18T05:57:09.31" personId="{2C26D764-B0FA-460F-9C7A-623A9B2FB28A}" id="{EB14C914-C68C-45E5-8EA7-B560B7F953D2}">
    <text xml:space="preserve">Tổng Định Phí/Tháng (FC) </text>
  </threadedComment>
  <threadedComment ref="S2" dT="2025-12-18T05:57:31.43" personId="{2C26D764-B0FA-460F-9C7A-623A9B2FB28A}" id="{822D417F-A47B-4974-B913-3644F135A301}">
    <text xml:space="preserve">Tổng Biến Phí/Tháng (VC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A7" zoomScale="80" zoomScaleNormal="80" workbookViewId="0">
      <selection activeCell="D14" sqref="D14"/>
    </sheetView>
  </sheetViews>
  <sheetFormatPr defaultColWidth="10.08984375" defaultRowHeight="15.5" outlineLevelRow="1" outlineLevelCol="1"/>
  <cols>
    <col min="1" max="1" width="2.08984375" style="2" customWidth="1"/>
    <col min="2" max="2" width="23.453125" style="2" customWidth="1"/>
    <col min="3" max="3" width="7.6328125" style="2" customWidth="1"/>
    <col min="4" max="4" width="9.6328125" style="3" customWidth="1" outlineLevel="1"/>
    <col min="5" max="16" width="16.08984375" style="2" customWidth="1"/>
    <col min="17" max="17" width="19.54296875" style="2" customWidth="1"/>
    <col min="18" max="18" width="12.36328125" style="2" bestFit="1" customWidth="1"/>
    <col min="19" max="19" width="13.453125" style="2" customWidth="1"/>
    <col min="20" max="16384" width="10.08984375" style="2"/>
  </cols>
  <sheetData>
    <row r="1" spans="1:19">
      <c r="D1" s="2"/>
    </row>
    <row r="2" spans="1:19">
      <c r="A2" s="1" t="s">
        <v>0</v>
      </c>
      <c r="D2" s="2"/>
    </row>
    <row r="3" spans="1:19">
      <c r="B3" s="12" t="s">
        <v>37</v>
      </c>
      <c r="C3" s="1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s="53" customFormat="1" ht="46.5">
      <c r="B4" s="54" t="s">
        <v>17</v>
      </c>
      <c r="C4" s="54" t="s">
        <v>25</v>
      </c>
      <c r="D4" s="54" t="s">
        <v>40</v>
      </c>
      <c r="E4" s="51">
        <v>1</v>
      </c>
      <c r="F4" s="51">
        <v>2</v>
      </c>
      <c r="G4" s="51">
        <v>3</v>
      </c>
      <c r="H4" s="51">
        <v>4</v>
      </c>
      <c r="I4" s="51">
        <v>5</v>
      </c>
      <c r="J4" s="51">
        <v>6</v>
      </c>
      <c r="K4" s="51">
        <v>7</v>
      </c>
      <c r="L4" s="51">
        <v>8</v>
      </c>
      <c r="M4" s="51">
        <v>9</v>
      </c>
      <c r="N4" s="51">
        <v>10</v>
      </c>
      <c r="O4" s="51">
        <v>11</v>
      </c>
      <c r="P4" s="51">
        <v>12</v>
      </c>
      <c r="Q4" s="51" t="s">
        <v>18</v>
      </c>
      <c r="R4" s="52" t="s">
        <v>38</v>
      </c>
      <c r="S4" s="55" t="s">
        <v>41</v>
      </c>
    </row>
    <row r="5" spans="1:19">
      <c r="B5" s="13" t="s">
        <v>26</v>
      </c>
      <c r="C5" s="13" t="s">
        <v>27</v>
      </c>
      <c r="D5" s="4"/>
      <c r="E5" s="37">
        <v>300</v>
      </c>
      <c r="F5" s="37">
        <v>300</v>
      </c>
      <c r="G5" s="37">
        <v>300</v>
      </c>
      <c r="H5" s="37">
        <v>300</v>
      </c>
      <c r="I5" s="37">
        <v>300</v>
      </c>
      <c r="J5" s="37">
        <v>300</v>
      </c>
      <c r="K5" s="37">
        <v>300</v>
      </c>
      <c r="L5" s="37">
        <v>300</v>
      </c>
      <c r="M5" s="37">
        <v>300</v>
      </c>
      <c r="N5" s="37">
        <v>300</v>
      </c>
      <c r="O5" s="37">
        <v>300</v>
      </c>
      <c r="P5" s="37">
        <v>300</v>
      </c>
      <c r="Q5" s="37">
        <f>AVERAGE(E5:P5)</f>
        <v>300</v>
      </c>
      <c r="R5" s="5"/>
      <c r="S5" s="5"/>
    </row>
    <row r="6" spans="1:19">
      <c r="B6" s="4" t="s">
        <v>20</v>
      </c>
      <c r="C6" s="4" t="s">
        <v>21</v>
      </c>
      <c r="D6" s="4"/>
      <c r="E6" s="10">
        <f>300*16*30</f>
        <v>144000</v>
      </c>
      <c r="F6" s="10">
        <f t="shared" ref="F6:P6" si="0">300*16*30</f>
        <v>144000</v>
      </c>
      <c r="G6" s="10">
        <f t="shared" si="0"/>
        <v>144000</v>
      </c>
      <c r="H6" s="10">
        <f t="shared" si="0"/>
        <v>144000</v>
      </c>
      <c r="I6" s="10">
        <f t="shared" si="0"/>
        <v>144000</v>
      </c>
      <c r="J6" s="10">
        <f t="shared" si="0"/>
        <v>144000</v>
      </c>
      <c r="K6" s="10">
        <f t="shared" si="0"/>
        <v>144000</v>
      </c>
      <c r="L6" s="10">
        <f t="shared" si="0"/>
        <v>144000</v>
      </c>
      <c r="M6" s="10">
        <f t="shared" si="0"/>
        <v>144000</v>
      </c>
      <c r="N6" s="10">
        <f t="shared" si="0"/>
        <v>144000</v>
      </c>
      <c r="O6" s="10">
        <f t="shared" si="0"/>
        <v>144000</v>
      </c>
      <c r="P6" s="10">
        <f t="shared" si="0"/>
        <v>144000</v>
      </c>
      <c r="Q6" s="10">
        <f>SUM(E6:P6)</f>
        <v>1728000</v>
      </c>
      <c r="R6" s="5"/>
      <c r="S6" s="5"/>
    </row>
    <row r="7" spans="1:19">
      <c r="B7" s="4" t="s">
        <v>12</v>
      </c>
      <c r="C7" s="4"/>
      <c r="D7" s="4"/>
      <c r="E7" s="16">
        <f>SUM(E8:E11)</f>
        <v>144000</v>
      </c>
      <c r="F7" s="16">
        <f t="shared" ref="F7:Q7" si="1">SUM(F8:F11)</f>
        <v>144000</v>
      </c>
      <c r="G7" s="16">
        <f t="shared" si="1"/>
        <v>144000</v>
      </c>
      <c r="H7" s="16">
        <f t="shared" si="1"/>
        <v>144000</v>
      </c>
      <c r="I7" s="16">
        <f t="shared" si="1"/>
        <v>144000</v>
      </c>
      <c r="J7" s="16">
        <f t="shared" si="1"/>
        <v>144000</v>
      </c>
      <c r="K7" s="16">
        <f t="shared" si="1"/>
        <v>144000</v>
      </c>
      <c r="L7" s="16">
        <f t="shared" si="1"/>
        <v>144000</v>
      </c>
      <c r="M7" s="16">
        <f t="shared" si="1"/>
        <v>144000</v>
      </c>
      <c r="N7" s="16">
        <f t="shared" si="1"/>
        <v>144000</v>
      </c>
      <c r="O7" s="16">
        <f t="shared" si="1"/>
        <v>144000</v>
      </c>
      <c r="P7" s="16">
        <f t="shared" si="1"/>
        <v>144000</v>
      </c>
      <c r="Q7" s="16">
        <f t="shared" si="1"/>
        <v>1728000</v>
      </c>
      <c r="R7" s="5"/>
      <c r="S7" s="5"/>
    </row>
    <row r="8" spans="1:19" s="11" customFormat="1" outlineLevel="1">
      <c r="B8" s="14" t="s">
        <v>19</v>
      </c>
      <c r="C8" s="14"/>
      <c r="D8" s="15">
        <v>1</v>
      </c>
      <c r="E8" s="16">
        <f>E$6*$D8</f>
        <v>144000</v>
      </c>
      <c r="F8" s="16">
        <f t="shared" ref="F8:P8" si="2">F$6*$D8</f>
        <v>144000</v>
      </c>
      <c r="G8" s="16">
        <f t="shared" si="2"/>
        <v>144000</v>
      </c>
      <c r="H8" s="16">
        <f t="shared" si="2"/>
        <v>144000</v>
      </c>
      <c r="I8" s="16">
        <f t="shared" si="2"/>
        <v>144000</v>
      </c>
      <c r="J8" s="16">
        <f t="shared" si="2"/>
        <v>144000</v>
      </c>
      <c r="K8" s="16">
        <f t="shared" si="2"/>
        <v>144000</v>
      </c>
      <c r="L8" s="16">
        <f t="shared" si="2"/>
        <v>144000</v>
      </c>
      <c r="M8" s="16">
        <f t="shared" si="2"/>
        <v>144000</v>
      </c>
      <c r="N8" s="16">
        <f t="shared" si="2"/>
        <v>144000</v>
      </c>
      <c r="O8" s="16">
        <f t="shared" si="2"/>
        <v>144000</v>
      </c>
      <c r="P8" s="16">
        <f t="shared" si="2"/>
        <v>144000</v>
      </c>
      <c r="Q8" s="16">
        <f>SUM(E8:P8)</f>
        <v>1728000</v>
      </c>
      <c r="R8" s="40"/>
      <c r="S8" s="40"/>
    </row>
    <row r="9" spans="1:19" s="11" customFormat="1" outlineLevel="1">
      <c r="B9" s="17"/>
      <c r="C9" s="17"/>
      <c r="D9" s="18">
        <v>0</v>
      </c>
      <c r="E9" s="19">
        <f t="shared" ref="E9:P11" si="3">E$6*$D9</f>
        <v>0</v>
      </c>
      <c r="F9" s="19">
        <f t="shared" si="3"/>
        <v>0</v>
      </c>
      <c r="G9" s="19">
        <f t="shared" si="3"/>
        <v>0</v>
      </c>
      <c r="H9" s="19">
        <f t="shared" si="3"/>
        <v>0</v>
      </c>
      <c r="I9" s="19">
        <f t="shared" si="3"/>
        <v>0</v>
      </c>
      <c r="J9" s="19">
        <f t="shared" si="3"/>
        <v>0</v>
      </c>
      <c r="K9" s="19">
        <f t="shared" si="3"/>
        <v>0</v>
      </c>
      <c r="L9" s="19">
        <f t="shared" si="3"/>
        <v>0</v>
      </c>
      <c r="M9" s="19">
        <f t="shared" si="3"/>
        <v>0</v>
      </c>
      <c r="N9" s="19">
        <f t="shared" si="3"/>
        <v>0</v>
      </c>
      <c r="O9" s="19">
        <f t="shared" si="3"/>
        <v>0</v>
      </c>
      <c r="P9" s="19">
        <f t="shared" si="3"/>
        <v>0</v>
      </c>
      <c r="Q9" s="19">
        <f t="shared" ref="Q9:Q38" si="4">SUM(E9:P9)</f>
        <v>0</v>
      </c>
      <c r="R9" s="40"/>
      <c r="S9" s="40"/>
    </row>
    <row r="10" spans="1:19" s="11" customFormat="1" outlineLevel="1">
      <c r="B10" s="17"/>
      <c r="C10" s="17"/>
      <c r="D10" s="18">
        <v>0</v>
      </c>
      <c r="E10" s="19">
        <f t="shared" si="3"/>
        <v>0</v>
      </c>
      <c r="F10" s="19">
        <f t="shared" si="3"/>
        <v>0</v>
      </c>
      <c r="G10" s="19">
        <f t="shared" si="3"/>
        <v>0</v>
      </c>
      <c r="H10" s="19">
        <f t="shared" si="3"/>
        <v>0</v>
      </c>
      <c r="I10" s="19">
        <f t="shared" si="3"/>
        <v>0</v>
      </c>
      <c r="J10" s="19">
        <f t="shared" si="3"/>
        <v>0</v>
      </c>
      <c r="K10" s="19">
        <f t="shared" si="3"/>
        <v>0</v>
      </c>
      <c r="L10" s="19">
        <f t="shared" si="3"/>
        <v>0</v>
      </c>
      <c r="M10" s="19">
        <f t="shared" si="3"/>
        <v>0</v>
      </c>
      <c r="N10" s="19">
        <f t="shared" si="3"/>
        <v>0</v>
      </c>
      <c r="O10" s="19">
        <f t="shared" si="3"/>
        <v>0</v>
      </c>
      <c r="P10" s="19">
        <f t="shared" si="3"/>
        <v>0</v>
      </c>
      <c r="Q10" s="19">
        <f t="shared" si="4"/>
        <v>0</v>
      </c>
      <c r="R10" s="40"/>
      <c r="S10" s="40"/>
    </row>
    <row r="11" spans="1:19" s="11" customFormat="1" outlineLevel="1">
      <c r="B11" s="20"/>
      <c r="C11" s="20"/>
      <c r="D11" s="21"/>
      <c r="E11" s="22">
        <f t="shared" si="3"/>
        <v>0</v>
      </c>
      <c r="F11" s="22">
        <f t="shared" si="3"/>
        <v>0</v>
      </c>
      <c r="G11" s="22">
        <f t="shared" si="3"/>
        <v>0</v>
      </c>
      <c r="H11" s="22">
        <f t="shared" si="3"/>
        <v>0</v>
      </c>
      <c r="I11" s="22">
        <f t="shared" si="3"/>
        <v>0</v>
      </c>
      <c r="J11" s="22">
        <f t="shared" si="3"/>
        <v>0</v>
      </c>
      <c r="K11" s="22">
        <f t="shared" si="3"/>
        <v>0</v>
      </c>
      <c r="L11" s="22">
        <f t="shared" si="3"/>
        <v>0</v>
      </c>
      <c r="M11" s="22">
        <f t="shared" si="3"/>
        <v>0</v>
      </c>
      <c r="N11" s="22">
        <f t="shared" si="3"/>
        <v>0</v>
      </c>
      <c r="O11" s="22">
        <f t="shared" si="3"/>
        <v>0</v>
      </c>
      <c r="P11" s="22">
        <f t="shared" si="3"/>
        <v>0</v>
      </c>
      <c r="Q11" s="22">
        <f t="shared" si="4"/>
        <v>0</v>
      </c>
      <c r="R11" s="40"/>
      <c r="S11" s="40"/>
    </row>
    <row r="12" spans="1:19" outlineLevel="1">
      <c r="B12" s="6" t="s">
        <v>8</v>
      </c>
      <c r="C12" s="6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si="4"/>
        <v>0</v>
      </c>
      <c r="R12" s="5"/>
      <c r="S12" s="5"/>
    </row>
    <row r="13" spans="1:19">
      <c r="B13" s="4" t="s">
        <v>14</v>
      </c>
      <c r="C13" s="4"/>
      <c r="D13" s="4"/>
      <c r="E13" s="5">
        <v>1</v>
      </c>
      <c r="F13" s="5">
        <v>2</v>
      </c>
      <c r="G13" s="5">
        <v>3</v>
      </c>
      <c r="H13" s="5">
        <v>4</v>
      </c>
      <c r="I13" s="5">
        <v>5</v>
      </c>
      <c r="J13" s="5">
        <v>6</v>
      </c>
      <c r="K13" s="5">
        <v>7</v>
      </c>
      <c r="L13" s="5">
        <v>8</v>
      </c>
      <c r="M13" s="5">
        <v>9</v>
      </c>
      <c r="N13" s="5">
        <v>10</v>
      </c>
      <c r="O13" s="5">
        <v>11</v>
      </c>
      <c r="P13" s="5">
        <v>12</v>
      </c>
      <c r="Q13" s="5">
        <f t="shared" si="4"/>
        <v>78</v>
      </c>
      <c r="R13" s="5"/>
      <c r="S13" s="5"/>
    </row>
    <row r="14" spans="1:19" s="11" customFormat="1" outlineLevel="1">
      <c r="B14" s="14" t="s">
        <v>19</v>
      </c>
      <c r="C14" s="14"/>
      <c r="D14" s="23">
        <v>10200</v>
      </c>
      <c r="E14" s="24">
        <f>E8*$D14</f>
        <v>1468800000</v>
      </c>
      <c r="F14" s="24">
        <f t="shared" ref="F14:P17" si="5">F8*$D14</f>
        <v>1468800000</v>
      </c>
      <c r="G14" s="24">
        <f t="shared" si="5"/>
        <v>1468800000</v>
      </c>
      <c r="H14" s="24">
        <f t="shared" si="5"/>
        <v>1468800000</v>
      </c>
      <c r="I14" s="24">
        <f t="shared" si="5"/>
        <v>1468800000</v>
      </c>
      <c r="J14" s="24">
        <f t="shared" si="5"/>
        <v>1468800000</v>
      </c>
      <c r="K14" s="24">
        <f t="shared" si="5"/>
        <v>1468800000</v>
      </c>
      <c r="L14" s="24">
        <f t="shared" si="5"/>
        <v>1468800000</v>
      </c>
      <c r="M14" s="24">
        <f t="shared" si="5"/>
        <v>1468800000</v>
      </c>
      <c r="N14" s="24">
        <f t="shared" si="5"/>
        <v>1468800000</v>
      </c>
      <c r="O14" s="24">
        <f t="shared" si="5"/>
        <v>1468800000</v>
      </c>
      <c r="P14" s="24">
        <f t="shared" si="5"/>
        <v>1468800000</v>
      </c>
      <c r="Q14" s="24">
        <f t="shared" si="4"/>
        <v>17625600000</v>
      </c>
      <c r="R14" s="40"/>
      <c r="S14" s="40"/>
    </row>
    <row r="15" spans="1:19" s="11" customFormat="1" outlineLevel="1">
      <c r="B15" s="17"/>
      <c r="C15" s="17"/>
      <c r="D15" s="25"/>
      <c r="E15" s="26">
        <f>E9*$D15</f>
        <v>0</v>
      </c>
      <c r="F15" s="26">
        <f t="shared" si="5"/>
        <v>0</v>
      </c>
      <c r="G15" s="26">
        <f t="shared" si="5"/>
        <v>0</v>
      </c>
      <c r="H15" s="26">
        <f t="shared" si="5"/>
        <v>0</v>
      </c>
      <c r="I15" s="26">
        <f t="shared" si="5"/>
        <v>0</v>
      </c>
      <c r="J15" s="26">
        <f t="shared" si="5"/>
        <v>0</v>
      </c>
      <c r="K15" s="26">
        <f t="shared" si="5"/>
        <v>0</v>
      </c>
      <c r="L15" s="26">
        <f t="shared" si="5"/>
        <v>0</v>
      </c>
      <c r="M15" s="26">
        <f t="shared" si="5"/>
        <v>0</v>
      </c>
      <c r="N15" s="26">
        <f t="shared" si="5"/>
        <v>0</v>
      </c>
      <c r="O15" s="26">
        <f t="shared" si="5"/>
        <v>0</v>
      </c>
      <c r="P15" s="26">
        <f t="shared" si="5"/>
        <v>0</v>
      </c>
      <c r="Q15" s="26">
        <f t="shared" si="4"/>
        <v>0</v>
      </c>
      <c r="R15" s="40"/>
      <c r="S15" s="40"/>
    </row>
    <row r="16" spans="1:19" s="11" customFormat="1" outlineLevel="1">
      <c r="B16" s="17"/>
      <c r="C16" s="17"/>
      <c r="D16" s="25"/>
      <c r="E16" s="26">
        <f>E10*$D16</f>
        <v>0</v>
      </c>
      <c r="F16" s="26">
        <f t="shared" si="5"/>
        <v>0</v>
      </c>
      <c r="G16" s="26">
        <f t="shared" si="5"/>
        <v>0</v>
      </c>
      <c r="H16" s="26">
        <f t="shared" si="5"/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4"/>
        <v>0</v>
      </c>
      <c r="R16" s="40"/>
      <c r="S16" s="40"/>
    </row>
    <row r="17" spans="2:19" s="11" customFormat="1" outlineLevel="1">
      <c r="B17" s="20"/>
      <c r="C17" s="20"/>
      <c r="D17" s="22"/>
      <c r="E17" s="27">
        <f>E11*$D17</f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4"/>
        <v>0</v>
      </c>
      <c r="R17" s="40"/>
      <c r="S17" s="40"/>
    </row>
    <row r="18" spans="2:19">
      <c r="B18" s="4" t="s">
        <v>6</v>
      </c>
      <c r="C18" s="4"/>
      <c r="D18" s="4"/>
      <c r="E18" s="8">
        <f>SUM(E14:E17)</f>
        <v>1468800000</v>
      </c>
      <c r="F18" s="8">
        <f t="shared" ref="F18:P18" si="6">SUM(F14:F17)</f>
        <v>1468800000</v>
      </c>
      <c r="G18" s="8">
        <f t="shared" si="6"/>
        <v>1468800000</v>
      </c>
      <c r="H18" s="8">
        <f t="shared" si="6"/>
        <v>1468800000</v>
      </c>
      <c r="I18" s="8">
        <f t="shared" si="6"/>
        <v>1468800000</v>
      </c>
      <c r="J18" s="8">
        <f t="shared" si="6"/>
        <v>1468800000</v>
      </c>
      <c r="K18" s="8">
        <f t="shared" si="6"/>
        <v>1468800000</v>
      </c>
      <c r="L18" s="8">
        <f t="shared" si="6"/>
        <v>1468800000</v>
      </c>
      <c r="M18" s="8">
        <f t="shared" si="6"/>
        <v>1468800000</v>
      </c>
      <c r="N18" s="8">
        <f t="shared" si="6"/>
        <v>1468800000</v>
      </c>
      <c r="O18" s="8">
        <f t="shared" si="6"/>
        <v>1468800000</v>
      </c>
      <c r="P18" s="8">
        <f t="shared" si="6"/>
        <v>1468800000</v>
      </c>
      <c r="Q18" s="8">
        <f t="shared" si="4"/>
        <v>17625600000</v>
      </c>
      <c r="R18" s="5"/>
      <c r="S18" s="5"/>
    </row>
    <row r="19" spans="2:19" hidden="1" outlineLevel="1">
      <c r="B19" s="7" t="s">
        <v>10</v>
      </c>
      <c r="C19" s="7"/>
      <c r="D19" s="4"/>
      <c r="E19" s="9">
        <f>E18*4%</f>
        <v>58752000</v>
      </c>
      <c r="F19" s="9">
        <f t="shared" ref="F19:P19" si="7">F18*4%</f>
        <v>58752000</v>
      </c>
      <c r="G19" s="9">
        <f t="shared" si="7"/>
        <v>58752000</v>
      </c>
      <c r="H19" s="9">
        <f t="shared" si="7"/>
        <v>58752000</v>
      </c>
      <c r="I19" s="9">
        <f t="shared" si="7"/>
        <v>58752000</v>
      </c>
      <c r="J19" s="9">
        <f t="shared" si="7"/>
        <v>58752000</v>
      </c>
      <c r="K19" s="9">
        <f t="shared" si="7"/>
        <v>58752000</v>
      </c>
      <c r="L19" s="9">
        <f t="shared" si="7"/>
        <v>58752000</v>
      </c>
      <c r="M19" s="9">
        <f t="shared" si="7"/>
        <v>58752000</v>
      </c>
      <c r="N19" s="9">
        <f t="shared" si="7"/>
        <v>58752000</v>
      </c>
      <c r="O19" s="9">
        <f t="shared" si="7"/>
        <v>58752000</v>
      </c>
      <c r="P19" s="9">
        <f t="shared" si="7"/>
        <v>58752000</v>
      </c>
      <c r="Q19" s="9">
        <f t="shared" si="4"/>
        <v>705024000</v>
      </c>
      <c r="R19" s="5"/>
      <c r="S19" s="5"/>
    </row>
    <row r="20" spans="2:19" ht="15" customHeight="1" collapsed="1">
      <c r="B20" s="4" t="s">
        <v>9</v>
      </c>
      <c r="C20" s="4" t="s">
        <v>23</v>
      </c>
      <c r="D20" s="38">
        <v>0.96</v>
      </c>
      <c r="E20" s="10">
        <f>$D$20*E7</f>
        <v>138240</v>
      </c>
      <c r="F20" s="10">
        <f t="shared" ref="F20:P20" si="8">$D$20*F7</f>
        <v>138240</v>
      </c>
      <c r="G20" s="10">
        <f t="shared" si="8"/>
        <v>138240</v>
      </c>
      <c r="H20" s="10">
        <f t="shared" si="8"/>
        <v>138240</v>
      </c>
      <c r="I20" s="10">
        <f t="shared" si="8"/>
        <v>138240</v>
      </c>
      <c r="J20" s="10">
        <f t="shared" si="8"/>
        <v>138240</v>
      </c>
      <c r="K20" s="10">
        <f t="shared" si="8"/>
        <v>138240</v>
      </c>
      <c r="L20" s="10">
        <f t="shared" si="8"/>
        <v>138240</v>
      </c>
      <c r="M20" s="10">
        <f t="shared" si="8"/>
        <v>138240</v>
      </c>
      <c r="N20" s="10">
        <f t="shared" si="8"/>
        <v>138240</v>
      </c>
      <c r="O20" s="10">
        <f t="shared" si="8"/>
        <v>138240</v>
      </c>
      <c r="P20" s="10">
        <f t="shared" si="8"/>
        <v>138240</v>
      </c>
      <c r="Q20" s="10">
        <f t="shared" si="4"/>
        <v>1658880</v>
      </c>
      <c r="R20" s="5"/>
      <c r="S20" s="5"/>
    </row>
    <row r="21" spans="2:19" ht="15" customHeight="1">
      <c r="B21" s="4" t="s">
        <v>1</v>
      </c>
      <c r="C21" s="4" t="s">
        <v>22</v>
      </c>
      <c r="D21" s="4"/>
      <c r="E21" s="5">
        <v>21500</v>
      </c>
      <c r="F21" s="5">
        <v>21500</v>
      </c>
      <c r="G21" s="5">
        <v>21500</v>
      </c>
      <c r="H21" s="5">
        <v>21500</v>
      </c>
      <c r="I21" s="5">
        <v>21500</v>
      </c>
      <c r="J21" s="5">
        <v>21500</v>
      </c>
      <c r="K21" s="5">
        <v>21500</v>
      </c>
      <c r="L21" s="5">
        <v>21500</v>
      </c>
      <c r="M21" s="5">
        <v>21500</v>
      </c>
      <c r="N21" s="5">
        <v>21500</v>
      </c>
      <c r="O21" s="5">
        <v>21500</v>
      </c>
      <c r="P21" s="5">
        <v>21500</v>
      </c>
      <c r="Q21" s="5">
        <f>AVERAGE(E21:P21)</f>
        <v>21500</v>
      </c>
      <c r="R21" s="5"/>
      <c r="S21" s="5"/>
    </row>
    <row r="22" spans="2:19" s="48" customFormat="1">
      <c r="B22" s="45" t="s">
        <v>5</v>
      </c>
      <c r="C22" s="45" t="s">
        <v>24</v>
      </c>
      <c r="D22" s="45"/>
      <c r="E22" s="46">
        <f>E20*E21</f>
        <v>2972160000</v>
      </c>
      <c r="F22" s="46">
        <f t="shared" ref="F22:P22" si="9">F20*F21</f>
        <v>2972160000</v>
      </c>
      <c r="G22" s="46">
        <f t="shared" si="9"/>
        <v>2972160000</v>
      </c>
      <c r="H22" s="46">
        <f t="shared" si="9"/>
        <v>2972160000</v>
      </c>
      <c r="I22" s="46">
        <f t="shared" si="9"/>
        <v>2972160000</v>
      </c>
      <c r="J22" s="46">
        <f t="shared" si="9"/>
        <v>2972160000</v>
      </c>
      <c r="K22" s="46">
        <f t="shared" si="9"/>
        <v>2972160000</v>
      </c>
      <c r="L22" s="46">
        <f t="shared" si="9"/>
        <v>2972160000</v>
      </c>
      <c r="M22" s="46">
        <f t="shared" si="9"/>
        <v>2972160000</v>
      </c>
      <c r="N22" s="46">
        <f t="shared" si="9"/>
        <v>2972160000</v>
      </c>
      <c r="O22" s="46">
        <f t="shared" si="9"/>
        <v>2972160000</v>
      </c>
      <c r="P22" s="46">
        <f t="shared" si="9"/>
        <v>2972160000</v>
      </c>
      <c r="Q22" s="46">
        <f t="shared" si="4"/>
        <v>35665920000</v>
      </c>
      <c r="R22" s="47"/>
      <c r="S22" s="47"/>
    </row>
    <row r="23" spans="2:19">
      <c r="B23" s="4" t="s">
        <v>31</v>
      </c>
      <c r="C23" s="4"/>
      <c r="D23" s="4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>
        <f t="shared" si="4"/>
        <v>0</v>
      </c>
      <c r="R23" s="5"/>
      <c r="S23" s="5"/>
    </row>
    <row r="24" spans="2:19" s="48" customFormat="1">
      <c r="B24" s="45" t="s">
        <v>15</v>
      </c>
      <c r="C24" s="45" t="s">
        <v>24</v>
      </c>
      <c r="D24" s="45"/>
      <c r="E24" s="49">
        <f>E22-E18-E23</f>
        <v>1503360000</v>
      </c>
      <c r="F24" s="49">
        <f t="shared" ref="F24:P24" si="10">F22-F18-F23</f>
        <v>1503360000</v>
      </c>
      <c r="G24" s="49">
        <f t="shared" si="10"/>
        <v>1503360000</v>
      </c>
      <c r="H24" s="49">
        <f t="shared" si="10"/>
        <v>1503360000</v>
      </c>
      <c r="I24" s="49">
        <f t="shared" si="10"/>
        <v>1503360000</v>
      </c>
      <c r="J24" s="49">
        <f t="shared" si="10"/>
        <v>1503360000</v>
      </c>
      <c r="K24" s="49">
        <f t="shared" si="10"/>
        <v>1503360000</v>
      </c>
      <c r="L24" s="49">
        <f t="shared" si="10"/>
        <v>1503360000</v>
      </c>
      <c r="M24" s="49">
        <f t="shared" si="10"/>
        <v>1503360000</v>
      </c>
      <c r="N24" s="49">
        <f t="shared" si="10"/>
        <v>1503360000</v>
      </c>
      <c r="O24" s="49">
        <f t="shared" si="10"/>
        <v>1503360000</v>
      </c>
      <c r="P24" s="49">
        <f t="shared" si="10"/>
        <v>1503360000</v>
      </c>
      <c r="Q24" s="49">
        <f t="shared" si="4"/>
        <v>18040320000</v>
      </c>
      <c r="R24" s="47"/>
      <c r="S24" s="47"/>
    </row>
    <row r="25" spans="2:19">
      <c r="B25" s="28" t="s">
        <v>2</v>
      </c>
      <c r="C25" s="28"/>
      <c r="D25" s="29">
        <v>36.243780000000001</v>
      </c>
      <c r="E25" s="30">
        <f>$D25*E7</f>
        <v>5219104.32</v>
      </c>
      <c r="F25" s="30">
        <f t="shared" ref="F25:P25" si="11">$D25*F7</f>
        <v>5219104.32</v>
      </c>
      <c r="G25" s="30">
        <f t="shared" si="11"/>
        <v>5219104.32</v>
      </c>
      <c r="H25" s="30">
        <f t="shared" si="11"/>
        <v>5219104.32</v>
      </c>
      <c r="I25" s="30">
        <f t="shared" si="11"/>
        <v>5219104.32</v>
      </c>
      <c r="J25" s="30">
        <f t="shared" si="11"/>
        <v>5219104.32</v>
      </c>
      <c r="K25" s="30">
        <f t="shared" si="11"/>
        <v>5219104.32</v>
      </c>
      <c r="L25" s="30">
        <f t="shared" si="11"/>
        <v>5219104.32</v>
      </c>
      <c r="M25" s="30">
        <f t="shared" si="11"/>
        <v>5219104.32</v>
      </c>
      <c r="N25" s="30">
        <f t="shared" si="11"/>
        <v>5219104.32</v>
      </c>
      <c r="O25" s="30">
        <f t="shared" si="11"/>
        <v>5219104.32</v>
      </c>
      <c r="P25" s="30">
        <f t="shared" si="11"/>
        <v>5219104.32</v>
      </c>
      <c r="Q25" s="30">
        <f t="shared" si="4"/>
        <v>62629251.840000004</v>
      </c>
      <c r="R25" s="29"/>
      <c r="S25" s="29"/>
    </row>
    <row r="26" spans="2:19">
      <c r="B26" s="56" t="s">
        <v>28</v>
      </c>
      <c r="C26" s="56" t="s">
        <v>33</v>
      </c>
      <c r="D26" s="57">
        <v>500</v>
      </c>
      <c r="E26" s="58">
        <f>ROUND(E7/E5,0)*$D26*2200</f>
        <v>528000000</v>
      </c>
      <c r="F26" s="58">
        <f t="shared" ref="F26:P26" si="12">ROUND(F7/F5,0)*$D26*2200</f>
        <v>528000000</v>
      </c>
      <c r="G26" s="58">
        <f t="shared" si="12"/>
        <v>528000000</v>
      </c>
      <c r="H26" s="58">
        <f t="shared" si="12"/>
        <v>528000000</v>
      </c>
      <c r="I26" s="58">
        <f t="shared" si="12"/>
        <v>528000000</v>
      </c>
      <c r="J26" s="58">
        <f t="shared" si="12"/>
        <v>528000000</v>
      </c>
      <c r="K26" s="58">
        <f t="shared" si="12"/>
        <v>528000000</v>
      </c>
      <c r="L26" s="58">
        <f t="shared" si="12"/>
        <v>528000000</v>
      </c>
      <c r="M26" s="58">
        <f t="shared" si="12"/>
        <v>528000000</v>
      </c>
      <c r="N26" s="58">
        <f t="shared" si="12"/>
        <v>528000000</v>
      </c>
      <c r="O26" s="58">
        <f t="shared" si="12"/>
        <v>528000000</v>
      </c>
      <c r="P26" s="58">
        <f t="shared" si="12"/>
        <v>528000000</v>
      </c>
      <c r="Q26" s="58">
        <f t="shared" si="4"/>
        <v>6336000000</v>
      </c>
      <c r="R26" s="57">
        <f>ROUND(Q26/$Q$20,0)</f>
        <v>3819</v>
      </c>
      <c r="S26" s="57"/>
    </row>
    <row r="27" spans="2:19">
      <c r="B27" s="56" t="s">
        <v>29</v>
      </c>
      <c r="C27" s="56" t="s">
        <v>32</v>
      </c>
      <c r="D27" s="59">
        <f>ROUND(30/16,0)</f>
        <v>2</v>
      </c>
      <c r="E27" s="58">
        <f>ROUND(E6/300,0)*$D27*11500</f>
        <v>11040000</v>
      </c>
      <c r="F27" s="58">
        <f t="shared" ref="F27:P28" si="13">ROUND(F6/300,0)*$D27*11500</f>
        <v>11040000</v>
      </c>
      <c r="G27" s="58">
        <f t="shared" si="13"/>
        <v>11040000</v>
      </c>
      <c r="H27" s="58">
        <f t="shared" si="13"/>
        <v>11040000</v>
      </c>
      <c r="I27" s="58">
        <f t="shared" si="13"/>
        <v>11040000</v>
      </c>
      <c r="J27" s="58">
        <f t="shared" si="13"/>
        <v>11040000</v>
      </c>
      <c r="K27" s="58">
        <f t="shared" si="13"/>
        <v>11040000</v>
      </c>
      <c r="L27" s="58">
        <f t="shared" si="13"/>
        <v>11040000</v>
      </c>
      <c r="M27" s="58">
        <f t="shared" si="13"/>
        <v>11040000</v>
      </c>
      <c r="N27" s="58">
        <f t="shared" si="13"/>
        <v>11040000</v>
      </c>
      <c r="O27" s="58">
        <f t="shared" si="13"/>
        <v>11040000</v>
      </c>
      <c r="P27" s="58">
        <f t="shared" si="13"/>
        <v>11040000</v>
      </c>
      <c r="Q27" s="58">
        <f t="shared" si="4"/>
        <v>132480000</v>
      </c>
      <c r="R27" s="57">
        <f t="shared" ref="R27:R37" si="14">ROUND(Q27/$Q$20,0)</f>
        <v>80</v>
      </c>
      <c r="S27" s="57"/>
    </row>
    <row r="28" spans="2:19">
      <c r="B28" s="56" t="s">
        <v>34</v>
      </c>
      <c r="C28" s="56" t="s">
        <v>32</v>
      </c>
      <c r="D28" s="59">
        <f>D27*80%</f>
        <v>1.6</v>
      </c>
      <c r="E28" s="58">
        <f>ROUND(E7/300,0)*$D28*11500</f>
        <v>8832000</v>
      </c>
      <c r="F28" s="58">
        <f t="shared" si="13"/>
        <v>8832000</v>
      </c>
      <c r="G28" s="58">
        <f t="shared" si="13"/>
        <v>8832000</v>
      </c>
      <c r="H28" s="58">
        <f t="shared" si="13"/>
        <v>8832000</v>
      </c>
      <c r="I28" s="58">
        <f t="shared" si="13"/>
        <v>8832000</v>
      </c>
      <c r="J28" s="58">
        <f t="shared" si="13"/>
        <v>8832000</v>
      </c>
      <c r="K28" s="58">
        <f t="shared" si="13"/>
        <v>8832000</v>
      </c>
      <c r="L28" s="58">
        <f t="shared" si="13"/>
        <v>8832000</v>
      </c>
      <c r="M28" s="58">
        <f t="shared" si="13"/>
        <v>8832000</v>
      </c>
      <c r="N28" s="58">
        <f t="shared" si="13"/>
        <v>8832000</v>
      </c>
      <c r="O28" s="58">
        <f t="shared" si="13"/>
        <v>8832000</v>
      </c>
      <c r="P28" s="58">
        <f t="shared" si="13"/>
        <v>8832000</v>
      </c>
      <c r="Q28" s="58">
        <f t="shared" si="4"/>
        <v>105984000</v>
      </c>
      <c r="R28" s="57">
        <f t="shared" si="14"/>
        <v>64</v>
      </c>
      <c r="S28" s="57"/>
    </row>
    <row r="29" spans="2:19">
      <c r="B29" s="56" t="s">
        <v>3</v>
      </c>
      <c r="C29" s="56" t="s">
        <v>30</v>
      </c>
      <c r="D29" s="57">
        <v>48000</v>
      </c>
      <c r="E29" s="58">
        <f>ROUND(E7/300*3,0)*$D29</f>
        <v>69120000</v>
      </c>
      <c r="F29" s="58">
        <f t="shared" ref="F29:P29" si="15">ROUND(F7/300*3,0)*$D29</f>
        <v>69120000</v>
      </c>
      <c r="G29" s="58">
        <f t="shared" si="15"/>
        <v>69120000</v>
      </c>
      <c r="H29" s="58">
        <f t="shared" si="15"/>
        <v>69120000</v>
      </c>
      <c r="I29" s="58">
        <f t="shared" si="15"/>
        <v>69120000</v>
      </c>
      <c r="J29" s="58">
        <f t="shared" si="15"/>
        <v>69120000</v>
      </c>
      <c r="K29" s="58">
        <f t="shared" si="15"/>
        <v>69120000</v>
      </c>
      <c r="L29" s="58">
        <f t="shared" si="15"/>
        <v>69120000</v>
      </c>
      <c r="M29" s="58">
        <f t="shared" si="15"/>
        <v>69120000</v>
      </c>
      <c r="N29" s="58">
        <f t="shared" si="15"/>
        <v>69120000</v>
      </c>
      <c r="O29" s="58">
        <f t="shared" si="15"/>
        <v>69120000</v>
      </c>
      <c r="P29" s="58">
        <f t="shared" si="15"/>
        <v>69120000</v>
      </c>
      <c r="Q29" s="58">
        <f>SUM(E29:P29)</f>
        <v>829440000</v>
      </c>
      <c r="R29" s="57">
        <f t="shared" si="14"/>
        <v>500</v>
      </c>
      <c r="S29" s="32"/>
    </row>
    <row r="30" spans="2:19">
      <c r="B30" s="31" t="s">
        <v>36</v>
      </c>
      <c r="C30" s="31"/>
      <c r="D30" s="32">
        <f>145+60</f>
        <v>205</v>
      </c>
      <c r="E30" s="33">
        <f>$D30*E$7</f>
        <v>29520000</v>
      </c>
      <c r="F30" s="33">
        <f t="shared" ref="F30:P30" si="16">$D30*F$7</f>
        <v>29520000</v>
      </c>
      <c r="G30" s="33">
        <f t="shared" si="16"/>
        <v>29520000</v>
      </c>
      <c r="H30" s="33">
        <f t="shared" si="16"/>
        <v>29520000</v>
      </c>
      <c r="I30" s="33">
        <f t="shared" si="16"/>
        <v>29520000</v>
      </c>
      <c r="J30" s="33">
        <f t="shared" si="16"/>
        <v>29520000</v>
      </c>
      <c r="K30" s="33">
        <f t="shared" si="16"/>
        <v>29520000</v>
      </c>
      <c r="L30" s="33">
        <f t="shared" si="16"/>
        <v>29520000</v>
      </c>
      <c r="M30" s="33">
        <f t="shared" si="16"/>
        <v>29520000</v>
      </c>
      <c r="N30" s="33">
        <f t="shared" si="16"/>
        <v>29520000</v>
      </c>
      <c r="O30" s="33">
        <f t="shared" si="16"/>
        <v>29520000</v>
      </c>
      <c r="P30" s="33">
        <f t="shared" si="16"/>
        <v>29520000</v>
      </c>
      <c r="Q30" s="33">
        <f t="shared" si="4"/>
        <v>354240000</v>
      </c>
      <c r="R30" s="32">
        <f t="shared" si="14"/>
        <v>214</v>
      </c>
      <c r="S30" s="32"/>
    </row>
    <row r="31" spans="2:19">
      <c r="B31" s="31" t="s">
        <v>35</v>
      </c>
      <c r="C31" s="31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2"/>
      <c r="S31" s="32"/>
    </row>
    <row r="32" spans="2:19">
      <c r="B32" s="56" t="s">
        <v>39</v>
      </c>
      <c r="C32" s="56" t="s">
        <v>30</v>
      </c>
      <c r="D32" s="57">
        <f>ROUND(57700*1.06,-1)</f>
        <v>61160</v>
      </c>
      <c r="E32" s="58">
        <f>ROUND(E7/300,0)*3*$D32</f>
        <v>88070400</v>
      </c>
      <c r="F32" s="58">
        <f t="shared" ref="F32:P32" si="17">ROUND(F7/300,0)*3*$D32</f>
        <v>88070400</v>
      </c>
      <c r="G32" s="58">
        <f t="shared" si="17"/>
        <v>88070400</v>
      </c>
      <c r="H32" s="58">
        <f t="shared" si="17"/>
        <v>88070400</v>
      </c>
      <c r="I32" s="58">
        <f t="shared" si="17"/>
        <v>88070400</v>
      </c>
      <c r="J32" s="58">
        <f t="shared" si="17"/>
        <v>88070400</v>
      </c>
      <c r="K32" s="58">
        <f t="shared" si="17"/>
        <v>88070400</v>
      </c>
      <c r="L32" s="58">
        <f t="shared" si="17"/>
        <v>88070400</v>
      </c>
      <c r="M32" s="58">
        <f t="shared" si="17"/>
        <v>88070400</v>
      </c>
      <c r="N32" s="58">
        <f t="shared" si="17"/>
        <v>88070400</v>
      </c>
      <c r="O32" s="58">
        <f t="shared" si="17"/>
        <v>88070400</v>
      </c>
      <c r="P32" s="58">
        <f t="shared" si="17"/>
        <v>88070400</v>
      </c>
      <c r="Q32" s="58">
        <f t="shared" si="4"/>
        <v>1056844800</v>
      </c>
      <c r="R32" s="57">
        <f t="shared" si="14"/>
        <v>637</v>
      </c>
      <c r="S32" s="57"/>
    </row>
    <row r="33" spans="2:19">
      <c r="B33" s="56" t="s">
        <v>4</v>
      </c>
      <c r="C33" s="56"/>
      <c r="D33" s="57"/>
      <c r="E33" s="58">
        <v>53323060</v>
      </c>
      <c r="F33" s="58">
        <v>53323060</v>
      </c>
      <c r="G33" s="58">
        <v>53323060</v>
      </c>
      <c r="H33" s="58">
        <v>53323060</v>
      </c>
      <c r="I33" s="58">
        <v>53323060</v>
      </c>
      <c r="J33" s="58">
        <v>53323060</v>
      </c>
      <c r="K33" s="58">
        <v>53323060</v>
      </c>
      <c r="L33" s="58">
        <v>53323060</v>
      </c>
      <c r="M33" s="58">
        <v>53323060</v>
      </c>
      <c r="N33" s="58">
        <v>53323060</v>
      </c>
      <c r="O33" s="58">
        <v>53323060</v>
      </c>
      <c r="P33" s="58">
        <v>53323060</v>
      </c>
      <c r="Q33" s="58">
        <f t="shared" si="4"/>
        <v>639876720</v>
      </c>
      <c r="R33" s="57">
        <f t="shared" si="14"/>
        <v>386</v>
      </c>
      <c r="S33" s="57"/>
    </row>
    <row r="34" spans="2:19">
      <c r="B34" s="31" t="s">
        <v>42</v>
      </c>
      <c r="C34" s="31"/>
      <c r="D34" s="61">
        <v>7.0000000000000007E-2</v>
      </c>
      <c r="E34" s="33">
        <f>E22*$D$34</f>
        <v>208051200.00000003</v>
      </c>
      <c r="F34" s="33">
        <v>100000000</v>
      </c>
      <c r="G34" s="33">
        <v>100000000</v>
      </c>
      <c r="H34" s="33">
        <v>100000000</v>
      </c>
      <c r="I34" s="33">
        <v>100000000</v>
      </c>
      <c r="J34" s="33">
        <v>100000000</v>
      </c>
      <c r="K34" s="33">
        <v>100000000</v>
      </c>
      <c r="L34" s="33">
        <v>100000000</v>
      </c>
      <c r="M34" s="33">
        <v>100000000</v>
      </c>
      <c r="N34" s="33">
        <v>100000000</v>
      </c>
      <c r="O34" s="33">
        <v>100000000</v>
      </c>
      <c r="P34" s="33">
        <v>100000000</v>
      </c>
      <c r="Q34" s="58">
        <f t="shared" si="4"/>
        <v>1308051200</v>
      </c>
      <c r="R34" s="32"/>
      <c r="S34" s="32" t="s">
        <v>44</v>
      </c>
    </row>
    <row r="35" spans="2:19">
      <c r="B35" s="31" t="s">
        <v>43</v>
      </c>
      <c r="C35" s="31"/>
      <c r="D35" s="32">
        <v>1400</v>
      </c>
      <c r="E35" s="33">
        <f>$D35*E$20</f>
        <v>193536000</v>
      </c>
      <c r="F35" s="33">
        <f t="shared" ref="F35:P35" si="18">$D35*F$20</f>
        <v>193536000</v>
      </c>
      <c r="G35" s="33">
        <f t="shared" si="18"/>
        <v>193536000</v>
      </c>
      <c r="H35" s="33">
        <f t="shared" si="18"/>
        <v>193536000</v>
      </c>
      <c r="I35" s="33">
        <f t="shared" si="18"/>
        <v>193536000</v>
      </c>
      <c r="J35" s="33">
        <f t="shared" si="18"/>
        <v>193536000</v>
      </c>
      <c r="K35" s="33">
        <f t="shared" si="18"/>
        <v>193536000</v>
      </c>
      <c r="L35" s="33">
        <f t="shared" si="18"/>
        <v>193536000</v>
      </c>
      <c r="M35" s="33">
        <f t="shared" si="18"/>
        <v>193536000</v>
      </c>
      <c r="N35" s="33">
        <f t="shared" si="18"/>
        <v>193536000</v>
      </c>
      <c r="O35" s="33">
        <f t="shared" si="18"/>
        <v>193536000</v>
      </c>
      <c r="P35" s="33">
        <f t="shared" si="18"/>
        <v>193536000</v>
      </c>
      <c r="Q35" s="33">
        <f t="shared" ref="Q35" si="19">SUM(E35:P35)</f>
        <v>2322432000</v>
      </c>
      <c r="R35" s="32">
        <f t="shared" si="14"/>
        <v>1400</v>
      </c>
      <c r="S35" s="32"/>
    </row>
    <row r="36" spans="2:19">
      <c r="B36" s="31" t="s">
        <v>7</v>
      </c>
      <c r="C36" s="31"/>
      <c r="D36" s="32">
        <v>400</v>
      </c>
      <c r="E36" s="33">
        <f t="shared" ref="E36:P36" si="20">E20*$D36</f>
        <v>55296000</v>
      </c>
      <c r="F36" s="33">
        <f t="shared" si="20"/>
        <v>55296000</v>
      </c>
      <c r="G36" s="33">
        <f t="shared" si="20"/>
        <v>55296000</v>
      </c>
      <c r="H36" s="33">
        <f t="shared" si="20"/>
        <v>55296000</v>
      </c>
      <c r="I36" s="33">
        <f t="shared" si="20"/>
        <v>55296000</v>
      </c>
      <c r="J36" s="33">
        <f t="shared" si="20"/>
        <v>55296000</v>
      </c>
      <c r="K36" s="33">
        <f t="shared" si="20"/>
        <v>55296000</v>
      </c>
      <c r="L36" s="33">
        <f t="shared" si="20"/>
        <v>55296000</v>
      </c>
      <c r="M36" s="33">
        <f t="shared" si="20"/>
        <v>55296000</v>
      </c>
      <c r="N36" s="33">
        <f t="shared" si="20"/>
        <v>55296000</v>
      </c>
      <c r="O36" s="33">
        <f t="shared" si="20"/>
        <v>55296000</v>
      </c>
      <c r="P36" s="33">
        <f t="shared" si="20"/>
        <v>55296000</v>
      </c>
      <c r="Q36" s="33">
        <f t="shared" si="4"/>
        <v>663552000</v>
      </c>
      <c r="R36" s="32">
        <f t="shared" si="14"/>
        <v>400</v>
      </c>
      <c r="S36" s="32"/>
    </row>
    <row r="37" spans="2:19">
      <c r="B37" s="34" t="s">
        <v>13</v>
      </c>
      <c r="C37" s="34"/>
      <c r="D37" s="32">
        <v>40</v>
      </c>
      <c r="E37" s="33">
        <f>$D37*E$7</f>
        <v>5760000</v>
      </c>
      <c r="F37" s="33">
        <f t="shared" ref="F37:P37" si="21">$D37*F$7</f>
        <v>5760000</v>
      </c>
      <c r="G37" s="33">
        <f t="shared" si="21"/>
        <v>5760000</v>
      </c>
      <c r="H37" s="33">
        <f t="shared" si="21"/>
        <v>5760000</v>
      </c>
      <c r="I37" s="33">
        <f t="shared" si="21"/>
        <v>5760000</v>
      </c>
      <c r="J37" s="33">
        <f t="shared" si="21"/>
        <v>5760000</v>
      </c>
      <c r="K37" s="33">
        <f t="shared" si="21"/>
        <v>5760000</v>
      </c>
      <c r="L37" s="33">
        <f t="shared" si="21"/>
        <v>5760000</v>
      </c>
      <c r="M37" s="33">
        <f t="shared" si="21"/>
        <v>5760000</v>
      </c>
      <c r="N37" s="33">
        <f t="shared" si="21"/>
        <v>5760000</v>
      </c>
      <c r="O37" s="33">
        <f t="shared" si="21"/>
        <v>5760000</v>
      </c>
      <c r="P37" s="33">
        <f t="shared" si="21"/>
        <v>5760000</v>
      </c>
      <c r="Q37" s="36">
        <f t="shared" si="4"/>
        <v>69120000</v>
      </c>
      <c r="R37" s="35">
        <f t="shared" si="14"/>
        <v>42</v>
      </c>
      <c r="S37" s="35"/>
    </row>
    <row r="38" spans="2:19" s="50" customFormat="1">
      <c r="B38" s="45" t="s">
        <v>11</v>
      </c>
      <c r="C38" s="45"/>
      <c r="D38" s="47"/>
      <c r="E38" s="46">
        <f t="shared" ref="E38:P38" si="22">SUM(E25:E37)</f>
        <v>1255767764.3199999</v>
      </c>
      <c r="F38" s="46">
        <f t="shared" si="22"/>
        <v>1147716564.3199999</v>
      </c>
      <c r="G38" s="46">
        <f t="shared" si="22"/>
        <v>1147716564.3199999</v>
      </c>
      <c r="H38" s="46">
        <f t="shared" si="22"/>
        <v>1147716564.3199999</v>
      </c>
      <c r="I38" s="46">
        <f t="shared" si="22"/>
        <v>1147716564.3199999</v>
      </c>
      <c r="J38" s="46">
        <f t="shared" si="22"/>
        <v>1147716564.3199999</v>
      </c>
      <c r="K38" s="46">
        <f t="shared" si="22"/>
        <v>1147716564.3199999</v>
      </c>
      <c r="L38" s="46">
        <f t="shared" si="22"/>
        <v>1147716564.3199999</v>
      </c>
      <c r="M38" s="46">
        <f t="shared" si="22"/>
        <v>1147716564.3199999</v>
      </c>
      <c r="N38" s="46">
        <f t="shared" si="22"/>
        <v>1147716564.3199999</v>
      </c>
      <c r="O38" s="46">
        <f t="shared" si="22"/>
        <v>1147716564.3199999</v>
      </c>
      <c r="P38" s="46">
        <f t="shared" si="22"/>
        <v>1147716564.3199999</v>
      </c>
      <c r="Q38" s="46">
        <f t="shared" si="4"/>
        <v>13880649971.839998</v>
      </c>
      <c r="R38" s="47">
        <f>SUM(R5:R37)</f>
        <v>7542</v>
      </c>
      <c r="S38" s="47"/>
    </row>
    <row r="39" spans="2:19" s="44" customFormat="1">
      <c r="B39" s="41" t="s">
        <v>16</v>
      </c>
      <c r="C39" s="41"/>
      <c r="D39" s="43"/>
      <c r="E39" s="42">
        <f t="shared" ref="E39:P39" si="23">E24-E38</f>
        <v>247592235.68000007</v>
      </c>
      <c r="F39" s="42">
        <f t="shared" si="23"/>
        <v>355643435.68000007</v>
      </c>
      <c r="G39" s="42">
        <f t="shared" si="23"/>
        <v>355643435.68000007</v>
      </c>
      <c r="H39" s="42">
        <f t="shared" si="23"/>
        <v>355643435.68000007</v>
      </c>
      <c r="I39" s="42">
        <f t="shared" si="23"/>
        <v>355643435.68000007</v>
      </c>
      <c r="J39" s="42">
        <f t="shared" si="23"/>
        <v>355643435.68000007</v>
      </c>
      <c r="K39" s="42">
        <f t="shared" si="23"/>
        <v>355643435.68000007</v>
      </c>
      <c r="L39" s="42">
        <f t="shared" si="23"/>
        <v>355643435.68000007</v>
      </c>
      <c r="M39" s="42">
        <f t="shared" si="23"/>
        <v>355643435.68000007</v>
      </c>
      <c r="N39" s="42">
        <f t="shared" si="23"/>
        <v>355643435.68000007</v>
      </c>
      <c r="O39" s="42">
        <f t="shared" si="23"/>
        <v>355643435.68000007</v>
      </c>
      <c r="P39" s="42">
        <f t="shared" si="23"/>
        <v>355643435.68000007</v>
      </c>
      <c r="Q39" s="42">
        <f>SUM(E39:P39)</f>
        <v>4159670028.1600018</v>
      </c>
      <c r="R39" s="43"/>
      <c r="S39" s="43"/>
    </row>
    <row r="40" spans="2:19">
      <c r="E40" s="60">
        <f>E39/E22</f>
        <v>8.3303804532730424E-2</v>
      </c>
      <c r="F40" s="60">
        <f t="shared" ref="F40:P40" si="24">F39/F22</f>
        <v>0.11965824036391044</v>
      </c>
      <c r="G40" s="60">
        <f t="shared" si="24"/>
        <v>0.11965824036391044</v>
      </c>
      <c r="H40" s="60">
        <f t="shared" si="24"/>
        <v>0.11965824036391044</v>
      </c>
      <c r="I40" s="60">
        <f t="shared" si="24"/>
        <v>0.11965824036391044</v>
      </c>
      <c r="J40" s="60">
        <f t="shared" si="24"/>
        <v>0.11965824036391044</v>
      </c>
      <c r="K40" s="60">
        <f t="shared" si="24"/>
        <v>0.11965824036391044</v>
      </c>
      <c r="L40" s="60">
        <f t="shared" si="24"/>
        <v>0.11965824036391044</v>
      </c>
      <c r="M40" s="60">
        <f t="shared" si="24"/>
        <v>0.11965824036391044</v>
      </c>
      <c r="N40" s="60">
        <f t="shared" si="24"/>
        <v>0.11965824036391044</v>
      </c>
      <c r="O40" s="60">
        <f t="shared" si="24"/>
        <v>0.11965824036391044</v>
      </c>
      <c r="P40" s="60">
        <f t="shared" si="24"/>
        <v>0.11965824036391044</v>
      </c>
    </row>
    <row r="42" spans="2:19">
      <c r="E42" s="39">
        <f>D35/21500</f>
        <v>6.5116279069767441E-2</v>
      </c>
    </row>
  </sheetData>
  <autoFilter ref="A2:R39" xr:uid="{00000000-0009-0000-0000-000001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S102"/>
  <sheetViews>
    <sheetView topLeftCell="A4" zoomScale="55" zoomScaleNormal="55" workbookViewId="0">
      <selection activeCell="C11" sqref="C11"/>
    </sheetView>
  </sheetViews>
  <sheetFormatPr defaultColWidth="10.08984375" defaultRowHeight="17.5" outlineLevelRow="1" outlineLevelCol="1"/>
  <cols>
    <col min="1" max="1" width="80.08984375" style="62" bestFit="1" customWidth="1"/>
    <col min="2" max="2" width="10.08984375" style="62" bestFit="1" customWidth="1"/>
    <col min="3" max="3" width="28" style="65" bestFit="1" customWidth="1" outlineLevel="1"/>
    <col min="4" max="4" width="19" style="62" customWidth="1"/>
    <col min="5" max="5" width="19.08984375" style="62" customWidth="1"/>
    <col min="6" max="6" width="15.6328125" style="62" customWidth="1"/>
    <col min="7" max="15" width="16.08984375" style="62" customWidth="1"/>
    <col min="16" max="16" width="19.54296875" style="62" customWidth="1"/>
    <col min="17" max="17" width="15.36328125" style="62" customWidth="1"/>
    <col min="18" max="18" width="27.08984375" style="62" bestFit="1" customWidth="1"/>
    <col min="19" max="19" width="11.453125" style="62" bestFit="1" customWidth="1"/>
    <col min="20" max="20" width="15.08984375" style="62" customWidth="1"/>
    <col min="21" max="16384" width="10.08984375" style="62"/>
  </cols>
  <sheetData>
    <row r="1" spans="1:19" s="66" customFormat="1" ht="52.5">
      <c r="A1" s="67" t="s">
        <v>17</v>
      </c>
      <c r="B1" s="67" t="s">
        <v>25</v>
      </c>
      <c r="C1" s="67" t="s">
        <v>40</v>
      </c>
      <c r="D1" s="68">
        <v>1</v>
      </c>
      <c r="E1" s="68">
        <v>2</v>
      </c>
      <c r="F1" s="68">
        <v>3</v>
      </c>
      <c r="G1" s="68">
        <v>4</v>
      </c>
      <c r="H1" s="68">
        <v>5</v>
      </c>
      <c r="I1" s="68">
        <v>6</v>
      </c>
      <c r="J1" s="68">
        <v>7</v>
      </c>
      <c r="K1" s="68">
        <v>8</v>
      </c>
      <c r="L1" s="68">
        <v>9</v>
      </c>
      <c r="M1" s="68">
        <v>10</v>
      </c>
      <c r="N1" s="68">
        <v>11</v>
      </c>
      <c r="O1" s="68">
        <v>12</v>
      </c>
      <c r="P1" s="68" t="s">
        <v>18</v>
      </c>
      <c r="Q1" s="69" t="s">
        <v>38</v>
      </c>
      <c r="R1" s="70" t="s">
        <v>41</v>
      </c>
      <c r="S1" s="148"/>
    </row>
    <row r="2" spans="1:19" ht="18">
      <c r="A2" s="71" t="s">
        <v>26</v>
      </c>
      <c r="B2" s="129" t="s">
        <v>27</v>
      </c>
      <c r="C2" s="72"/>
      <c r="D2" s="73">
        <v>300</v>
      </c>
      <c r="E2" s="73">
        <v>300</v>
      </c>
      <c r="F2" s="73">
        <v>300</v>
      </c>
      <c r="G2" s="73">
        <v>300</v>
      </c>
      <c r="H2" s="73">
        <v>300</v>
      </c>
      <c r="I2" s="73">
        <v>300</v>
      </c>
      <c r="J2" s="73">
        <v>300</v>
      </c>
      <c r="K2" s="73">
        <v>300</v>
      </c>
      <c r="L2" s="73">
        <v>300</v>
      </c>
      <c r="M2" s="73">
        <v>300</v>
      </c>
      <c r="N2" s="73">
        <v>300</v>
      </c>
      <c r="O2" s="73">
        <v>300</v>
      </c>
      <c r="P2" s="73">
        <f>AVERAGE(D2:O2)</f>
        <v>300</v>
      </c>
      <c r="Q2" s="73"/>
      <c r="R2" s="74"/>
      <c r="S2" s="148"/>
    </row>
    <row r="3" spans="1:19" ht="21" customHeight="1">
      <c r="A3" s="72" t="s">
        <v>20</v>
      </c>
      <c r="B3" s="130" t="s">
        <v>21</v>
      </c>
      <c r="C3" s="72"/>
      <c r="D3" s="75">
        <f>300*16*30</f>
        <v>144000</v>
      </c>
      <c r="E3" s="75">
        <f t="shared" ref="E3:O3" si="0">300*16*30</f>
        <v>144000</v>
      </c>
      <c r="F3" s="75">
        <f t="shared" si="0"/>
        <v>144000</v>
      </c>
      <c r="G3" s="75">
        <f t="shared" si="0"/>
        <v>144000</v>
      </c>
      <c r="H3" s="75">
        <f t="shared" si="0"/>
        <v>144000</v>
      </c>
      <c r="I3" s="75">
        <f t="shared" si="0"/>
        <v>144000</v>
      </c>
      <c r="J3" s="75">
        <f t="shared" si="0"/>
        <v>144000</v>
      </c>
      <c r="K3" s="75">
        <f t="shared" si="0"/>
        <v>144000</v>
      </c>
      <c r="L3" s="75">
        <f t="shared" si="0"/>
        <v>144000</v>
      </c>
      <c r="M3" s="75">
        <f t="shared" si="0"/>
        <v>144000</v>
      </c>
      <c r="N3" s="75">
        <f t="shared" si="0"/>
        <v>144000</v>
      </c>
      <c r="O3" s="75">
        <f t="shared" si="0"/>
        <v>144000</v>
      </c>
      <c r="P3" s="75">
        <f>SUM(D3:O3)</f>
        <v>1728000</v>
      </c>
      <c r="Q3" s="75"/>
      <c r="R3" s="74"/>
      <c r="S3"/>
    </row>
    <row r="4" spans="1:19" ht="21" customHeight="1">
      <c r="A4" s="72" t="s">
        <v>12</v>
      </c>
      <c r="B4" s="130"/>
      <c r="C4" s="72"/>
      <c r="D4" s="76">
        <f>SUM(D5:D8)</f>
        <v>144000</v>
      </c>
      <c r="E4" s="76">
        <f t="shared" ref="E4:P4" si="1">SUM(E5:E8)</f>
        <v>144000</v>
      </c>
      <c r="F4" s="76">
        <f t="shared" si="1"/>
        <v>144000</v>
      </c>
      <c r="G4" s="76">
        <f t="shared" si="1"/>
        <v>144000</v>
      </c>
      <c r="H4" s="76">
        <f t="shared" si="1"/>
        <v>144000</v>
      </c>
      <c r="I4" s="76">
        <f t="shared" si="1"/>
        <v>144000</v>
      </c>
      <c r="J4" s="76">
        <f t="shared" si="1"/>
        <v>144000</v>
      </c>
      <c r="K4" s="76">
        <f t="shared" si="1"/>
        <v>144000</v>
      </c>
      <c r="L4" s="76">
        <f t="shared" si="1"/>
        <v>144000</v>
      </c>
      <c r="M4" s="76">
        <f t="shared" si="1"/>
        <v>144000</v>
      </c>
      <c r="N4" s="76">
        <f t="shared" si="1"/>
        <v>144000</v>
      </c>
      <c r="O4" s="76">
        <f t="shared" si="1"/>
        <v>144000</v>
      </c>
      <c r="P4" s="76">
        <f t="shared" si="1"/>
        <v>1728000</v>
      </c>
      <c r="Q4" s="76"/>
      <c r="R4" s="74"/>
    </row>
    <row r="5" spans="1:19" s="77" customFormat="1" ht="21" customHeight="1" outlineLevel="1">
      <c r="A5" s="78" t="s">
        <v>19</v>
      </c>
      <c r="B5" s="131"/>
      <c r="C5" s="79">
        <v>1</v>
      </c>
      <c r="D5" s="76">
        <f>D$3*$C5</f>
        <v>144000</v>
      </c>
      <c r="E5" s="76">
        <f t="shared" ref="E5:O5" si="2">E$3*$C5</f>
        <v>144000</v>
      </c>
      <c r="F5" s="76">
        <f t="shared" si="2"/>
        <v>144000</v>
      </c>
      <c r="G5" s="76">
        <f t="shared" si="2"/>
        <v>144000</v>
      </c>
      <c r="H5" s="76">
        <f t="shared" si="2"/>
        <v>144000</v>
      </c>
      <c r="I5" s="76">
        <f t="shared" si="2"/>
        <v>144000</v>
      </c>
      <c r="J5" s="76">
        <f t="shared" si="2"/>
        <v>144000</v>
      </c>
      <c r="K5" s="76">
        <f t="shared" si="2"/>
        <v>144000</v>
      </c>
      <c r="L5" s="76">
        <f t="shared" si="2"/>
        <v>144000</v>
      </c>
      <c r="M5" s="76">
        <f t="shared" si="2"/>
        <v>144000</v>
      </c>
      <c r="N5" s="76">
        <f t="shared" si="2"/>
        <v>144000</v>
      </c>
      <c r="O5" s="76">
        <f t="shared" si="2"/>
        <v>144000</v>
      </c>
      <c r="P5" s="76">
        <f>SUM(D5:O5)</f>
        <v>1728000</v>
      </c>
      <c r="Q5" s="76"/>
      <c r="R5" s="80"/>
    </row>
    <row r="6" spans="1:19" s="77" customFormat="1" ht="21" customHeight="1" outlineLevel="1">
      <c r="A6" s="81"/>
      <c r="B6" s="132"/>
      <c r="C6" s="82">
        <v>0</v>
      </c>
      <c r="D6" s="83">
        <f t="shared" ref="D6:O8" si="3">D$3*$C6</f>
        <v>0</v>
      </c>
      <c r="E6" s="83">
        <f t="shared" si="3"/>
        <v>0</v>
      </c>
      <c r="F6" s="83">
        <f t="shared" si="3"/>
        <v>0</v>
      </c>
      <c r="G6" s="83">
        <f t="shared" si="3"/>
        <v>0</v>
      </c>
      <c r="H6" s="83">
        <f t="shared" si="3"/>
        <v>0</v>
      </c>
      <c r="I6" s="83">
        <f t="shared" si="3"/>
        <v>0</v>
      </c>
      <c r="J6" s="83">
        <f t="shared" si="3"/>
        <v>0</v>
      </c>
      <c r="K6" s="83">
        <f t="shared" si="3"/>
        <v>0</v>
      </c>
      <c r="L6" s="83">
        <f t="shared" si="3"/>
        <v>0</v>
      </c>
      <c r="M6" s="83">
        <f t="shared" si="3"/>
        <v>0</v>
      </c>
      <c r="N6" s="83">
        <f t="shared" si="3"/>
        <v>0</v>
      </c>
      <c r="O6" s="83">
        <f t="shared" si="3"/>
        <v>0</v>
      </c>
      <c r="P6" s="83">
        <f t="shared" ref="P6:P37" si="4">SUM(D6:O6)</f>
        <v>0</v>
      </c>
      <c r="Q6" s="83"/>
      <c r="R6" s="80"/>
    </row>
    <row r="7" spans="1:19" s="77" customFormat="1" ht="21" customHeight="1" outlineLevel="1">
      <c r="A7" s="81"/>
      <c r="B7" s="132"/>
      <c r="C7" s="82">
        <v>0</v>
      </c>
      <c r="D7" s="83">
        <f t="shared" si="3"/>
        <v>0</v>
      </c>
      <c r="E7" s="83">
        <f t="shared" si="3"/>
        <v>0</v>
      </c>
      <c r="F7" s="83">
        <f t="shared" si="3"/>
        <v>0</v>
      </c>
      <c r="G7" s="83">
        <f t="shared" si="3"/>
        <v>0</v>
      </c>
      <c r="H7" s="83">
        <f t="shared" si="3"/>
        <v>0</v>
      </c>
      <c r="I7" s="83">
        <f t="shared" si="3"/>
        <v>0</v>
      </c>
      <c r="J7" s="83">
        <f t="shared" si="3"/>
        <v>0</v>
      </c>
      <c r="K7" s="83">
        <f t="shared" si="3"/>
        <v>0</v>
      </c>
      <c r="L7" s="83">
        <f t="shared" si="3"/>
        <v>0</v>
      </c>
      <c r="M7" s="83">
        <f t="shared" si="3"/>
        <v>0</v>
      </c>
      <c r="N7" s="83">
        <f t="shared" si="3"/>
        <v>0</v>
      </c>
      <c r="O7" s="83">
        <f t="shared" si="3"/>
        <v>0</v>
      </c>
      <c r="P7" s="83">
        <f t="shared" si="4"/>
        <v>0</v>
      </c>
      <c r="Q7" s="83"/>
      <c r="R7" s="80"/>
    </row>
    <row r="8" spans="1:19" s="77" customFormat="1" ht="21" customHeight="1" outlineLevel="1">
      <c r="A8" s="84"/>
      <c r="B8" s="133"/>
      <c r="C8" s="85"/>
      <c r="D8" s="86">
        <f t="shared" si="3"/>
        <v>0</v>
      </c>
      <c r="E8" s="86">
        <f t="shared" si="3"/>
        <v>0</v>
      </c>
      <c r="F8" s="86">
        <f t="shared" si="3"/>
        <v>0</v>
      </c>
      <c r="G8" s="86">
        <f t="shared" si="3"/>
        <v>0</v>
      </c>
      <c r="H8" s="86">
        <f t="shared" si="3"/>
        <v>0</v>
      </c>
      <c r="I8" s="86">
        <f t="shared" si="3"/>
        <v>0</v>
      </c>
      <c r="J8" s="86">
        <f t="shared" si="3"/>
        <v>0</v>
      </c>
      <c r="K8" s="86">
        <f t="shared" si="3"/>
        <v>0</v>
      </c>
      <c r="L8" s="86">
        <f t="shared" si="3"/>
        <v>0</v>
      </c>
      <c r="M8" s="86">
        <f t="shared" si="3"/>
        <v>0</v>
      </c>
      <c r="N8" s="86">
        <f t="shared" si="3"/>
        <v>0</v>
      </c>
      <c r="O8" s="86">
        <f t="shared" si="3"/>
        <v>0</v>
      </c>
      <c r="P8" s="86">
        <f t="shared" si="4"/>
        <v>0</v>
      </c>
      <c r="Q8" s="86"/>
      <c r="R8" s="80"/>
    </row>
    <row r="9" spans="1:19" ht="21" customHeight="1" outlineLevel="1">
      <c r="A9" s="87" t="s">
        <v>8</v>
      </c>
      <c r="B9" s="130"/>
      <c r="C9" s="72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>
        <f t="shared" si="4"/>
        <v>0</v>
      </c>
      <c r="Q9" s="74"/>
      <c r="R9" s="74"/>
    </row>
    <row r="10" spans="1:19" ht="21" customHeight="1">
      <c r="A10" s="72" t="s">
        <v>6</v>
      </c>
      <c r="B10" s="130"/>
      <c r="C10" s="72"/>
      <c r="D10" s="93">
        <f t="shared" ref="D10:O10" si="5">SUM(D11:D14)</f>
        <v>1728000000</v>
      </c>
      <c r="E10" s="93">
        <f t="shared" si="5"/>
        <v>1728000000</v>
      </c>
      <c r="F10" s="93">
        <f t="shared" si="5"/>
        <v>1728000000</v>
      </c>
      <c r="G10" s="93">
        <f t="shared" si="5"/>
        <v>1728000000</v>
      </c>
      <c r="H10" s="93">
        <f t="shared" si="5"/>
        <v>1728000000</v>
      </c>
      <c r="I10" s="93">
        <f t="shared" si="5"/>
        <v>1728000000</v>
      </c>
      <c r="J10" s="93">
        <f t="shared" si="5"/>
        <v>1728000000</v>
      </c>
      <c r="K10" s="93">
        <f t="shared" si="5"/>
        <v>1728000000</v>
      </c>
      <c r="L10" s="93">
        <f t="shared" si="5"/>
        <v>1728000000</v>
      </c>
      <c r="M10" s="93">
        <f t="shared" si="5"/>
        <v>1728000000</v>
      </c>
      <c r="N10" s="93">
        <f t="shared" si="5"/>
        <v>1728000000</v>
      </c>
      <c r="O10" s="93">
        <f t="shared" si="5"/>
        <v>1728000000</v>
      </c>
      <c r="P10" s="93">
        <f>SUM(D10:O10)</f>
        <v>20736000000</v>
      </c>
      <c r="Q10" s="93"/>
      <c r="R10" s="74" t="s">
        <v>47</v>
      </c>
    </row>
    <row r="11" spans="1:19" s="77" customFormat="1" ht="21" customHeight="1" outlineLevel="1">
      <c r="A11" s="78" t="s">
        <v>19</v>
      </c>
      <c r="B11" s="131"/>
      <c r="C11" s="88">
        <v>12000</v>
      </c>
      <c r="D11" s="89">
        <f>D5*$C11</f>
        <v>1728000000</v>
      </c>
      <c r="E11" s="89">
        <f t="shared" ref="E11:O14" si="6">E5*$C11</f>
        <v>1728000000</v>
      </c>
      <c r="F11" s="89">
        <f t="shared" si="6"/>
        <v>1728000000</v>
      </c>
      <c r="G11" s="89">
        <f t="shared" si="6"/>
        <v>1728000000</v>
      </c>
      <c r="H11" s="89">
        <f t="shared" si="6"/>
        <v>1728000000</v>
      </c>
      <c r="I11" s="89">
        <f t="shared" si="6"/>
        <v>1728000000</v>
      </c>
      <c r="J11" s="89">
        <f t="shared" si="6"/>
        <v>1728000000</v>
      </c>
      <c r="K11" s="89">
        <f t="shared" si="6"/>
        <v>1728000000</v>
      </c>
      <c r="L11" s="89">
        <f t="shared" si="6"/>
        <v>1728000000</v>
      </c>
      <c r="M11" s="89">
        <f t="shared" si="6"/>
        <v>1728000000</v>
      </c>
      <c r="N11" s="89">
        <f t="shared" si="6"/>
        <v>1728000000</v>
      </c>
      <c r="O11" s="89">
        <f t="shared" si="6"/>
        <v>1728000000</v>
      </c>
      <c r="P11" s="89">
        <f t="shared" si="4"/>
        <v>20736000000</v>
      </c>
      <c r="Q11" s="89"/>
      <c r="R11" s="80"/>
    </row>
    <row r="12" spans="1:19" s="77" customFormat="1" ht="21" customHeight="1" outlineLevel="1">
      <c r="A12" s="81"/>
      <c r="B12" s="132"/>
      <c r="C12" s="90"/>
      <c r="D12" s="91">
        <f>D6*$C12</f>
        <v>0</v>
      </c>
      <c r="E12" s="91">
        <f t="shared" si="6"/>
        <v>0</v>
      </c>
      <c r="F12" s="91">
        <f t="shared" si="6"/>
        <v>0</v>
      </c>
      <c r="G12" s="91">
        <f t="shared" si="6"/>
        <v>0</v>
      </c>
      <c r="H12" s="91">
        <f t="shared" si="6"/>
        <v>0</v>
      </c>
      <c r="I12" s="91">
        <f t="shared" si="6"/>
        <v>0</v>
      </c>
      <c r="J12" s="91">
        <f t="shared" si="6"/>
        <v>0</v>
      </c>
      <c r="K12" s="91">
        <f t="shared" si="6"/>
        <v>0</v>
      </c>
      <c r="L12" s="91">
        <f t="shared" si="6"/>
        <v>0</v>
      </c>
      <c r="M12" s="91">
        <f t="shared" si="6"/>
        <v>0</v>
      </c>
      <c r="N12" s="91">
        <f t="shared" si="6"/>
        <v>0</v>
      </c>
      <c r="O12" s="91">
        <f t="shared" si="6"/>
        <v>0</v>
      </c>
      <c r="P12" s="91">
        <f t="shared" si="4"/>
        <v>0</v>
      </c>
      <c r="Q12" s="91"/>
      <c r="R12" s="80"/>
    </row>
    <row r="13" spans="1:19" s="77" customFormat="1" ht="21" customHeight="1" outlineLevel="1">
      <c r="A13" s="81"/>
      <c r="B13" s="132"/>
      <c r="C13" s="90"/>
      <c r="D13" s="91">
        <f>D7*$C13</f>
        <v>0</v>
      </c>
      <c r="E13" s="91">
        <f t="shared" si="6"/>
        <v>0</v>
      </c>
      <c r="F13" s="91">
        <f t="shared" si="6"/>
        <v>0</v>
      </c>
      <c r="G13" s="91">
        <f t="shared" si="6"/>
        <v>0</v>
      </c>
      <c r="H13" s="91">
        <f t="shared" si="6"/>
        <v>0</v>
      </c>
      <c r="I13" s="91">
        <f t="shared" si="6"/>
        <v>0</v>
      </c>
      <c r="J13" s="91">
        <f t="shared" si="6"/>
        <v>0</v>
      </c>
      <c r="K13" s="91">
        <f t="shared" si="6"/>
        <v>0</v>
      </c>
      <c r="L13" s="91">
        <f t="shared" si="6"/>
        <v>0</v>
      </c>
      <c r="M13" s="91">
        <f t="shared" si="6"/>
        <v>0</v>
      </c>
      <c r="N13" s="91">
        <f t="shared" si="6"/>
        <v>0</v>
      </c>
      <c r="O13" s="91">
        <f t="shared" si="6"/>
        <v>0</v>
      </c>
      <c r="P13" s="91">
        <f t="shared" si="4"/>
        <v>0</v>
      </c>
      <c r="Q13" s="91"/>
      <c r="R13" s="80"/>
    </row>
    <row r="14" spans="1:19" s="77" customFormat="1" ht="21" customHeight="1" outlineLevel="1">
      <c r="A14" s="84"/>
      <c r="B14" s="133"/>
      <c r="C14" s="86"/>
      <c r="D14" s="92">
        <f>D8*$C14</f>
        <v>0</v>
      </c>
      <c r="E14" s="92">
        <f t="shared" si="6"/>
        <v>0</v>
      </c>
      <c r="F14" s="92">
        <f t="shared" si="6"/>
        <v>0</v>
      </c>
      <c r="G14" s="92">
        <f t="shared" si="6"/>
        <v>0</v>
      </c>
      <c r="H14" s="92">
        <f t="shared" si="6"/>
        <v>0</v>
      </c>
      <c r="I14" s="92">
        <f t="shared" si="6"/>
        <v>0</v>
      </c>
      <c r="J14" s="92">
        <f t="shared" si="6"/>
        <v>0</v>
      </c>
      <c r="K14" s="92">
        <f t="shared" si="6"/>
        <v>0</v>
      </c>
      <c r="L14" s="92">
        <f t="shared" si="6"/>
        <v>0</v>
      </c>
      <c r="M14" s="92">
        <f t="shared" si="6"/>
        <v>0</v>
      </c>
      <c r="N14" s="92">
        <f t="shared" si="6"/>
        <v>0</v>
      </c>
      <c r="O14" s="92">
        <f t="shared" si="6"/>
        <v>0</v>
      </c>
      <c r="P14" s="92">
        <f t="shared" si="4"/>
        <v>0</v>
      </c>
      <c r="Q14" s="92"/>
      <c r="R14" s="80"/>
    </row>
    <row r="15" spans="1:19" ht="21" customHeight="1" outlineLevel="1">
      <c r="A15" s="94" t="s">
        <v>10</v>
      </c>
      <c r="B15" s="130"/>
      <c r="C15" s="72"/>
      <c r="D15" s="95">
        <f t="shared" ref="D15:O15" si="7">D10*4%</f>
        <v>69120000</v>
      </c>
      <c r="E15" s="95">
        <f t="shared" si="7"/>
        <v>69120000</v>
      </c>
      <c r="F15" s="95">
        <f t="shared" si="7"/>
        <v>69120000</v>
      </c>
      <c r="G15" s="95">
        <f t="shared" si="7"/>
        <v>69120000</v>
      </c>
      <c r="H15" s="95">
        <f t="shared" si="7"/>
        <v>69120000</v>
      </c>
      <c r="I15" s="95">
        <f t="shared" si="7"/>
        <v>69120000</v>
      </c>
      <c r="J15" s="95">
        <f t="shared" si="7"/>
        <v>69120000</v>
      </c>
      <c r="K15" s="95">
        <f t="shared" si="7"/>
        <v>69120000</v>
      </c>
      <c r="L15" s="95">
        <f t="shared" si="7"/>
        <v>69120000</v>
      </c>
      <c r="M15" s="95">
        <f t="shared" si="7"/>
        <v>69120000</v>
      </c>
      <c r="N15" s="95">
        <f t="shared" si="7"/>
        <v>69120000</v>
      </c>
      <c r="O15" s="95">
        <f t="shared" si="7"/>
        <v>69120000</v>
      </c>
      <c r="P15" s="95">
        <f t="shared" si="4"/>
        <v>829440000</v>
      </c>
      <c r="Q15" s="95"/>
      <c r="R15" s="74"/>
    </row>
    <row r="16" spans="1:19" ht="21" customHeight="1" outlineLevel="1">
      <c r="A16" s="94" t="s">
        <v>48</v>
      </c>
      <c r="B16" s="130"/>
      <c r="C16" s="72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74"/>
    </row>
    <row r="17" spans="1:18" s="77" customFormat="1" ht="21" customHeight="1">
      <c r="A17" s="143" t="s">
        <v>50</v>
      </c>
      <c r="B17" s="144" t="s">
        <v>23</v>
      </c>
      <c r="C17" s="145">
        <v>0.96</v>
      </c>
      <c r="D17" s="146">
        <f t="shared" ref="D17:O17" si="8">$C$17*D4</f>
        <v>138240</v>
      </c>
      <c r="E17" s="146">
        <f t="shared" si="8"/>
        <v>138240</v>
      </c>
      <c r="F17" s="146">
        <f t="shared" si="8"/>
        <v>138240</v>
      </c>
      <c r="G17" s="146">
        <f t="shared" si="8"/>
        <v>138240</v>
      </c>
      <c r="H17" s="146">
        <f t="shared" si="8"/>
        <v>138240</v>
      </c>
      <c r="I17" s="146">
        <f t="shared" si="8"/>
        <v>138240</v>
      </c>
      <c r="J17" s="146">
        <f t="shared" si="8"/>
        <v>138240</v>
      </c>
      <c r="K17" s="146">
        <f t="shared" si="8"/>
        <v>138240</v>
      </c>
      <c r="L17" s="146">
        <f t="shared" si="8"/>
        <v>138240</v>
      </c>
      <c r="M17" s="146">
        <f t="shared" si="8"/>
        <v>138240</v>
      </c>
      <c r="N17" s="146">
        <f t="shared" si="8"/>
        <v>138240</v>
      </c>
      <c r="O17" s="146">
        <f t="shared" si="8"/>
        <v>138240</v>
      </c>
      <c r="P17" s="146">
        <f t="shared" si="4"/>
        <v>1658880</v>
      </c>
      <c r="Q17" s="146"/>
      <c r="R17" s="80"/>
    </row>
    <row r="18" spans="1:18" ht="21" customHeight="1">
      <c r="A18" s="72" t="s">
        <v>1</v>
      </c>
      <c r="B18" s="130"/>
      <c r="C18" s="72"/>
      <c r="D18" s="154">
        <v>19000</v>
      </c>
      <c r="E18" s="154">
        <v>19000</v>
      </c>
      <c r="F18" s="154">
        <v>19000</v>
      </c>
      <c r="G18" s="154">
        <v>19000</v>
      </c>
      <c r="H18" s="154">
        <v>19000</v>
      </c>
      <c r="I18" s="154">
        <v>19000</v>
      </c>
      <c r="J18" s="154">
        <v>19000</v>
      </c>
      <c r="K18" s="154">
        <v>19000</v>
      </c>
      <c r="L18" s="154">
        <v>19000</v>
      </c>
      <c r="M18" s="154">
        <v>19000</v>
      </c>
      <c r="N18" s="154">
        <v>19000</v>
      </c>
      <c r="O18" s="154">
        <v>19000</v>
      </c>
      <c r="P18" s="199">
        <f>AVERAGE(D18:O18)</f>
        <v>19000</v>
      </c>
      <c r="Q18" s="74"/>
      <c r="R18" s="74" t="s">
        <v>51</v>
      </c>
    </row>
    <row r="19" spans="1:18" s="63" customFormat="1" ht="21" customHeight="1">
      <c r="A19" s="96" t="s">
        <v>5</v>
      </c>
      <c r="B19" s="134" t="s">
        <v>24</v>
      </c>
      <c r="C19" s="96"/>
      <c r="D19" s="97">
        <f>D17*D18</f>
        <v>2626560000</v>
      </c>
      <c r="E19" s="97">
        <f>E17*E18</f>
        <v>2626560000</v>
      </c>
      <c r="F19" s="97">
        <f t="shared" ref="F19:O19" si="9">F17*F18</f>
        <v>2626560000</v>
      </c>
      <c r="G19" s="97">
        <f t="shared" si="9"/>
        <v>2626560000</v>
      </c>
      <c r="H19" s="97">
        <f t="shared" si="9"/>
        <v>2626560000</v>
      </c>
      <c r="I19" s="97">
        <f t="shared" si="9"/>
        <v>2626560000</v>
      </c>
      <c r="J19" s="97">
        <f t="shared" si="9"/>
        <v>2626560000</v>
      </c>
      <c r="K19" s="97">
        <f t="shared" si="9"/>
        <v>2626560000</v>
      </c>
      <c r="L19" s="97">
        <f t="shared" si="9"/>
        <v>2626560000</v>
      </c>
      <c r="M19" s="97">
        <f t="shared" si="9"/>
        <v>2626560000</v>
      </c>
      <c r="N19" s="97">
        <f t="shared" si="9"/>
        <v>2626560000</v>
      </c>
      <c r="O19" s="97">
        <f t="shared" si="9"/>
        <v>2626560000</v>
      </c>
      <c r="P19" s="97">
        <f t="shared" si="4"/>
        <v>31518720000</v>
      </c>
      <c r="Q19" s="97"/>
      <c r="R19" s="98"/>
    </row>
    <row r="20" spans="1:18" ht="21" customHeight="1">
      <c r="A20" s="72" t="s">
        <v>31</v>
      </c>
      <c r="B20" s="130"/>
      <c r="C20" s="72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>
        <f t="shared" si="4"/>
        <v>0</v>
      </c>
      <c r="Q20" s="93"/>
      <c r="R20" s="74"/>
    </row>
    <row r="21" spans="1:18" s="63" customFormat="1" ht="21" customHeight="1">
      <c r="A21" s="96" t="s">
        <v>15</v>
      </c>
      <c r="B21" s="134" t="s">
        <v>24</v>
      </c>
      <c r="C21" s="96"/>
      <c r="D21" s="99">
        <f t="shared" ref="D21:O21" si="10">D19-D10-D20</f>
        <v>898560000</v>
      </c>
      <c r="E21" s="99">
        <f t="shared" si="10"/>
        <v>898560000</v>
      </c>
      <c r="F21" s="99">
        <f t="shared" si="10"/>
        <v>898560000</v>
      </c>
      <c r="G21" s="99">
        <f t="shared" si="10"/>
        <v>898560000</v>
      </c>
      <c r="H21" s="99">
        <f t="shared" si="10"/>
        <v>898560000</v>
      </c>
      <c r="I21" s="99">
        <f t="shared" si="10"/>
        <v>898560000</v>
      </c>
      <c r="J21" s="99">
        <f t="shared" si="10"/>
        <v>898560000</v>
      </c>
      <c r="K21" s="99">
        <f t="shared" si="10"/>
        <v>898560000</v>
      </c>
      <c r="L21" s="99">
        <f t="shared" si="10"/>
        <v>898560000</v>
      </c>
      <c r="M21" s="99">
        <f t="shared" si="10"/>
        <v>898560000</v>
      </c>
      <c r="N21" s="99">
        <f t="shared" si="10"/>
        <v>898560000</v>
      </c>
      <c r="O21" s="99">
        <f t="shared" si="10"/>
        <v>898560000</v>
      </c>
      <c r="P21" s="99">
        <f t="shared" si="4"/>
        <v>10782720000</v>
      </c>
      <c r="Q21" s="99"/>
      <c r="R21" s="98"/>
    </row>
    <row r="22" spans="1:18" s="63" customFormat="1" ht="21" customHeight="1">
      <c r="A22" s="100" t="s">
        <v>45</v>
      </c>
      <c r="B22" s="135"/>
      <c r="C22" s="100"/>
      <c r="D22" s="101">
        <f>SUM(D23:D33)</f>
        <v>853437239.45953476</v>
      </c>
      <c r="E22" s="101">
        <f t="shared" ref="E22:O22" si="11">SUM(E23:E33)</f>
        <v>853437239.45953476</v>
      </c>
      <c r="F22" s="101">
        <f t="shared" si="11"/>
        <v>853437239.45953476</v>
      </c>
      <c r="G22" s="101">
        <f t="shared" si="11"/>
        <v>853437239.45953476</v>
      </c>
      <c r="H22" s="101">
        <f t="shared" si="11"/>
        <v>853437239.45953476</v>
      </c>
      <c r="I22" s="101">
        <f t="shared" si="11"/>
        <v>853437239.45953476</v>
      </c>
      <c r="J22" s="101">
        <f t="shared" si="11"/>
        <v>853437239.45953476</v>
      </c>
      <c r="K22" s="101">
        <f t="shared" si="11"/>
        <v>853437239.45953476</v>
      </c>
      <c r="L22" s="101">
        <f t="shared" si="11"/>
        <v>853437239.45953476</v>
      </c>
      <c r="M22" s="101">
        <f t="shared" si="11"/>
        <v>853437239.45953476</v>
      </c>
      <c r="N22" s="101">
        <f t="shared" si="11"/>
        <v>853437239.45953476</v>
      </c>
      <c r="O22" s="101">
        <f t="shared" si="11"/>
        <v>853437239.45953476</v>
      </c>
      <c r="P22" s="101">
        <f>SUM(P23:P33)</f>
        <v>10241245469.51442</v>
      </c>
      <c r="Q22" s="102">
        <f>SUM(Q23:Q33)</f>
        <v>6174</v>
      </c>
      <c r="R22" s="102"/>
    </row>
    <row r="23" spans="1:18" ht="21" customHeight="1">
      <c r="A23" s="103" t="s">
        <v>2</v>
      </c>
      <c r="B23" s="136"/>
      <c r="C23" s="104">
        <v>36.243780000000001</v>
      </c>
      <c r="D23" s="105">
        <f t="shared" ref="D23:O23" si="12">$C23*D4</f>
        <v>5219104.32</v>
      </c>
      <c r="E23" s="105">
        <f t="shared" si="12"/>
        <v>5219104.32</v>
      </c>
      <c r="F23" s="105">
        <f t="shared" si="12"/>
        <v>5219104.32</v>
      </c>
      <c r="G23" s="105">
        <f t="shared" si="12"/>
        <v>5219104.32</v>
      </c>
      <c r="H23" s="105">
        <f t="shared" si="12"/>
        <v>5219104.32</v>
      </c>
      <c r="I23" s="105">
        <f t="shared" si="12"/>
        <v>5219104.32</v>
      </c>
      <c r="J23" s="105">
        <f t="shared" si="12"/>
        <v>5219104.32</v>
      </c>
      <c r="K23" s="105">
        <f t="shared" si="12"/>
        <v>5219104.32</v>
      </c>
      <c r="L23" s="105">
        <f t="shared" si="12"/>
        <v>5219104.32</v>
      </c>
      <c r="M23" s="105">
        <f t="shared" si="12"/>
        <v>5219104.32</v>
      </c>
      <c r="N23" s="105">
        <f t="shared" si="12"/>
        <v>5219104.32</v>
      </c>
      <c r="O23" s="105">
        <f t="shared" si="12"/>
        <v>5219104.32</v>
      </c>
      <c r="P23" s="105">
        <f t="shared" si="4"/>
        <v>62629251.840000004</v>
      </c>
      <c r="Q23" s="104">
        <f>ROUND(P23/$P$17,0)</f>
        <v>38</v>
      </c>
      <c r="R23" s="104"/>
    </row>
    <row r="24" spans="1:18" ht="21" customHeight="1">
      <c r="A24" s="107" t="s">
        <v>28</v>
      </c>
      <c r="B24" s="137" t="s">
        <v>33</v>
      </c>
      <c r="C24" s="106">
        <v>500</v>
      </c>
      <c r="D24" s="108">
        <f t="shared" ref="D24:O24" si="13">ROUND(D4/D2,0)*$C24*2200</f>
        <v>528000000</v>
      </c>
      <c r="E24" s="108">
        <f t="shared" si="13"/>
        <v>528000000</v>
      </c>
      <c r="F24" s="108">
        <f t="shared" si="13"/>
        <v>528000000</v>
      </c>
      <c r="G24" s="108">
        <f t="shared" si="13"/>
        <v>528000000</v>
      </c>
      <c r="H24" s="108">
        <f t="shared" si="13"/>
        <v>528000000</v>
      </c>
      <c r="I24" s="108">
        <f t="shared" si="13"/>
        <v>528000000</v>
      </c>
      <c r="J24" s="108">
        <f t="shared" si="13"/>
        <v>528000000</v>
      </c>
      <c r="K24" s="108">
        <f t="shared" si="13"/>
        <v>528000000</v>
      </c>
      <c r="L24" s="108">
        <f t="shared" si="13"/>
        <v>528000000</v>
      </c>
      <c r="M24" s="108">
        <f t="shared" si="13"/>
        <v>528000000</v>
      </c>
      <c r="N24" s="108">
        <f t="shared" si="13"/>
        <v>528000000</v>
      </c>
      <c r="O24" s="108">
        <f t="shared" si="13"/>
        <v>528000000</v>
      </c>
      <c r="P24" s="108">
        <f t="shared" si="4"/>
        <v>6336000000</v>
      </c>
      <c r="Q24" s="106">
        <f>ROUND(P24/$P$17,0)</f>
        <v>3819</v>
      </c>
      <c r="R24" s="106"/>
    </row>
    <row r="25" spans="1:18" ht="21" customHeight="1">
      <c r="A25" s="107" t="s">
        <v>29</v>
      </c>
      <c r="B25" s="137" t="s">
        <v>32</v>
      </c>
      <c r="C25" s="109">
        <f>ROUND(30/16,0)</f>
        <v>2</v>
      </c>
      <c r="D25" s="108">
        <f t="shared" ref="D25:O25" si="14">ROUND(D3/300,0)*$C25*11500</f>
        <v>11040000</v>
      </c>
      <c r="E25" s="108">
        <f t="shared" si="14"/>
        <v>11040000</v>
      </c>
      <c r="F25" s="108">
        <f t="shared" si="14"/>
        <v>11040000</v>
      </c>
      <c r="G25" s="108">
        <f t="shared" si="14"/>
        <v>11040000</v>
      </c>
      <c r="H25" s="108">
        <f t="shared" si="14"/>
        <v>11040000</v>
      </c>
      <c r="I25" s="108">
        <f t="shared" si="14"/>
        <v>11040000</v>
      </c>
      <c r="J25" s="108">
        <f t="shared" si="14"/>
        <v>11040000</v>
      </c>
      <c r="K25" s="108">
        <f t="shared" si="14"/>
        <v>11040000</v>
      </c>
      <c r="L25" s="108">
        <f t="shared" si="14"/>
        <v>11040000</v>
      </c>
      <c r="M25" s="108">
        <f t="shared" si="14"/>
        <v>11040000</v>
      </c>
      <c r="N25" s="108">
        <f t="shared" si="14"/>
        <v>11040000</v>
      </c>
      <c r="O25" s="108">
        <f t="shared" si="14"/>
        <v>11040000</v>
      </c>
      <c r="P25" s="108">
        <f t="shared" si="4"/>
        <v>132480000</v>
      </c>
      <c r="Q25" s="106">
        <f t="shared" ref="Q25:Q37" si="15">ROUND(P25/$P$17,0)</f>
        <v>80</v>
      </c>
      <c r="R25" s="106"/>
    </row>
    <row r="26" spans="1:18" ht="21" customHeight="1">
      <c r="A26" s="107" t="s">
        <v>34</v>
      </c>
      <c r="B26" s="137" t="s">
        <v>32</v>
      </c>
      <c r="C26" s="109">
        <f>C25*80%</f>
        <v>1.6</v>
      </c>
      <c r="D26" s="108">
        <f t="shared" ref="D26:O26" si="16">ROUND(D4/300,0)*$C26*11500</f>
        <v>8832000</v>
      </c>
      <c r="E26" s="108">
        <f t="shared" si="16"/>
        <v>8832000</v>
      </c>
      <c r="F26" s="108">
        <f t="shared" si="16"/>
        <v>8832000</v>
      </c>
      <c r="G26" s="108">
        <f t="shared" si="16"/>
        <v>8832000</v>
      </c>
      <c r="H26" s="108">
        <f t="shared" si="16"/>
        <v>8832000</v>
      </c>
      <c r="I26" s="108">
        <f t="shared" si="16"/>
        <v>8832000</v>
      </c>
      <c r="J26" s="108">
        <f t="shared" si="16"/>
        <v>8832000</v>
      </c>
      <c r="K26" s="108">
        <f t="shared" si="16"/>
        <v>8832000</v>
      </c>
      <c r="L26" s="108">
        <f t="shared" si="16"/>
        <v>8832000</v>
      </c>
      <c r="M26" s="108">
        <f t="shared" si="16"/>
        <v>8832000</v>
      </c>
      <c r="N26" s="108">
        <f t="shared" si="16"/>
        <v>8832000</v>
      </c>
      <c r="O26" s="108">
        <f t="shared" si="16"/>
        <v>8832000</v>
      </c>
      <c r="P26" s="108">
        <f t="shared" si="4"/>
        <v>105984000</v>
      </c>
      <c r="Q26" s="106">
        <f t="shared" si="15"/>
        <v>64</v>
      </c>
      <c r="R26" s="106"/>
    </row>
    <row r="27" spans="1:18" ht="21" customHeight="1">
      <c r="A27" s="107" t="s">
        <v>3</v>
      </c>
      <c r="B27" s="137" t="s">
        <v>49</v>
      </c>
      <c r="C27" s="106">
        <v>48000</v>
      </c>
      <c r="D27" s="108">
        <f t="shared" ref="D27:O27" si="17">ROUND(D4/300*3,0)*$C27</f>
        <v>69120000</v>
      </c>
      <c r="E27" s="108">
        <f t="shared" si="17"/>
        <v>69120000</v>
      </c>
      <c r="F27" s="108">
        <f t="shared" si="17"/>
        <v>69120000</v>
      </c>
      <c r="G27" s="108">
        <f t="shared" si="17"/>
        <v>69120000</v>
      </c>
      <c r="H27" s="108">
        <f t="shared" si="17"/>
        <v>69120000</v>
      </c>
      <c r="I27" s="108">
        <f t="shared" si="17"/>
        <v>69120000</v>
      </c>
      <c r="J27" s="108">
        <f t="shared" si="17"/>
        <v>69120000</v>
      </c>
      <c r="K27" s="108">
        <f t="shared" si="17"/>
        <v>69120000</v>
      </c>
      <c r="L27" s="108">
        <f t="shared" si="17"/>
        <v>69120000</v>
      </c>
      <c r="M27" s="108">
        <f t="shared" si="17"/>
        <v>69120000</v>
      </c>
      <c r="N27" s="108">
        <f t="shared" si="17"/>
        <v>69120000</v>
      </c>
      <c r="O27" s="108">
        <f t="shared" si="17"/>
        <v>69120000</v>
      </c>
      <c r="P27" s="108">
        <f>SUM(D27:O27)</f>
        <v>829440000</v>
      </c>
      <c r="Q27" s="106">
        <f t="shared" si="15"/>
        <v>500</v>
      </c>
      <c r="R27" s="106"/>
    </row>
    <row r="28" spans="1:18" ht="21" customHeight="1">
      <c r="A28" s="107" t="s">
        <v>36</v>
      </c>
      <c r="B28" s="137"/>
      <c r="C28" s="106">
        <f>145+70</f>
        <v>215</v>
      </c>
      <c r="D28" s="108">
        <f>$C28*D$4</f>
        <v>30960000</v>
      </c>
      <c r="E28" s="108">
        <f t="shared" ref="E28:O29" si="18">$C28*E$4</f>
        <v>30960000</v>
      </c>
      <c r="F28" s="108">
        <f t="shared" si="18"/>
        <v>30960000</v>
      </c>
      <c r="G28" s="108">
        <f t="shared" si="18"/>
        <v>30960000</v>
      </c>
      <c r="H28" s="108">
        <f t="shared" si="18"/>
        <v>30960000</v>
      </c>
      <c r="I28" s="108">
        <f t="shared" si="18"/>
        <v>30960000</v>
      </c>
      <c r="J28" s="108">
        <f t="shared" si="18"/>
        <v>30960000</v>
      </c>
      <c r="K28" s="108">
        <f t="shared" si="18"/>
        <v>30960000</v>
      </c>
      <c r="L28" s="108">
        <f t="shared" si="18"/>
        <v>30960000</v>
      </c>
      <c r="M28" s="108">
        <f t="shared" si="18"/>
        <v>30960000</v>
      </c>
      <c r="N28" s="108">
        <f t="shared" si="18"/>
        <v>30960000</v>
      </c>
      <c r="O28" s="108">
        <f t="shared" si="18"/>
        <v>30960000</v>
      </c>
      <c r="P28" s="108">
        <f t="shared" si="4"/>
        <v>371520000</v>
      </c>
      <c r="Q28" s="106">
        <f t="shared" si="15"/>
        <v>224</v>
      </c>
      <c r="R28" s="106"/>
    </row>
    <row r="29" spans="1:18" ht="21" customHeight="1">
      <c r="A29" s="107" t="s">
        <v>35</v>
      </c>
      <c r="B29" s="137"/>
      <c r="C29" s="106">
        <f>7500/21.5</f>
        <v>348.83720930232556</v>
      </c>
      <c r="D29" s="108">
        <f>$C29*D$4</f>
        <v>50232558.139534883</v>
      </c>
      <c r="E29" s="108">
        <f t="shared" si="18"/>
        <v>50232558.139534883</v>
      </c>
      <c r="F29" s="108">
        <f t="shared" si="18"/>
        <v>50232558.139534883</v>
      </c>
      <c r="G29" s="108">
        <f t="shared" si="18"/>
        <v>50232558.139534883</v>
      </c>
      <c r="H29" s="108">
        <f t="shared" si="18"/>
        <v>50232558.139534883</v>
      </c>
      <c r="I29" s="108">
        <f t="shared" si="18"/>
        <v>50232558.139534883</v>
      </c>
      <c r="J29" s="108">
        <f t="shared" si="18"/>
        <v>50232558.139534883</v>
      </c>
      <c r="K29" s="108">
        <f t="shared" si="18"/>
        <v>50232558.139534883</v>
      </c>
      <c r="L29" s="108">
        <f t="shared" si="18"/>
        <v>50232558.139534883</v>
      </c>
      <c r="M29" s="108">
        <f t="shared" si="18"/>
        <v>50232558.139534883</v>
      </c>
      <c r="N29" s="108">
        <f t="shared" si="18"/>
        <v>50232558.139534883</v>
      </c>
      <c r="O29" s="108">
        <f t="shared" si="18"/>
        <v>50232558.139534883</v>
      </c>
      <c r="P29" s="108">
        <f t="shared" ref="P29" si="19">SUM(D29:O29)</f>
        <v>602790697.67441857</v>
      </c>
      <c r="Q29" s="106">
        <f t="shared" ref="Q29" si="20">ROUND(P29/$P$17,0)</f>
        <v>363</v>
      </c>
      <c r="R29" s="106"/>
    </row>
    <row r="30" spans="1:18" ht="21" customHeight="1">
      <c r="A30" s="107" t="s">
        <v>39</v>
      </c>
      <c r="B30" s="137" t="s">
        <v>49</v>
      </c>
      <c r="C30" s="106">
        <f>ROUND(57700*1.06,-1)</f>
        <v>61160</v>
      </c>
      <c r="D30" s="108">
        <f t="shared" ref="D30:O30" si="21">ROUND(D4/300,0)*3*$C30</f>
        <v>88070400</v>
      </c>
      <c r="E30" s="108">
        <f t="shared" si="21"/>
        <v>88070400</v>
      </c>
      <c r="F30" s="108">
        <f t="shared" si="21"/>
        <v>88070400</v>
      </c>
      <c r="G30" s="108">
        <f t="shared" si="21"/>
        <v>88070400</v>
      </c>
      <c r="H30" s="108">
        <f t="shared" si="21"/>
        <v>88070400</v>
      </c>
      <c r="I30" s="108">
        <f t="shared" si="21"/>
        <v>88070400</v>
      </c>
      <c r="J30" s="108">
        <f t="shared" si="21"/>
        <v>88070400</v>
      </c>
      <c r="K30" s="108">
        <f t="shared" si="21"/>
        <v>88070400</v>
      </c>
      <c r="L30" s="108">
        <f t="shared" si="21"/>
        <v>88070400</v>
      </c>
      <c r="M30" s="108">
        <f t="shared" si="21"/>
        <v>88070400</v>
      </c>
      <c r="N30" s="108">
        <f t="shared" si="21"/>
        <v>88070400</v>
      </c>
      <c r="O30" s="108">
        <f t="shared" si="21"/>
        <v>88070400</v>
      </c>
      <c r="P30" s="108">
        <f t="shared" si="4"/>
        <v>1056844800</v>
      </c>
      <c r="Q30" s="106">
        <f t="shared" si="15"/>
        <v>637</v>
      </c>
      <c r="R30" s="106"/>
    </row>
    <row r="31" spans="1:18" ht="21" customHeight="1">
      <c r="A31" s="107" t="s">
        <v>13</v>
      </c>
      <c r="B31" s="137"/>
      <c r="C31" s="109">
        <v>60</v>
      </c>
      <c r="D31" s="108">
        <f t="shared" ref="D31:O31" si="22">$C31*D$4</f>
        <v>8640000</v>
      </c>
      <c r="E31" s="108">
        <f t="shared" si="22"/>
        <v>8640000</v>
      </c>
      <c r="F31" s="108">
        <f t="shared" si="22"/>
        <v>8640000</v>
      </c>
      <c r="G31" s="108">
        <f t="shared" si="22"/>
        <v>8640000</v>
      </c>
      <c r="H31" s="108">
        <f t="shared" si="22"/>
        <v>8640000</v>
      </c>
      <c r="I31" s="108">
        <f t="shared" si="22"/>
        <v>8640000</v>
      </c>
      <c r="J31" s="108">
        <f t="shared" si="22"/>
        <v>8640000</v>
      </c>
      <c r="K31" s="108">
        <f t="shared" si="22"/>
        <v>8640000</v>
      </c>
      <c r="L31" s="108">
        <f t="shared" si="22"/>
        <v>8640000</v>
      </c>
      <c r="M31" s="108">
        <f t="shared" si="22"/>
        <v>8640000</v>
      </c>
      <c r="N31" s="108">
        <f t="shared" si="22"/>
        <v>8640000</v>
      </c>
      <c r="O31" s="108">
        <f t="shared" si="22"/>
        <v>8640000</v>
      </c>
      <c r="P31" s="108">
        <f>SUM(D31:O31)</f>
        <v>103680000</v>
      </c>
      <c r="Q31" s="106">
        <f>ROUND(P31/$P$17,0)</f>
        <v>63</v>
      </c>
      <c r="R31" s="106"/>
    </row>
    <row r="32" spans="1:18" ht="21" customHeight="1">
      <c r="A32" s="110" t="s">
        <v>52</v>
      </c>
      <c r="B32" s="138"/>
      <c r="C32" s="111"/>
      <c r="D32" s="147">
        <v>117</v>
      </c>
      <c r="E32" s="147">
        <v>117</v>
      </c>
      <c r="F32" s="147">
        <v>117</v>
      </c>
      <c r="G32" s="147">
        <v>117</v>
      </c>
      <c r="H32" s="147">
        <v>117</v>
      </c>
      <c r="I32" s="147">
        <v>117</v>
      </c>
      <c r="J32" s="147">
        <v>117</v>
      </c>
      <c r="K32" s="147">
        <v>117</v>
      </c>
      <c r="L32" s="147">
        <v>117</v>
      </c>
      <c r="M32" s="147">
        <v>117</v>
      </c>
      <c r="N32" s="147">
        <v>117</v>
      </c>
      <c r="O32" s="147">
        <v>117</v>
      </c>
      <c r="P32" s="147"/>
      <c r="Q32" s="147"/>
      <c r="R32" s="106"/>
    </row>
    <row r="33" spans="1:18" ht="21" customHeight="1">
      <c r="A33" s="110" t="s">
        <v>4</v>
      </c>
      <c r="B33" s="138"/>
      <c r="C33" s="111"/>
      <c r="D33" s="112">
        <v>53323060</v>
      </c>
      <c r="E33" s="112">
        <v>53323060</v>
      </c>
      <c r="F33" s="112">
        <v>53323060</v>
      </c>
      <c r="G33" s="112">
        <v>53323060</v>
      </c>
      <c r="H33" s="112">
        <v>53323060</v>
      </c>
      <c r="I33" s="112">
        <v>53323060</v>
      </c>
      <c r="J33" s="112">
        <v>53323060</v>
      </c>
      <c r="K33" s="112">
        <v>53323060</v>
      </c>
      <c r="L33" s="112">
        <v>53323060</v>
      </c>
      <c r="M33" s="112">
        <v>53323060</v>
      </c>
      <c r="N33" s="112">
        <v>53323060</v>
      </c>
      <c r="O33" s="112">
        <v>53323060</v>
      </c>
      <c r="P33" s="112">
        <f t="shared" si="4"/>
        <v>639876720</v>
      </c>
      <c r="Q33" s="113">
        <f t="shared" si="15"/>
        <v>386</v>
      </c>
      <c r="R33" s="106"/>
    </row>
    <row r="34" spans="1:18" s="63" customFormat="1" ht="21" customHeight="1">
      <c r="A34" s="114" t="s">
        <v>46</v>
      </c>
      <c r="B34" s="139"/>
      <c r="C34" s="115"/>
      <c r="D34" s="116">
        <f>SUM(D35:D37)</f>
        <v>439603200</v>
      </c>
      <c r="E34" s="116">
        <f t="shared" ref="E34:P34" si="23">SUM(E35:E37)</f>
        <v>439603200</v>
      </c>
      <c r="F34" s="116">
        <f t="shared" si="23"/>
        <v>439603200</v>
      </c>
      <c r="G34" s="116">
        <f t="shared" si="23"/>
        <v>439603200</v>
      </c>
      <c r="H34" s="116">
        <f t="shared" si="23"/>
        <v>439603200</v>
      </c>
      <c r="I34" s="116">
        <f t="shared" si="23"/>
        <v>439603200</v>
      </c>
      <c r="J34" s="116">
        <f t="shared" si="23"/>
        <v>439603200</v>
      </c>
      <c r="K34" s="116">
        <f t="shared" si="23"/>
        <v>439603200</v>
      </c>
      <c r="L34" s="116">
        <f t="shared" si="23"/>
        <v>439603200</v>
      </c>
      <c r="M34" s="116">
        <f t="shared" si="23"/>
        <v>439603200</v>
      </c>
      <c r="N34" s="116">
        <f t="shared" si="23"/>
        <v>439603200</v>
      </c>
      <c r="O34" s="116">
        <f t="shared" si="23"/>
        <v>439603200</v>
      </c>
      <c r="P34" s="116">
        <f t="shared" si="23"/>
        <v>5275238400</v>
      </c>
      <c r="Q34" s="115">
        <f>ROUND(P34/$P$17,0)</f>
        <v>3180</v>
      </c>
      <c r="R34" s="117"/>
    </row>
    <row r="35" spans="1:18" ht="21" customHeight="1">
      <c r="A35" s="118" t="s">
        <v>42</v>
      </c>
      <c r="B35" s="140"/>
      <c r="C35" s="197">
        <v>7.0000000000000007E-2</v>
      </c>
      <c r="D35" s="119">
        <f>D19*$C$35</f>
        <v>183859200.00000003</v>
      </c>
      <c r="E35" s="119">
        <f t="shared" ref="E35:O35" si="24">E19*$C$35</f>
        <v>183859200.00000003</v>
      </c>
      <c r="F35" s="119">
        <f t="shared" si="24"/>
        <v>183859200.00000003</v>
      </c>
      <c r="G35" s="119">
        <f t="shared" si="24"/>
        <v>183859200.00000003</v>
      </c>
      <c r="H35" s="119">
        <f t="shared" si="24"/>
        <v>183859200.00000003</v>
      </c>
      <c r="I35" s="119">
        <f t="shared" si="24"/>
        <v>183859200.00000003</v>
      </c>
      <c r="J35" s="119">
        <f t="shared" si="24"/>
        <v>183859200.00000003</v>
      </c>
      <c r="K35" s="119">
        <f t="shared" si="24"/>
        <v>183859200.00000003</v>
      </c>
      <c r="L35" s="119">
        <f t="shared" si="24"/>
        <v>183859200.00000003</v>
      </c>
      <c r="M35" s="119">
        <f t="shared" si="24"/>
        <v>183859200.00000003</v>
      </c>
      <c r="N35" s="119">
        <f t="shared" si="24"/>
        <v>183859200.00000003</v>
      </c>
      <c r="O35" s="119">
        <f t="shared" si="24"/>
        <v>183859200.00000003</v>
      </c>
      <c r="P35" s="119">
        <f t="shared" si="4"/>
        <v>2206310400.0000005</v>
      </c>
      <c r="Q35" s="120">
        <f>ROUND(P35/$P$17,0)</f>
        <v>1330</v>
      </c>
      <c r="R35" s="106" t="s">
        <v>44</v>
      </c>
    </row>
    <row r="36" spans="1:18" ht="21" customHeight="1">
      <c r="A36" s="107" t="s">
        <v>43</v>
      </c>
      <c r="B36" s="137"/>
      <c r="C36" s="106">
        <v>1400</v>
      </c>
      <c r="D36" s="108">
        <f>$C36*D$17</f>
        <v>193536000</v>
      </c>
      <c r="E36" s="108">
        <f t="shared" ref="E36:O36" si="25">$C36*E$17</f>
        <v>193536000</v>
      </c>
      <c r="F36" s="108">
        <f t="shared" si="25"/>
        <v>193536000</v>
      </c>
      <c r="G36" s="108">
        <f t="shared" si="25"/>
        <v>193536000</v>
      </c>
      <c r="H36" s="108">
        <f t="shared" si="25"/>
        <v>193536000</v>
      </c>
      <c r="I36" s="108">
        <f t="shared" si="25"/>
        <v>193536000</v>
      </c>
      <c r="J36" s="108">
        <f t="shared" si="25"/>
        <v>193536000</v>
      </c>
      <c r="K36" s="108">
        <f t="shared" si="25"/>
        <v>193536000</v>
      </c>
      <c r="L36" s="108">
        <f t="shared" si="25"/>
        <v>193536000</v>
      </c>
      <c r="M36" s="108">
        <f t="shared" si="25"/>
        <v>193536000</v>
      </c>
      <c r="N36" s="108">
        <f t="shared" si="25"/>
        <v>193536000</v>
      </c>
      <c r="O36" s="108">
        <f t="shared" si="25"/>
        <v>193536000</v>
      </c>
      <c r="P36" s="108">
        <f t="shared" si="4"/>
        <v>2322432000</v>
      </c>
      <c r="Q36" s="106">
        <f t="shared" si="15"/>
        <v>1400</v>
      </c>
      <c r="R36" s="106"/>
    </row>
    <row r="37" spans="1:18" ht="21" customHeight="1">
      <c r="A37" s="121" t="s">
        <v>7</v>
      </c>
      <c r="B37" s="141"/>
      <c r="C37" s="122">
        <v>450</v>
      </c>
      <c r="D37" s="123">
        <f t="shared" ref="D37:O37" si="26">D17*$C37</f>
        <v>62208000</v>
      </c>
      <c r="E37" s="123">
        <f t="shared" si="26"/>
        <v>62208000</v>
      </c>
      <c r="F37" s="123">
        <f t="shared" si="26"/>
        <v>62208000</v>
      </c>
      <c r="G37" s="123">
        <f t="shared" si="26"/>
        <v>62208000</v>
      </c>
      <c r="H37" s="123">
        <f t="shared" si="26"/>
        <v>62208000</v>
      </c>
      <c r="I37" s="123">
        <f t="shared" si="26"/>
        <v>62208000</v>
      </c>
      <c r="J37" s="123">
        <f t="shared" si="26"/>
        <v>62208000</v>
      </c>
      <c r="K37" s="123">
        <f t="shared" si="26"/>
        <v>62208000</v>
      </c>
      <c r="L37" s="123">
        <f t="shared" si="26"/>
        <v>62208000</v>
      </c>
      <c r="M37" s="123">
        <f t="shared" si="26"/>
        <v>62208000</v>
      </c>
      <c r="N37" s="123">
        <f t="shared" si="26"/>
        <v>62208000</v>
      </c>
      <c r="O37" s="123">
        <f t="shared" si="26"/>
        <v>62208000</v>
      </c>
      <c r="P37" s="123">
        <f t="shared" si="4"/>
        <v>746496000</v>
      </c>
      <c r="Q37" s="198">
        <f t="shared" si="15"/>
        <v>450</v>
      </c>
      <c r="R37" s="122"/>
    </row>
    <row r="38" spans="1:18" s="77" customFormat="1" ht="21" customHeight="1">
      <c r="A38" s="96" t="s">
        <v>11</v>
      </c>
      <c r="B38" s="134"/>
      <c r="C38" s="98"/>
      <c r="D38" s="97">
        <f t="shared" ref="D38:Q38" si="27">SUM(D10,D22,D34)</f>
        <v>3021040439.4595346</v>
      </c>
      <c r="E38" s="97">
        <f t="shared" si="27"/>
        <v>3021040439.4595346</v>
      </c>
      <c r="F38" s="97">
        <f t="shared" si="27"/>
        <v>3021040439.4595346</v>
      </c>
      <c r="G38" s="97">
        <f t="shared" si="27"/>
        <v>3021040439.4595346</v>
      </c>
      <c r="H38" s="97">
        <f t="shared" si="27"/>
        <v>3021040439.4595346</v>
      </c>
      <c r="I38" s="97">
        <f t="shared" si="27"/>
        <v>3021040439.4595346</v>
      </c>
      <c r="J38" s="97">
        <f t="shared" si="27"/>
        <v>3021040439.4595346</v>
      </c>
      <c r="K38" s="97">
        <f t="shared" si="27"/>
        <v>3021040439.4595346</v>
      </c>
      <c r="L38" s="97">
        <f t="shared" si="27"/>
        <v>3021040439.4595346</v>
      </c>
      <c r="M38" s="97">
        <f t="shared" si="27"/>
        <v>3021040439.4595346</v>
      </c>
      <c r="N38" s="97">
        <f t="shared" si="27"/>
        <v>3021040439.4595346</v>
      </c>
      <c r="O38" s="97">
        <f t="shared" si="27"/>
        <v>3021040439.4595346</v>
      </c>
      <c r="P38" s="97">
        <f t="shared" si="27"/>
        <v>36252483869.51442</v>
      </c>
      <c r="Q38" s="115">
        <f t="shared" si="27"/>
        <v>9354</v>
      </c>
      <c r="R38" s="98"/>
    </row>
    <row r="39" spans="1:18" s="64" customFormat="1" ht="18">
      <c r="A39" s="124" t="s">
        <v>16</v>
      </c>
      <c r="B39" s="142"/>
      <c r="C39" s="125"/>
      <c r="D39" s="126">
        <f>D19-D38</f>
        <v>-394480439.45953465</v>
      </c>
      <c r="E39" s="126">
        <f t="shared" ref="E39:O39" si="28">E19-E38</f>
        <v>-394480439.45953465</v>
      </c>
      <c r="F39" s="126">
        <f t="shared" si="28"/>
        <v>-394480439.45953465</v>
      </c>
      <c r="G39" s="126">
        <f t="shared" si="28"/>
        <v>-394480439.45953465</v>
      </c>
      <c r="H39" s="126">
        <f t="shared" si="28"/>
        <v>-394480439.45953465</v>
      </c>
      <c r="I39" s="126">
        <f t="shared" si="28"/>
        <v>-394480439.45953465</v>
      </c>
      <c r="J39" s="126">
        <f t="shared" si="28"/>
        <v>-394480439.45953465</v>
      </c>
      <c r="K39" s="126">
        <f t="shared" si="28"/>
        <v>-394480439.45953465</v>
      </c>
      <c r="L39" s="126">
        <f t="shared" si="28"/>
        <v>-394480439.45953465</v>
      </c>
      <c r="M39" s="126">
        <f t="shared" si="28"/>
        <v>-394480439.45953465</v>
      </c>
      <c r="N39" s="126">
        <f t="shared" si="28"/>
        <v>-394480439.45953465</v>
      </c>
      <c r="O39" s="126">
        <f t="shared" si="28"/>
        <v>-394480439.45953465</v>
      </c>
      <c r="P39" s="126">
        <f>SUM(D39:O39)</f>
        <v>-4733765273.5144157</v>
      </c>
      <c r="Q39" s="125"/>
      <c r="R39" s="125"/>
    </row>
    <row r="40" spans="1:18">
      <c r="D40" s="127">
        <f>D39/D19</f>
        <v>-0.15018900746966932</v>
      </c>
      <c r="E40" s="127">
        <f t="shared" ref="E40:O40" si="29">E39/E19</f>
        <v>-0.15018900746966932</v>
      </c>
      <c r="F40" s="127">
        <f t="shared" si="29"/>
        <v>-0.15018900746966932</v>
      </c>
      <c r="G40" s="127">
        <f t="shared" si="29"/>
        <v>-0.15018900746966932</v>
      </c>
      <c r="H40" s="127">
        <f t="shared" si="29"/>
        <v>-0.15018900746966932</v>
      </c>
      <c r="I40" s="127">
        <f t="shared" si="29"/>
        <v>-0.15018900746966932</v>
      </c>
      <c r="J40" s="127">
        <f t="shared" si="29"/>
        <v>-0.15018900746966932</v>
      </c>
      <c r="K40" s="127">
        <f t="shared" si="29"/>
        <v>-0.15018900746966932</v>
      </c>
      <c r="L40" s="127">
        <f t="shared" si="29"/>
        <v>-0.15018900746966932</v>
      </c>
      <c r="M40" s="127">
        <f t="shared" si="29"/>
        <v>-0.15018900746966932</v>
      </c>
      <c r="N40" s="127">
        <f t="shared" si="29"/>
        <v>-0.15018900746966932</v>
      </c>
      <c r="O40" s="127">
        <f t="shared" si="29"/>
        <v>-0.15018900746966932</v>
      </c>
    </row>
    <row r="42" spans="1:18">
      <c r="D42" s="128"/>
    </row>
    <row r="43" spans="1:18">
      <c r="C43" s="62"/>
    </row>
    <row r="44" spans="1:18" ht="18" thickBot="1">
      <c r="C44" s="62"/>
    </row>
    <row r="45" spans="1:18" ht="23.5">
      <c r="A45" s="155" t="s">
        <v>53</v>
      </c>
      <c r="B45" s="156"/>
      <c r="C45" s="157" t="s">
        <v>54</v>
      </c>
      <c r="D45" s="157" t="s">
        <v>73</v>
      </c>
      <c r="E45" s="157" t="s">
        <v>55</v>
      </c>
      <c r="F45" s="158" t="s">
        <v>56</v>
      </c>
    </row>
    <row r="46" spans="1:18" ht="23.5">
      <c r="A46" s="159" t="s">
        <v>57</v>
      </c>
      <c r="B46" s="160"/>
      <c r="C46" s="160"/>
      <c r="D46" s="161"/>
      <c r="E46" s="160"/>
      <c r="F46" s="162"/>
    </row>
    <row r="47" spans="1:18" ht="23.5">
      <c r="A47" s="159" t="s">
        <v>58</v>
      </c>
      <c r="B47" s="163" t="s">
        <v>59</v>
      </c>
      <c r="C47" s="164">
        <f>E33+E30+100000000</f>
        <v>241393460</v>
      </c>
      <c r="D47" s="161" t="s">
        <v>74</v>
      </c>
      <c r="E47" s="163" t="s">
        <v>76</v>
      </c>
      <c r="F47" s="165" t="s">
        <v>80</v>
      </c>
    </row>
    <row r="48" spans="1:18" ht="23.5">
      <c r="A48" s="159" t="s">
        <v>60</v>
      </c>
      <c r="B48" s="163" t="s">
        <v>22</v>
      </c>
      <c r="C48" s="166">
        <f>(E38-C47)/E17</f>
        <v>20107.40002502557</v>
      </c>
      <c r="D48" s="161" t="s">
        <v>75</v>
      </c>
      <c r="E48" s="163" t="s">
        <v>77</v>
      </c>
      <c r="F48" s="167" t="s">
        <v>81</v>
      </c>
    </row>
    <row r="49" spans="1:6" ht="22.5">
      <c r="A49" s="168"/>
      <c r="B49" s="160"/>
      <c r="C49" s="160"/>
      <c r="D49" s="161"/>
      <c r="E49" s="160"/>
      <c r="F49" s="162"/>
    </row>
    <row r="50" spans="1:6" ht="23.5">
      <c r="A50" s="169" t="s">
        <v>61</v>
      </c>
      <c r="B50" s="170"/>
      <c r="C50" s="170"/>
      <c r="D50" s="171"/>
      <c r="E50" s="170"/>
      <c r="F50" s="172"/>
    </row>
    <row r="51" spans="1:6" ht="23.5">
      <c r="A51" s="169" t="s">
        <v>62</v>
      </c>
      <c r="B51" s="173" t="s">
        <v>22</v>
      </c>
      <c r="C51" s="174">
        <f>E18</f>
        <v>19000</v>
      </c>
      <c r="D51" s="175">
        <f>C48+(C47/E17)</f>
        <v>21853.59114192372</v>
      </c>
      <c r="E51" s="173" t="str">
        <f>IF(C51&gt;D51,"✅","❌ LỖ")</f>
        <v>❌ LỖ</v>
      </c>
      <c r="F51" s="176" t="s">
        <v>82</v>
      </c>
    </row>
    <row r="52" spans="1:6" ht="23.5">
      <c r="A52" s="169" t="s">
        <v>63</v>
      </c>
      <c r="B52" s="173" t="s">
        <v>64</v>
      </c>
      <c r="C52" s="177">
        <f>E17</f>
        <v>138240</v>
      </c>
      <c r="D52" s="178">
        <f>C47/(E18-C48)</f>
        <v>-217982.16953663705</v>
      </c>
      <c r="E52" s="173" t="str">
        <f>IF(C52&gt;D52,"✅","⚠️ THIẾU")</f>
        <v>✅</v>
      </c>
      <c r="F52" s="176" t="s">
        <v>83</v>
      </c>
    </row>
    <row r="53" spans="1:6" ht="23.5">
      <c r="A53" s="169" t="s">
        <v>65</v>
      </c>
      <c r="B53" s="173" t="s">
        <v>66</v>
      </c>
      <c r="C53" s="179">
        <f>(C51-D51)/C51</f>
        <v>-0.15018900746966948</v>
      </c>
      <c r="D53" s="180">
        <v>0.05</v>
      </c>
      <c r="E53" s="173" t="str">
        <f>IF(C53&gt;0.05,"👌","💀 NGUY")</f>
        <v>💀 NGUY</v>
      </c>
      <c r="F53" s="176" t="s">
        <v>84</v>
      </c>
    </row>
    <row r="54" spans="1:6" ht="22.5">
      <c r="A54" s="181"/>
      <c r="B54" s="170"/>
      <c r="C54" s="170"/>
      <c r="D54" s="171"/>
      <c r="E54" s="170"/>
      <c r="F54" s="172"/>
    </row>
    <row r="55" spans="1:6" ht="33" customHeight="1">
      <c r="A55" s="182" t="s">
        <v>67</v>
      </c>
      <c r="B55" s="183"/>
      <c r="C55" s="183"/>
      <c r="D55" s="184"/>
      <c r="E55" s="183"/>
      <c r="F55" s="185"/>
    </row>
    <row r="56" spans="1:6" ht="23.5">
      <c r="A56" s="182" t="s">
        <v>68</v>
      </c>
      <c r="B56" s="186" t="s">
        <v>22</v>
      </c>
      <c r="C56" s="187">
        <f>E11/E4</f>
        <v>12000</v>
      </c>
      <c r="D56" s="188">
        <f>E18-((E38-E10)/E17)</f>
        <v>9646.4088580762837</v>
      </c>
      <c r="E56" s="186" t="str">
        <f>IF(C56&lt;D56,"✅","⛔ ĐẮT")</f>
        <v>⛔ ĐẮT</v>
      </c>
      <c r="F56" s="189" t="s">
        <v>85</v>
      </c>
    </row>
    <row r="57" spans="1:6" ht="23.5">
      <c r="A57" s="182" t="s">
        <v>69</v>
      </c>
      <c r="B57" s="186" t="s">
        <v>66</v>
      </c>
      <c r="C57" s="190">
        <f>(E4-E17)/E4</f>
        <v>0.04</v>
      </c>
      <c r="D57" s="191">
        <v>0.04</v>
      </c>
      <c r="E57" s="186" t="str">
        <f>IF(C57&lt;=0.04,"✅","🔥 SỰ CỐ")</f>
        <v>✅</v>
      </c>
      <c r="F57" s="189" t="s">
        <v>70</v>
      </c>
    </row>
    <row r="58" spans="1:6" ht="23.5">
      <c r="A58" s="182" t="s">
        <v>71</v>
      </c>
      <c r="B58" s="186" t="s">
        <v>22</v>
      </c>
      <c r="C58" s="187">
        <f>E18-(E36/E17)</f>
        <v>17600</v>
      </c>
      <c r="D58" s="188" t="s">
        <v>78</v>
      </c>
      <c r="E58" s="186" t="str">
        <f>IF(C58&gt;=20000,"✅","💸 CẮT")</f>
        <v>💸 CẮT</v>
      </c>
      <c r="F58" s="189" t="s">
        <v>86</v>
      </c>
    </row>
    <row r="59" spans="1:6" ht="24" thickBot="1">
      <c r="A59" s="192" t="s">
        <v>72</v>
      </c>
      <c r="B59" s="193" t="s">
        <v>59</v>
      </c>
      <c r="C59" s="194">
        <f>E39/E17</f>
        <v>-2853.5911419237173</v>
      </c>
      <c r="D59" s="195" t="s">
        <v>79</v>
      </c>
      <c r="E59" s="193" t="str">
        <f>IF(C59&gt;0,"✅","💀 ÂM")</f>
        <v>💀 ÂM</v>
      </c>
      <c r="F59" s="196" t="s">
        <v>87</v>
      </c>
    </row>
    <row r="60" spans="1:6">
      <c r="C60" s="62"/>
    </row>
    <row r="61" spans="1:6">
      <c r="C61" s="62"/>
    </row>
    <row r="63" spans="1:6">
      <c r="A63" s="149"/>
    </row>
    <row r="64" spans="1:6">
      <c r="A64"/>
    </row>
    <row r="65" spans="1:1">
      <c r="A65" s="151"/>
    </row>
    <row r="66" spans="1:1">
      <c r="A66" s="153"/>
    </row>
    <row r="67" spans="1:1">
      <c r="A67" s="153"/>
    </row>
    <row r="68" spans="1:1">
      <c r="A68" s="151"/>
    </row>
    <row r="69" spans="1:1">
      <c r="A69" s="153"/>
    </row>
    <row r="70" spans="1:1">
      <c r="A70" s="153"/>
    </row>
    <row r="71" spans="1:1">
      <c r="A71" s="149"/>
    </row>
    <row r="72" spans="1:1">
      <c r="A72"/>
    </row>
    <row r="73" spans="1:1">
      <c r="A73" s="151"/>
    </row>
    <row r="74" spans="1:1">
      <c r="A74" s="153"/>
    </row>
    <row r="75" spans="1:1">
      <c r="A75" s="151"/>
    </row>
    <row r="76" spans="1:1">
      <c r="A76" s="153"/>
    </row>
    <row r="77" spans="1:1">
      <c r="A77" s="153"/>
    </row>
    <row r="78" spans="1:1">
      <c r="A78" s="149"/>
    </row>
    <row r="79" spans="1:1">
      <c r="A79"/>
    </row>
    <row r="80" spans="1:1">
      <c r="A80" s="150"/>
    </row>
    <row r="81" spans="1:1">
      <c r="A81" s="150"/>
    </row>
    <row r="82" spans="1:1">
      <c r="A82" s="150"/>
    </row>
    <row r="83" spans="1:1">
      <c r="A83" s="152"/>
    </row>
    <row r="84" spans="1:1">
      <c r="A84" s="152"/>
    </row>
    <row r="85" spans="1:1">
      <c r="A85" s="152"/>
    </row>
    <row r="86" spans="1:1">
      <c r="A86" s="150"/>
    </row>
    <row r="87" spans="1:1">
      <c r="A87" s="150"/>
    </row>
    <row r="88" spans="1:1">
      <c r="A88" s="152"/>
    </row>
    <row r="90" spans="1:1">
      <c r="A90" s="152"/>
    </row>
    <row r="92" spans="1:1">
      <c r="A92" s="152"/>
    </row>
    <row r="94" spans="1:1">
      <c r="A94" s="150"/>
    </row>
    <row r="95" spans="1:1">
      <c r="A95" s="150"/>
    </row>
    <row r="96" spans="1:1">
      <c r="A96" s="152"/>
    </row>
    <row r="98" spans="1:1">
      <c r="A98" s="152"/>
    </row>
    <row r="100" spans="1:1">
      <c r="A100"/>
    </row>
    <row r="102" spans="1:1">
      <c r="A102"/>
    </row>
  </sheetData>
  <conditionalFormatting sqref="E51:E59">
    <cfRule type="containsText" dxfId="15" priority="1" operator="containsText" text="💸">
      <formula>NOT(ISERROR(SEARCH("💸",E51)))</formula>
    </cfRule>
    <cfRule type="containsText" dxfId="14" priority="2" operator="containsText" text="💀">
      <formula>NOT(ISERROR(SEARCH("💀",E51)))</formula>
    </cfRule>
    <cfRule type="containsText" dxfId="13" priority="3" operator="containsText" text="🔥">
      <formula>NOT(ISERROR(SEARCH("🔥",E51)))</formula>
    </cfRule>
    <cfRule type="containsText" dxfId="12" priority="4" operator="containsText" text="⛔">
      <formula>NOT(ISERROR(SEARCH("⛔",E51)))</formula>
    </cfRule>
    <cfRule type="containsText" dxfId="11" priority="5" operator="containsText" text="❌">
      <formula>NOT(ISERROR(SEARCH("❌",E51)))</formula>
    </cfRule>
    <cfRule type="containsText" dxfId="10" priority="6" operator="containsText" text="⚠️">
      <formula>NOT(ISERROR(SEARCH("⚠️",E51)))</formula>
    </cfRule>
    <cfRule type="containsText" dxfId="9" priority="7" operator="containsText" text="👌">
      <formula>NOT(ISERROR(SEARCH("👌",E51)))</formula>
    </cfRule>
    <cfRule type="containsText" dxfId="8" priority="8" operator="containsText" text="✅">
      <formula>NOT(ISERROR(SEARCH("✅",E51)))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0581-8EC4-4F33-A420-5E002F2DEDB9}">
  <sheetPr>
    <tabColor rgb="FFFFFF00"/>
  </sheetPr>
  <dimension ref="A1:AF102"/>
  <sheetViews>
    <sheetView tabSelected="1" zoomScale="70" zoomScaleNormal="70" workbookViewId="0">
      <pane xSplit="3" ySplit="1" topLeftCell="O34" activePane="bottomRight" state="frozen"/>
      <selection pane="topRight" activeCell="D1" sqref="D1"/>
      <selection pane="bottomLeft" activeCell="A2" sqref="A2"/>
      <selection pane="bottomRight" activeCell="O30" sqref="O30"/>
    </sheetView>
  </sheetViews>
  <sheetFormatPr defaultColWidth="10.08984375" defaultRowHeight="17.5" outlineLevelRow="1" outlineLevelCol="1"/>
  <cols>
    <col min="1" max="1" width="64.90625" style="62" customWidth="1"/>
    <col min="2" max="2" width="10.08984375" style="62" bestFit="1" customWidth="1"/>
    <col min="3" max="3" width="24.26953125" style="65" customWidth="1" outlineLevel="1"/>
    <col min="4" max="4" width="18.90625" style="62" customWidth="1"/>
    <col min="5" max="5" width="18.08984375" style="62" bestFit="1" customWidth="1"/>
    <col min="6" max="6" width="17.36328125" style="62" customWidth="1"/>
    <col min="7" max="15" width="16.08984375" style="62" customWidth="1"/>
    <col min="16" max="16" width="19.54296875" style="62" customWidth="1"/>
    <col min="17" max="17" width="15.36328125" style="62" customWidth="1"/>
    <col min="18" max="18" width="27.08984375" style="62" bestFit="1" customWidth="1"/>
    <col min="19" max="19" width="11.453125" style="62" bestFit="1" customWidth="1"/>
    <col min="20" max="20" width="17.6328125" style="62" bestFit="1" customWidth="1"/>
    <col min="21" max="32" width="10.90625" style="62" bestFit="1" customWidth="1"/>
    <col min="33" max="16384" width="10.08984375" style="62"/>
  </cols>
  <sheetData>
    <row r="1" spans="1:32" s="66" customFormat="1" ht="52.5">
      <c r="A1" s="67" t="s">
        <v>17</v>
      </c>
      <c r="B1" s="67" t="s">
        <v>25</v>
      </c>
      <c r="C1" s="67" t="s">
        <v>40</v>
      </c>
      <c r="D1" s="68">
        <v>1</v>
      </c>
      <c r="E1" s="68">
        <v>2</v>
      </c>
      <c r="F1" s="68">
        <v>3</v>
      </c>
      <c r="G1" s="68">
        <v>4</v>
      </c>
      <c r="H1" s="68">
        <v>5</v>
      </c>
      <c r="I1" s="68">
        <v>6</v>
      </c>
      <c r="J1" s="68">
        <v>7</v>
      </c>
      <c r="K1" s="68">
        <v>8</v>
      </c>
      <c r="L1" s="68">
        <v>9</v>
      </c>
      <c r="M1" s="68">
        <v>10</v>
      </c>
      <c r="N1" s="68">
        <v>11</v>
      </c>
      <c r="O1" s="68">
        <v>12</v>
      </c>
      <c r="P1" s="68" t="s">
        <v>18</v>
      </c>
      <c r="Q1" s="69" t="s">
        <v>38</v>
      </c>
      <c r="R1" s="70" t="s">
        <v>41</v>
      </c>
      <c r="S1" s="148"/>
      <c r="T1" s="68">
        <v>1</v>
      </c>
      <c r="U1" s="68">
        <v>2</v>
      </c>
      <c r="V1" s="68">
        <v>3</v>
      </c>
      <c r="W1" s="68">
        <v>4</v>
      </c>
      <c r="X1" s="68">
        <v>5</v>
      </c>
      <c r="Y1" s="68">
        <v>6</v>
      </c>
      <c r="Z1" s="68">
        <v>7</v>
      </c>
      <c r="AA1" s="68">
        <v>8</v>
      </c>
      <c r="AB1" s="68">
        <v>9</v>
      </c>
      <c r="AC1" s="68">
        <v>10</v>
      </c>
      <c r="AD1" s="68">
        <v>11</v>
      </c>
      <c r="AE1" s="68">
        <v>12</v>
      </c>
      <c r="AF1" s="68" t="s">
        <v>18</v>
      </c>
    </row>
    <row r="2" spans="1:32" ht="18">
      <c r="A2" s="71" t="s">
        <v>26</v>
      </c>
      <c r="B2" s="129" t="s">
        <v>27</v>
      </c>
      <c r="C2" s="72"/>
      <c r="D2" s="73">
        <v>300</v>
      </c>
      <c r="E2" s="73">
        <v>300</v>
      </c>
      <c r="F2" s="73">
        <v>300</v>
      </c>
      <c r="G2" s="73">
        <v>300</v>
      </c>
      <c r="H2" s="73">
        <v>300</v>
      </c>
      <c r="I2" s="73">
        <v>300</v>
      </c>
      <c r="J2" s="73">
        <v>300</v>
      </c>
      <c r="K2" s="73">
        <v>300</v>
      </c>
      <c r="L2" s="73">
        <v>300</v>
      </c>
      <c r="M2" s="73">
        <v>300</v>
      </c>
      <c r="N2" s="73">
        <v>300</v>
      </c>
      <c r="O2" s="73">
        <v>300</v>
      </c>
      <c r="P2" s="73">
        <f>AVERAGE(D2:O2)</f>
        <v>300</v>
      </c>
      <c r="Q2" s="73"/>
      <c r="R2" s="74"/>
      <c r="S2" s="148"/>
    </row>
    <row r="3" spans="1:32" ht="21" customHeight="1">
      <c r="A3" s="72" t="s">
        <v>20</v>
      </c>
      <c r="B3" s="130" t="s">
        <v>21</v>
      </c>
      <c r="C3" s="72"/>
      <c r="D3" s="75">
        <f>300*16*30</f>
        <v>144000</v>
      </c>
      <c r="E3" s="75">
        <f t="shared" ref="E3:O3" si="0">300*16*30</f>
        <v>144000</v>
      </c>
      <c r="F3" s="75">
        <f t="shared" si="0"/>
        <v>144000</v>
      </c>
      <c r="G3" s="75">
        <f t="shared" si="0"/>
        <v>144000</v>
      </c>
      <c r="H3" s="75">
        <f t="shared" si="0"/>
        <v>144000</v>
      </c>
      <c r="I3" s="75">
        <f t="shared" si="0"/>
        <v>144000</v>
      </c>
      <c r="J3" s="75">
        <f t="shared" si="0"/>
        <v>144000</v>
      </c>
      <c r="K3" s="75">
        <f t="shared" si="0"/>
        <v>144000</v>
      </c>
      <c r="L3" s="75">
        <f t="shared" si="0"/>
        <v>144000</v>
      </c>
      <c r="M3" s="75">
        <f t="shared" si="0"/>
        <v>144000</v>
      </c>
      <c r="N3" s="75">
        <f t="shared" si="0"/>
        <v>144000</v>
      </c>
      <c r="O3" s="75">
        <f t="shared" si="0"/>
        <v>144000</v>
      </c>
      <c r="P3" s="75">
        <f>SUM(D3:O3)</f>
        <v>1728000</v>
      </c>
      <c r="Q3" s="75"/>
      <c r="R3" s="74"/>
      <c r="S3"/>
    </row>
    <row r="4" spans="1:32" ht="21" customHeight="1">
      <c r="A4" s="72" t="s">
        <v>12</v>
      </c>
      <c r="B4" s="130"/>
      <c r="C4" s="72"/>
      <c r="D4" s="76">
        <f>SUM(D5:D8)</f>
        <v>144000</v>
      </c>
      <c r="E4" s="76">
        <f t="shared" ref="E4:P4" si="1">SUM(E5:E8)</f>
        <v>144000</v>
      </c>
      <c r="F4" s="76">
        <f t="shared" si="1"/>
        <v>144000</v>
      </c>
      <c r="G4" s="76">
        <f t="shared" si="1"/>
        <v>144000</v>
      </c>
      <c r="H4" s="76">
        <f t="shared" si="1"/>
        <v>144000</v>
      </c>
      <c r="I4" s="76">
        <f t="shared" si="1"/>
        <v>144000</v>
      </c>
      <c r="J4" s="76">
        <f t="shared" si="1"/>
        <v>144000</v>
      </c>
      <c r="K4" s="76">
        <f t="shared" si="1"/>
        <v>144000</v>
      </c>
      <c r="L4" s="76">
        <f t="shared" si="1"/>
        <v>144000</v>
      </c>
      <c r="M4" s="76">
        <f t="shared" si="1"/>
        <v>144000</v>
      </c>
      <c r="N4" s="76">
        <f t="shared" si="1"/>
        <v>144000</v>
      </c>
      <c r="O4" s="76">
        <f t="shared" si="1"/>
        <v>144000</v>
      </c>
      <c r="P4" s="76">
        <f t="shared" si="1"/>
        <v>1728000</v>
      </c>
      <c r="Q4" s="76"/>
      <c r="R4" s="74"/>
    </row>
    <row r="5" spans="1:32" s="77" customFormat="1" ht="21" customHeight="1" outlineLevel="1">
      <c r="A5" s="78" t="s">
        <v>19</v>
      </c>
      <c r="B5" s="131"/>
      <c r="C5" s="79">
        <v>1</v>
      </c>
      <c r="D5" s="76">
        <f>D$3*$C5</f>
        <v>144000</v>
      </c>
      <c r="E5" s="76">
        <f t="shared" ref="E5:O5" si="2">E$3*$C5</f>
        <v>144000</v>
      </c>
      <c r="F5" s="76">
        <f t="shared" si="2"/>
        <v>144000</v>
      </c>
      <c r="G5" s="76">
        <f t="shared" si="2"/>
        <v>144000</v>
      </c>
      <c r="H5" s="76">
        <f t="shared" si="2"/>
        <v>144000</v>
      </c>
      <c r="I5" s="76">
        <f t="shared" si="2"/>
        <v>144000</v>
      </c>
      <c r="J5" s="76">
        <f t="shared" si="2"/>
        <v>144000</v>
      </c>
      <c r="K5" s="76">
        <f t="shared" si="2"/>
        <v>144000</v>
      </c>
      <c r="L5" s="76">
        <f t="shared" si="2"/>
        <v>144000</v>
      </c>
      <c r="M5" s="76">
        <f t="shared" si="2"/>
        <v>144000</v>
      </c>
      <c r="N5" s="76">
        <f t="shared" si="2"/>
        <v>144000</v>
      </c>
      <c r="O5" s="76">
        <f t="shared" si="2"/>
        <v>144000</v>
      </c>
      <c r="P5" s="76">
        <f>SUM(D5:O5)</f>
        <v>1728000</v>
      </c>
      <c r="Q5" s="76"/>
      <c r="R5" s="80"/>
    </row>
    <row r="6" spans="1:32" s="77" customFormat="1" ht="21" customHeight="1" outlineLevel="1">
      <c r="A6" s="81"/>
      <c r="B6" s="132"/>
      <c r="C6" s="82">
        <v>0</v>
      </c>
      <c r="D6" s="83">
        <f t="shared" ref="D6:O8" si="3">D$3*$C6</f>
        <v>0</v>
      </c>
      <c r="E6" s="83">
        <f t="shared" si="3"/>
        <v>0</v>
      </c>
      <c r="F6" s="83">
        <f t="shared" si="3"/>
        <v>0</v>
      </c>
      <c r="G6" s="83">
        <f t="shared" si="3"/>
        <v>0</v>
      </c>
      <c r="H6" s="83">
        <f t="shared" si="3"/>
        <v>0</v>
      </c>
      <c r="I6" s="83">
        <f t="shared" si="3"/>
        <v>0</v>
      </c>
      <c r="J6" s="83">
        <f t="shared" si="3"/>
        <v>0</v>
      </c>
      <c r="K6" s="83">
        <f t="shared" si="3"/>
        <v>0</v>
      </c>
      <c r="L6" s="83">
        <f t="shared" si="3"/>
        <v>0</v>
      </c>
      <c r="M6" s="83">
        <f t="shared" si="3"/>
        <v>0</v>
      </c>
      <c r="N6" s="83">
        <f t="shared" si="3"/>
        <v>0</v>
      </c>
      <c r="O6" s="83">
        <f t="shared" si="3"/>
        <v>0</v>
      </c>
      <c r="P6" s="83">
        <f t="shared" ref="P6:P37" si="4">SUM(D6:O6)</f>
        <v>0</v>
      </c>
      <c r="Q6" s="83"/>
      <c r="R6" s="80"/>
    </row>
    <row r="7" spans="1:32" s="77" customFormat="1" ht="21" customHeight="1" outlineLevel="1">
      <c r="A7" s="81"/>
      <c r="B7" s="132"/>
      <c r="C7" s="82">
        <v>0</v>
      </c>
      <c r="D7" s="83">
        <f t="shared" si="3"/>
        <v>0</v>
      </c>
      <c r="E7" s="83">
        <f t="shared" si="3"/>
        <v>0</v>
      </c>
      <c r="F7" s="83">
        <f t="shared" si="3"/>
        <v>0</v>
      </c>
      <c r="G7" s="83">
        <f t="shared" si="3"/>
        <v>0</v>
      </c>
      <c r="H7" s="83">
        <f t="shared" si="3"/>
        <v>0</v>
      </c>
      <c r="I7" s="83">
        <f t="shared" si="3"/>
        <v>0</v>
      </c>
      <c r="J7" s="83">
        <f t="shared" si="3"/>
        <v>0</v>
      </c>
      <c r="K7" s="83">
        <f t="shared" si="3"/>
        <v>0</v>
      </c>
      <c r="L7" s="83">
        <f t="shared" si="3"/>
        <v>0</v>
      </c>
      <c r="M7" s="83">
        <f t="shared" si="3"/>
        <v>0</v>
      </c>
      <c r="N7" s="83">
        <f t="shared" si="3"/>
        <v>0</v>
      </c>
      <c r="O7" s="83">
        <f t="shared" si="3"/>
        <v>0</v>
      </c>
      <c r="P7" s="83">
        <f t="shared" si="4"/>
        <v>0</v>
      </c>
      <c r="Q7" s="83"/>
      <c r="R7" s="80"/>
    </row>
    <row r="8" spans="1:32" s="77" customFormat="1" ht="21" customHeight="1" outlineLevel="1">
      <c r="A8" s="84"/>
      <c r="B8" s="133"/>
      <c r="C8" s="85"/>
      <c r="D8" s="86">
        <f t="shared" si="3"/>
        <v>0</v>
      </c>
      <c r="E8" s="86">
        <f t="shared" si="3"/>
        <v>0</v>
      </c>
      <c r="F8" s="86">
        <f t="shared" si="3"/>
        <v>0</v>
      </c>
      <c r="G8" s="86">
        <f t="shared" si="3"/>
        <v>0</v>
      </c>
      <c r="H8" s="86">
        <f t="shared" si="3"/>
        <v>0</v>
      </c>
      <c r="I8" s="86">
        <f t="shared" si="3"/>
        <v>0</v>
      </c>
      <c r="J8" s="86">
        <f t="shared" si="3"/>
        <v>0</v>
      </c>
      <c r="K8" s="86">
        <f t="shared" si="3"/>
        <v>0</v>
      </c>
      <c r="L8" s="86">
        <f t="shared" si="3"/>
        <v>0</v>
      </c>
      <c r="M8" s="86">
        <f t="shared" si="3"/>
        <v>0</v>
      </c>
      <c r="N8" s="86">
        <f t="shared" si="3"/>
        <v>0</v>
      </c>
      <c r="O8" s="86">
        <f t="shared" si="3"/>
        <v>0</v>
      </c>
      <c r="P8" s="86">
        <f t="shared" si="4"/>
        <v>0</v>
      </c>
      <c r="Q8" s="86"/>
      <c r="R8" s="80"/>
    </row>
    <row r="9" spans="1:32" ht="21" customHeight="1" outlineLevel="1">
      <c r="A9" s="87" t="s">
        <v>8</v>
      </c>
      <c r="B9" s="130"/>
      <c r="C9" s="72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>
        <f t="shared" si="4"/>
        <v>0</v>
      </c>
      <c r="Q9" s="74"/>
      <c r="R9" s="74"/>
    </row>
    <row r="10" spans="1:32" ht="21" customHeight="1">
      <c r="A10" s="72" t="s">
        <v>6</v>
      </c>
      <c r="B10" s="130"/>
      <c r="C10" s="72"/>
      <c r="D10" s="93">
        <f t="shared" ref="D10:O10" si="5">SUM(D11:D14)</f>
        <v>1656000000</v>
      </c>
      <c r="E10" s="93">
        <f t="shared" si="5"/>
        <v>1656000000</v>
      </c>
      <c r="F10" s="93">
        <f t="shared" si="5"/>
        <v>1656000000</v>
      </c>
      <c r="G10" s="93">
        <f t="shared" si="5"/>
        <v>1656000000</v>
      </c>
      <c r="H10" s="93">
        <f t="shared" si="5"/>
        <v>1656000000</v>
      </c>
      <c r="I10" s="93">
        <f t="shared" si="5"/>
        <v>1656000000</v>
      </c>
      <c r="J10" s="93">
        <f t="shared" si="5"/>
        <v>1656000000</v>
      </c>
      <c r="K10" s="93">
        <f t="shared" si="5"/>
        <v>1656000000</v>
      </c>
      <c r="L10" s="93">
        <f t="shared" si="5"/>
        <v>1656000000</v>
      </c>
      <c r="M10" s="93">
        <f t="shared" si="5"/>
        <v>1656000000</v>
      </c>
      <c r="N10" s="93">
        <f t="shared" si="5"/>
        <v>1656000000</v>
      </c>
      <c r="O10" s="93">
        <f t="shared" si="5"/>
        <v>1656000000</v>
      </c>
      <c r="P10" s="93">
        <f>SUM(D10:O10)</f>
        <v>19872000000</v>
      </c>
      <c r="Q10" s="93"/>
      <c r="R10" s="74" t="s">
        <v>47</v>
      </c>
    </row>
    <row r="11" spans="1:32" s="77" customFormat="1" ht="21" customHeight="1" outlineLevel="1">
      <c r="A11" s="78" t="s">
        <v>19</v>
      </c>
      <c r="B11" s="131"/>
      <c r="C11" s="88">
        <v>11500</v>
      </c>
      <c r="D11" s="89">
        <f>D5*$C11</f>
        <v>1656000000</v>
      </c>
      <c r="E11" s="89">
        <f t="shared" ref="E11:O14" si="6">E5*$C11</f>
        <v>1656000000</v>
      </c>
      <c r="F11" s="89">
        <f t="shared" si="6"/>
        <v>1656000000</v>
      </c>
      <c r="G11" s="89">
        <f t="shared" si="6"/>
        <v>1656000000</v>
      </c>
      <c r="H11" s="89">
        <f t="shared" si="6"/>
        <v>1656000000</v>
      </c>
      <c r="I11" s="89">
        <f t="shared" si="6"/>
        <v>1656000000</v>
      </c>
      <c r="J11" s="89">
        <f t="shared" si="6"/>
        <v>1656000000</v>
      </c>
      <c r="K11" s="89">
        <f t="shared" si="6"/>
        <v>1656000000</v>
      </c>
      <c r="L11" s="89">
        <f t="shared" si="6"/>
        <v>1656000000</v>
      </c>
      <c r="M11" s="89">
        <f t="shared" si="6"/>
        <v>1656000000</v>
      </c>
      <c r="N11" s="89">
        <f t="shared" si="6"/>
        <v>1656000000</v>
      </c>
      <c r="O11" s="89">
        <f t="shared" si="6"/>
        <v>1656000000</v>
      </c>
      <c r="P11" s="89">
        <f t="shared" si="4"/>
        <v>19872000000</v>
      </c>
      <c r="Q11" s="89"/>
      <c r="R11" s="80"/>
      <c r="T11" s="200">
        <f>D11/D$17</f>
        <v>11979.166666666666</v>
      </c>
      <c r="U11" s="200">
        <f t="shared" ref="U11:AE11" si="7">E11/E$17</f>
        <v>11979.166666666666</v>
      </c>
      <c r="V11" s="200">
        <f t="shared" si="7"/>
        <v>11979.166666666666</v>
      </c>
      <c r="W11" s="200">
        <f t="shared" si="7"/>
        <v>11979.166666666666</v>
      </c>
      <c r="X11" s="200">
        <f t="shared" si="7"/>
        <v>11979.166666666666</v>
      </c>
      <c r="Y11" s="200">
        <f t="shared" si="7"/>
        <v>11979.166666666666</v>
      </c>
      <c r="Z11" s="200">
        <f t="shared" si="7"/>
        <v>11979.166666666666</v>
      </c>
      <c r="AA11" s="200">
        <f t="shared" si="7"/>
        <v>11979.166666666666</v>
      </c>
      <c r="AB11" s="200">
        <f t="shared" si="7"/>
        <v>11979.166666666666</v>
      </c>
      <c r="AC11" s="200">
        <f t="shared" si="7"/>
        <v>11979.166666666666</v>
      </c>
      <c r="AD11" s="200">
        <f t="shared" si="7"/>
        <v>11979.166666666666</v>
      </c>
      <c r="AE11" s="200">
        <f t="shared" si="7"/>
        <v>11979.166666666666</v>
      </c>
      <c r="AF11" s="201">
        <f>AVERAGE(T11:AE11)</f>
        <v>11979.166666666666</v>
      </c>
    </row>
    <row r="12" spans="1:32" s="77" customFormat="1" ht="21" customHeight="1" outlineLevel="1">
      <c r="A12" s="81"/>
      <c r="B12" s="132"/>
      <c r="C12" s="90"/>
      <c r="D12" s="91">
        <f>D6*$C12</f>
        <v>0</v>
      </c>
      <c r="E12" s="91">
        <f t="shared" si="6"/>
        <v>0</v>
      </c>
      <c r="F12" s="91">
        <f t="shared" si="6"/>
        <v>0</v>
      </c>
      <c r="G12" s="91">
        <f t="shared" si="6"/>
        <v>0</v>
      </c>
      <c r="H12" s="91">
        <f t="shared" si="6"/>
        <v>0</v>
      </c>
      <c r="I12" s="91">
        <f t="shared" si="6"/>
        <v>0</v>
      </c>
      <c r="J12" s="91">
        <f t="shared" si="6"/>
        <v>0</v>
      </c>
      <c r="K12" s="91">
        <f t="shared" si="6"/>
        <v>0</v>
      </c>
      <c r="L12" s="91">
        <f t="shared" si="6"/>
        <v>0</v>
      </c>
      <c r="M12" s="91">
        <f t="shared" si="6"/>
        <v>0</v>
      </c>
      <c r="N12" s="91">
        <f t="shared" si="6"/>
        <v>0</v>
      </c>
      <c r="O12" s="91">
        <f t="shared" si="6"/>
        <v>0</v>
      </c>
      <c r="P12" s="91">
        <f t="shared" si="4"/>
        <v>0</v>
      </c>
      <c r="Q12" s="91"/>
      <c r="R12" s="80"/>
    </row>
    <row r="13" spans="1:32" s="77" customFormat="1" ht="21" customHeight="1" outlineLevel="1">
      <c r="A13" s="81"/>
      <c r="B13" s="132"/>
      <c r="C13" s="90"/>
      <c r="D13" s="91">
        <f>D7*$C13</f>
        <v>0</v>
      </c>
      <c r="E13" s="91">
        <f t="shared" si="6"/>
        <v>0</v>
      </c>
      <c r="F13" s="91">
        <f t="shared" si="6"/>
        <v>0</v>
      </c>
      <c r="G13" s="91">
        <f t="shared" si="6"/>
        <v>0</v>
      </c>
      <c r="H13" s="91">
        <f t="shared" si="6"/>
        <v>0</v>
      </c>
      <c r="I13" s="91">
        <f t="shared" si="6"/>
        <v>0</v>
      </c>
      <c r="J13" s="91">
        <f t="shared" si="6"/>
        <v>0</v>
      </c>
      <c r="K13" s="91">
        <f t="shared" si="6"/>
        <v>0</v>
      </c>
      <c r="L13" s="91">
        <f t="shared" si="6"/>
        <v>0</v>
      </c>
      <c r="M13" s="91">
        <f t="shared" si="6"/>
        <v>0</v>
      </c>
      <c r="N13" s="91">
        <f t="shared" si="6"/>
        <v>0</v>
      </c>
      <c r="O13" s="91">
        <f t="shared" si="6"/>
        <v>0</v>
      </c>
      <c r="P13" s="91">
        <f t="shared" si="4"/>
        <v>0</v>
      </c>
      <c r="Q13" s="91"/>
      <c r="R13" s="80"/>
    </row>
    <row r="14" spans="1:32" s="77" customFormat="1" ht="21" customHeight="1" outlineLevel="1">
      <c r="A14" s="84"/>
      <c r="B14" s="133"/>
      <c r="C14" s="86"/>
      <c r="D14" s="92">
        <f>D8*$C14</f>
        <v>0</v>
      </c>
      <c r="E14" s="92">
        <f t="shared" si="6"/>
        <v>0</v>
      </c>
      <c r="F14" s="92">
        <f t="shared" si="6"/>
        <v>0</v>
      </c>
      <c r="G14" s="92">
        <f t="shared" si="6"/>
        <v>0</v>
      </c>
      <c r="H14" s="92">
        <f t="shared" si="6"/>
        <v>0</v>
      </c>
      <c r="I14" s="92">
        <f t="shared" si="6"/>
        <v>0</v>
      </c>
      <c r="J14" s="92">
        <f t="shared" si="6"/>
        <v>0</v>
      </c>
      <c r="K14" s="92">
        <f t="shared" si="6"/>
        <v>0</v>
      </c>
      <c r="L14" s="92">
        <f t="shared" si="6"/>
        <v>0</v>
      </c>
      <c r="M14" s="92">
        <f t="shared" si="6"/>
        <v>0</v>
      </c>
      <c r="N14" s="92">
        <f t="shared" si="6"/>
        <v>0</v>
      </c>
      <c r="O14" s="92">
        <f t="shared" si="6"/>
        <v>0</v>
      </c>
      <c r="P14" s="92">
        <f t="shared" si="4"/>
        <v>0</v>
      </c>
      <c r="Q14" s="92"/>
      <c r="R14" s="80"/>
    </row>
    <row r="15" spans="1:32" ht="21" customHeight="1" outlineLevel="1">
      <c r="A15" s="94" t="s">
        <v>10</v>
      </c>
      <c r="B15" s="130"/>
      <c r="C15" s="72"/>
      <c r="D15" s="95">
        <f t="shared" ref="D15:O15" si="8">D10*4%</f>
        <v>66240000</v>
      </c>
      <c r="E15" s="95">
        <f t="shared" si="8"/>
        <v>66240000</v>
      </c>
      <c r="F15" s="95">
        <f t="shared" si="8"/>
        <v>66240000</v>
      </c>
      <c r="G15" s="95">
        <f t="shared" si="8"/>
        <v>66240000</v>
      </c>
      <c r="H15" s="95">
        <f t="shared" si="8"/>
        <v>66240000</v>
      </c>
      <c r="I15" s="95">
        <f t="shared" si="8"/>
        <v>66240000</v>
      </c>
      <c r="J15" s="95">
        <f t="shared" si="8"/>
        <v>66240000</v>
      </c>
      <c r="K15" s="95">
        <f t="shared" si="8"/>
        <v>66240000</v>
      </c>
      <c r="L15" s="95">
        <f t="shared" si="8"/>
        <v>66240000</v>
      </c>
      <c r="M15" s="95">
        <f t="shared" si="8"/>
        <v>66240000</v>
      </c>
      <c r="N15" s="95">
        <f t="shared" si="8"/>
        <v>66240000</v>
      </c>
      <c r="O15" s="95">
        <f t="shared" si="8"/>
        <v>66240000</v>
      </c>
      <c r="P15" s="95">
        <f t="shared" si="4"/>
        <v>794880000</v>
      </c>
      <c r="Q15" s="95"/>
      <c r="R15" s="74"/>
    </row>
    <row r="16" spans="1:32" ht="21" customHeight="1" outlineLevel="1">
      <c r="A16" s="94" t="s">
        <v>48</v>
      </c>
      <c r="B16" s="130"/>
      <c r="C16" s="72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74"/>
    </row>
    <row r="17" spans="1:32" s="77" customFormat="1" ht="21" customHeight="1">
      <c r="A17" s="143" t="s">
        <v>50</v>
      </c>
      <c r="B17" s="144" t="s">
        <v>23</v>
      </c>
      <c r="C17" s="145">
        <v>0.96</v>
      </c>
      <c r="D17" s="146">
        <f t="shared" ref="D17:O17" si="9">$C$17*D4</f>
        <v>138240</v>
      </c>
      <c r="E17" s="146">
        <f t="shared" si="9"/>
        <v>138240</v>
      </c>
      <c r="F17" s="146">
        <f t="shared" si="9"/>
        <v>138240</v>
      </c>
      <c r="G17" s="146">
        <f t="shared" si="9"/>
        <v>138240</v>
      </c>
      <c r="H17" s="146">
        <f t="shared" si="9"/>
        <v>138240</v>
      </c>
      <c r="I17" s="146">
        <f t="shared" si="9"/>
        <v>138240</v>
      </c>
      <c r="J17" s="146">
        <f t="shared" si="9"/>
        <v>138240</v>
      </c>
      <c r="K17" s="146">
        <f t="shared" si="9"/>
        <v>138240</v>
      </c>
      <c r="L17" s="146">
        <f t="shared" si="9"/>
        <v>138240</v>
      </c>
      <c r="M17" s="146">
        <f t="shared" si="9"/>
        <v>138240</v>
      </c>
      <c r="N17" s="146">
        <f t="shared" si="9"/>
        <v>138240</v>
      </c>
      <c r="O17" s="146">
        <f t="shared" si="9"/>
        <v>138240</v>
      </c>
      <c r="P17" s="146">
        <f t="shared" si="4"/>
        <v>1658880</v>
      </c>
      <c r="Q17" s="146"/>
      <c r="R17" s="80"/>
    </row>
    <row r="18" spans="1:32" ht="21" customHeight="1">
      <c r="A18" s="72" t="s">
        <v>89</v>
      </c>
      <c r="B18" s="130"/>
      <c r="C18" s="72"/>
      <c r="D18" s="209">
        <v>19000</v>
      </c>
      <c r="E18" s="209">
        <v>19000</v>
      </c>
      <c r="F18" s="209">
        <v>19000</v>
      </c>
      <c r="G18" s="209">
        <v>19000</v>
      </c>
      <c r="H18" s="209">
        <v>19000</v>
      </c>
      <c r="I18" s="209">
        <v>19000</v>
      </c>
      <c r="J18" s="209">
        <v>19000</v>
      </c>
      <c r="K18" s="209">
        <v>19000</v>
      </c>
      <c r="L18" s="209">
        <v>19000</v>
      </c>
      <c r="M18" s="209">
        <v>19000</v>
      </c>
      <c r="N18" s="209">
        <v>19000</v>
      </c>
      <c r="O18" s="209">
        <v>19000</v>
      </c>
      <c r="P18" s="209">
        <f>AVERAGE(D18:O18)</f>
        <v>19000</v>
      </c>
      <c r="Q18" s="74"/>
      <c r="R18" s="74" t="s">
        <v>51</v>
      </c>
    </row>
    <row r="19" spans="1:32" s="63" customFormat="1" ht="21" customHeight="1">
      <c r="A19" s="96" t="s">
        <v>5</v>
      </c>
      <c r="B19" s="134" t="s">
        <v>24</v>
      </c>
      <c r="C19" s="96"/>
      <c r="D19" s="97">
        <f>D17*D18</f>
        <v>2626560000</v>
      </c>
      <c r="E19" s="97">
        <f>E17*E18</f>
        <v>2626560000</v>
      </c>
      <c r="F19" s="97">
        <f t="shared" ref="F19:O19" si="10">F17*F18</f>
        <v>2626560000</v>
      </c>
      <c r="G19" s="97">
        <f t="shared" si="10"/>
        <v>2626560000</v>
      </c>
      <c r="H19" s="97">
        <f t="shared" si="10"/>
        <v>2626560000</v>
      </c>
      <c r="I19" s="97">
        <f t="shared" si="10"/>
        <v>2626560000</v>
      </c>
      <c r="J19" s="97">
        <f t="shared" si="10"/>
        <v>2626560000</v>
      </c>
      <c r="K19" s="97">
        <f t="shared" si="10"/>
        <v>2626560000</v>
      </c>
      <c r="L19" s="97">
        <f t="shared" si="10"/>
        <v>2626560000</v>
      </c>
      <c r="M19" s="97">
        <f t="shared" si="10"/>
        <v>2626560000</v>
      </c>
      <c r="N19" s="97">
        <f t="shared" si="10"/>
        <v>2626560000</v>
      </c>
      <c r="O19" s="97">
        <f t="shared" si="10"/>
        <v>2626560000</v>
      </c>
      <c r="P19" s="97">
        <f t="shared" si="4"/>
        <v>31518720000</v>
      </c>
      <c r="Q19" s="97"/>
      <c r="R19" s="98"/>
      <c r="T19" s="200">
        <f>D19/D$17</f>
        <v>19000</v>
      </c>
      <c r="U19" s="200">
        <f t="shared" ref="U19:AE19" si="11">E19/E$17</f>
        <v>19000</v>
      </c>
      <c r="V19" s="200">
        <f t="shared" si="11"/>
        <v>19000</v>
      </c>
      <c r="W19" s="200">
        <f t="shared" si="11"/>
        <v>19000</v>
      </c>
      <c r="X19" s="200">
        <f t="shared" si="11"/>
        <v>19000</v>
      </c>
      <c r="Y19" s="200">
        <f t="shared" si="11"/>
        <v>19000</v>
      </c>
      <c r="Z19" s="200">
        <f t="shared" si="11"/>
        <v>19000</v>
      </c>
      <c r="AA19" s="200">
        <f t="shared" si="11"/>
        <v>19000</v>
      </c>
      <c r="AB19" s="200">
        <f t="shared" si="11"/>
        <v>19000</v>
      </c>
      <c r="AC19" s="200">
        <f t="shared" si="11"/>
        <v>19000</v>
      </c>
      <c r="AD19" s="200">
        <f t="shared" si="11"/>
        <v>19000</v>
      </c>
      <c r="AE19" s="200">
        <f t="shared" si="11"/>
        <v>19000</v>
      </c>
      <c r="AF19" s="201">
        <f>AVERAGE(T19:AE19)</f>
        <v>19000</v>
      </c>
    </row>
    <row r="20" spans="1:32" ht="21" customHeight="1">
      <c r="A20" s="72" t="s">
        <v>31</v>
      </c>
      <c r="B20" s="130"/>
      <c r="C20" s="72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>
        <f t="shared" si="4"/>
        <v>0</v>
      </c>
      <c r="Q20" s="93"/>
      <c r="R20" s="74"/>
      <c r="T20" s="210">
        <f>T21/T11</f>
        <v>0.58608695652173914</v>
      </c>
      <c r="U20" s="210">
        <f t="shared" ref="U20:AF20" si="12">U21/U11</f>
        <v>0.58608695652173914</v>
      </c>
      <c r="V20" s="210">
        <f t="shared" si="12"/>
        <v>0.58608695652173914</v>
      </c>
      <c r="W20" s="210">
        <f t="shared" si="12"/>
        <v>0.58608695652173914</v>
      </c>
      <c r="X20" s="210">
        <f t="shared" si="12"/>
        <v>0.58608695652173914</v>
      </c>
      <c r="Y20" s="210">
        <f t="shared" si="12"/>
        <v>0.58608695652173914</v>
      </c>
      <c r="Z20" s="210">
        <f t="shared" si="12"/>
        <v>0.58608695652173914</v>
      </c>
      <c r="AA20" s="210">
        <f t="shared" si="12"/>
        <v>0.58608695652173914</v>
      </c>
      <c r="AB20" s="210">
        <f t="shared" si="12"/>
        <v>0.58608695652173914</v>
      </c>
      <c r="AC20" s="210">
        <f t="shared" si="12"/>
        <v>0.58608695652173914</v>
      </c>
      <c r="AD20" s="210">
        <f t="shared" si="12"/>
        <v>0.58608695652173914</v>
      </c>
      <c r="AE20" s="210">
        <f t="shared" si="12"/>
        <v>0.58608695652173914</v>
      </c>
      <c r="AF20" s="210">
        <f t="shared" si="12"/>
        <v>0.58608695652173914</v>
      </c>
    </row>
    <row r="21" spans="1:32" s="63" customFormat="1" ht="21" customHeight="1">
      <c r="A21" s="96" t="s">
        <v>15</v>
      </c>
      <c r="B21" s="134" t="s">
        <v>24</v>
      </c>
      <c r="C21" s="96"/>
      <c r="D21" s="99">
        <f t="shared" ref="D21:O21" si="13">D19-D10-D20</f>
        <v>970560000</v>
      </c>
      <c r="E21" s="99">
        <f t="shared" si="13"/>
        <v>970560000</v>
      </c>
      <c r="F21" s="99">
        <f t="shared" si="13"/>
        <v>970560000</v>
      </c>
      <c r="G21" s="99">
        <f t="shared" si="13"/>
        <v>970560000</v>
      </c>
      <c r="H21" s="99">
        <f t="shared" si="13"/>
        <v>970560000</v>
      </c>
      <c r="I21" s="99">
        <f t="shared" si="13"/>
        <v>970560000</v>
      </c>
      <c r="J21" s="99">
        <f t="shared" si="13"/>
        <v>970560000</v>
      </c>
      <c r="K21" s="99">
        <f t="shared" si="13"/>
        <v>970560000</v>
      </c>
      <c r="L21" s="99">
        <f t="shared" si="13"/>
        <v>970560000</v>
      </c>
      <c r="M21" s="99">
        <f t="shared" si="13"/>
        <v>970560000</v>
      </c>
      <c r="N21" s="99">
        <f t="shared" si="13"/>
        <v>970560000</v>
      </c>
      <c r="O21" s="99">
        <f t="shared" si="13"/>
        <v>970560000</v>
      </c>
      <c r="P21" s="99">
        <f t="shared" si="4"/>
        <v>11646720000</v>
      </c>
      <c r="Q21" s="99"/>
      <c r="R21" s="98"/>
      <c r="T21" s="200">
        <f>D21/D$17</f>
        <v>7020.833333333333</v>
      </c>
      <c r="U21" s="200">
        <f t="shared" ref="U20:U39" si="14">E21/E$17</f>
        <v>7020.833333333333</v>
      </c>
      <c r="V21" s="200">
        <f t="shared" ref="V20:V39" si="15">F21/F$17</f>
        <v>7020.833333333333</v>
      </c>
      <c r="W21" s="200">
        <f t="shared" ref="W20:W39" si="16">G21/G$17</f>
        <v>7020.833333333333</v>
      </c>
      <c r="X21" s="200">
        <f t="shared" ref="X20:X39" si="17">H21/H$17</f>
        <v>7020.833333333333</v>
      </c>
      <c r="Y21" s="200">
        <f t="shared" ref="Y20:Y39" si="18">I21/I$17</f>
        <v>7020.833333333333</v>
      </c>
      <c r="Z21" s="200">
        <f t="shared" ref="Z20:Z39" si="19">J21/J$17</f>
        <v>7020.833333333333</v>
      </c>
      <c r="AA21" s="200">
        <f t="shared" ref="AA20:AA39" si="20">K21/K$17</f>
        <v>7020.833333333333</v>
      </c>
      <c r="AB21" s="200">
        <f t="shared" ref="AB20:AB39" si="21">L21/L$17</f>
        <v>7020.833333333333</v>
      </c>
      <c r="AC21" s="200">
        <f t="shared" ref="AC20:AC39" si="22">M21/M$17</f>
        <v>7020.833333333333</v>
      </c>
      <c r="AD21" s="200">
        <f t="shared" ref="AD20:AD39" si="23">N21/N$17</f>
        <v>7020.833333333333</v>
      </c>
      <c r="AE21" s="200">
        <f t="shared" ref="AE20:AE39" si="24">O21/O$17</f>
        <v>7020.833333333333</v>
      </c>
      <c r="AF21" s="201">
        <f>AVERAGE(T21:AE21)</f>
        <v>7020.833333333333</v>
      </c>
    </row>
    <row r="22" spans="1:32" s="63" customFormat="1" ht="21" customHeight="1">
      <c r="A22" s="100" t="s">
        <v>45</v>
      </c>
      <c r="B22" s="135"/>
      <c r="C22" s="100"/>
      <c r="D22" s="101">
        <f>SUM(D23:D33)</f>
        <v>853437239.45953476</v>
      </c>
      <c r="E22" s="101">
        <f t="shared" ref="E22:O22" si="25">SUM(E23:E33)</f>
        <v>853437239.45953476</v>
      </c>
      <c r="F22" s="101">
        <f t="shared" si="25"/>
        <v>853437239.45953476</v>
      </c>
      <c r="G22" s="101">
        <f t="shared" si="25"/>
        <v>853437239.45953476</v>
      </c>
      <c r="H22" s="101">
        <f t="shared" si="25"/>
        <v>853437239.45953476</v>
      </c>
      <c r="I22" s="101">
        <f t="shared" si="25"/>
        <v>853437239.45953476</v>
      </c>
      <c r="J22" s="101">
        <f t="shared" si="25"/>
        <v>853437239.45953476</v>
      </c>
      <c r="K22" s="101">
        <f t="shared" si="25"/>
        <v>853437239.45953476</v>
      </c>
      <c r="L22" s="101">
        <f t="shared" si="25"/>
        <v>853437239.45953476</v>
      </c>
      <c r="M22" s="101">
        <f t="shared" si="25"/>
        <v>853437239.45953476</v>
      </c>
      <c r="N22" s="101">
        <f t="shared" si="25"/>
        <v>853437239.45953476</v>
      </c>
      <c r="O22" s="101">
        <f t="shared" si="25"/>
        <v>853437239.45953476</v>
      </c>
      <c r="P22" s="101">
        <f>SUM(P23:P33)</f>
        <v>10241245469.51442</v>
      </c>
      <c r="Q22" s="102">
        <f>SUM(Q23:Q33)</f>
        <v>6174</v>
      </c>
      <c r="R22" s="102"/>
      <c r="T22" s="206">
        <f>D22/D$17</f>
        <v>6173.5911419237182</v>
      </c>
      <c r="U22" s="206">
        <f t="shared" si="14"/>
        <v>6173.5911419237182</v>
      </c>
      <c r="V22" s="206">
        <f t="shared" si="15"/>
        <v>6173.5911419237182</v>
      </c>
      <c r="W22" s="206">
        <f t="shared" si="16"/>
        <v>6173.5911419237182</v>
      </c>
      <c r="X22" s="206">
        <f t="shared" si="17"/>
        <v>6173.5911419237182</v>
      </c>
      <c r="Y22" s="206">
        <f t="shared" si="18"/>
        <v>6173.5911419237182</v>
      </c>
      <c r="Z22" s="206">
        <f t="shared" si="19"/>
        <v>6173.5911419237182</v>
      </c>
      <c r="AA22" s="206">
        <f t="shared" si="20"/>
        <v>6173.5911419237182</v>
      </c>
      <c r="AB22" s="206">
        <f t="shared" si="21"/>
        <v>6173.5911419237182</v>
      </c>
      <c r="AC22" s="206">
        <f t="shared" si="22"/>
        <v>6173.5911419237182</v>
      </c>
      <c r="AD22" s="206">
        <f t="shared" si="23"/>
        <v>6173.5911419237182</v>
      </c>
      <c r="AE22" s="206">
        <f t="shared" si="24"/>
        <v>6173.5911419237182</v>
      </c>
      <c r="AF22" s="207">
        <f>AVERAGE(T22:AE22)</f>
        <v>6173.5911419237173</v>
      </c>
    </row>
    <row r="23" spans="1:32" ht="21" customHeight="1">
      <c r="A23" s="103" t="s">
        <v>2</v>
      </c>
      <c r="B23" s="136"/>
      <c r="C23" s="104">
        <v>36.243780000000001</v>
      </c>
      <c r="D23" s="105">
        <f t="shared" ref="D23:O23" si="26">$C23*D4</f>
        <v>5219104.32</v>
      </c>
      <c r="E23" s="105">
        <f t="shared" si="26"/>
        <v>5219104.32</v>
      </c>
      <c r="F23" s="105">
        <f t="shared" si="26"/>
        <v>5219104.32</v>
      </c>
      <c r="G23" s="105">
        <f t="shared" si="26"/>
        <v>5219104.32</v>
      </c>
      <c r="H23" s="105">
        <f t="shared" si="26"/>
        <v>5219104.32</v>
      </c>
      <c r="I23" s="105">
        <f t="shared" si="26"/>
        <v>5219104.32</v>
      </c>
      <c r="J23" s="105">
        <f t="shared" si="26"/>
        <v>5219104.32</v>
      </c>
      <c r="K23" s="105">
        <f t="shared" si="26"/>
        <v>5219104.32</v>
      </c>
      <c r="L23" s="105">
        <f t="shared" si="26"/>
        <v>5219104.32</v>
      </c>
      <c r="M23" s="105">
        <f t="shared" si="26"/>
        <v>5219104.32</v>
      </c>
      <c r="N23" s="105">
        <f>$C23*N4</f>
        <v>5219104.32</v>
      </c>
      <c r="O23" s="105">
        <f t="shared" si="26"/>
        <v>5219104.32</v>
      </c>
      <c r="P23" s="105">
        <f t="shared" si="4"/>
        <v>62629251.840000004</v>
      </c>
      <c r="Q23" s="104">
        <f>ROUND(P23/$P$17,0)</f>
        <v>38</v>
      </c>
      <c r="R23" s="104"/>
      <c r="T23" s="202">
        <f t="shared" ref="T23:T38" si="27">D23/D$17</f>
        <v>37.753937499999999</v>
      </c>
      <c r="U23" s="202">
        <f t="shared" si="14"/>
        <v>37.753937499999999</v>
      </c>
      <c r="V23" s="202">
        <f t="shared" si="15"/>
        <v>37.753937499999999</v>
      </c>
      <c r="W23" s="202">
        <f t="shared" si="16"/>
        <v>37.753937499999999</v>
      </c>
      <c r="X23" s="202">
        <f t="shared" si="17"/>
        <v>37.753937499999999</v>
      </c>
      <c r="Y23" s="202">
        <f t="shared" si="18"/>
        <v>37.753937499999999</v>
      </c>
      <c r="Z23" s="202">
        <f t="shared" si="19"/>
        <v>37.753937499999999</v>
      </c>
      <c r="AA23" s="202">
        <f t="shared" si="20"/>
        <v>37.753937499999999</v>
      </c>
      <c r="AB23" s="202">
        <f t="shared" si="21"/>
        <v>37.753937499999999</v>
      </c>
      <c r="AC23" s="202">
        <f t="shared" si="22"/>
        <v>37.753937499999999</v>
      </c>
      <c r="AD23" s="202">
        <f t="shared" si="23"/>
        <v>37.753937499999999</v>
      </c>
      <c r="AE23" s="202">
        <f t="shared" si="24"/>
        <v>37.753937499999999</v>
      </c>
      <c r="AF23" s="203">
        <f t="shared" ref="AF23:AF38" si="28">AVERAGE(T23:AE23)</f>
        <v>37.753937499999999</v>
      </c>
    </row>
    <row r="24" spans="1:32" ht="21" customHeight="1">
      <c r="A24" s="107" t="s">
        <v>28</v>
      </c>
      <c r="B24" s="137" t="s">
        <v>33</v>
      </c>
      <c r="C24" s="106">
        <v>500</v>
      </c>
      <c r="D24" s="108">
        <f t="shared" ref="D24:O24" si="29">ROUND(D4/D2,0)*$C24*2200</f>
        <v>528000000</v>
      </c>
      <c r="E24" s="108">
        <f t="shared" si="29"/>
        <v>528000000</v>
      </c>
      <c r="F24" s="108">
        <f t="shared" si="29"/>
        <v>528000000</v>
      </c>
      <c r="G24" s="108">
        <f t="shared" si="29"/>
        <v>528000000</v>
      </c>
      <c r="H24" s="108">
        <f t="shared" si="29"/>
        <v>528000000</v>
      </c>
      <c r="I24" s="108">
        <f t="shared" si="29"/>
        <v>528000000</v>
      </c>
      <c r="J24" s="108">
        <f t="shared" si="29"/>
        <v>528000000</v>
      </c>
      <c r="K24" s="108">
        <f t="shared" si="29"/>
        <v>528000000</v>
      </c>
      <c r="L24" s="108">
        <f t="shared" si="29"/>
        <v>528000000</v>
      </c>
      <c r="M24" s="108">
        <f t="shared" si="29"/>
        <v>528000000</v>
      </c>
      <c r="N24" s="108">
        <f t="shared" si="29"/>
        <v>528000000</v>
      </c>
      <c r="O24" s="108">
        <f t="shared" si="29"/>
        <v>528000000</v>
      </c>
      <c r="P24" s="108">
        <f t="shared" si="4"/>
        <v>6336000000</v>
      </c>
      <c r="Q24" s="106">
        <f>ROUND(P24/$P$17,0)</f>
        <v>3819</v>
      </c>
      <c r="R24" s="106"/>
      <c r="T24" s="202">
        <f t="shared" si="27"/>
        <v>3819.4444444444443</v>
      </c>
      <c r="U24" s="202">
        <f t="shared" si="14"/>
        <v>3819.4444444444443</v>
      </c>
      <c r="V24" s="202">
        <f t="shared" si="15"/>
        <v>3819.4444444444443</v>
      </c>
      <c r="W24" s="202">
        <f t="shared" si="16"/>
        <v>3819.4444444444443</v>
      </c>
      <c r="X24" s="202">
        <f t="shared" si="17"/>
        <v>3819.4444444444443</v>
      </c>
      <c r="Y24" s="202">
        <f t="shared" si="18"/>
        <v>3819.4444444444443</v>
      </c>
      <c r="Z24" s="202">
        <f t="shared" si="19"/>
        <v>3819.4444444444443</v>
      </c>
      <c r="AA24" s="202">
        <f t="shared" si="20"/>
        <v>3819.4444444444443</v>
      </c>
      <c r="AB24" s="202">
        <f t="shared" si="21"/>
        <v>3819.4444444444443</v>
      </c>
      <c r="AC24" s="202">
        <f t="shared" si="22"/>
        <v>3819.4444444444443</v>
      </c>
      <c r="AD24" s="202">
        <f t="shared" si="23"/>
        <v>3819.4444444444443</v>
      </c>
      <c r="AE24" s="202">
        <f t="shared" si="24"/>
        <v>3819.4444444444443</v>
      </c>
      <c r="AF24" s="203">
        <f t="shared" si="28"/>
        <v>3819.4444444444448</v>
      </c>
    </row>
    <row r="25" spans="1:32" ht="21" customHeight="1">
      <c r="A25" s="107" t="s">
        <v>29</v>
      </c>
      <c r="B25" s="137" t="s">
        <v>32</v>
      </c>
      <c r="C25" s="109">
        <f>ROUND(30/16,0)</f>
        <v>2</v>
      </c>
      <c r="D25" s="108">
        <f t="shared" ref="D25:O26" si="30">ROUND(D3/300,0)*$C25*11500</f>
        <v>11040000</v>
      </c>
      <c r="E25" s="108">
        <f t="shared" si="30"/>
        <v>11040000</v>
      </c>
      <c r="F25" s="108">
        <f t="shared" si="30"/>
        <v>11040000</v>
      </c>
      <c r="G25" s="108">
        <f t="shared" si="30"/>
        <v>11040000</v>
      </c>
      <c r="H25" s="108">
        <f t="shared" si="30"/>
        <v>11040000</v>
      </c>
      <c r="I25" s="108">
        <f t="shared" si="30"/>
        <v>11040000</v>
      </c>
      <c r="J25" s="108">
        <f t="shared" si="30"/>
        <v>11040000</v>
      </c>
      <c r="K25" s="108">
        <f t="shared" si="30"/>
        <v>11040000</v>
      </c>
      <c r="L25" s="108">
        <f t="shared" si="30"/>
        <v>11040000</v>
      </c>
      <c r="M25" s="108">
        <f t="shared" si="30"/>
        <v>11040000</v>
      </c>
      <c r="N25" s="108">
        <f t="shared" si="30"/>
        <v>11040000</v>
      </c>
      <c r="O25" s="108">
        <f t="shared" si="30"/>
        <v>11040000</v>
      </c>
      <c r="P25" s="108">
        <f t="shared" si="4"/>
        <v>132480000</v>
      </c>
      <c r="Q25" s="106">
        <f t="shared" ref="Q25:Q37" si="31">ROUND(P25/$P$17,0)</f>
        <v>80</v>
      </c>
      <c r="R25" s="106"/>
      <c r="T25" s="202">
        <f t="shared" si="27"/>
        <v>79.861111111111114</v>
      </c>
      <c r="U25" s="202">
        <f t="shared" si="14"/>
        <v>79.861111111111114</v>
      </c>
      <c r="V25" s="202">
        <f t="shared" si="15"/>
        <v>79.861111111111114</v>
      </c>
      <c r="W25" s="202">
        <f t="shared" si="16"/>
        <v>79.861111111111114</v>
      </c>
      <c r="X25" s="202">
        <f t="shared" si="17"/>
        <v>79.861111111111114</v>
      </c>
      <c r="Y25" s="202">
        <f t="shared" si="18"/>
        <v>79.861111111111114</v>
      </c>
      <c r="Z25" s="202">
        <f t="shared" si="19"/>
        <v>79.861111111111114</v>
      </c>
      <c r="AA25" s="202">
        <f t="shared" si="20"/>
        <v>79.861111111111114</v>
      </c>
      <c r="AB25" s="202">
        <f t="shared" si="21"/>
        <v>79.861111111111114</v>
      </c>
      <c r="AC25" s="202">
        <f t="shared" si="22"/>
        <v>79.861111111111114</v>
      </c>
      <c r="AD25" s="202">
        <f t="shared" si="23"/>
        <v>79.861111111111114</v>
      </c>
      <c r="AE25" s="202">
        <f t="shared" si="24"/>
        <v>79.861111111111114</v>
      </c>
      <c r="AF25" s="203">
        <f t="shared" si="28"/>
        <v>79.8611111111111</v>
      </c>
    </row>
    <row r="26" spans="1:32" ht="21" customHeight="1">
      <c r="A26" s="107" t="s">
        <v>34</v>
      </c>
      <c r="B26" s="137" t="s">
        <v>32</v>
      </c>
      <c r="C26" s="109">
        <f>C25*80%</f>
        <v>1.6</v>
      </c>
      <c r="D26" s="108">
        <f t="shared" si="30"/>
        <v>8832000</v>
      </c>
      <c r="E26" s="108">
        <f t="shared" si="30"/>
        <v>8832000</v>
      </c>
      <c r="F26" s="108">
        <f t="shared" si="30"/>
        <v>8832000</v>
      </c>
      <c r="G26" s="108">
        <f t="shared" si="30"/>
        <v>8832000</v>
      </c>
      <c r="H26" s="108">
        <f t="shared" si="30"/>
        <v>8832000</v>
      </c>
      <c r="I26" s="108">
        <f t="shared" si="30"/>
        <v>8832000</v>
      </c>
      <c r="J26" s="108">
        <f t="shared" si="30"/>
        <v>8832000</v>
      </c>
      <c r="K26" s="108">
        <f t="shared" si="30"/>
        <v>8832000</v>
      </c>
      <c r="L26" s="108">
        <f t="shared" si="30"/>
        <v>8832000</v>
      </c>
      <c r="M26" s="108">
        <f t="shared" si="30"/>
        <v>8832000</v>
      </c>
      <c r="N26" s="108">
        <f t="shared" si="30"/>
        <v>8832000</v>
      </c>
      <c r="O26" s="108">
        <f t="shared" si="30"/>
        <v>8832000</v>
      </c>
      <c r="P26" s="108">
        <f t="shared" si="4"/>
        <v>105984000</v>
      </c>
      <c r="Q26" s="106">
        <f t="shared" si="31"/>
        <v>64</v>
      </c>
      <c r="R26" s="106"/>
      <c r="T26" s="202">
        <f t="shared" si="27"/>
        <v>63.888888888888886</v>
      </c>
      <c r="U26" s="202">
        <f t="shared" si="14"/>
        <v>63.888888888888886</v>
      </c>
      <c r="V26" s="202">
        <f t="shared" si="15"/>
        <v>63.888888888888886</v>
      </c>
      <c r="W26" s="202">
        <f t="shared" si="16"/>
        <v>63.888888888888886</v>
      </c>
      <c r="X26" s="202">
        <f t="shared" si="17"/>
        <v>63.888888888888886</v>
      </c>
      <c r="Y26" s="202">
        <f t="shared" si="18"/>
        <v>63.888888888888886</v>
      </c>
      <c r="Z26" s="202">
        <f t="shared" si="19"/>
        <v>63.888888888888886</v>
      </c>
      <c r="AA26" s="202">
        <f t="shared" si="20"/>
        <v>63.888888888888886</v>
      </c>
      <c r="AB26" s="202">
        <f t="shared" si="21"/>
        <v>63.888888888888886</v>
      </c>
      <c r="AC26" s="202">
        <f t="shared" si="22"/>
        <v>63.888888888888886</v>
      </c>
      <c r="AD26" s="202">
        <f t="shared" si="23"/>
        <v>63.888888888888886</v>
      </c>
      <c r="AE26" s="202">
        <f t="shared" si="24"/>
        <v>63.888888888888886</v>
      </c>
      <c r="AF26" s="203">
        <f t="shared" si="28"/>
        <v>63.888888888888907</v>
      </c>
    </row>
    <row r="27" spans="1:32" ht="21" customHeight="1">
      <c r="A27" s="107" t="s">
        <v>3</v>
      </c>
      <c r="B27" s="137" t="s">
        <v>49</v>
      </c>
      <c r="C27" s="106">
        <v>48000</v>
      </c>
      <c r="D27" s="108">
        <f t="shared" ref="D27:O27" si="32">ROUND(D4/300*3,0)*$C27</f>
        <v>69120000</v>
      </c>
      <c r="E27" s="108">
        <f t="shared" si="32"/>
        <v>69120000</v>
      </c>
      <c r="F27" s="108">
        <f t="shared" si="32"/>
        <v>69120000</v>
      </c>
      <c r="G27" s="108">
        <f t="shared" si="32"/>
        <v>69120000</v>
      </c>
      <c r="H27" s="108">
        <f t="shared" si="32"/>
        <v>69120000</v>
      </c>
      <c r="I27" s="108">
        <f t="shared" si="32"/>
        <v>69120000</v>
      </c>
      <c r="J27" s="108">
        <f t="shared" si="32"/>
        <v>69120000</v>
      </c>
      <c r="K27" s="108">
        <f t="shared" si="32"/>
        <v>69120000</v>
      </c>
      <c r="L27" s="108">
        <f t="shared" si="32"/>
        <v>69120000</v>
      </c>
      <c r="M27" s="108">
        <f t="shared" si="32"/>
        <v>69120000</v>
      </c>
      <c r="N27" s="108">
        <f t="shared" si="32"/>
        <v>69120000</v>
      </c>
      <c r="O27" s="108">
        <f t="shared" si="32"/>
        <v>69120000</v>
      </c>
      <c r="P27" s="108">
        <f>SUM(D27:O27)</f>
        <v>829440000</v>
      </c>
      <c r="Q27" s="106">
        <f t="shared" si="31"/>
        <v>500</v>
      </c>
      <c r="R27" s="106"/>
      <c r="T27" s="202">
        <f t="shared" si="27"/>
        <v>500</v>
      </c>
      <c r="U27" s="202">
        <f t="shared" si="14"/>
        <v>500</v>
      </c>
      <c r="V27" s="202">
        <f t="shared" si="15"/>
        <v>500</v>
      </c>
      <c r="W27" s="202">
        <f t="shared" si="16"/>
        <v>500</v>
      </c>
      <c r="X27" s="202">
        <f t="shared" si="17"/>
        <v>500</v>
      </c>
      <c r="Y27" s="202">
        <f t="shared" si="18"/>
        <v>500</v>
      </c>
      <c r="Z27" s="202">
        <f t="shared" si="19"/>
        <v>500</v>
      </c>
      <c r="AA27" s="202">
        <f t="shared" si="20"/>
        <v>500</v>
      </c>
      <c r="AB27" s="202">
        <f t="shared" si="21"/>
        <v>500</v>
      </c>
      <c r="AC27" s="202">
        <f t="shared" si="22"/>
        <v>500</v>
      </c>
      <c r="AD27" s="202">
        <f t="shared" si="23"/>
        <v>500</v>
      </c>
      <c r="AE27" s="202">
        <f t="shared" si="24"/>
        <v>500</v>
      </c>
      <c r="AF27" s="203">
        <f t="shared" si="28"/>
        <v>500</v>
      </c>
    </row>
    <row r="28" spans="1:32" ht="21" customHeight="1">
      <c r="A28" s="107" t="s">
        <v>36</v>
      </c>
      <c r="B28" s="137"/>
      <c r="C28" s="106">
        <f>145+70</f>
        <v>215</v>
      </c>
      <c r="D28" s="108">
        <f>$C28*D$4</f>
        <v>30960000</v>
      </c>
      <c r="E28" s="108">
        <f t="shared" ref="E28:O29" si="33">$C28*E$4</f>
        <v>30960000</v>
      </c>
      <c r="F28" s="108">
        <f t="shared" si="33"/>
        <v>30960000</v>
      </c>
      <c r="G28" s="108">
        <f t="shared" si="33"/>
        <v>30960000</v>
      </c>
      <c r="H28" s="108">
        <f t="shared" si="33"/>
        <v>30960000</v>
      </c>
      <c r="I28" s="108">
        <f t="shared" si="33"/>
        <v>30960000</v>
      </c>
      <c r="J28" s="108">
        <f t="shared" si="33"/>
        <v>30960000</v>
      </c>
      <c r="K28" s="108">
        <f t="shared" si="33"/>
        <v>30960000</v>
      </c>
      <c r="L28" s="108">
        <f t="shared" si="33"/>
        <v>30960000</v>
      </c>
      <c r="M28" s="108">
        <f t="shared" si="33"/>
        <v>30960000</v>
      </c>
      <c r="N28" s="108">
        <f t="shared" si="33"/>
        <v>30960000</v>
      </c>
      <c r="O28" s="108">
        <f t="shared" si="33"/>
        <v>30960000</v>
      </c>
      <c r="P28" s="108">
        <f t="shared" si="4"/>
        <v>371520000</v>
      </c>
      <c r="Q28" s="106">
        <f t="shared" si="31"/>
        <v>224</v>
      </c>
      <c r="R28" s="106"/>
      <c r="T28" s="202">
        <f t="shared" si="27"/>
        <v>223.95833333333334</v>
      </c>
      <c r="U28" s="202">
        <f t="shared" si="14"/>
        <v>223.95833333333334</v>
      </c>
      <c r="V28" s="202">
        <f t="shared" si="15"/>
        <v>223.95833333333334</v>
      </c>
      <c r="W28" s="202">
        <f t="shared" si="16"/>
        <v>223.95833333333334</v>
      </c>
      <c r="X28" s="202">
        <f t="shared" si="17"/>
        <v>223.95833333333334</v>
      </c>
      <c r="Y28" s="202">
        <f t="shared" si="18"/>
        <v>223.95833333333334</v>
      </c>
      <c r="Z28" s="202">
        <f t="shared" si="19"/>
        <v>223.95833333333334</v>
      </c>
      <c r="AA28" s="202">
        <f t="shared" si="20"/>
        <v>223.95833333333334</v>
      </c>
      <c r="AB28" s="202">
        <f t="shared" si="21"/>
        <v>223.95833333333334</v>
      </c>
      <c r="AC28" s="202">
        <f t="shared" si="22"/>
        <v>223.95833333333334</v>
      </c>
      <c r="AD28" s="202">
        <f t="shared" si="23"/>
        <v>223.95833333333334</v>
      </c>
      <c r="AE28" s="202">
        <f t="shared" si="24"/>
        <v>223.95833333333334</v>
      </c>
      <c r="AF28" s="203">
        <f t="shared" si="28"/>
        <v>223.95833333333334</v>
      </c>
    </row>
    <row r="29" spans="1:32" ht="21" customHeight="1">
      <c r="A29" s="107" t="s">
        <v>35</v>
      </c>
      <c r="B29" s="137"/>
      <c r="C29" s="106">
        <f>7500/21.5</f>
        <v>348.83720930232556</v>
      </c>
      <c r="D29" s="108">
        <f>$C29*D$4</f>
        <v>50232558.139534883</v>
      </c>
      <c r="E29" s="108">
        <f t="shared" si="33"/>
        <v>50232558.139534883</v>
      </c>
      <c r="F29" s="108">
        <f t="shared" si="33"/>
        <v>50232558.139534883</v>
      </c>
      <c r="G29" s="108">
        <f t="shared" si="33"/>
        <v>50232558.139534883</v>
      </c>
      <c r="H29" s="108">
        <f t="shared" si="33"/>
        <v>50232558.139534883</v>
      </c>
      <c r="I29" s="108">
        <f t="shared" si="33"/>
        <v>50232558.139534883</v>
      </c>
      <c r="J29" s="108">
        <f t="shared" si="33"/>
        <v>50232558.139534883</v>
      </c>
      <c r="K29" s="108">
        <f t="shared" si="33"/>
        <v>50232558.139534883</v>
      </c>
      <c r="L29" s="108">
        <f t="shared" si="33"/>
        <v>50232558.139534883</v>
      </c>
      <c r="M29" s="108">
        <f t="shared" si="33"/>
        <v>50232558.139534883</v>
      </c>
      <c r="N29" s="108">
        <f t="shared" si="33"/>
        <v>50232558.139534883</v>
      </c>
      <c r="O29" s="108">
        <f t="shared" si="33"/>
        <v>50232558.139534883</v>
      </c>
      <c r="P29" s="108">
        <f t="shared" si="4"/>
        <v>602790697.67441857</v>
      </c>
      <c r="Q29" s="106">
        <f t="shared" si="31"/>
        <v>363</v>
      </c>
      <c r="R29" s="106"/>
      <c r="T29" s="202">
        <f t="shared" si="27"/>
        <v>363.37209302325579</v>
      </c>
      <c r="U29" s="202">
        <f t="shared" si="14"/>
        <v>363.37209302325579</v>
      </c>
      <c r="V29" s="202">
        <f t="shared" si="15"/>
        <v>363.37209302325579</v>
      </c>
      <c r="W29" s="202">
        <f t="shared" si="16"/>
        <v>363.37209302325579</v>
      </c>
      <c r="X29" s="202">
        <f t="shared" si="17"/>
        <v>363.37209302325579</v>
      </c>
      <c r="Y29" s="202">
        <f t="shared" si="18"/>
        <v>363.37209302325579</v>
      </c>
      <c r="Z29" s="202">
        <f t="shared" si="19"/>
        <v>363.37209302325579</v>
      </c>
      <c r="AA29" s="202">
        <f t="shared" si="20"/>
        <v>363.37209302325579</v>
      </c>
      <c r="AB29" s="202">
        <f t="shared" si="21"/>
        <v>363.37209302325579</v>
      </c>
      <c r="AC29" s="202">
        <f t="shared" si="22"/>
        <v>363.37209302325579</v>
      </c>
      <c r="AD29" s="202">
        <f t="shared" si="23"/>
        <v>363.37209302325579</v>
      </c>
      <c r="AE29" s="202">
        <f t="shared" si="24"/>
        <v>363.37209302325579</v>
      </c>
      <c r="AF29" s="203">
        <f t="shared" si="28"/>
        <v>363.37209302325579</v>
      </c>
    </row>
    <row r="30" spans="1:32" ht="21" customHeight="1">
      <c r="A30" s="107" t="s">
        <v>39</v>
      </c>
      <c r="B30" s="137" t="s">
        <v>49</v>
      </c>
      <c r="C30" s="106">
        <f>ROUND(57700*1.06,-1)</f>
        <v>61160</v>
      </c>
      <c r="D30" s="108">
        <f t="shared" ref="D30:O30" si="34">ROUND(D4/300,0)*3*$C30</f>
        <v>88070400</v>
      </c>
      <c r="E30" s="108">
        <f t="shared" si="34"/>
        <v>88070400</v>
      </c>
      <c r="F30" s="108">
        <f t="shared" si="34"/>
        <v>88070400</v>
      </c>
      <c r="G30" s="108">
        <f t="shared" si="34"/>
        <v>88070400</v>
      </c>
      <c r="H30" s="108">
        <f t="shared" si="34"/>
        <v>88070400</v>
      </c>
      <c r="I30" s="108">
        <f t="shared" si="34"/>
        <v>88070400</v>
      </c>
      <c r="J30" s="108">
        <f t="shared" si="34"/>
        <v>88070400</v>
      </c>
      <c r="K30" s="108">
        <f t="shared" si="34"/>
        <v>88070400</v>
      </c>
      <c r="L30" s="108">
        <f t="shared" si="34"/>
        <v>88070400</v>
      </c>
      <c r="M30" s="108">
        <f t="shared" si="34"/>
        <v>88070400</v>
      </c>
      <c r="N30" s="108">
        <f t="shared" si="34"/>
        <v>88070400</v>
      </c>
      <c r="O30" s="108">
        <f t="shared" si="34"/>
        <v>88070400</v>
      </c>
      <c r="P30" s="108">
        <f t="shared" si="4"/>
        <v>1056844800</v>
      </c>
      <c r="Q30" s="106">
        <f t="shared" si="31"/>
        <v>637</v>
      </c>
      <c r="R30" s="106"/>
      <c r="T30" s="202">
        <f t="shared" si="27"/>
        <v>637.08333333333337</v>
      </c>
      <c r="U30" s="202">
        <f t="shared" si="14"/>
        <v>637.08333333333337</v>
      </c>
      <c r="V30" s="202">
        <f t="shared" si="15"/>
        <v>637.08333333333337</v>
      </c>
      <c r="W30" s="202">
        <f t="shared" si="16"/>
        <v>637.08333333333337</v>
      </c>
      <c r="X30" s="202">
        <f t="shared" si="17"/>
        <v>637.08333333333337</v>
      </c>
      <c r="Y30" s="202">
        <f t="shared" si="18"/>
        <v>637.08333333333337</v>
      </c>
      <c r="Z30" s="202">
        <f t="shared" si="19"/>
        <v>637.08333333333337</v>
      </c>
      <c r="AA30" s="202">
        <f t="shared" si="20"/>
        <v>637.08333333333337</v>
      </c>
      <c r="AB30" s="202">
        <f t="shared" si="21"/>
        <v>637.08333333333337</v>
      </c>
      <c r="AC30" s="202">
        <f t="shared" si="22"/>
        <v>637.08333333333337</v>
      </c>
      <c r="AD30" s="202">
        <f t="shared" si="23"/>
        <v>637.08333333333337</v>
      </c>
      <c r="AE30" s="202">
        <f t="shared" si="24"/>
        <v>637.08333333333337</v>
      </c>
      <c r="AF30" s="203">
        <f t="shared" si="28"/>
        <v>637.08333333333326</v>
      </c>
    </row>
    <row r="31" spans="1:32" ht="21" customHeight="1">
      <c r="A31" s="107" t="s">
        <v>13</v>
      </c>
      <c r="B31" s="137"/>
      <c r="C31" s="109">
        <v>60</v>
      </c>
      <c r="D31" s="108">
        <f t="shared" ref="D31:O31" si="35">$C31*D$4</f>
        <v>8640000</v>
      </c>
      <c r="E31" s="108">
        <f t="shared" si="35"/>
        <v>8640000</v>
      </c>
      <c r="F31" s="108">
        <f t="shared" si="35"/>
        <v>8640000</v>
      </c>
      <c r="G31" s="108">
        <f t="shared" si="35"/>
        <v>8640000</v>
      </c>
      <c r="H31" s="108">
        <f t="shared" si="35"/>
        <v>8640000</v>
      </c>
      <c r="I31" s="108">
        <f t="shared" si="35"/>
        <v>8640000</v>
      </c>
      <c r="J31" s="108">
        <f t="shared" si="35"/>
        <v>8640000</v>
      </c>
      <c r="K31" s="108">
        <f t="shared" si="35"/>
        <v>8640000</v>
      </c>
      <c r="L31" s="108">
        <f t="shared" si="35"/>
        <v>8640000</v>
      </c>
      <c r="M31" s="108">
        <f t="shared" si="35"/>
        <v>8640000</v>
      </c>
      <c r="N31" s="108">
        <f t="shared" si="35"/>
        <v>8640000</v>
      </c>
      <c r="O31" s="108">
        <f t="shared" si="35"/>
        <v>8640000</v>
      </c>
      <c r="P31" s="108">
        <f>SUM(D31:O31)</f>
        <v>103680000</v>
      </c>
      <c r="Q31" s="106">
        <f>ROUND(P31/$P$17,0)</f>
        <v>63</v>
      </c>
      <c r="R31" s="106"/>
      <c r="T31" s="202">
        <f t="shared" si="27"/>
        <v>62.5</v>
      </c>
      <c r="U31" s="202">
        <f t="shared" si="14"/>
        <v>62.5</v>
      </c>
      <c r="V31" s="202">
        <f t="shared" si="15"/>
        <v>62.5</v>
      </c>
      <c r="W31" s="202">
        <f t="shared" si="16"/>
        <v>62.5</v>
      </c>
      <c r="X31" s="202">
        <f t="shared" si="17"/>
        <v>62.5</v>
      </c>
      <c r="Y31" s="202">
        <f t="shared" si="18"/>
        <v>62.5</v>
      </c>
      <c r="Z31" s="202">
        <f t="shared" si="19"/>
        <v>62.5</v>
      </c>
      <c r="AA31" s="202">
        <f t="shared" si="20"/>
        <v>62.5</v>
      </c>
      <c r="AB31" s="202">
        <f t="shared" si="21"/>
        <v>62.5</v>
      </c>
      <c r="AC31" s="202">
        <f t="shared" si="22"/>
        <v>62.5</v>
      </c>
      <c r="AD31" s="202">
        <f t="shared" si="23"/>
        <v>62.5</v>
      </c>
      <c r="AE31" s="202">
        <f t="shared" si="24"/>
        <v>62.5</v>
      </c>
      <c r="AF31" s="203">
        <f t="shared" si="28"/>
        <v>62.5</v>
      </c>
    </row>
    <row r="32" spans="1:32" ht="21" customHeight="1">
      <c r="A32" s="110" t="s">
        <v>52</v>
      </c>
      <c r="B32" s="138"/>
      <c r="C32" s="111"/>
      <c r="D32" s="147">
        <v>117</v>
      </c>
      <c r="E32" s="147">
        <v>117</v>
      </c>
      <c r="F32" s="147">
        <v>117</v>
      </c>
      <c r="G32" s="147">
        <v>117</v>
      </c>
      <c r="H32" s="147">
        <v>117</v>
      </c>
      <c r="I32" s="147">
        <v>117</v>
      </c>
      <c r="J32" s="147">
        <v>117</v>
      </c>
      <c r="K32" s="147">
        <v>117</v>
      </c>
      <c r="L32" s="147">
        <v>117</v>
      </c>
      <c r="M32" s="147">
        <v>117</v>
      </c>
      <c r="N32" s="147">
        <v>117</v>
      </c>
      <c r="O32" s="147">
        <v>117</v>
      </c>
      <c r="P32" s="147"/>
      <c r="Q32" s="147"/>
      <c r="R32" s="106"/>
      <c r="T32" s="202">
        <f t="shared" si="27"/>
        <v>8.463541666666667E-4</v>
      </c>
      <c r="U32" s="202">
        <f t="shared" si="14"/>
        <v>8.463541666666667E-4</v>
      </c>
      <c r="V32" s="202">
        <f t="shared" si="15"/>
        <v>8.463541666666667E-4</v>
      </c>
      <c r="W32" s="202">
        <f t="shared" si="16"/>
        <v>8.463541666666667E-4</v>
      </c>
      <c r="X32" s="202">
        <f t="shared" si="17"/>
        <v>8.463541666666667E-4</v>
      </c>
      <c r="Y32" s="202">
        <f t="shared" si="18"/>
        <v>8.463541666666667E-4</v>
      </c>
      <c r="Z32" s="202">
        <f t="shared" si="19"/>
        <v>8.463541666666667E-4</v>
      </c>
      <c r="AA32" s="202">
        <f t="shared" si="20"/>
        <v>8.463541666666667E-4</v>
      </c>
      <c r="AB32" s="202" t="s">
        <v>88</v>
      </c>
      <c r="AC32" s="202">
        <f t="shared" si="22"/>
        <v>8.463541666666667E-4</v>
      </c>
      <c r="AD32" s="202">
        <f t="shared" si="23"/>
        <v>8.463541666666667E-4</v>
      </c>
      <c r="AE32" s="202">
        <f t="shared" si="24"/>
        <v>8.463541666666667E-4</v>
      </c>
      <c r="AF32" s="203">
        <f t="shared" si="28"/>
        <v>8.4635416666666702E-4</v>
      </c>
    </row>
    <row r="33" spans="1:32" ht="21" customHeight="1">
      <c r="A33" s="110" t="s">
        <v>4</v>
      </c>
      <c r="B33" s="138"/>
      <c r="C33" s="111"/>
      <c r="D33" s="112">
        <v>53323060</v>
      </c>
      <c r="E33" s="112">
        <v>53323060</v>
      </c>
      <c r="F33" s="112">
        <v>53323060</v>
      </c>
      <c r="G33" s="112">
        <v>53323060</v>
      </c>
      <c r="H33" s="112">
        <v>53323060</v>
      </c>
      <c r="I33" s="112">
        <v>53323060</v>
      </c>
      <c r="J33" s="112">
        <v>53323060</v>
      </c>
      <c r="K33" s="112">
        <v>53323060</v>
      </c>
      <c r="L33" s="112">
        <v>53323060</v>
      </c>
      <c r="M33" s="112">
        <v>53323060</v>
      </c>
      <c r="N33" s="112">
        <v>53323060</v>
      </c>
      <c r="O33" s="112">
        <v>53323060</v>
      </c>
      <c r="P33" s="112">
        <f t="shared" si="4"/>
        <v>639876720</v>
      </c>
      <c r="Q33" s="113">
        <f t="shared" si="31"/>
        <v>386</v>
      </c>
      <c r="R33" s="106"/>
      <c r="T33" s="202">
        <f t="shared" si="27"/>
        <v>385.72815393518516</v>
      </c>
      <c r="U33" s="202">
        <f t="shared" si="14"/>
        <v>385.72815393518516</v>
      </c>
      <c r="V33" s="202">
        <f t="shared" si="15"/>
        <v>385.72815393518516</v>
      </c>
      <c r="W33" s="202">
        <f t="shared" si="16"/>
        <v>385.72815393518516</v>
      </c>
      <c r="X33" s="202">
        <f t="shared" si="17"/>
        <v>385.72815393518516</v>
      </c>
      <c r="Y33" s="202">
        <f t="shared" si="18"/>
        <v>385.72815393518516</v>
      </c>
      <c r="Z33" s="202">
        <f t="shared" si="19"/>
        <v>385.72815393518516</v>
      </c>
      <c r="AA33" s="202">
        <f t="shared" si="20"/>
        <v>385.72815393518516</v>
      </c>
      <c r="AB33" s="202">
        <f t="shared" si="21"/>
        <v>385.72815393518516</v>
      </c>
      <c r="AC33" s="202">
        <f t="shared" si="22"/>
        <v>385.72815393518516</v>
      </c>
      <c r="AD33" s="202">
        <f t="shared" si="23"/>
        <v>385.72815393518516</v>
      </c>
      <c r="AE33" s="202">
        <f t="shared" si="24"/>
        <v>385.72815393518516</v>
      </c>
      <c r="AF33" s="203">
        <f t="shared" si="28"/>
        <v>385.72815393518516</v>
      </c>
    </row>
    <row r="34" spans="1:32" s="63" customFormat="1" ht="21" customHeight="1">
      <c r="A34" s="114" t="s">
        <v>46</v>
      </c>
      <c r="B34" s="139"/>
      <c r="C34" s="115"/>
      <c r="D34" s="116">
        <f>SUM(D35:D37)</f>
        <v>279244800</v>
      </c>
      <c r="E34" s="116">
        <f t="shared" ref="E34:P34" si="36">SUM(E35:E37)</f>
        <v>279244800</v>
      </c>
      <c r="F34" s="116">
        <f t="shared" si="36"/>
        <v>279244800</v>
      </c>
      <c r="G34" s="116">
        <f t="shared" si="36"/>
        <v>279244800</v>
      </c>
      <c r="H34" s="116">
        <f t="shared" si="36"/>
        <v>279244800</v>
      </c>
      <c r="I34" s="116">
        <f t="shared" si="36"/>
        <v>279244800</v>
      </c>
      <c r="J34" s="116">
        <f t="shared" si="36"/>
        <v>279244800</v>
      </c>
      <c r="K34" s="116">
        <f t="shared" si="36"/>
        <v>279244800</v>
      </c>
      <c r="L34" s="116">
        <f t="shared" si="36"/>
        <v>279244800</v>
      </c>
      <c r="M34" s="116">
        <f t="shared" si="36"/>
        <v>279244800</v>
      </c>
      <c r="N34" s="116">
        <f t="shared" si="36"/>
        <v>279244800</v>
      </c>
      <c r="O34" s="116">
        <f t="shared" si="36"/>
        <v>279244800</v>
      </c>
      <c r="P34" s="116">
        <f t="shared" si="36"/>
        <v>3350937600</v>
      </c>
      <c r="Q34" s="115">
        <f>ROUND(P34/$P$17,0)</f>
        <v>2020</v>
      </c>
      <c r="R34" s="117"/>
      <c r="T34" s="206">
        <f t="shared" si="27"/>
        <v>2020</v>
      </c>
      <c r="U34" s="206">
        <f t="shared" si="14"/>
        <v>2020</v>
      </c>
      <c r="V34" s="206">
        <f t="shared" si="15"/>
        <v>2020</v>
      </c>
      <c r="W34" s="206">
        <f t="shared" si="16"/>
        <v>2020</v>
      </c>
      <c r="X34" s="206">
        <f t="shared" si="17"/>
        <v>2020</v>
      </c>
      <c r="Y34" s="206">
        <f t="shared" si="18"/>
        <v>2020</v>
      </c>
      <c r="Z34" s="206">
        <f t="shared" si="19"/>
        <v>2020</v>
      </c>
      <c r="AA34" s="206">
        <f t="shared" si="20"/>
        <v>2020</v>
      </c>
      <c r="AB34" s="206">
        <f t="shared" si="21"/>
        <v>2020</v>
      </c>
      <c r="AC34" s="206">
        <f t="shared" si="22"/>
        <v>2020</v>
      </c>
      <c r="AD34" s="206">
        <f t="shared" si="23"/>
        <v>2020</v>
      </c>
      <c r="AE34" s="206">
        <f t="shared" si="24"/>
        <v>2020</v>
      </c>
      <c r="AF34" s="207">
        <f t="shared" si="28"/>
        <v>2020</v>
      </c>
    </row>
    <row r="35" spans="1:32" ht="21" customHeight="1">
      <c r="A35" s="118" t="s">
        <v>42</v>
      </c>
      <c r="B35" s="140"/>
      <c r="C35" s="197">
        <v>0.03</v>
      </c>
      <c r="D35" s="119">
        <f>D19*$C$35</f>
        <v>78796800</v>
      </c>
      <c r="E35" s="119">
        <f t="shared" ref="E35:O35" si="37">E19*$C$35</f>
        <v>78796800</v>
      </c>
      <c r="F35" s="119">
        <f t="shared" si="37"/>
        <v>78796800</v>
      </c>
      <c r="G35" s="119">
        <f t="shared" si="37"/>
        <v>78796800</v>
      </c>
      <c r="H35" s="119">
        <f t="shared" si="37"/>
        <v>78796800</v>
      </c>
      <c r="I35" s="119">
        <f t="shared" si="37"/>
        <v>78796800</v>
      </c>
      <c r="J35" s="119">
        <f t="shared" si="37"/>
        <v>78796800</v>
      </c>
      <c r="K35" s="119">
        <f t="shared" si="37"/>
        <v>78796800</v>
      </c>
      <c r="L35" s="119">
        <f t="shared" si="37"/>
        <v>78796800</v>
      </c>
      <c r="M35" s="119">
        <f t="shared" si="37"/>
        <v>78796800</v>
      </c>
      <c r="N35" s="119">
        <f t="shared" si="37"/>
        <v>78796800</v>
      </c>
      <c r="O35" s="119">
        <f t="shared" si="37"/>
        <v>78796800</v>
      </c>
      <c r="P35" s="119">
        <f t="shared" si="4"/>
        <v>945561600</v>
      </c>
      <c r="Q35" s="120">
        <f>ROUND(P35/$P$17,0)</f>
        <v>570</v>
      </c>
      <c r="R35" s="106" t="s">
        <v>44</v>
      </c>
      <c r="T35" s="202">
        <f t="shared" si="27"/>
        <v>570</v>
      </c>
      <c r="U35" s="202">
        <f t="shared" si="14"/>
        <v>570</v>
      </c>
      <c r="V35" s="202">
        <f t="shared" si="15"/>
        <v>570</v>
      </c>
      <c r="W35" s="202">
        <f t="shared" si="16"/>
        <v>570</v>
      </c>
      <c r="X35" s="202">
        <f t="shared" si="17"/>
        <v>570</v>
      </c>
      <c r="Y35" s="202">
        <f t="shared" si="18"/>
        <v>570</v>
      </c>
      <c r="Z35" s="202">
        <f t="shared" si="19"/>
        <v>570</v>
      </c>
      <c r="AA35" s="202">
        <f t="shared" si="20"/>
        <v>570</v>
      </c>
      <c r="AB35" s="202">
        <f t="shared" si="21"/>
        <v>570</v>
      </c>
      <c r="AC35" s="202">
        <f t="shared" si="22"/>
        <v>570</v>
      </c>
      <c r="AD35" s="202">
        <f t="shared" si="23"/>
        <v>570</v>
      </c>
      <c r="AE35" s="202">
        <f t="shared" si="24"/>
        <v>570</v>
      </c>
      <c r="AF35" s="203">
        <f t="shared" si="28"/>
        <v>570</v>
      </c>
    </row>
    <row r="36" spans="1:32" ht="21" customHeight="1">
      <c r="A36" s="107" t="s">
        <v>43</v>
      </c>
      <c r="B36" s="208">
        <f>C36/D18</f>
        <v>5.2631578947368418E-2</v>
      </c>
      <c r="C36" s="106">
        <v>1000</v>
      </c>
      <c r="D36" s="108">
        <f>$C36*D$17</f>
        <v>138240000</v>
      </c>
      <c r="E36" s="108">
        <f t="shared" ref="E36:O36" si="38">$C36*E$17</f>
        <v>138240000</v>
      </c>
      <c r="F36" s="108">
        <f t="shared" si="38"/>
        <v>138240000</v>
      </c>
      <c r="G36" s="108">
        <f t="shared" si="38"/>
        <v>138240000</v>
      </c>
      <c r="H36" s="108">
        <f t="shared" si="38"/>
        <v>138240000</v>
      </c>
      <c r="I36" s="108">
        <f t="shared" si="38"/>
        <v>138240000</v>
      </c>
      <c r="J36" s="108">
        <f t="shared" si="38"/>
        <v>138240000</v>
      </c>
      <c r="K36" s="108">
        <f t="shared" si="38"/>
        <v>138240000</v>
      </c>
      <c r="L36" s="108">
        <f t="shared" si="38"/>
        <v>138240000</v>
      </c>
      <c r="M36" s="108">
        <f t="shared" si="38"/>
        <v>138240000</v>
      </c>
      <c r="N36" s="108">
        <f t="shared" si="38"/>
        <v>138240000</v>
      </c>
      <c r="O36" s="108">
        <f t="shared" si="38"/>
        <v>138240000</v>
      </c>
      <c r="P36" s="108">
        <f t="shared" si="4"/>
        <v>1658880000</v>
      </c>
      <c r="Q36" s="106">
        <f t="shared" si="31"/>
        <v>1000</v>
      </c>
      <c r="R36" s="106"/>
      <c r="T36" s="202">
        <f t="shared" si="27"/>
        <v>1000</v>
      </c>
      <c r="U36" s="202">
        <f t="shared" si="14"/>
        <v>1000</v>
      </c>
      <c r="V36" s="202">
        <f t="shared" si="15"/>
        <v>1000</v>
      </c>
      <c r="W36" s="202">
        <f t="shared" si="16"/>
        <v>1000</v>
      </c>
      <c r="X36" s="202">
        <f t="shared" si="17"/>
        <v>1000</v>
      </c>
      <c r="Y36" s="202">
        <f t="shared" si="18"/>
        <v>1000</v>
      </c>
      <c r="Z36" s="202">
        <f t="shared" si="19"/>
        <v>1000</v>
      </c>
      <c r="AA36" s="202">
        <f t="shared" si="20"/>
        <v>1000</v>
      </c>
      <c r="AB36" s="202">
        <f t="shared" si="21"/>
        <v>1000</v>
      </c>
      <c r="AC36" s="202">
        <f t="shared" si="22"/>
        <v>1000</v>
      </c>
      <c r="AD36" s="202">
        <f t="shared" si="23"/>
        <v>1000</v>
      </c>
      <c r="AE36" s="202">
        <f t="shared" si="24"/>
        <v>1000</v>
      </c>
      <c r="AF36" s="203">
        <f t="shared" si="28"/>
        <v>1000</v>
      </c>
    </row>
    <row r="37" spans="1:32" ht="21" customHeight="1">
      <c r="A37" s="121" t="s">
        <v>7</v>
      </c>
      <c r="B37" s="141"/>
      <c r="C37" s="122">
        <v>450</v>
      </c>
      <c r="D37" s="123">
        <f t="shared" ref="D37:O37" si="39">D17*$C37</f>
        <v>62208000</v>
      </c>
      <c r="E37" s="123">
        <f t="shared" si="39"/>
        <v>62208000</v>
      </c>
      <c r="F37" s="123">
        <f>F17*$C37</f>
        <v>62208000</v>
      </c>
      <c r="G37" s="123">
        <f t="shared" si="39"/>
        <v>62208000</v>
      </c>
      <c r="H37" s="123">
        <f t="shared" si="39"/>
        <v>62208000</v>
      </c>
      <c r="I37" s="123">
        <f t="shared" si="39"/>
        <v>62208000</v>
      </c>
      <c r="J37" s="123">
        <f t="shared" si="39"/>
        <v>62208000</v>
      </c>
      <c r="K37" s="123">
        <f t="shared" si="39"/>
        <v>62208000</v>
      </c>
      <c r="L37" s="123">
        <f t="shared" si="39"/>
        <v>62208000</v>
      </c>
      <c r="M37" s="123">
        <f t="shared" si="39"/>
        <v>62208000</v>
      </c>
      <c r="N37" s="123">
        <f t="shared" si="39"/>
        <v>62208000</v>
      </c>
      <c r="O37" s="123">
        <f t="shared" si="39"/>
        <v>62208000</v>
      </c>
      <c r="P37" s="123">
        <f t="shared" si="4"/>
        <v>746496000</v>
      </c>
      <c r="Q37" s="198">
        <f t="shared" si="31"/>
        <v>450</v>
      </c>
      <c r="R37" s="122"/>
      <c r="T37" s="202">
        <f t="shared" si="27"/>
        <v>450</v>
      </c>
      <c r="U37" s="202">
        <f t="shared" si="14"/>
        <v>450</v>
      </c>
      <c r="V37" s="202">
        <f t="shared" si="15"/>
        <v>450</v>
      </c>
      <c r="W37" s="202">
        <f t="shared" si="16"/>
        <v>450</v>
      </c>
      <c r="X37" s="202">
        <f t="shared" si="17"/>
        <v>450</v>
      </c>
      <c r="Y37" s="202">
        <f t="shared" si="18"/>
        <v>450</v>
      </c>
      <c r="Z37" s="202">
        <f t="shared" si="19"/>
        <v>450</v>
      </c>
      <c r="AA37" s="202">
        <f t="shared" si="20"/>
        <v>450</v>
      </c>
      <c r="AB37" s="202">
        <f t="shared" si="21"/>
        <v>450</v>
      </c>
      <c r="AC37" s="202">
        <f t="shared" si="22"/>
        <v>450</v>
      </c>
      <c r="AD37" s="202">
        <f t="shared" si="23"/>
        <v>450</v>
      </c>
      <c r="AE37" s="202">
        <f t="shared" si="24"/>
        <v>450</v>
      </c>
      <c r="AF37" s="203">
        <f t="shared" si="28"/>
        <v>450</v>
      </c>
    </row>
    <row r="38" spans="1:32" s="77" customFormat="1" ht="21" customHeight="1">
      <c r="A38" s="96" t="s">
        <v>11</v>
      </c>
      <c r="B38" s="134"/>
      <c r="C38" s="98"/>
      <c r="D38" s="97">
        <f t="shared" ref="D38:Q38" si="40">SUM(D10,D22,D34)</f>
        <v>2788682039.4595346</v>
      </c>
      <c r="E38" s="97">
        <f t="shared" si="40"/>
        <v>2788682039.4595346</v>
      </c>
      <c r="F38" s="97">
        <f t="shared" si="40"/>
        <v>2788682039.4595346</v>
      </c>
      <c r="G38" s="97">
        <f t="shared" si="40"/>
        <v>2788682039.4595346</v>
      </c>
      <c r="H38" s="97">
        <f t="shared" si="40"/>
        <v>2788682039.4595346</v>
      </c>
      <c r="I38" s="97">
        <f t="shared" si="40"/>
        <v>2788682039.4595346</v>
      </c>
      <c r="J38" s="97">
        <f t="shared" si="40"/>
        <v>2788682039.4595346</v>
      </c>
      <c r="K38" s="97">
        <f t="shared" si="40"/>
        <v>2788682039.4595346</v>
      </c>
      <c r="L38" s="97">
        <f t="shared" si="40"/>
        <v>2788682039.4595346</v>
      </c>
      <c r="M38" s="97">
        <f t="shared" si="40"/>
        <v>2788682039.4595346</v>
      </c>
      <c r="N38" s="97">
        <f t="shared" si="40"/>
        <v>2788682039.4595346</v>
      </c>
      <c r="O38" s="97">
        <f t="shared" si="40"/>
        <v>2788682039.4595346</v>
      </c>
      <c r="P38" s="97">
        <f t="shared" si="40"/>
        <v>33464183069.51442</v>
      </c>
      <c r="Q38" s="115">
        <f t="shared" si="40"/>
        <v>8194</v>
      </c>
      <c r="R38" s="98"/>
      <c r="T38" s="200">
        <f t="shared" si="27"/>
        <v>20172.757808590384</v>
      </c>
      <c r="U38" s="200">
        <f t="shared" si="14"/>
        <v>20172.757808590384</v>
      </c>
      <c r="V38" s="200">
        <f t="shared" si="15"/>
        <v>20172.757808590384</v>
      </c>
      <c r="W38" s="200">
        <f t="shared" si="16"/>
        <v>20172.757808590384</v>
      </c>
      <c r="X38" s="200">
        <f t="shared" si="17"/>
        <v>20172.757808590384</v>
      </c>
      <c r="Y38" s="200">
        <f t="shared" si="18"/>
        <v>20172.757808590384</v>
      </c>
      <c r="Z38" s="200">
        <f t="shared" si="19"/>
        <v>20172.757808590384</v>
      </c>
      <c r="AA38" s="200">
        <f t="shared" si="20"/>
        <v>20172.757808590384</v>
      </c>
      <c r="AB38" s="200">
        <f t="shared" si="21"/>
        <v>20172.757808590384</v>
      </c>
      <c r="AC38" s="200">
        <f t="shared" si="22"/>
        <v>20172.757808590384</v>
      </c>
      <c r="AD38" s="200">
        <f t="shared" si="23"/>
        <v>20172.757808590384</v>
      </c>
      <c r="AE38" s="200">
        <f t="shared" si="24"/>
        <v>20172.757808590384</v>
      </c>
      <c r="AF38" s="201">
        <f t="shared" si="28"/>
        <v>20172.757808590388</v>
      </c>
    </row>
    <row r="39" spans="1:32" s="64" customFormat="1" ht="18">
      <c r="A39" s="124" t="s">
        <v>16</v>
      </c>
      <c r="B39" s="142"/>
      <c r="C39" s="125"/>
      <c r="D39" s="126">
        <f>D19-D38</f>
        <v>-162122039.45953465</v>
      </c>
      <c r="E39" s="126">
        <f t="shared" ref="E39:O39" si="41">E19-E38</f>
        <v>-162122039.45953465</v>
      </c>
      <c r="F39" s="126">
        <f t="shared" si="41"/>
        <v>-162122039.45953465</v>
      </c>
      <c r="G39" s="126">
        <f t="shared" si="41"/>
        <v>-162122039.45953465</v>
      </c>
      <c r="H39" s="126">
        <f t="shared" si="41"/>
        <v>-162122039.45953465</v>
      </c>
      <c r="I39" s="126">
        <f t="shared" si="41"/>
        <v>-162122039.45953465</v>
      </c>
      <c r="J39" s="126">
        <f t="shared" si="41"/>
        <v>-162122039.45953465</v>
      </c>
      <c r="K39" s="126">
        <f t="shared" si="41"/>
        <v>-162122039.45953465</v>
      </c>
      <c r="L39" s="126">
        <f t="shared" si="41"/>
        <v>-162122039.45953465</v>
      </c>
      <c r="M39" s="126">
        <f t="shared" si="41"/>
        <v>-162122039.45953465</v>
      </c>
      <c r="N39" s="126">
        <f t="shared" si="41"/>
        <v>-162122039.45953465</v>
      </c>
      <c r="O39" s="126">
        <f t="shared" si="41"/>
        <v>-162122039.45953465</v>
      </c>
      <c r="P39" s="126">
        <f>SUM(D39:O39)</f>
        <v>-1945464473.5144157</v>
      </c>
      <c r="Q39" s="125"/>
      <c r="R39" s="125"/>
      <c r="T39" s="204">
        <f>D39/D$17</f>
        <v>-1172.7578085903838</v>
      </c>
      <c r="U39" s="204">
        <f t="shared" si="14"/>
        <v>-1172.7578085903838</v>
      </c>
      <c r="V39" s="204">
        <f t="shared" si="15"/>
        <v>-1172.7578085903838</v>
      </c>
      <c r="W39" s="204">
        <f t="shared" si="16"/>
        <v>-1172.7578085903838</v>
      </c>
      <c r="X39" s="204">
        <f t="shared" si="17"/>
        <v>-1172.7578085903838</v>
      </c>
      <c r="Y39" s="204">
        <f t="shared" si="18"/>
        <v>-1172.7578085903838</v>
      </c>
      <c r="Z39" s="204">
        <f t="shared" si="19"/>
        <v>-1172.7578085903838</v>
      </c>
      <c r="AA39" s="204">
        <f t="shared" si="20"/>
        <v>-1172.7578085903838</v>
      </c>
      <c r="AB39" s="204">
        <f t="shared" si="21"/>
        <v>-1172.7578085903838</v>
      </c>
      <c r="AC39" s="204">
        <f t="shared" si="22"/>
        <v>-1172.7578085903838</v>
      </c>
      <c r="AD39" s="204">
        <f t="shared" si="23"/>
        <v>-1172.7578085903838</v>
      </c>
      <c r="AE39" s="204">
        <f t="shared" si="24"/>
        <v>-1172.7578085903838</v>
      </c>
      <c r="AF39" s="205">
        <f>AVERAGE(T39:AE39)</f>
        <v>-1172.757808590384</v>
      </c>
    </row>
    <row r="40" spans="1:32">
      <c r="D40" s="127">
        <f>D39/D19</f>
        <v>-6.1724095188967563E-2</v>
      </c>
      <c r="E40" s="127">
        <f t="shared" ref="E40:O40" si="42">E39/E19</f>
        <v>-6.1724095188967563E-2</v>
      </c>
      <c r="F40" s="127">
        <f t="shared" si="42"/>
        <v>-6.1724095188967563E-2</v>
      </c>
      <c r="G40" s="127">
        <f t="shared" si="42"/>
        <v>-6.1724095188967563E-2</v>
      </c>
      <c r="H40" s="127">
        <f t="shared" si="42"/>
        <v>-6.1724095188967563E-2</v>
      </c>
      <c r="I40" s="127">
        <f t="shared" si="42"/>
        <v>-6.1724095188967563E-2</v>
      </c>
      <c r="J40" s="127">
        <f t="shared" si="42"/>
        <v>-6.1724095188967563E-2</v>
      </c>
      <c r="K40" s="127">
        <f t="shared" si="42"/>
        <v>-6.1724095188967563E-2</v>
      </c>
      <c r="L40" s="127">
        <f t="shared" si="42"/>
        <v>-6.1724095188967563E-2</v>
      </c>
      <c r="M40" s="127">
        <f t="shared" si="42"/>
        <v>-6.1724095188967563E-2</v>
      </c>
      <c r="N40" s="127">
        <f t="shared" si="42"/>
        <v>-6.1724095188967563E-2</v>
      </c>
      <c r="O40" s="127">
        <f t="shared" si="42"/>
        <v>-6.1724095188967563E-2</v>
      </c>
    </row>
    <row r="42" spans="1:32">
      <c r="D42" s="128"/>
    </row>
    <row r="43" spans="1:32">
      <c r="C43" s="62"/>
    </row>
    <row r="44" spans="1:32" ht="18" thickBot="1">
      <c r="C44" s="62"/>
    </row>
    <row r="45" spans="1:32" ht="23.5">
      <c r="A45" s="155" t="s">
        <v>53</v>
      </c>
      <c r="B45" s="156"/>
      <c r="C45" s="157" t="s">
        <v>54</v>
      </c>
      <c r="D45" s="157" t="s">
        <v>73</v>
      </c>
      <c r="E45" s="157" t="s">
        <v>55</v>
      </c>
      <c r="F45" s="158" t="s">
        <v>56</v>
      </c>
    </row>
    <row r="46" spans="1:32" ht="23.5">
      <c r="A46" s="159" t="s">
        <v>57</v>
      </c>
      <c r="B46" s="160"/>
      <c r="C46" s="160"/>
      <c r="D46" s="161"/>
      <c r="E46" s="160"/>
      <c r="F46" s="162"/>
    </row>
    <row r="47" spans="1:32" ht="23.5">
      <c r="A47" s="159" t="s">
        <v>58</v>
      </c>
      <c r="B47" s="163" t="s">
        <v>59</v>
      </c>
      <c r="C47" s="164">
        <f>E33+E30+100000000</f>
        <v>241393460</v>
      </c>
      <c r="D47" s="161" t="s">
        <v>74</v>
      </c>
      <c r="E47" s="163" t="s">
        <v>76</v>
      </c>
      <c r="F47" s="165" t="s">
        <v>80</v>
      </c>
    </row>
    <row r="48" spans="1:32" ht="23.5">
      <c r="A48" s="159" t="s">
        <v>60</v>
      </c>
      <c r="B48" s="163" t="s">
        <v>22</v>
      </c>
      <c r="C48" s="166">
        <f>(E38-C47)/E17</f>
        <v>18426.566691692235</v>
      </c>
      <c r="D48" s="161" t="s">
        <v>75</v>
      </c>
      <c r="E48" s="163" t="s">
        <v>77</v>
      </c>
      <c r="F48" s="167" t="s">
        <v>81</v>
      </c>
    </row>
    <row r="49" spans="1:6" ht="22.5">
      <c r="A49" s="168"/>
      <c r="B49" s="160"/>
      <c r="C49" s="160"/>
      <c r="D49" s="161"/>
      <c r="E49" s="160"/>
      <c r="F49" s="162"/>
    </row>
    <row r="50" spans="1:6" ht="23.5">
      <c r="A50" s="169" t="s">
        <v>61</v>
      </c>
      <c r="B50" s="170"/>
      <c r="C50" s="170"/>
      <c r="D50" s="171"/>
      <c r="E50" s="170"/>
      <c r="F50" s="172"/>
    </row>
    <row r="51" spans="1:6" ht="23.5">
      <c r="A51" s="169" t="s">
        <v>62</v>
      </c>
      <c r="B51" s="173" t="s">
        <v>22</v>
      </c>
      <c r="C51" s="174">
        <f>E18</f>
        <v>19000</v>
      </c>
      <c r="D51" s="175">
        <f>C48+(C47/E17)</f>
        <v>20172.757808590384</v>
      </c>
      <c r="E51" s="173" t="str">
        <f>IF(C51&gt;D51,"✅","❌ LỖ")</f>
        <v>❌ LỖ</v>
      </c>
      <c r="F51" s="176" t="s">
        <v>82</v>
      </c>
    </row>
    <row r="52" spans="1:6" ht="23.5">
      <c r="A52" s="169" t="s">
        <v>63</v>
      </c>
      <c r="B52" s="173" t="s">
        <v>64</v>
      </c>
      <c r="C52" s="177">
        <f>E17</f>
        <v>138240</v>
      </c>
      <c r="D52" s="178">
        <f>C47/(E18-C48)</f>
        <v>420961.69947358995</v>
      </c>
      <c r="E52" s="173" t="str">
        <f>IF(C52&gt;D52,"✅","⚠️ THIẾU")</f>
        <v>⚠️ THIẾU</v>
      </c>
      <c r="F52" s="176" t="s">
        <v>83</v>
      </c>
    </row>
    <row r="53" spans="1:6" ht="23.5">
      <c r="A53" s="169" t="s">
        <v>65</v>
      </c>
      <c r="B53" s="173" t="s">
        <v>66</v>
      </c>
      <c r="C53" s="179">
        <f>(C51-D51)/C51</f>
        <v>-6.1724095188967591E-2</v>
      </c>
      <c r="D53" s="180">
        <v>0.05</v>
      </c>
      <c r="E53" s="173" t="str">
        <f>IF(C53&gt;0.05,"👌","💀 NGUY")</f>
        <v>💀 NGUY</v>
      </c>
      <c r="F53" s="176" t="s">
        <v>84</v>
      </c>
    </row>
    <row r="54" spans="1:6" ht="22.5">
      <c r="A54" s="181"/>
      <c r="B54" s="170"/>
      <c r="C54" s="170"/>
      <c r="D54" s="171"/>
      <c r="E54" s="170"/>
      <c r="F54" s="172"/>
    </row>
    <row r="55" spans="1:6" ht="33" customHeight="1">
      <c r="A55" s="182" t="s">
        <v>67</v>
      </c>
      <c r="B55" s="183"/>
      <c r="C55" s="183"/>
      <c r="D55" s="184"/>
      <c r="E55" s="183"/>
      <c r="F55" s="185"/>
    </row>
    <row r="56" spans="1:6" ht="23.5">
      <c r="A56" s="182" t="s">
        <v>68</v>
      </c>
      <c r="B56" s="186" t="s">
        <v>22</v>
      </c>
      <c r="C56" s="187">
        <f>E11/E4</f>
        <v>11500</v>
      </c>
      <c r="D56" s="188">
        <f>E18-((E38-E10)/E17)</f>
        <v>10806.408858076284</v>
      </c>
      <c r="E56" s="186" t="str">
        <f>IF(C56&lt;D56,"✅","⛔ ĐẮT")</f>
        <v>⛔ ĐẮT</v>
      </c>
      <c r="F56" s="189" t="s">
        <v>85</v>
      </c>
    </row>
    <row r="57" spans="1:6" ht="23.5">
      <c r="A57" s="182" t="s">
        <v>69</v>
      </c>
      <c r="B57" s="186" t="s">
        <v>66</v>
      </c>
      <c r="C57" s="190">
        <f>(E4-E17)/E4</f>
        <v>0.04</v>
      </c>
      <c r="D57" s="191">
        <v>0.04</v>
      </c>
      <c r="E57" s="186" t="str">
        <f>IF(C57&lt;=0.04,"✅","🔥 SỰ CỐ")</f>
        <v>✅</v>
      </c>
      <c r="F57" s="189" t="s">
        <v>70</v>
      </c>
    </row>
    <row r="58" spans="1:6" ht="23.5">
      <c r="A58" s="182" t="s">
        <v>71</v>
      </c>
      <c r="B58" s="186" t="s">
        <v>22</v>
      </c>
      <c r="C58" s="187">
        <f>E18-(E36/E17)</f>
        <v>18000</v>
      </c>
      <c r="D58" s="188" t="s">
        <v>78</v>
      </c>
      <c r="E58" s="186" t="str">
        <f>IF(C58&gt;=20000,"✅","💸 CẮT")</f>
        <v>💸 CẮT</v>
      </c>
      <c r="F58" s="189" t="s">
        <v>86</v>
      </c>
    </row>
    <row r="59" spans="1:6" ht="24" thickBot="1">
      <c r="A59" s="192" t="s">
        <v>72</v>
      </c>
      <c r="B59" s="193" t="s">
        <v>59</v>
      </c>
      <c r="C59" s="194">
        <f>E39/E17</f>
        <v>-1172.7578085903838</v>
      </c>
      <c r="D59" s="195" t="s">
        <v>79</v>
      </c>
      <c r="E59" s="193" t="str">
        <f>IF(C59&gt;0,"✅","💀 ÂM")</f>
        <v>💀 ÂM</v>
      </c>
      <c r="F59" s="196" t="s">
        <v>87</v>
      </c>
    </row>
    <row r="60" spans="1:6">
      <c r="C60" s="62"/>
    </row>
    <row r="61" spans="1:6">
      <c r="C61" s="62"/>
    </row>
    <row r="63" spans="1:6">
      <c r="A63" s="149"/>
    </row>
    <row r="64" spans="1:6">
      <c r="A64"/>
    </row>
    <row r="65" spans="1:1">
      <c r="A65" s="151"/>
    </row>
    <row r="66" spans="1:1">
      <c r="A66" s="153"/>
    </row>
    <row r="67" spans="1:1">
      <c r="A67" s="153"/>
    </row>
    <row r="68" spans="1:1">
      <c r="A68" s="151"/>
    </row>
    <row r="69" spans="1:1">
      <c r="A69" s="153"/>
    </row>
    <row r="70" spans="1:1">
      <c r="A70" s="153"/>
    </row>
    <row r="71" spans="1:1">
      <c r="A71" s="149"/>
    </row>
    <row r="72" spans="1:1">
      <c r="A72"/>
    </row>
    <row r="73" spans="1:1">
      <c r="A73" s="151"/>
    </row>
    <row r="74" spans="1:1">
      <c r="A74" s="153"/>
    </row>
    <row r="75" spans="1:1">
      <c r="A75" s="151"/>
    </row>
    <row r="76" spans="1:1">
      <c r="A76" s="153"/>
    </row>
    <row r="77" spans="1:1">
      <c r="A77" s="153"/>
    </row>
    <row r="78" spans="1:1">
      <c r="A78" s="149"/>
    </row>
    <row r="79" spans="1:1">
      <c r="A79"/>
    </row>
    <row r="80" spans="1:1">
      <c r="A80" s="150"/>
    </row>
    <row r="81" spans="1:1">
      <c r="A81" s="150"/>
    </row>
    <row r="82" spans="1:1">
      <c r="A82" s="150"/>
    </row>
    <row r="83" spans="1:1">
      <c r="A83" s="152"/>
    </row>
    <row r="84" spans="1:1">
      <c r="A84" s="152"/>
    </row>
    <row r="85" spans="1:1">
      <c r="A85" s="152"/>
    </row>
    <row r="86" spans="1:1">
      <c r="A86" s="150"/>
    </row>
    <row r="87" spans="1:1">
      <c r="A87" s="150"/>
    </row>
    <row r="88" spans="1:1">
      <c r="A88" s="152"/>
    </row>
    <row r="90" spans="1:1">
      <c r="A90" s="152"/>
    </row>
    <row r="92" spans="1:1">
      <c r="A92" s="152"/>
    </row>
    <row r="94" spans="1:1">
      <c r="A94" s="150"/>
    </row>
    <row r="95" spans="1:1">
      <c r="A95" s="150"/>
    </row>
    <row r="96" spans="1:1">
      <c r="A96" s="152"/>
    </row>
    <row r="98" spans="1:1">
      <c r="A98" s="152"/>
    </row>
    <row r="100" spans="1:1">
      <c r="A100"/>
    </row>
    <row r="102" spans="1:1">
      <c r="A102"/>
    </row>
  </sheetData>
  <conditionalFormatting sqref="E51:E59">
    <cfRule type="containsText" dxfId="7" priority="1" operator="containsText" text="💸">
      <formula>NOT(ISERROR(SEARCH("💸",E51)))</formula>
    </cfRule>
    <cfRule type="containsText" dxfId="6" priority="2" operator="containsText" text="💀">
      <formula>NOT(ISERROR(SEARCH("💀",E51)))</formula>
    </cfRule>
    <cfRule type="containsText" dxfId="5" priority="3" operator="containsText" text="🔥">
      <formula>NOT(ISERROR(SEARCH("🔥",E51)))</formula>
    </cfRule>
    <cfRule type="containsText" dxfId="4" priority="4" operator="containsText" text="⛔">
      <formula>NOT(ISERROR(SEARCH("⛔",E51)))</formula>
    </cfRule>
    <cfRule type="containsText" dxfId="3" priority="5" operator="containsText" text="❌">
      <formula>NOT(ISERROR(SEARCH("❌",E51)))</formula>
    </cfRule>
    <cfRule type="containsText" dxfId="2" priority="6" operator="containsText" text="⚠️">
      <formula>NOT(ISERROR(SEARCH("⚠️",E51)))</formula>
    </cfRule>
    <cfRule type="containsText" dxfId="1" priority="7" operator="containsText" text="👌">
      <formula>NOT(ISERROR(SEARCH("👌",E51)))</formula>
    </cfRule>
    <cfRule type="containsText" dxfId="0" priority="8" operator="containsText" text="✅">
      <formula>NOT(ISERROR(SEARCH("✅",E51)))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C4A2-DA8D-41DA-BEF0-BC8ADE88F3E7}">
  <dimension ref="A1"/>
  <sheetViews>
    <sheetView topLeftCell="A19" zoomScale="85" zoomScaleNormal="85" workbookViewId="0">
      <selection activeCell="F47" sqref="F47"/>
    </sheetView>
  </sheetViews>
  <sheetFormatPr defaultRowHeight="14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02ce9a2cf4966ec69a1b358f4d4b9d99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53998a36049a3ee9df92b0976465d5cf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AD989C-DBB0-4668-8095-0310E6190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9A0D91-DE0F-46F2-9CBF-FB0D679A25B6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0df09a27-9771-47e1-b9df-a49ccb752b23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da0191db-049f-49dc-a4a6-d804a7c1caa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4B242D7-F798-4320-908F-52778FD0C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day dai Ktoan DLoc</vt:lpstr>
      <vt:lpstr>P&amp;L day dai Ktoan DLoc (2)</vt:lpstr>
      <vt:lpstr>P&amp;L day dai Ktoan DLoc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Hương, Trần Thị</dc:creator>
  <cp:lastModifiedBy>Cư, Lê Hoành</cp:lastModifiedBy>
  <dcterms:created xsi:type="dcterms:W3CDTF">2025-11-17T17:51:34Z</dcterms:created>
  <dcterms:modified xsi:type="dcterms:W3CDTF">2026-03-23T12:36:47Z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