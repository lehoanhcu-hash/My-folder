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lh\Downloads\"/>
    </mc:Choice>
  </mc:AlternateContent>
  <xr:revisionPtr revIDLastSave="0" documentId="13_ncr:1_{38ADD0E4-CA51-41D7-ACBC-E3252A1E18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PUT" sheetId="1" r:id="rId1"/>
    <sheet name="NRV_CALC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4" i="3" s="1"/>
  <c r="B5" i="2"/>
  <c r="B4" i="2"/>
  <c r="B6" i="2" s="1"/>
  <c r="B3" i="3" s="1"/>
  <c r="B2" i="2"/>
  <c r="B3" i="2" s="1"/>
  <c r="B8" i="2" s="1"/>
  <c r="B5" i="3" l="1"/>
  <c r="B9" i="2"/>
  <c r="B6" i="3" s="1"/>
</calcChain>
</file>

<file path=xl/sharedStrings.xml><?xml version="1.0" encoding="utf-8"?>
<sst xmlns="http://schemas.openxmlformats.org/spreadsheetml/2006/main" count="27" uniqueCount="23">
  <si>
    <t>Parameter</t>
  </si>
  <si>
    <t>Value</t>
  </si>
  <si>
    <t>Bottle price</t>
  </si>
  <si>
    <t>Flake price</t>
  </si>
  <si>
    <t>Pellet price</t>
  </si>
  <si>
    <t>Yield Bottle-&gt;Flake</t>
  </si>
  <si>
    <t>Yield Flake-&gt;Pellet</t>
  </si>
  <si>
    <t>Sorting cost</t>
  </si>
  <si>
    <t>Grinding cost</t>
  </si>
  <si>
    <t>Washing cost</t>
  </si>
  <si>
    <t>Pelletizing cost</t>
  </si>
  <si>
    <t>Selling cost</t>
  </si>
  <si>
    <t>Metric</t>
  </si>
  <si>
    <t>Total Flake Cost</t>
  </si>
  <si>
    <t>Total Pellet Cost</t>
  </si>
  <si>
    <t>NRV Flake</t>
  </si>
  <si>
    <t>NRV Pellet</t>
  </si>
  <si>
    <t>NRV Bottle (max buy)</t>
  </si>
  <si>
    <t>Margin Flake</t>
  </si>
  <si>
    <t>Margin Pellet</t>
  </si>
  <si>
    <t>Decision</t>
  </si>
  <si>
    <t>REAL-TIME PET DECISION DASHBOARD</t>
  </si>
  <si>
    <t>Bottle max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</si>
</sst>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7" sqref="B7"/>
    </sheetView>
  </sheetViews>
  <sheetFormatPr defaultRowHeight="14.5" x14ac:dyDescent="0.35"/>
  <cols>
    <col min="1" max="1" width="23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10000</v>
      </c>
    </row>
    <row r="3" spans="1:2" x14ac:dyDescent="0.35">
      <c r="A3" t="s">
        <v>3</v>
      </c>
      <c r="B3">
        <v>13500</v>
      </c>
    </row>
    <row r="4" spans="1:2" x14ac:dyDescent="0.35">
      <c r="A4" t="s">
        <v>4</v>
      </c>
      <c r="B4">
        <v>15500</v>
      </c>
    </row>
    <row r="5" spans="1:2" x14ac:dyDescent="0.35">
      <c r="A5" t="s">
        <v>5</v>
      </c>
      <c r="B5">
        <v>0.72</v>
      </c>
    </row>
    <row r="6" spans="1:2" x14ac:dyDescent="0.35">
      <c r="A6" t="s">
        <v>6</v>
      </c>
      <c r="B6">
        <v>0.9</v>
      </c>
    </row>
    <row r="7" spans="1:2" x14ac:dyDescent="0.35">
      <c r="A7" t="s">
        <v>7</v>
      </c>
      <c r="B7">
        <v>500</v>
      </c>
    </row>
    <row r="8" spans="1:2" x14ac:dyDescent="0.35">
      <c r="A8" t="s">
        <v>8</v>
      </c>
      <c r="B8">
        <v>300</v>
      </c>
    </row>
    <row r="9" spans="1:2" x14ac:dyDescent="0.35">
      <c r="A9" t="s">
        <v>9</v>
      </c>
      <c r="B9">
        <v>900</v>
      </c>
    </row>
    <row r="10" spans="1:2" x14ac:dyDescent="0.35">
      <c r="A10" t="s">
        <v>10</v>
      </c>
      <c r="B10">
        <v>1200</v>
      </c>
    </row>
    <row r="11" spans="1:2" x14ac:dyDescent="0.35">
      <c r="A11" t="s">
        <v>11</v>
      </c>
      <c r="B11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3" sqref="B3"/>
    </sheetView>
  </sheetViews>
  <sheetFormatPr defaultRowHeight="14.5" x14ac:dyDescent="0.35"/>
  <cols>
    <col min="1" max="1" width="18.6328125" bestFit="1" customWidth="1"/>
    <col min="2" max="2" width="14.6328125" bestFit="1" customWidth="1"/>
  </cols>
  <sheetData>
    <row r="1" spans="1:2" x14ac:dyDescent="0.35">
      <c r="A1" t="s">
        <v>12</v>
      </c>
      <c r="B1" t="s">
        <v>1</v>
      </c>
    </row>
    <row r="2" spans="1:2" x14ac:dyDescent="0.35">
      <c r="A2" t="s">
        <v>13</v>
      </c>
      <c r="B2" s="1">
        <f>INPUT!B6+INPUT!B7+INPUT!B8</f>
        <v>800.9</v>
      </c>
    </row>
    <row r="3" spans="1:2" x14ac:dyDescent="0.35">
      <c r="A3" t="s">
        <v>14</v>
      </c>
      <c r="B3" s="1">
        <f>B2+INPUT!B9</f>
        <v>1700.9</v>
      </c>
    </row>
    <row r="4" spans="1:2" x14ac:dyDescent="0.35">
      <c r="A4" t="s">
        <v>15</v>
      </c>
      <c r="B4" s="1">
        <f>INPUT!B2-INPUT!B10</f>
        <v>8800</v>
      </c>
    </row>
    <row r="5" spans="1:2" x14ac:dyDescent="0.35">
      <c r="A5" t="s">
        <v>16</v>
      </c>
      <c r="B5" s="1">
        <f>INPUT!B3-INPUT!B10</f>
        <v>12300</v>
      </c>
    </row>
    <row r="6" spans="1:2" x14ac:dyDescent="0.35">
      <c r="A6" t="s">
        <v>17</v>
      </c>
      <c r="B6" s="1">
        <f>(B4*INPUT!B4)-B2</f>
        <v>136399199.09999999</v>
      </c>
    </row>
    <row r="7" spans="1:2" x14ac:dyDescent="0.35">
      <c r="A7" t="s">
        <v>18</v>
      </c>
      <c r="B7" s="1">
        <f>INPUT!B2-B2</f>
        <v>9199.1</v>
      </c>
    </row>
    <row r="8" spans="1:2" x14ac:dyDescent="0.35">
      <c r="A8" t="s">
        <v>19</v>
      </c>
      <c r="B8" s="1">
        <f>INPUT!B3-B3</f>
        <v>11799.1</v>
      </c>
    </row>
    <row r="9" spans="1:2" x14ac:dyDescent="0.35">
      <c r="A9" t="s">
        <v>20</v>
      </c>
      <c r="B9" t="str">
        <f>IF(B8&gt;B7,"PELLET",IF(B7&gt;0,"SELL FLAKE","STOP"))</f>
        <v>PELLET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11" sqref="B11"/>
    </sheetView>
  </sheetViews>
  <sheetFormatPr defaultRowHeight="14.5" x14ac:dyDescent="0.35"/>
  <cols>
    <col min="1" max="1" width="33.36328125" bestFit="1" customWidth="1"/>
    <col min="2" max="2" width="14.6328125" bestFit="1" customWidth="1"/>
  </cols>
  <sheetData>
    <row r="1" spans="1:2" x14ac:dyDescent="0.35">
      <c r="A1" t="s">
        <v>21</v>
      </c>
    </row>
    <row r="3" spans="1:2" x14ac:dyDescent="0.35">
      <c r="A3" t="s">
        <v>22</v>
      </c>
      <c r="B3" s="1">
        <f>NRV_CALC!B6</f>
        <v>136399199.09999999</v>
      </c>
    </row>
    <row r="4" spans="1:2" x14ac:dyDescent="0.35">
      <c r="A4" t="s">
        <v>18</v>
      </c>
      <c r="B4" s="1">
        <f>NRV_CALC!B7</f>
        <v>9199.1</v>
      </c>
    </row>
    <row r="5" spans="1:2" x14ac:dyDescent="0.35">
      <c r="A5" t="s">
        <v>19</v>
      </c>
      <c r="B5" s="1">
        <f>NRV_CALC!B8</f>
        <v>11799.1</v>
      </c>
    </row>
    <row r="6" spans="1:2" x14ac:dyDescent="0.35">
      <c r="A6" t="s">
        <v>20</v>
      </c>
      <c r="B6" t="str">
        <f>NRV_CALC!B9</f>
        <v>PELLET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NRV_CALC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Cư, Lê Hoành</cp:lastModifiedBy>
  <dcterms:created xsi:type="dcterms:W3CDTF">2026-04-22T07:02:51Z</dcterms:created>
  <dcterms:modified xsi:type="dcterms:W3CDTF">2026-04-22T08:25:05Z</dcterms:modified>
</cp:coreProperties>
</file>