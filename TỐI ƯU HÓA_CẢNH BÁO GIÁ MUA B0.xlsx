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ata\GĐ Tài chính\Cost Controlling\Costing Flow Chart\Báo CT _Model\"/>
    </mc:Choice>
  </mc:AlternateContent>
  <xr:revisionPtr revIDLastSave="0" documentId="13_ncr:1_{B0FE1C10-D15F-4E59-BACE-6F21AF827D5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hập liệu" sheetId="1" r:id="rId1"/>
    <sheet name="Tính toán" sheetId="2" r:id="rId2"/>
    <sheet name="Lựa chon" sheetId="3" r:id="rId3"/>
    <sheet name="Giá mua_tối đa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D9" i="1"/>
  <c r="C9" i="1"/>
  <c r="B8" i="1"/>
  <c r="B7" i="1"/>
  <c r="C8" i="1"/>
  <c r="C7" i="1"/>
  <c r="C1" i="2" l="1"/>
  <c r="E4" i="1"/>
  <c r="D4" i="1" s="1"/>
  <c r="D3" i="1"/>
  <c r="D10" i="1" l="1"/>
  <c r="B9" i="1"/>
  <c r="O8" i="1" l="1"/>
  <c r="B3" i="1"/>
  <c r="I7" i="1"/>
  <c r="L8" i="1"/>
  <c r="L5" i="1"/>
  <c r="L9" i="1"/>
  <c r="B10" i="1" l="1"/>
  <c r="E2" i="4" s="1"/>
  <c r="B4" i="1"/>
  <c r="B6" i="1" l="1"/>
  <c r="B5" i="1" l="1"/>
  <c r="B3" i="2" l="1"/>
  <c r="B2" i="4"/>
  <c r="D2" i="4" s="1"/>
  <c r="B2" i="2"/>
  <c r="B5" i="2" s="1"/>
  <c r="B3" i="4"/>
  <c r="C5" i="2" l="1"/>
  <c r="B6" i="2"/>
  <c r="C3" i="2"/>
  <c r="B4" i="2"/>
  <c r="C4" i="2" l="1"/>
  <c r="B2" i="3"/>
  <c r="B3" i="3"/>
  <c r="C6" i="2"/>
  <c r="D3" i="2"/>
  <c r="B4" i="3" l="1"/>
  <c r="D5" i="2"/>
  <c r="E5" i="2" s="1"/>
  <c r="E3" i="2"/>
  <c r="F3" i="2" s="1"/>
  <c r="E7" i="2" l="1"/>
  <c r="F5" i="2"/>
</calcChain>
</file>

<file path=xl/sharedStrings.xml><?xml version="1.0" encoding="utf-8"?>
<sst xmlns="http://schemas.openxmlformats.org/spreadsheetml/2006/main" count="33" uniqueCount="31">
  <si>
    <t>Pelletizing cost</t>
  </si>
  <si>
    <t>Target profit</t>
  </si>
  <si>
    <t>Formula</t>
  </si>
  <si>
    <t>Sorting</t>
  </si>
  <si>
    <t xml:space="preserve">Băm </t>
  </si>
  <si>
    <t>Rữa</t>
  </si>
  <si>
    <t>Tạo hạt</t>
  </si>
  <si>
    <t>Olefin</t>
  </si>
  <si>
    <t>Giá trị</t>
  </si>
  <si>
    <t>Tham số</t>
  </si>
  <si>
    <t>Giá mua B0</t>
  </si>
  <si>
    <t>Giá bán vảy</t>
  </si>
  <si>
    <t>Giá bán hạt</t>
  </si>
  <si>
    <t>Hiệu suất TH chai B0-&gt;Vảy</t>
  </si>
  <si>
    <t>Hiệu suất TH Vảy-&gt;Hạt</t>
  </si>
  <si>
    <t>Số liệu</t>
  </si>
  <si>
    <t>Công thức</t>
  </si>
  <si>
    <t>Tổng hiệu suất hạt</t>
  </si>
  <si>
    <t>Chi phí vảy/kg</t>
  </si>
  <si>
    <t>Giá vảy cần phải bán</t>
  </si>
  <si>
    <t>Chi phí hạt/kg</t>
  </si>
  <si>
    <t>Giá Hạt cần phải bán</t>
  </si>
  <si>
    <t>Kiểm tra</t>
  </si>
  <si>
    <t>Kết quả</t>
  </si>
  <si>
    <t>Vảy OK?</t>
  </si>
  <si>
    <t>Hạt OK?</t>
  </si>
  <si>
    <t>Lựa chọn tốt nhất</t>
  </si>
  <si>
    <t>Giá mua tối đa B0 (Vảy)</t>
  </si>
  <si>
    <t>Giá mua tối đa B0 (Hạt)</t>
  </si>
  <si>
    <t>Chi phí rữa</t>
  </si>
  <si>
    <t xml:space="preserve">Chi phí phân loại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</si>
</sst>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164" fontId="0" fillId="0" borderId="0" xfId="1" applyNumberFormat="1" applyFont="1"/>
    <xf numFmtId="164" fontId="0" fillId="2" borderId="0" xfId="1" applyNumberFormat="1" applyFont="1" applyFill="1"/>
    <xf numFmtId="164" fontId="3" fillId="2" borderId="0" xfId="1" applyNumberFormat="1" applyFont="1" applyFill="1"/>
    <xf numFmtId="164" fontId="4" fillId="3" borderId="0" xfId="1" applyNumberFormat="1" applyFont="1" applyFill="1"/>
    <xf numFmtId="164" fontId="5" fillId="2" borderId="0" xfId="1" applyNumberFormat="1" applyFont="1" applyFill="1"/>
    <xf numFmtId="164" fontId="3" fillId="0" borderId="0" xfId="1" applyNumberFormat="1" applyFont="1"/>
    <xf numFmtId="9" fontId="0" fillId="0" borderId="0" xfId="0" applyNumberFormat="1"/>
    <xf numFmtId="164" fontId="0" fillId="0" borderId="0" xfId="0" applyNumberFormat="1"/>
    <xf numFmtId="165" fontId="3" fillId="2" borderId="0" xfId="2" applyNumberFormat="1" applyFont="1" applyFill="1"/>
    <xf numFmtId="164" fontId="0" fillId="2" borderId="0" xfId="0" applyNumberFormat="1" applyFill="1"/>
    <xf numFmtId="9" fontId="0" fillId="2" borderId="0" xfId="0" applyNumberFormat="1" applyFill="1"/>
    <xf numFmtId="164" fontId="3" fillId="4" borderId="0" xfId="1" applyNumberFormat="1" applyFont="1" applyFill="1" applyAlignment="1">
      <alignment vertical="center"/>
    </xf>
    <xf numFmtId="9" fontId="3" fillId="2" borderId="0" xfId="0" applyNumberFormat="1" applyFont="1" applyFill="1"/>
    <xf numFmtId="166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01.%20&#272;&#7882;NH%20NGH&#296;A%20NGUY&#202;N%20LI&#7878;U%20MUA%20V&#192;O_Update%2025.04.2026_CCT.xlsx" TargetMode="External"/><Relationship Id="rId2" Type="http://schemas.openxmlformats.org/officeDocument/2006/relationships/externalLinkPath" Target="file:///C:\Data\G&#272;%20T&#224;i%20ch&#237;nh\Cost%20Controlling\Costing%20Flow%20Chart\01.%20&#272;&#7882;NH%20NGH&#296;A%20NGUY&#202;N%20LI&#7878;U%20MUA%20V&#192;O_Update%2025.04.2026_CCT.xlsx" TargetMode="External"/><Relationship Id="rId1" Type="http://schemas.openxmlformats.org/officeDocument/2006/relationships/externalLinkPath" Target="/Data/G&#272;%20T&#224;i%20ch&#237;nh/Cost%20Controlling/Costing%20Flow%20Chart/01.%20&#272;&#7882;NH%20NGH&#296;A%20NGUY&#202;N%20LI&#7878;U%20MUA%20V&#192;O_Update%2025.04.2026_C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ảnh báo giá mua"/>
      <sheetName val="Sheet3"/>
      <sheetName val="BOM&amp;NRV"/>
      <sheetName val="GAP"/>
      <sheetName val="So sánh thiệt hại"/>
      <sheetName val="Giá mua Chai-Vảy"/>
      <sheetName val="Giá mua Chai-Vảy (Giá giảm)"/>
      <sheetName val="Hiệu suất"/>
      <sheetName val="H_Tỷ lệ HH&amp;PS"/>
      <sheetName val="H_Tỷ lệ HH&amp;PS (-PS)"/>
      <sheetName val="Hảo_R&amp;D"/>
      <sheetName val="Hảo_R&amp;D (Vảy sạch)"/>
      <sheetName val="Hảo_R&amp;D (Vảy sạch) (-PS)"/>
      <sheetName val="Hảo_R&amp;D (Vảy sạch) (giảm giá)"/>
      <sheetName val="Hảo_R&amp;D (Hạt)"/>
      <sheetName val="Hảo_R&amp;D (Hạt) (full stage)-Chai"/>
      <sheetName val="Hảo_R&amp;D (Hạt) (full stage)-MN"/>
      <sheetName val="Hảo_R&amp;D (Hạt-Full stage-Mix)"/>
      <sheetName val="Phượng_QC"/>
      <sheetName val="01. ĐỊNH NGHĨ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>
        <row r="3">
          <cell r="AK3">
            <v>0.7991222195439257</v>
          </cell>
          <cell r="BA3">
            <v>0.9178655511798558</v>
          </cell>
        </row>
      </sheetData>
      <sheetData sheetId="10" refreshError="1"/>
      <sheetData sheetId="11" refreshError="1"/>
      <sheetData sheetId="12">
        <row r="4">
          <cell r="CF4">
            <v>1202.3474843966167</v>
          </cell>
        </row>
        <row r="8">
          <cell r="CF8">
            <v>1032.3585922951788</v>
          </cell>
        </row>
      </sheetData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topLeftCell="A4" workbookViewId="0">
      <selection activeCell="B4" sqref="B4"/>
    </sheetView>
  </sheetViews>
  <sheetFormatPr defaultRowHeight="14.5" x14ac:dyDescent="0.35"/>
  <cols>
    <col min="1" max="1" width="24.90625" customWidth="1"/>
    <col min="2" max="2" width="15.81640625" customWidth="1"/>
    <col min="4" max="4" width="10.90625" customWidth="1"/>
    <col min="5" max="5" width="10.08984375" bestFit="1" customWidth="1"/>
    <col min="6" max="6" width="9.08984375" bestFit="1" customWidth="1"/>
    <col min="8" max="8" width="10.36328125" customWidth="1"/>
  </cols>
  <sheetData>
    <row r="1" spans="1:15" x14ac:dyDescent="0.35">
      <c r="A1" s="1" t="s">
        <v>9</v>
      </c>
      <c r="B1" s="1" t="s">
        <v>8</v>
      </c>
    </row>
    <row r="2" spans="1:15" x14ac:dyDescent="0.35">
      <c r="A2" t="s">
        <v>10</v>
      </c>
      <c r="B2" s="2">
        <v>11300</v>
      </c>
    </row>
    <row r="3" spans="1:15" x14ac:dyDescent="0.35">
      <c r="A3" t="s">
        <v>11</v>
      </c>
      <c r="B3" s="2">
        <f>D3/1000</f>
        <v>24366</v>
      </c>
      <c r="D3" s="4">
        <f>F3*E3</f>
        <v>24366000</v>
      </c>
      <c r="E3" s="2">
        <v>26200</v>
      </c>
      <c r="F3">
        <v>930</v>
      </c>
    </row>
    <row r="4" spans="1:15" x14ac:dyDescent="0.35">
      <c r="A4" t="s">
        <v>12</v>
      </c>
      <c r="B4" s="2">
        <f>D4/1000</f>
        <v>34322</v>
      </c>
      <c r="D4" s="5">
        <f>F4*E4</f>
        <v>34322000</v>
      </c>
      <c r="E4" s="2">
        <f>E3</f>
        <v>26200</v>
      </c>
      <c r="F4" s="2">
        <v>1310</v>
      </c>
      <c r="H4" t="s">
        <v>3</v>
      </c>
      <c r="I4" t="s">
        <v>4</v>
      </c>
      <c r="J4" t="s">
        <v>5</v>
      </c>
      <c r="K4" t="s">
        <v>6</v>
      </c>
    </row>
    <row r="5" spans="1:15" x14ac:dyDescent="0.35">
      <c r="A5" t="s">
        <v>13</v>
      </c>
      <c r="B5" s="14">
        <f>'[1]H_Tỷ lệ HH&amp;PS (-PS)'!$AK$3</f>
        <v>0.7991222195439257</v>
      </c>
      <c r="F5">
        <v>1</v>
      </c>
      <c r="H5" s="8">
        <v>0.1</v>
      </c>
      <c r="I5" s="8"/>
      <c r="J5" s="8"/>
      <c r="L5" s="8">
        <f>L8-H5</f>
        <v>5.0000000000000017E-2</v>
      </c>
    </row>
    <row r="6" spans="1:15" x14ac:dyDescent="0.35">
      <c r="A6" t="s">
        <v>14</v>
      </c>
      <c r="B6" s="8">
        <f>'[1]H_Tỷ lệ HH&amp;PS (-PS)'!$BA$3</f>
        <v>0.9178655511798558</v>
      </c>
      <c r="F6">
        <v>1</v>
      </c>
      <c r="K6" s="8"/>
    </row>
    <row r="7" spans="1:15" x14ac:dyDescent="0.35">
      <c r="A7" t="s">
        <v>30</v>
      </c>
      <c r="B7" s="2">
        <f>3000</f>
        <v>3000</v>
      </c>
      <c r="C7" s="2">
        <f>B7/$E$3*1000</f>
        <v>114.50381679389312</v>
      </c>
      <c r="I7" s="8">
        <f>15%-M8</f>
        <v>6.9999999999999993E-2</v>
      </c>
    </row>
    <row r="8" spans="1:15" x14ac:dyDescent="0.35">
      <c r="A8" t="s">
        <v>29</v>
      </c>
      <c r="B8" s="2">
        <f>2000+1500</f>
        <v>3500</v>
      </c>
      <c r="C8" s="2">
        <f>B8/$E$3*1000</f>
        <v>133.58778625954199</v>
      </c>
      <c r="J8" s="8">
        <v>0.09</v>
      </c>
      <c r="L8" s="8">
        <f>L9-M8</f>
        <v>0.15000000000000002</v>
      </c>
      <c r="M8" s="8">
        <v>0.08</v>
      </c>
      <c r="N8" t="s">
        <v>7</v>
      </c>
      <c r="O8" s="12">
        <f>100%-L8</f>
        <v>0.85</v>
      </c>
    </row>
    <row r="9" spans="1:15" x14ac:dyDescent="0.35">
      <c r="A9" t="s">
        <v>0</v>
      </c>
      <c r="B9" s="2">
        <f>2000+1300</f>
        <v>3300</v>
      </c>
      <c r="C9" s="2">
        <f>B9/$E$3*1000</f>
        <v>125.95419847328243</v>
      </c>
      <c r="D9" s="9">
        <f>SUM(C7:C9)</f>
        <v>374.04580152671753</v>
      </c>
      <c r="E9" s="9">
        <f>SUM(B7:B9)</f>
        <v>9800</v>
      </c>
      <c r="K9" s="8">
        <v>0.05</v>
      </c>
      <c r="L9" s="8">
        <f>L10-K9</f>
        <v>0.23000000000000004</v>
      </c>
      <c r="N9" t="s">
        <v>6</v>
      </c>
    </row>
    <row r="10" spans="1:15" x14ac:dyDescent="0.35">
      <c r="A10" t="s">
        <v>1</v>
      </c>
      <c r="B10" s="2">
        <f>D10/1000</f>
        <v>1716.1</v>
      </c>
      <c r="D10" s="2">
        <f>D4*0.05</f>
        <v>1716100</v>
      </c>
      <c r="L10" s="8">
        <v>0.28000000000000003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opLeftCell="A7" workbookViewId="0">
      <selection activeCell="D14" sqref="D14"/>
    </sheetView>
  </sheetViews>
  <sheetFormatPr defaultRowHeight="14.5" x14ac:dyDescent="0.35"/>
  <cols>
    <col min="1" max="1" width="21.26953125" customWidth="1"/>
    <col min="2" max="2" width="12.7265625" customWidth="1"/>
    <col min="3" max="3" width="11.08984375" bestFit="1" customWidth="1"/>
    <col min="4" max="4" width="11" bestFit="1" customWidth="1"/>
    <col min="8" max="8" width="10.08984375" bestFit="1" customWidth="1"/>
  </cols>
  <sheetData>
    <row r="1" spans="1:8" x14ac:dyDescent="0.35">
      <c r="A1" s="1" t="s">
        <v>15</v>
      </c>
      <c r="B1" s="1" t="s">
        <v>16</v>
      </c>
      <c r="C1" s="3">
        <f>'Nhập liệu'!E3</f>
        <v>26200</v>
      </c>
    </row>
    <row r="2" spans="1:8" x14ac:dyDescent="0.35">
      <c r="A2" t="s">
        <v>17</v>
      </c>
      <c r="B2" s="15">
        <f>'Nhập liệu'!B5*'Nhập liệu'!B6</f>
        <v>0.7334867565017551</v>
      </c>
    </row>
    <row r="3" spans="1:8" x14ac:dyDescent="0.35">
      <c r="A3" t="s">
        <v>18</v>
      </c>
      <c r="B3" s="2">
        <f>('Nhập liệu'!B2+'Nhập liệu'!B7+'Nhập liệu'!B8)/'Nhập liệu'!B5</f>
        <v>22274.440085221006</v>
      </c>
      <c r="C3" s="7">
        <f>B3/C$1*1000</f>
        <v>850.1694689015651</v>
      </c>
      <c r="D3" s="2">
        <f>'[1]Hảo_R&amp;D (Vảy sạch) (-PS)'!$CF$8*C1/1000</f>
        <v>27047.795118133687</v>
      </c>
      <c r="E3" s="9">
        <f>D3-B3</f>
        <v>4773.3550329126811</v>
      </c>
      <c r="F3" s="10">
        <f>E3/D3</f>
        <v>0.17647852669929737</v>
      </c>
      <c r="H3" s="2">
        <v>24663.80615527631</v>
      </c>
    </row>
    <row r="4" spans="1:8" x14ac:dyDescent="0.35">
      <c r="A4" t="s">
        <v>19</v>
      </c>
      <c r="B4" s="2">
        <f>B3+'Nhập liệu'!B10</f>
        <v>23990.540085221004</v>
      </c>
      <c r="C4" s="6">
        <f>B4/C$1*1000</f>
        <v>915.6694689015651</v>
      </c>
    </row>
    <row r="5" spans="1:8" x14ac:dyDescent="0.35">
      <c r="A5" t="s">
        <v>20</v>
      </c>
      <c r="B5" s="2">
        <f>('Nhập liệu'!B2+'Nhập liệu'!B7+'Nhập liệu'!B8+'Nhập liệu'!B9)/B2</f>
        <v>28766.708891422924</v>
      </c>
      <c r="C5" s="7">
        <f>B5/C$1*1000</f>
        <v>1097.9659882222491</v>
      </c>
      <c r="D5" s="2">
        <f>'[1]Hảo_R&amp;D (Vảy sạch) (-PS)'!$CF$4*C1/1000</f>
        <v>31501.504091191357</v>
      </c>
      <c r="E5" s="9">
        <f>D5-B5</f>
        <v>2734.7951997684322</v>
      </c>
      <c r="F5" s="10">
        <f>E5/D5</f>
        <v>8.6814749919612647E-2</v>
      </c>
    </row>
    <row r="6" spans="1:8" x14ac:dyDescent="0.35">
      <c r="A6" t="s">
        <v>21</v>
      </c>
      <c r="B6" s="2">
        <f>B5+'Nhập liệu'!B10</f>
        <v>30482.808891422923</v>
      </c>
      <c r="C6" s="6">
        <f>B6/C$1*1000</f>
        <v>1163.4659882222488</v>
      </c>
    </row>
    <row r="7" spans="1:8" x14ac:dyDescent="0.35">
      <c r="E7" s="11">
        <f>E5-E3</f>
        <v>-2038.5598331442488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E20" sqref="E20"/>
    </sheetView>
  </sheetViews>
  <sheetFormatPr defaultRowHeight="14.5" x14ac:dyDescent="0.35"/>
  <cols>
    <col min="1" max="1" width="15.54296875" bestFit="1" customWidth="1"/>
    <col min="2" max="2" width="11.36328125" bestFit="1" customWidth="1"/>
  </cols>
  <sheetData>
    <row r="1" spans="1:2" x14ac:dyDescent="0.35">
      <c r="A1" s="1" t="s">
        <v>22</v>
      </c>
      <c r="B1" s="1" t="s">
        <v>23</v>
      </c>
    </row>
    <row r="2" spans="1:2" x14ac:dyDescent="0.35">
      <c r="A2" t="s">
        <v>24</v>
      </c>
      <c r="B2" t="str">
        <f>IF('Nhập liệu'!B3&gt;='Tính toán'!B4,"OK","NO")</f>
        <v>OK</v>
      </c>
    </row>
    <row r="3" spans="1:2" x14ac:dyDescent="0.35">
      <c r="A3" t="s">
        <v>25</v>
      </c>
      <c r="B3" t="str">
        <f>IF('Nhập liệu'!B4&gt;='Tính toán'!B6,"OK","NO")</f>
        <v>OK</v>
      </c>
    </row>
    <row r="4" spans="1:2" x14ac:dyDescent="0.35">
      <c r="A4" t="s">
        <v>26</v>
      </c>
      <c r="B4" t="str">
        <f>IF(AND(B2="OK",B3="OK"),IF('Nhập liệu'!B4-'Tính toán'!B6&gt;'Nhập liệu'!B3-'Tính toán'!B4,"PELLET","FLAKE"),IF(B3="OK","PELLET",IF(B2="OK","FLAKE","DO NOT BUY")))</f>
        <v>PELLET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selection activeCell="A11" sqref="A11"/>
    </sheetView>
  </sheetViews>
  <sheetFormatPr defaultRowHeight="14.5" x14ac:dyDescent="0.35"/>
  <cols>
    <col min="1" max="1" width="24.7265625" bestFit="1" customWidth="1"/>
    <col min="2" max="2" width="11.08984375" customWidth="1"/>
    <col min="3" max="3" width="10.08984375" bestFit="1" customWidth="1"/>
    <col min="5" max="5" width="9.08984375" bestFit="1" customWidth="1"/>
  </cols>
  <sheetData>
    <row r="1" spans="1:5" x14ac:dyDescent="0.35">
      <c r="A1" s="1" t="s">
        <v>15</v>
      </c>
      <c r="B1" s="1" t="s">
        <v>2</v>
      </c>
    </row>
    <row r="2" spans="1:5" x14ac:dyDescent="0.35">
      <c r="A2" t="s">
        <v>27</v>
      </c>
      <c r="B2" s="13">
        <f>'Nhập liệu'!B3*'Nhập liệu'!B5-'Nhập liệu'!B7-'Nhập liệu'!B8-'Nhập liệu'!B10</f>
        <v>11255.312001407294</v>
      </c>
      <c r="C2" s="2">
        <v>11300</v>
      </c>
      <c r="D2" s="9">
        <f>C2-B2</f>
        <v>44.687998592706208</v>
      </c>
      <c r="E2" s="2">
        <f>'Nhập liệu'!B10</f>
        <v>1716.1</v>
      </c>
    </row>
    <row r="3" spans="1:5" x14ac:dyDescent="0.35">
      <c r="A3" t="s">
        <v>28</v>
      </c>
      <c r="B3" s="2">
        <f>'Nhập liệu'!B4*('Nhập liệu'!B5*'Nhập liệu'!B6)-'Nhập liệu'!B7-'Nhập liệu'!B8-'Nhập liệu'!B9-'Nhập liệu'!B10</f>
        <v>13658.632456653237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Nhập liệu</vt:lpstr>
      <vt:lpstr>Tính toán</vt:lpstr>
      <vt:lpstr>Lựa chon</vt:lpstr>
      <vt:lpstr>Giá mua_tối đa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Cư; Lê Hoành</dc:creator>
  <cp:lastModifiedBy>Cư, Lê Hoành</cp:lastModifiedBy>
  <dcterms:created xsi:type="dcterms:W3CDTF">2026-04-11T09:43:16Z</dcterms:created>
  <dcterms:modified xsi:type="dcterms:W3CDTF">2026-04-29T09:20:39Z</dcterms:modified>
</cp:coreProperties>
</file>