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luuhongnhung_duytanrecycling_com/Documents/01. HE THONG THU MUA/00. DA SUPPLY CHAIN/04. TC1. Phat trien tram/1. Trạm nội bộ/"/>
    </mc:Choice>
  </mc:AlternateContent>
  <xr:revisionPtr revIDLastSave="132" documentId="8_{FE33732A-0055-420B-83BB-A50EC766253B}" xr6:coauthVersionLast="47" xr6:coauthVersionMax="47" xr10:uidLastSave="{06FBC941-605B-46BF-A8E4-5B32559F8AD3}"/>
  <bookViews>
    <workbookView xWindow="-110" yWindow="-110" windowWidth="19420" windowHeight="10300" activeTab="2" xr2:uid="{FA0DC8A9-B543-45C9-9CCC-8D80EADCFFE3}"/>
  </bookViews>
  <sheets>
    <sheet name="PnL đầy đủ" sheetId="5" r:id="rId1"/>
    <sheet name="Phân tích đầu tư" sheetId="2" r:id="rId2"/>
    <sheet name="Chi phí sản xuất" sheetId="3" r:id="rId3"/>
    <sheet name="Sheet1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5" l="1"/>
  <c r="AZ66" i="5"/>
  <c r="AZ65" i="5"/>
  <c r="AZ64" i="5"/>
  <c r="AZ63" i="5"/>
  <c r="AZ62" i="5"/>
  <c r="AZ61" i="5"/>
  <c r="AZ60" i="5"/>
  <c r="AZ59" i="5"/>
  <c r="AZ58" i="5"/>
  <c r="AZ57" i="5" s="1"/>
  <c r="AZ55" i="5"/>
  <c r="AZ54" i="5"/>
  <c r="AZ53" i="5"/>
  <c r="AZ52" i="5"/>
  <c r="AZ51" i="5"/>
  <c r="AY50" i="5"/>
  <c r="AZ50" i="5" s="1"/>
  <c r="AZ43" i="5" s="1"/>
  <c r="AZ49" i="5"/>
  <c r="AY49" i="5"/>
  <c r="AZ48" i="5"/>
  <c r="AZ47" i="5"/>
  <c r="AZ46" i="5"/>
  <c r="AZ45" i="5"/>
  <c r="AZ44" i="5"/>
  <c r="BA43" i="5"/>
  <c r="AZ40" i="5"/>
  <c r="AZ39" i="5"/>
  <c r="AY39" i="5"/>
  <c r="AZ38" i="5"/>
  <c r="AY38" i="5"/>
  <c r="AX38" i="5"/>
  <c r="AZ37" i="5"/>
  <c r="AZ36" i="5"/>
  <c r="AZ35" i="5"/>
  <c r="AY35" i="5"/>
  <c r="AY34" i="5"/>
  <c r="AZ34" i="5" s="1"/>
  <c r="AZ33" i="5"/>
  <c r="AY33" i="5"/>
  <c r="AZ31" i="5"/>
  <c r="AY30" i="5"/>
  <c r="AY28" i="5"/>
  <c r="AY26" i="5"/>
  <c r="AY16" i="5"/>
  <c r="AX16" i="5"/>
  <c r="AX17" i="5" s="1"/>
  <c r="AY15" i="5"/>
  <c r="AX15" i="5"/>
  <c r="AX18" i="5" s="1"/>
  <c r="AV5" i="5"/>
  <c r="AX28" i="5" s="1"/>
  <c r="AZ28" i="5" s="1"/>
  <c r="AQ66" i="5"/>
  <c r="AQ65" i="5"/>
  <c r="AQ64" i="5"/>
  <c r="AQ63" i="5"/>
  <c r="AQ62" i="5"/>
  <c r="AQ61" i="5"/>
  <c r="AQ60" i="5"/>
  <c r="AQ59" i="5"/>
  <c r="AQ58" i="5"/>
  <c r="AQ57" i="5" s="1"/>
  <c r="AQ55" i="5"/>
  <c r="AQ54" i="5"/>
  <c r="AQ53" i="5" s="1"/>
  <c r="AQ52" i="5"/>
  <c r="AQ51" i="5"/>
  <c r="AP50" i="5"/>
  <c r="AQ50" i="5" s="1"/>
  <c r="AQ43" i="5" s="1"/>
  <c r="AQ49" i="5"/>
  <c r="AP49" i="5"/>
  <c r="AQ48" i="5"/>
  <c r="AQ47" i="5"/>
  <c r="AQ46" i="5"/>
  <c r="AQ45" i="5"/>
  <c r="AQ44" i="5"/>
  <c r="AR43" i="5"/>
  <c r="AQ40" i="5"/>
  <c r="AQ39" i="5"/>
  <c r="AP39" i="5"/>
  <c r="AQ38" i="5"/>
  <c r="AP38" i="5"/>
  <c r="AO38" i="5"/>
  <c r="AQ37" i="5"/>
  <c r="AQ36" i="5"/>
  <c r="AQ35" i="5"/>
  <c r="AP35" i="5"/>
  <c r="AP34" i="5"/>
  <c r="AQ34" i="5" s="1"/>
  <c r="AQ33" i="5"/>
  <c r="AQ32" i="5" s="1"/>
  <c r="AP33" i="5"/>
  <c r="AQ31" i="5"/>
  <c r="AP30" i="5"/>
  <c r="AP28" i="5"/>
  <c r="AP26" i="5"/>
  <c r="AP16" i="5"/>
  <c r="AO16" i="5"/>
  <c r="AO17" i="5" s="1"/>
  <c r="AP15" i="5"/>
  <c r="AO15" i="5"/>
  <c r="AO18" i="5" s="1"/>
  <c r="AM5" i="5"/>
  <c r="AO28" i="5" s="1"/>
  <c r="AQ28" i="5" s="1"/>
  <c r="D18" i="3"/>
  <c r="AH66" i="5"/>
  <c r="AH65" i="5"/>
  <c r="AH64" i="5"/>
  <c r="AH63" i="5"/>
  <c r="AH62" i="5"/>
  <c r="AH61" i="5"/>
  <c r="AH60" i="5"/>
  <c r="AH59" i="5"/>
  <c r="AH58" i="5"/>
  <c r="AH55" i="5"/>
  <c r="AH54" i="5"/>
  <c r="AH53" i="5" s="1"/>
  <c r="AH52" i="5"/>
  <c r="AH51" i="5"/>
  <c r="AG50" i="5"/>
  <c r="AH50" i="5" s="1"/>
  <c r="AH49" i="5"/>
  <c r="AG49" i="5"/>
  <c r="AH48" i="5"/>
  <c r="AH47" i="5"/>
  <c r="AH46" i="5"/>
  <c r="AH45" i="5"/>
  <c r="AH44" i="5"/>
  <c r="AI43" i="5"/>
  <c r="AH40" i="5"/>
  <c r="AG39" i="5"/>
  <c r="AH39" i="5" s="1"/>
  <c r="AH38" i="5" s="1"/>
  <c r="AG38" i="5" s="1"/>
  <c r="AF38" i="5"/>
  <c r="AH37" i="5"/>
  <c r="AH36" i="5"/>
  <c r="AH35" i="5"/>
  <c r="AG35" i="5"/>
  <c r="AG34" i="5"/>
  <c r="AH34" i="5" s="1"/>
  <c r="AG33" i="5"/>
  <c r="AH33" i="5" s="1"/>
  <c r="AH31" i="5"/>
  <c r="AG30" i="5"/>
  <c r="AG28" i="5"/>
  <c r="AG26" i="5"/>
  <c r="AG16" i="5"/>
  <c r="AF16" i="5"/>
  <c r="AF17" i="5" s="1"/>
  <c r="AG15" i="5"/>
  <c r="AF15" i="5"/>
  <c r="AF18" i="5" s="1"/>
  <c r="AD5" i="5"/>
  <c r="AF28" i="5" s="1"/>
  <c r="AH28" i="5" s="1"/>
  <c r="Y66" i="5"/>
  <c r="Y65" i="5"/>
  <c r="Y64" i="5"/>
  <c r="Y63" i="5"/>
  <c r="Y62" i="5"/>
  <c r="Y61" i="5"/>
  <c r="Y60" i="5"/>
  <c r="Y59" i="5"/>
  <c r="Y58" i="5"/>
  <c r="Y55" i="5"/>
  <c r="Y54" i="5"/>
  <c r="Y52" i="5"/>
  <c r="Y51" i="5"/>
  <c r="X50" i="5"/>
  <c r="Y50" i="5" s="1"/>
  <c r="Y49" i="5"/>
  <c r="X49" i="5"/>
  <c r="Y48" i="5"/>
  <c r="Y47" i="5"/>
  <c r="Y46" i="5"/>
  <c r="Y45" i="5"/>
  <c r="Y44" i="5"/>
  <c r="Z43" i="5"/>
  <c r="Y40" i="5"/>
  <c r="Y39" i="5"/>
  <c r="X39" i="5"/>
  <c r="Y38" i="5"/>
  <c r="X38" i="5"/>
  <c r="W38" i="5"/>
  <c r="Y37" i="5"/>
  <c r="Y36" i="5"/>
  <c r="Y35" i="5"/>
  <c r="X35" i="5"/>
  <c r="X34" i="5"/>
  <c r="Y34" i="5" s="1"/>
  <c r="Y33" i="5"/>
  <c r="Y32" i="5" s="1"/>
  <c r="X33" i="5"/>
  <c r="Y31" i="5"/>
  <c r="X30" i="5"/>
  <c r="X28" i="5"/>
  <c r="X26" i="5"/>
  <c r="X16" i="5"/>
  <c r="W16" i="5"/>
  <c r="W17" i="5" s="1"/>
  <c r="X15" i="5"/>
  <c r="W15" i="5"/>
  <c r="W18" i="5" s="1"/>
  <c r="U5" i="5"/>
  <c r="W28" i="5" s="1"/>
  <c r="Y28" i="5" s="1"/>
  <c r="O35" i="5"/>
  <c r="O34" i="5"/>
  <c r="O33" i="5"/>
  <c r="P33" i="5" s="1"/>
  <c r="F35" i="5"/>
  <c r="F34" i="5"/>
  <c r="F33" i="5"/>
  <c r="P66" i="5"/>
  <c r="P65" i="5"/>
  <c r="P64" i="5"/>
  <c r="P63" i="5"/>
  <c r="P62" i="5"/>
  <c r="P61" i="5"/>
  <c r="P60" i="5"/>
  <c r="P59" i="5"/>
  <c r="P58" i="5"/>
  <c r="P55" i="5"/>
  <c r="P54" i="5"/>
  <c r="P53" i="5"/>
  <c r="P52" i="5"/>
  <c r="P51" i="5"/>
  <c r="O50" i="5"/>
  <c r="P50" i="5" s="1"/>
  <c r="P49" i="5"/>
  <c r="O49" i="5"/>
  <c r="P48" i="5"/>
  <c r="P47" i="5"/>
  <c r="P46" i="5"/>
  <c r="P45" i="5"/>
  <c r="P44" i="5"/>
  <c r="Q43" i="5"/>
  <c r="P40" i="5"/>
  <c r="P39" i="5"/>
  <c r="O39" i="5"/>
  <c r="P38" i="5"/>
  <c r="O38" i="5"/>
  <c r="N38" i="5"/>
  <c r="P37" i="5"/>
  <c r="P36" i="5"/>
  <c r="P35" i="5"/>
  <c r="P34" i="5"/>
  <c r="P31" i="5"/>
  <c r="O30" i="5"/>
  <c r="O28" i="5"/>
  <c r="O26" i="5"/>
  <c r="O16" i="5"/>
  <c r="N16" i="5"/>
  <c r="N17" i="5" s="1"/>
  <c r="O15" i="5"/>
  <c r="N15" i="5"/>
  <c r="N18" i="5" s="1"/>
  <c r="L5" i="5"/>
  <c r="N28" i="5" s="1"/>
  <c r="P28" i="5" s="1"/>
  <c r="AZ32" i="5" l="1"/>
  <c r="BA5" i="5"/>
  <c r="AY42" i="5"/>
  <c r="AX13" i="5"/>
  <c r="AZ18" i="5"/>
  <c r="AZ56" i="5"/>
  <c r="BA6" i="5"/>
  <c r="AZ15" i="5"/>
  <c r="AP42" i="5"/>
  <c r="AR5" i="5"/>
  <c r="AO13" i="5"/>
  <c r="AQ18" i="5"/>
  <c r="AQ56" i="5"/>
  <c r="AR6" i="5"/>
  <c r="AQ15" i="5"/>
  <c r="Y53" i="5"/>
  <c r="Y57" i="5"/>
  <c r="AH57" i="5"/>
  <c r="Y43" i="5"/>
  <c r="AH43" i="5"/>
  <c r="P43" i="5"/>
  <c r="AH32" i="5"/>
  <c r="AF13" i="5"/>
  <c r="AH18" i="5"/>
  <c r="AI5" i="5"/>
  <c r="AG42" i="5"/>
  <c r="AH56" i="5"/>
  <c r="AI6" i="5"/>
  <c r="AH15" i="5"/>
  <c r="W13" i="5"/>
  <c r="Y18" i="5"/>
  <c r="X42" i="5"/>
  <c r="Z5" i="5"/>
  <c r="Y56" i="5"/>
  <c r="Z6" i="5"/>
  <c r="Y15" i="5"/>
  <c r="Y14" i="5" s="1"/>
  <c r="P32" i="5"/>
  <c r="P57" i="5"/>
  <c r="P56" i="5" s="1"/>
  <c r="N13" i="5"/>
  <c r="P18" i="5"/>
  <c r="Q5" i="5"/>
  <c r="O42" i="5"/>
  <c r="P15" i="5"/>
  <c r="P14" i="5" s="1"/>
  <c r="D4" i="3"/>
  <c r="C5" i="5"/>
  <c r="E28" i="5" s="1"/>
  <c r="B27" i="2"/>
  <c r="E38" i="5"/>
  <c r="D10" i="3"/>
  <c r="B43" i="2"/>
  <c r="B51" i="2"/>
  <c r="E51" i="2" s="1"/>
  <c r="B47" i="2"/>
  <c r="E47" i="2" s="1"/>
  <c r="E43" i="2"/>
  <c r="B24" i="2"/>
  <c r="F50" i="5"/>
  <c r="G50" i="5" s="1"/>
  <c r="F49" i="5"/>
  <c r="H43" i="5"/>
  <c r="G35" i="5"/>
  <c r="AZ14" i="5" l="1"/>
  <c r="BA3" i="5"/>
  <c r="AX27" i="5"/>
  <c r="AX42" i="5"/>
  <c r="AZ42" i="5" s="1"/>
  <c r="AX25" i="5"/>
  <c r="AX32" i="5"/>
  <c r="AY32" i="5" s="1"/>
  <c r="AX12" i="5"/>
  <c r="AX14" i="5"/>
  <c r="AY14" i="5" s="1"/>
  <c r="AX67" i="5"/>
  <c r="AX26" i="5"/>
  <c r="AZ26" i="5" s="1"/>
  <c r="AQ14" i="5"/>
  <c r="AO27" i="5"/>
  <c r="AO32" i="5"/>
  <c r="AP32" i="5" s="1"/>
  <c r="AO12" i="5"/>
  <c r="AO14" i="5"/>
  <c r="AP14" i="5" s="1"/>
  <c r="AO25" i="5"/>
  <c r="AO67" i="5"/>
  <c r="AO42" i="5"/>
  <c r="AQ42" i="5" s="1"/>
  <c r="AO26" i="5"/>
  <c r="AQ26" i="5" s="1"/>
  <c r="AR3" i="5"/>
  <c r="Q6" i="5"/>
  <c r="AH14" i="5"/>
  <c r="AF27" i="5"/>
  <c r="AF26" i="5"/>
  <c r="AH26" i="5" s="1"/>
  <c r="AF14" i="5"/>
  <c r="AF12" i="5"/>
  <c r="AF67" i="5"/>
  <c r="AF42" i="5"/>
  <c r="AH42" i="5" s="1"/>
  <c r="AF25" i="5"/>
  <c r="AF32" i="5"/>
  <c r="AG32" i="5" s="1"/>
  <c r="AI3" i="5"/>
  <c r="W27" i="5"/>
  <c r="W14" i="5"/>
  <c r="X14" i="5" s="1"/>
  <c r="W25" i="5"/>
  <c r="W26" i="5"/>
  <c r="Y26" i="5" s="1"/>
  <c r="W67" i="5"/>
  <c r="W42" i="5"/>
  <c r="Y42" i="5" s="1"/>
  <c r="W32" i="5"/>
  <c r="X32" i="5" s="1"/>
  <c r="W12" i="5"/>
  <c r="Z3" i="5"/>
  <c r="Q3" i="5"/>
  <c r="N27" i="5"/>
  <c r="N42" i="5"/>
  <c r="P42" i="5" s="1"/>
  <c r="N25" i="5"/>
  <c r="N32" i="5"/>
  <c r="O32" i="5" s="1"/>
  <c r="N26" i="5"/>
  <c r="P26" i="5" s="1"/>
  <c r="N12" i="5"/>
  <c r="N14" i="5"/>
  <c r="O14" i="5" s="1"/>
  <c r="N67" i="5"/>
  <c r="G66" i="5"/>
  <c r="G65" i="5"/>
  <c r="G64" i="5"/>
  <c r="G63" i="5"/>
  <c r="G62" i="5"/>
  <c r="G61" i="5"/>
  <c r="G60" i="5"/>
  <c r="G59" i="5"/>
  <c r="G58" i="5"/>
  <c r="G55" i="5"/>
  <c r="G54" i="5"/>
  <c r="G52" i="5"/>
  <c r="G51" i="5"/>
  <c r="G49" i="5"/>
  <c r="G48" i="5"/>
  <c r="G47" i="5"/>
  <c r="G46" i="5"/>
  <c r="G45" i="5"/>
  <c r="G44" i="5"/>
  <c r="F39" i="5"/>
  <c r="G39" i="5" s="1"/>
  <c r="G36" i="5"/>
  <c r="G33" i="5"/>
  <c r="G37" i="5"/>
  <c r="G31" i="5"/>
  <c r="F30" i="5"/>
  <c r="F28" i="5"/>
  <c r="C3" i="3"/>
  <c r="E18" i="3"/>
  <c r="E16" i="3"/>
  <c r="E10" i="3"/>
  <c r="G34" i="5" s="1"/>
  <c r="E14" i="3"/>
  <c r="E4" i="3"/>
  <c r="F15" i="5"/>
  <c r="BA29" i="5" l="1"/>
  <c r="AX29" i="5"/>
  <c r="AZ29" i="5" s="1"/>
  <c r="AX56" i="5"/>
  <c r="AY56" i="5" s="1"/>
  <c r="AX30" i="5"/>
  <c r="AZ30" i="5" s="1"/>
  <c r="AR29" i="5"/>
  <c r="AO29" i="5"/>
  <c r="AQ29" i="5" s="1"/>
  <c r="AO56" i="5"/>
  <c r="AP56" i="5" s="1"/>
  <c r="AO30" i="5"/>
  <c r="AQ30" i="5" s="1"/>
  <c r="AG14" i="5"/>
  <c r="AI29" i="5"/>
  <c r="AF29" i="5"/>
  <c r="AH29" i="5" s="1"/>
  <c r="AF56" i="5"/>
  <c r="AG56" i="5" s="1"/>
  <c r="AF30" i="5"/>
  <c r="AH30" i="5" s="1"/>
  <c r="Z29" i="5"/>
  <c r="W56" i="5"/>
  <c r="X56" i="5" s="1"/>
  <c r="W30" i="5"/>
  <c r="Y30" i="5" s="1"/>
  <c r="W29" i="5"/>
  <c r="Y29" i="5" s="1"/>
  <c r="Q29" i="5"/>
  <c r="N29" i="5"/>
  <c r="P29" i="5" s="1"/>
  <c r="N56" i="5"/>
  <c r="O56" i="5" s="1"/>
  <c r="N30" i="5"/>
  <c r="P30" i="5" s="1"/>
  <c r="G53" i="5"/>
  <c r="G43" i="5"/>
  <c r="F42" i="5" s="1"/>
  <c r="G57" i="5"/>
  <c r="G32" i="5"/>
  <c r="E15" i="5"/>
  <c r="E18" i="5" s="1"/>
  <c r="E13" i="5" s="1"/>
  <c r="E3" i="3"/>
  <c r="G28" i="5"/>
  <c r="AQ27" i="5" l="1"/>
  <c r="AP27" i="5" s="1"/>
  <c r="AZ27" i="5"/>
  <c r="AY27" i="5" s="1"/>
  <c r="AZ25" i="5"/>
  <c r="AQ25" i="5"/>
  <c r="Y27" i="5"/>
  <c r="X27" i="5" s="1"/>
  <c r="AH27" i="5"/>
  <c r="AG27" i="5" s="1"/>
  <c r="P27" i="5"/>
  <c r="O27" i="5" s="1"/>
  <c r="H5" i="5"/>
  <c r="H6" i="5"/>
  <c r="B9" i="2" s="1"/>
  <c r="G56" i="5"/>
  <c r="E67" i="5"/>
  <c r="E26" i="5"/>
  <c r="G26" i="5" s="1"/>
  <c r="E42" i="5"/>
  <c r="G42" i="5" s="1"/>
  <c r="E12" i="5"/>
  <c r="B22" i="2" s="1"/>
  <c r="B26" i="2"/>
  <c r="E14" i="5"/>
  <c r="E25" i="5"/>
  <c r="E32" i="5"/>
  <c r="F32" i="5" s="1"/>
  <c r="AH25" i="5" l="1"/>
  <c r="AG25" i="5" s="1"/>
  <c r="P25" i="5"/>
  <c r="O25" i="5" s="1"/>
  <c r="Y25" i="5"/>
  <c r="X25" i="5" s="1"/>
  <c r="AY25" i="5"/>
  <c r="AZ13" i="5"/>
  <c r="AY13" i="5" s="1"/>
  <c r="AV8" i="5" s="1"/>
  <c r="AY12" i="5" s="1"/>
  <c r="AZ12" i="5" s="1"/>
  <c r="AZ67" i="5" s="1"/>
  <c r="AY67" i="5" s="1"/>
  <c r="AP25" i="5"/>
  <c r="AQ13" i="5"/>
  <c r="AP13" i="5" s="1"/>
  <c r="AM8" i="5" s="1"/>
  <c r="AP12" i="5" s="1"/>
  <c r="AQ12" i="5" s="1"/>
  <c r="AQ67" i="5" s="1"/>
  <c r="AP67" i="5" s="1"/>
  <c r="H3" i="5"/>
  <c r="B10" i="2"/>
  <c r="B8" i="2" s="1"/>
  <c r="P13" i="5" l="1"/>
  <c r="O13" i="5" s="1"/>
  <c r="L8" i="5" s="1"/>
  <c r="Y13" i="5"/>
  <c r="X13" i="5" s="1"/>
  <c r="U8" i="5" s="1"/>
  <c r="X12" i="5" s="1"/>
  <c r="Y12" i="5" s="1"/>
  <c r="Y67" i="5" s="1"/>
  <c r="X67" i="5" s="1"/>
  <c r="AH13" i="5"/>
  <c r="AG13" i="5" s="1"/>
  <c r="AD8" i="5" s="1"/>
  <c r="AG12" i="5" s="1"/>
  <c r="AH12" i="5" s="1"/>
  <c r="AH67" i="5" s="1"/>
  <c r="AG67" i="5" s="1"/>
  <c r="O12" i="5"/>
  <c r="P12" i="5" s="1"/>
  <c r="P67" i="5" s="1"/>
  <c r="O67" i="5" s="1"/>
  <c r="F16" i="5"/>
  <c r="B17" i="2"/>
  <c r="K9" i="2"/>
  <c r="B18" i="2"/>
  <c r="K10" i="2" l="1"/>
  <c r="G40" i="5"/>
  <c r="B13" i="2"/>
  <c r="E16" i="5" l="1"/>
  <c r="E17" i="5" s="1"/>
  <c r="B16" i="2"/>
  <c r="B7" i="2" l="1"/>
  <c r="G15" i="5" l="1"/>
  <c r="G38" i="5" l="1"/>
  <c r="F38" i="5" s="1"/>
  <c r="G18" i="5"/>
  <c r="G14" i="5" s="1"/>
  <c r="E27" i="5"/>
  <c r="E29" i="5" s="1"/>
  <c r="G29" i="5" l="1"/>
  <c r="E56" i="5"/>
  <c r="F56" i="5" s="1"/>
  <c r="F14" i="5"/>
  <c r="H29" i="5"/>
  <c r="E30" i="5"/>
  <c r="G30" i="5" s="1"/>
  <c r="G27" i="5" l="1"/>
  <c r="F27" i="5" s="1"/>
  <c r="G25" i="5" l="1"/>
  <c r="G13" i="5" s="1"/>
  <c r="F25" i="5" l="1"/>
  <c r="F13" i="5"/>
  <c r="C8" i="5" s="1"/>
  <c r="B23" i="2"/>
  <c r="B25" i="2" s="1"/>
  <c r="B28" i="2" s="1"/>
  <c r="F12" i="5" l="1"/>
  <c r="G12" i="5" l="1"/>
  <c r="F72" i="5"/>
  <c r="G67" i="5" l="1"/>
  <c r="F67" i="5" s="1"/>
  <c r="B29" i="2" l="1"/>
  <c r="B30" i="2" s="1"/>
  <c r="B32" i="2" l="1"/>
  <c r="B33" i="2" s="1"/>
  <c r="E33" i="2" s="1"/>
  <c r="B36" i="2"/>
  <c r="B37" i="2" s="1"/>
  <c r="E3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tc={CFF07EF9-13DF-47A9-8F2A-639F1CC73C88}</author>
  </authors>
  <commentList>
    <comment ref="C19" authorId="0" shapeId="0" xr:uid="{CFF07EF9-13DF-47A9-8F2A-639F1CC73C88}">
      <text>
        <t>[Threaded comment]
Your version of Excel allows you to read this threaded comment; however, any edits to it will get removed if the file is opened in a newer version of Excel. Learn more: https://go.microsoft.com/fwlink/?linkid=870924
Comment:
    Lãi vay</t>
      </text>
    </comment>
  </commentList>
</comments>
</file>

<file path=xl/sharedStrings.xml><?xml version="1.0" encoding="utf-8"?>
<sst xmlns="http://schemas.openxmlformats.org/spreadsheetml/2006/main" count="1026" uniqueCount="213">
  <si>
    <t>Sản lượng chai xá/ngày</t>
  </si>
  <si>
    <t>Kg</t>
  </si>
  <si>
    <t>Chi phí đầu tư 1 chuyền</t>
  </si>
  <si>
    <t>Vnđ/Kg</t>
  </si>
  <si>
    <t>Vốn lưu động + dự phòng</t>
  </si>
  <si>
    <t>STT</t>
  </si>
  <si>
    <t>DANH MỤC</t>
  </si>
  <si>
    <t>CHI TIẾT</t>
  </si>
  <si>
    <t>SL</t>
  </si>
  <si>
    <t>ĐƠN GIÁ</t>
  </si>
  <si>
    <t>THÀNH TIỀN</t>
  </si>
  <si>
    <t>GHI CHÚ</t>
  </si>
  <si>
    <t>Mua chai xá</t>
  </si>
  <si>
    <t>Chi phí thu gom</t>
  </si>
  <si>
    <t>Nếu gom từ vựa</t>
  </si>
  <si>
    <t>Hao hụt</t>
  </si>
  <si>
    <t>Tính mất đi hoàn toàn và không thu hồi được</t>
  </si>
  <si>
    <t>Công đoạn 1: Nhập hàng</t>
  </si>
  <si>
    <t>Công đoạn 5: Xuất kho bán hàng</t>
  </si>
  <si>
    <t>Không bao gồm vận chuyển</t>
  </si>
  <si>
    <t>Chi phí sản xuất chung</t>
  </si>
  <si>
    <t xml:space="preserve">Chi phí điện nhà xưởng   </t>
  </si>
  <si>
    <t xml:space="preserve">Chi phí xăng dầu xe nâng   </t>
  </si>
  <si>
    <t>Chi phí quản lý chung</t>
  </si>
  <si>
    <t>Mặt bằng thuê</t>
  </si>
  <si>
    <t>Chi phí bán hàng</t>
  </si>
  <si>
    <t>Máy móc thiết bị</t>
  </si>
  <si>
    <t>Tất cả máy móc của tất cả các chuyền</t>
  </si>
  <si>
    <t>Cơ sở hạ tầng</t>
  </si>
  <si>
    <t>Chi phí lãi vay</t>
  </si>
  <si>
    <t>Doanh thu</t>
  </si>
  <si>
    <t>Hạng mục</t>
  </si>
  <si>
    <t>Thông tin</t>
  </si>
  <si>
    <t>Tên dự án</t>
  </si>
  <si>
    <t>Địa điểm</t>
  </si>
  <si>
    <t>Mục tiêu</t>
  </si>
  <si>
    <t>Thời gian đầu tư</t>
  </si>
  <si>
    <t>1 năm</t>
  </si>
  <si>
    <t>TỔNG VỐN ĐẦU TƯ BAN ĐẦU</t>
  </si>
  <si>
    <t>Đầu tư mới</t>
  </si>
  <si>
    <t>Đầu tư CSHT</t>
  </si>
  <si>
    <t>Đầu tư máy móc thiết bị</t>
  </si>
  <si>
    <t>Vốn lưu động</t>
  </si>
  <si>
    <t>Đang sở hữu</t>
  </si>
  <si>
    <t>Xe vận chuyển</t>
  </si>
  <si>
    <t>CƠ CẤU NGUỒN VỐN</t>
  </si>
  <si>
    <t>Vốn vay</t>
  </si>
  <si>
    <t>KẾT QUẢ KINH DOANH/THÁNG DỰ KIẾN</t>
  </si>
  <si>
    <t>Sản lượng bán</t>
  </si>
  <si>
    <t>Kg/tháng</t>
  </si>
  <si>
    <t>Chi phí xử lý, sản xuất,…</t>
  </si>
  <si>
    <t>VNĐ/tháng</t>
  </si>
  <si>
    <t>Lợi nhuận ròng</t>
  </si>
  <si>
    <t>HIỆU QUẢ ĐẦU TƯ</t>
  </si>
  <si>
    <t>ROI</t>
  </si>
  <si>
    <t>%</t>
  </si>
  <si>
    <t>Thời gian hoàn vốn</t>
  </si>
  <si>
    <t>Năm</t>
  </si>
  <si>
    <t>TLP đầu tư một phần</t>
  </si>
  <si>
    <t>PHƯƠNG ÁN HOÀN VỐN</t>
  </si>
  <si>
    <t>Kịch bản Bi quan</t>
  </si>
  <si>
    <t>Kịch bản khả quan</t>
  </si>
  <si>
    <t>Kịch bản Lạc quan</t>
  </si>
  <si>
    <t>Nhân sự</t>
  </si>
  <si>
    <t>Nhập hàng</t>
  </si>
  <si>
    <t>Lựa bì</t>
  </si>
  <si>
    <t>Ép kiện</t>
  </si>
  <si>
    <t>Xuất hàng</t>
  </si>
  <si>
    <t>Dự phòng</t>
  </si>
  <si>
    <t>Kế toán</t>
  </si>
  <si>
    <t>Kho</t>
  </si>
  <si>
    <t>Bảo vệ</t>
  </si>
  <si>
    <t>VNĐ/kg</t>
  </si>
  <si>
    <t>Thời gian hoàn vốn (năm)</t>
  </si>
  <si>
    <t>Xe</t>
  </si>
  <si>
    <t>Thu gom – lựa bì - ép kiện nguyên liệu nhựa tái chế</t>
  </si>
  <si>
    <t>ROI (KN 100%)</t>
  </si>
  <si>
    <t>ROI KN 100%)</t>
  </si>
  <si>
    <t>Vốn TLP</t>
  </si>
  <si>
    <t>Công đoạn 2: Sạc bì</t>
  </si>
  <si>
    <t>Công đoạn 3: Ép kiện và lưu kho</t>
  </si>
  <si>
    <t>Công đoạn 4: Nhập kho thanh toán hàng</t>
  </si>
  <si>
    <t>BẢNG TÍNH PnL</t>
  </si>
  <si>
    <t>NGUỒN VỐN</t>
  </si>
  <si>
    <t>COGS</t>
  </si>
  <si>
    <t>CHI PHÍ SẢN XUẤT</t>
  </si>
  <si>
    <t>QC</t>
  </si>
  <si>
    <t>Trạm ép phế liệu Tân Lợi Phát</t>
  </si>
  <si>
    <t>Tổ trưởng trạm</t>
  </si>
  <si>
    <t>Admin mua/bán hàng</t>
  </si>
  <si>
    <t>Đơn giá</t>
  </si>
  <si>
    <t>Thành tiền</t>
  </si>
  <si>
    <t>Tổng cộng</t>
  </si>
  <si>
    <t>Băng tải 2 kW
Quạt thổi 10 kW
Vít tải 7,5 kW (40%)
Máy ép 75 kW (40%)
Quạt đèn 1 kW</t>
  </si>
  <si>
    <t>10tr tiền dầu sản xuất được 160 tấn thành phẩm</t>
  </si>
  <si>
    <t>Chi phí CCDC, thiết bị - phục vụ sản xuất (bảo dưỡng MMTB)</t>
  </si>
  <si>
    <t>bơm dầu, mỡ,… hàng tháng</t>
  </si>
  <si>
    <t>Tổ Trưởng Trạm</t>
  </si>
  <si>
    <t>Chi phí vận chuyển đến trạm TPHCM</t>
  </si>
  <si>
    <t>Sàn thao tác</t>
  </si>
  <si>
    <t>Băng tải lựa</t>
  </si>
  <si>
    <t>Nam châm</t>
  </si>
  <si>
    <t>Quạt thổi</t>
  </si>
  <si>
    <t>Lồng chứa 7 tấn</t>
  </si>
  <si>
    <t>Vít tải liệu</t>
  </si>
  <si>
    <t>Máy ép kiện</t>
  </si>
  <si>
    <t>Băng tải con lăn</t>
  </si>
  <si>
    <t>Thiết bị phụ</t>
  </si>
  <si>
    <t>Xe nâng dầu</t>
  </si>
  <si>
    <t>Xe nâng tay</t>
  </si>
  <si>
    <t>Trạm cân 80T</t>
  </si>
  <si>
    <t>Nhà xưởng</t>
  </si>
  <si>
    <t>Văn phòng + Thiết bị</t>
  </si>
  <si>
    <t>Quạt công nghiệp</t>
  </si>
  <si>
    <t>Tủ điện phân phối</t>
  </si>
  <si>
    <t>Dây điện động lực</t>
  </si>
  <si>
    <t>Điện chiếu sáng</t>
  </si>
  <si>
    <t>Camera giám sát (gói tiêu chuẩn 12 cam)</t>
  </si>
  <si>
    <t>Đèn NLMT ngoài xưởng 1000W (tầm chiếu 500m2, 12 giờ)</t>
  </si>
  <si>
    <t>Chi phí mua chai xá giao đến trạm</t>
  </si>
  <si>
    <t>Cao điểm: 3,640 đ/kWh; 1,5 giờ/ngày
Bình thường: 1,987 đ/kWh; 6,5 giờ/ngày.
Công suất máy 900 kg/giờ</t>
  </si>
  <si>
    <t>Đơn giá gia công (CP+KH-GV)</t>
  </si>
  <si>
    <t>Lãi gộp kỳ vọng (LG)</t>
  </si>
  <si>
    <t>Chi phí bảo vệ</t>
  </si>
  <si>
    <t>Áp dụng cho sản lượng của 1 chuyền, công suất 900 kg/giờ</t>
  </si>
  <si>
    <t>3 nhân công cơ bản</t>
  </si>
  <si>
    <t>Chi phí nhân công sản xuất theo sản phẩm</t>
  </si>
  <si>
    <t>1 nhân sự kiểm tra và coi hàng</t>
  </si>
  <si>
    <t>Chi phí lắp đặt</t>
  </si>
  <si>
    <t>Giá chai xá mua trung bình tại vựa (GV)</t>
  </si>
  <si>
    <t>Vốn DTR</t>
  </si>
  <si>
    <t>Đơn giá sản xuất</t>
  </si>
  <si>
    <t>Khấu hao MMTB</t>
  </si>
  <si>
    <t>LG kỳ vọng</t>
  </si>
  <si>
    <t>Đơn giá bán</t>
  </si>
  <si>
    <t>Sản lượng (tấn/tháng)</t>
  </si>
  <si>
    <t>Với đơn giá bán = giá vốn (GV) + gia công (GC) + Khấu hao (KH) + Lãi gộp (LG)</t>
  </si>
  <si>
    <t>~2,7 tấn/ngày</t>
  </si>
  <si>
    <t>Chi phí dây cột kiện</t>
  </si>
  <si>
    <t>Trung bình xe 7 tấn chở đc 6 tấn/chuyến, đơn giá 900K (từ TLP=&gt; TPHCM), DTR hỗ trợ tính 0 VNĐ</t>
  </si>
  <si>
    <t>Giá vốn nguyên liệu</t>
  </si>
  <si>
    <t>~7,7 tấn/ngày</t>
  </si>
  <si>
    <t>~17 tấn/ngày</t>
  </si>
  <si>
    <t>ROI (vốn 100% DTR)</t>
  </si>
  <si>
    <t>Admin mua/bán hàng &amp; kế toán</t>
  </si>
  <si>
    <t>Chênh lệch</t>
  </si>
  <si>
    <t>Gía duyệt về trạm</t>
  </si>
  <si>
    <t xml:space="preserve">B0 nhập đến kho </t>
  </si>
  <si>
    <t>Sản lượng sản xuất / tháng (26 ngày)</t>
  </si>
  <si>
    <t>Mượn DTR</t>
  </si>
  <si>
    <t>Tổng chi phí gia công thành phẩm (CP)</t>
  </si>
  <si>
    <t>TỈ LỆ/ĐVT</t>
  </si>
  <si>
    <t>Người</t>
  </si>
  <si>
    <t>Kwh</t>
  </si>
  <si>
    <t>4.1</t>
  </si>
  <si>
    <t>Tháng</t>
  </si>
  <si>
    <t>1.1</t>
  </si>
  <si>
    <t>1.2</t>
  </si>
  <si>
    <t>2.1</t>
  </si>
  <si>
    <t>2.2</t>
  </si>
  <si>
    <t>2.2.1</t>
  </si>
  <si>
    <t>2.2.2</t>
  </si>
  <si>
    <t>2.2.3</t>
  </si>
  <si>
    <t>2.2.4</t>
  </si>
  <si>
    <t>3.1</t>
  </si>
  <si>
    <t>3.2</t>
  </si>
  <si>
    <t>3.3</t>
  </si>
  <si>
    <t>3.4</t>
  </si>
  <si>
    <t>3.5</t>
  </si>
  <si>
    <t>Dịch vụ xưởng (wifi, nước sinh hoạt, VPP)</t>
  </si>
  <si>
    <t>Đóng BHXH mức 8 triệu</t>
  </si>
  <si>
    <t>Đóng BHXH mức 15 triệu</t>
  </si>
  <si>
    <t>6.1</t>
  </si>
  <si>
    <t>6.2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</si>
  <si>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</si>
  <si>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</si>
  <si>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</si>
  <si>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</si>
  <si>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</si>
  <si>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</si>
  <si>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</si>
  <si>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</si>
  <si>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6.1.9</t>
  </si>
  <si>
    <t>6.2.1</t>
  </si>
  <si>
    <t>6.2.2</t>
  </si>
  <si>
    <t>A</t>
  </si>
  <si>
    <t>B</t>
  </si>
  <si>
    <t>C</t>
  </si>
  <si>
    <t>Khoán sản lượng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</si>
  <si>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</si>
  <si>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</si>
  <si>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</si>
  <si>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</si>
  <si>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</si>
  <si>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</si>
  <si>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</si>
  <si>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</si>
  <si>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</si>
  <si>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Khấu hao 5 năm</t>
  </si>
  <si>
    <t>Chi phí khấu hao DTR trên kg sản phẩm (KH)</t>
  </si>
  <si>
    <t>Chi phí khấu hao TLP theo năm (KH)</t>
  </si>
  <si>
    <t>sửa chữa,bơm dầu, mỡ,… hàng tháng</t>
  </si>
  <si>
    <t>TPHCM</t>
  </si>
  <si>
    <t>BR-VT</t>
  </si>
  <si>
    <t>Bình Dương</t>
  </si>
  <si>
    <t>Long An</t>
  </si>
  <si>
    <t>Cấp 0: Nhà máy Tái chế</t>
  </si>
  <si>
    <t>Cấp 1: Nhà SX vảy nóng</t>
  </si>
  <si>
    <t>Cấp 2: Nhà Xử lý chai/ xử lý thô</t>
  </si>
  <si>
    <t>Cấp 3: Đại lý</t>
  </si>
  <si>
    <t>Cấp 4: Vựa</t>
  </si>
  <si>
    <t>Sản lượng</t>
  </si>
  <si>
    <t>Tỉnh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</si>
</sst>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5"/>
      <name val="Arial"/>
      <family val="2"/>
    </font>
    <font>
      <i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i/>
      <sz val="11"/>
      <color theme="0" tint="-0.499984740745262"/>
      <name val="Arial"/>
      <family val="2"/>
    </font>
    <font>
      <sz val="11"/>
      <color theme="0" tint="-0.499984740745262"/>
      <name val="Arial"/>
      <family val="2"/>
    </font>
    <font>
      <b/>
      <sz val="11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sz val="11"/>
      <color rgb="FF002060"/>
      <name val="Arial"/>
      <family val="2"/>
    </font>
    <font>
      <i/>
      <sz val="11"/>
      <color rgb="FF002060"/>
      <name val="Arial"/>
      <family val="2"/>
    </font>
    <font>
      <i/>
      <sz val="12"/>
      <color rgb="FF002060"/>
      <name val="Times New Roman"/>
      <family val="1"/>
    </font>
    <font>
      <sz val="8"/>
      <name val="Calibri"/>
      <family val="2"/>
      <scheme val="minor"/>
    </font>
    <font>
      <sz val="11"/>
      <color theme="5" tint="-0.249977111117893"/>
      <name val="Arial"/>
      <family val="2"/>
    </font>
    <font>
      <i/>
      <sz val="11"/>
      <color theme="5" tint="-0.249977111117893"/>
      <name val="Arial"/>
      <family val="2"/>
    </font>
    <font>
      <b/>
      <sz val="11"/>
      <color rgb="FF002060"/>
      <name val="Arial"/>
      <family val="2"/>
    </font>
    <font>
      <b/>
      <i/>
      <sz val="11"/>
      <color rgb="FF002060"/>
      <name val="Arial"/>
      <family val="2"/>
    </font>
    <font>
      <sz val="11"/>
      <color rgb="FFFF0000"/>
      <name val="Arial"/>
      <family val="2"/>
    </font>
    <font>
      <b/>
      <sz val="11"/>
      <color rgb="FF0070C0"/>
      <name val="Arial"/>
      <family val="2"/>
    </font>
    <font>
      <sz val="11"/>
      <color rgb="FF0070C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</cellStyleXfs>
  <cellXfs count="165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3" fontId="1" fillId="0" borderId="1" xfId="0" applyNumberFormat="1" applyFont="1" applyBorder="1" applyAlignment="1">
      <alignment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1" xfId="0" applyFont="1" applyBorder="1"/>
    <xf numFmtId="3" fontId="1" fillId="0" borderId="1" xfId="0" applyNumberFormat="1" applyFont="1" applyBorder="1"/>
    <xf numFmtId="3" fontId="1" fillId="0" borderId="1" xfId="0" applyNumberFormat="1" applyFont="1" applyBorder="1" applyAlignment="1">
      <alignment horizontal="right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vertical="center" wrapText="1"/>
    </xf>
    <xf numFmtId="3" fontId="1" fillId="0" borderId="1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9" fontId="1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6" fillId="0" borderId="1" xfId="0" applyFont="1" applyBorder="1"/>
    <xf numFmtId="3" fontId="6" fillId="0" borderId="1" xfId="0" applyNumberFormat="1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9" fontId="1" fillId="0" borderId="1" xfId="2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9" fontId="1" fillId="0" borderId="0" xfId="2" applyFont="1"/>
    <xf numFmtId="3" fontId="2" fillId="0" borderId="1" xfId="0" applyNumberFormat="1" applyFont="1" applyBorder="1" applyAlignment="1">
      <alignment horizontal="left" vertical="top" wrapText="1"/>
    </xf>
    <xf numFmtId="3" fontId="1" fillId="0" borderId="0" xfId="0" applyNumberFormat="1" applyFont="1" applyAlignment="1">
      <alignment vertical="center" wrapText="1"/>
    </xf>
    <xf numFmtId="3" fontId="1" fillId="0" borderId="0" xfId="0" applyNumberFormat="1" applyFont="1" applyAlignment="1">
      <alignment horizontal="center" vertical="center"/>
    </xf>
    <xf numFmtId="3" fontId="2" fillId="0" borderId="1" xfId="0" applyNumberFormat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right" vertical="center"/>
    </xf>
    <xf numFmtId="0" fontId="8" fillId="0" borderId="1" xfId="0" applyFont="1" applyBorder="1"/>
    <xf numFmtId="3" fontId="8" fillId="0" borderId="1" xfId="0" applyNumberFormat="1" applyFont="1" applyBorder="1" applyAlignment="1">
      <alignment horizontal="right"/>
    </xf>
    <xf numFmtId="0" fontId="8" fillId="0" borderId="0" xfId="0" applyFont="1" applyAlignment="1">
      <alignment horizontal="right"/>
    </xf>
    <xf numFmtId="0" fontId="9" fillId="0" borderId="1" xfId="0" applyFont="1" applyBorder="1"/>
    <xf numFmtId="3" fontId="9" fillId="0" borderId="1" xfId="0" applyNumberFormat="1" applyFont="1" applyBorder="1"/>
    <xf numFmtId="0" fontId="1" fillId="0" borderId="3" xfId="0" applyFont="1" applyBorder="1" applyAlignment="1">
      <alignment horizontal="center"/>
    </xf>
    <xf numFmtId="165" fontId="1" fillId="0" borderId="0" xfId="1" applyNumberFormat="1" applyFont="1" applyAlignment="1">
      <alignment vertical="center"/>
    </xf>
    <xf numFmtId="9" fontId="1" fillId="0" borderId="1" xfId="2" applyFont="1" applyBorder="1"/>
    <xf numFmtId="0" fontId="2" fillId="3" borderId="1" xfId="0" applyFont="1" applyFill="1" applyBorder="1"/>
    <xf numFmtId="3" fontId="2" fillId="3" borderId="1" xfId="0" applyNumberFormat="1" applyFont="1" applyFill="1" applyBorder="1" applyAlignment="1">
      <alignment horizontal="center"/>
    </xf>
    <xf numFmtId="165" fontId="1" fillId="0" borderId="1" xfId="1" applyNumberFormat="1" applyFont="1" applyBorder="1" applyAlignment="1">
      <alignment vertical="center"/>
    </xf>
    <xf numFmtId="165" fontId="1" fillId="0" borderId="1" xfId="1" applyNumberFormat="1" applyFont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9" fontId="7" fillId="0" borderId="1" xfId="0" applyNumberFormat="1" applyFont="1" applyBorder="1" applyAlignment="1">
      <alignment horizontal="center" vertical="center"/>
    </xf>
    <xf numFmtId="165" fontId="7" fillId="0" borderId="1" xfId="1" applyNumberFormat="1" applyFont="1" applyBorder="1" applyAlignment="1">
      <alignment vertical="center"/>
    </xf>
    <xf numFmtId="165" fontId="7" fillId="0" borderId="1" xfId="1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9" fontId="4" fillId="0" borderId="1" xfId="0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vertical="center"/>
    </xf>
    <xf numFmtId="165" fontId="4" fillId="0" borderId="1" xfId="1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65" fontId="1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165" fontId="1" fillId="0" borderId="0" xfId="1" applyNumberFormat="1" applyFont="1"/>
    <xf numFmtId="3" fontId="2" fillId="0" borderId="0" xfId="0" applyNumberFormat="1" applyFont="1"/>
    <xf numFmtId="43" fontId="1" fillId="0" borderId="0" xfId="0" applyNumberFormat="1" applyFont="1" applyAlignment="1">
      <alignment vertical="center"/>
    </xf>
    <xf numFmtId="3" fontId="11" fillId="0" borderId="1" xfId="0" applyNumberFormat="1" applyFont="1" applyBorder="1" applyAlignment="1">
      <alignment horizontal="right"/>
    </xf>
    <xf numFmtId="0" fontId="11" fillId="0" borderId="0" xfId="0" applyFont="1" applyAlignment="1">
      <alignment horizontal="right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indent="1"/>
    </xf>
    <xf numFmtId="0" fontId="13" fillId="0" borderId="1" xfId="0" applyFont="1" applyBorder="1" applyAlignment="1">
      <alignment vertical="center" wrapText="1"/>
    </xf>
    <xf numFmtId="9" fontId="13" fillId="0" borderId="1" xfId="0" applyNumberFormat="1" applyFont="1" applyBorder="1" applyAlignment="1">
      <alignment horizontal="center" vertical="center"/>
    </xf>
    <xf numFmtId="165" fontId="13" fillId="0" borderId="1" xfId="1" applyNumberFormat="1" applyFont="1" applyBorder="1" applyAlignment="1">
      <alignment vertical="center"/>
    </xf>
    <xf numFmtId="165" fontId="13" fillId="0" borderId="1" xfId="1" applyNumberFormat="1" applyFont="1" applyBorder="1" applyAlignment="1">
      <alignment horizontal="right" vertical="center"/>
    </xf>
    <xf numFmtId="0" fontId="13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9" fontId="2" fillId="2" borderId="1" xfId="0" applyNumberFormat="1" applyFont="1" applyFill="1" applyBorder="1" applyAlignment="1">
      <alignment horizontal="center" vertical="center" wrapText="1"/>
    </xf>
    <xf numFmtId="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43" fontId="12" fillId="0" borderId="0" xfId="0" applyNumberFormat="1" applyFont="1" applyAlignment="1">
      <alignment vertical="center"/>
    </xf>
    <xf numFmtId="165" fontId="14" fillId="0" borderId="1" xfId="1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left" vertical="center" wrapText="1" indent="1"/>
    </xf>
    <xf numFmtId="0" fontId="12" fillId="0" borderId="1" xfId="0" quotePrefix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wrapText="1" indent="1"/>
    </xf>
    <xf numFmtId="0" fontId="17" fillId="0" borderId="1" xfId="0" applyFont="1" applyBorder="1" applyAlignment="1">
      <alignment horizontal="left" vertical="center" indent="2"/>
    </xf>
    <xf numFmtId="0" fontId="16" fillId="0" borderId="1" xfId="0" applyFont="1" applyBorder="1" applyAlignment="1">
      <alignment vertical="center" wrapText="1"/>
    </xf>
    <xf numFmtId="9" fontId="16" fillId="0" borderId="1" xfId="0" applyNumberFormat="1" applyFont="1" applyBorder="1" applyAlignment="1">
      <alignment horizontal="center" vertical="center"/>
    </xf>
    <xf numFmtId="165" fontId="16" fillId="0" borderId="1" xfId="1" applyNumberFormat="1" applyFont="1" applyBorder="1" applyAlignment="1">
      <alignment vertical="center"/>
    </xf>
    <xf numFmtId="165" fontId="17" fillId="0" borderId="1" xfId="1" applyNumberFormat="1" applyFont="1" applyBorder="1" applyAlignment="1">
      <alignment horizontal="right" vertical="center"/>
    </xf>
    <xf numFmtId="165" fontId="17" fillId="0" borderId="1" xfId="1" applyNumberFormat="1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8" fillId="0" borderId="1" xfId="0" quotePrefix="1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9" fontId="18" fillId="0" borderId="1" xfId="0" applyNumberFormat="1" applyFont="1" applyBorder="1" applyAlignment="1">
      <alignment horizontal="center" vertical="center"/>
    </xf>
    <xf numFmtId="165" fontId="18" fillId="0" borderId="1" xfId="1" applyNumberFormat="1" applyFont="1" applyBorder="1" applyAlignment="1">
      <alignment vertical="center"/>
    </xf>
    <xf numFmtId="165" fontId="18" fillId="0" borderId="1" xfId="1" applyNumberFormat="1" applyFont="1" applyBorder="1" applyAlignment="1">
      <alignment horizontal="right" vertical="center"/>
    </xf>
    <xf numFmtId="0" fontId="17" fillId="0" borderId="1" xfId="0" applyFont="1" applyBorder="1" applyAlignment="1">
      <alignment horizontal="left" vertical="center" indent="1"/>
    </xf>
    <xf numFmtId="0" fontId="16" fillId="0" borderId="0" xfId="0" applyFont="1" applyAlignment="1">
      <alignment vertical="center"/>
    </xf>
    <xf numFmtId="0" fontId="17" fillId="0" borderId="1" xfId="0" applyFont="1" applyBorder="1" applyAlignment="1">
      <alignment horizontal="left" vertical="center" wrapText="1" indent="1"/>
    </xf>
    <xf numFmtId="0" fontId="1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9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vertical="center"/>
    </xf>
    <xf numFmtId="3" fontId="6" fillId="0" borderId="1" xfId="0" applyNumberFormat="1" applyFont="1" applyBorder="1" applyAlignment="1">
      <alignment horizontal="right" vertical="center"/>
    </xf>
    <xf numFmtId="165" fontId="6" fillId="0" borderId="1" xfId="1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9" fontId="6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vertical="center" wrapText="1"/>
    </xf>
    <xf numFmtId="9" fontId="21" fillId="0" borderId="1" xfId="0" applyNumberFormat="1" applyFont="1" applyBorder="1" applyAlignment="1">
      <alignment horizontal="center" vertical="center"/>
    </xf>
    <xf numFmtId="3" fontId="21" fillId="0" borderId="1" xfId="0" applyNumberFormat="1" applyFont="1" applyBorder="1" applyAlignment="1">
      <alignment horizontal="right" vertical="center"/>
    </xf>
    <xf numFmtId="165" fontId="21" fillId="0" borderId="1" xfId="1" applyNumberFormat="1" applyFont="1" applyBorder="1" applyAlignment="1">
      <alignment horizontal="right" vertical="center"/>
    </xf>
    <xf numFmtId="0" fontId="22" fillId="0" borderId="1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vertical="center"/>
    </xf>
    <xf numFmtId="165" fontId="2" fillId="4" borderId="1" xfId="1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9" fontId="2" fillId="4" borderId="1" xfId="0" applyNumberFormat="1" applyFont="1" applyFill="1" applyBorder="1" applyAlignment="1">
      <alignment horizontal="center" vertical="center"/>
    </xf>
    <xf numFmtId="165" fontId="2" fillId="4" borderId="1" xfId="1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 wrapText="1"/>
    </xf>
    <xf numFmtId="3" fontId="2" fillId="4" borderId="0" xfId="0" applyNumberFormat="1" applyFont="1" applyFill="1" applyAlignment="1">
      <alignment vertical="center"/>
    </xf>
    <xf numFmtId="3" fontId="2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9" fontId="2" fillId="5" borderId="1" xfId="0" applyNumberFormat="1" applyFont="1" applyFill="1" applyBorder="1" applyAlignment="1">
      <alignment horizontal="center" vertical="center"/>
    </xf>
    <xf numFmtId="165" fontId="2" fillId="5" borderId="1" xfId="1" applyNumberFormat="1" applyFont="1" applyFill="1" applyBorder="1" applyAlignment="1">
      <alignment vertical="center"/>
    </xf>
    <xf numFmtId="165" fontId="2" fillId="5" borderId="1" xfId="1" applyNumberFormat="1" applyFont="1" applyFill="1" applyBorder="1" applyAlignment="1">
      <alignment horizontal="right" vertical="center"/>
    </xf>
    <xf numFmtId="3" fontId="2" fillId="5" borderId="0" xfId="0" applyNumberFormat="1" applyFont="1" applyFill="1" applyAlignment="1">
      <alignment vertical="center"/>
    </xf>
    <xf numFmtId="3" fontId="2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9" fontId="1" fillId="0" borderId="4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vertical="center"/>
    </xf>
    <xf numFmtId="3" fontId="1" fillId="0" borderId="4" xfId="0" applyNumberFormat="1" applyFont="1" applyBorder="1" applyAlignment="1">
      <alignment horizontal="right" vertical="center"/>
    </xf>
    <xf numFmtId="3" fontId="2" fillId="6" borderId="1" xfId="0" applyNumberFormat="1" applyFont="1" applyFill="1" applyBorder="1" applyAlignment="1">
      <alignment vertical="center" wrapText="1"/>
    </xf>
    <xf numFmtId="0" fontId="3" fillId="0" borderId="4" xfId="0" applyFont="1" applyBorder="1" applyAlignment="1">
      <alignment horizontal="left" vertical="center"/>
    </xf>
    <xf numFmtId="165" fontId="3" fillId="0" borderId="4" xfId="1" applyNumberFormat="1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horizontal="center" vertical="center"/>
    </xf>
    <xf numFmtId="165" fontId="1" fillId="0" borderId="0" xfId="1" applyNumberFormat="1" applyFont="1" applyAlignment="1">
      <alignment horizontal="right" vertical="center"/>
    </xf>
    <xf numFmtId="165" fontId="1" fillId="0" borderId="0" xfId="1" applyNumberFormat="1" applyFont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24709A4B-DF41-45B4-8B29-CF58077780B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Số</a:t>
            </a:r>
            <a:r>
              <a:rPr lang="en-US" baseline="0"/>
              <a:t> lượng các cấp thu mua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14260717410323E-2"/>
          <c:y val="0.17171296296296296"/>
          <c:w val="0.87753018372703417"/>
          <c:h val="0.715677675707203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Cấp 0: Nhà máy Tái chế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TPHCM</c:v>
                </c:pt>
                <c:pt idx="1">
                  <c:v>BR-VT</c:v>
                </c:pt>
                <c:pt idx="2">
                  <c:v>Bình Dương</c:v>
                </c:pt>
                <c:pt idx="3">
                  <c:v>Long An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24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7-411B-BBC9-4CA8CCD5A07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Cấp 1: Nhà SX vảy nóng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TPHCM</c:v>
                </c:pt>
                <c:pt idx="1">
                  <c:v>BR-VT</c:v>
                </c:pt>
                <c:pt idx="2">
                  <c:v>Bình Dương</c:v>
                </c:pt>
                <c:pt idx="3">
                  <c:v>Long An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95</c:v>
                </c:pt>
                <c:pt idx="1">
                  <c:v>3</c:v>
                </c:pt>
                <c:pt idx="2">
                  <c:v>21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A7-411B-BBC9-4CA8CCD5A07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Cấp 2: Nhà Xử lý chai/ xử lý thô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TPHCM</c:v>
                </c:pt>
                <c:pt idx="1">
                  <c:v>BR-VT</c:v>
                </c:pt>
                <c:pt idx="2">
                  <c:v>Bình Dương</c:v>
                </c:pt>
                <c:pt idx="3">
                  <c:v>Long An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51</c:v>
                </c:pt>
                <c:pt idx="1">
                  <c:v>8</c:v>
                </c:pt>
                <c:pt idx="2">
                  <c:v>17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A7-411B-BBC9-4CA8CCD5A074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Cấp 3: Đại lý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TPHCM</c:v>
                </c:pt>
                <c:pt idx="1">
                  <c:v>BR-VT</c:v>
                </c:pt>
                <c:pt idx="2">
                  <c:v>Bình Dương</c:v>
                </c:pt>
                <c:pt idx="3">
                  <c:v>Long An</c:v>
                </c:pt>
              </c:strCache>
            </c:strRef>
          </c:cat>
          <c:val>
            <c:numRef>
              <c:f>Sheet1!$E$2:$E$5</c:f>
              <c:numCache>
                <c:formatCode>General</c:formatCode>
                <c:ptCount val="4"/>
                <c:pt idx="0">
                  <c:v>77</c:v>
                </c:pt>
                <c:pt idx="1">
                  <c:v>31</c:v>
                </c:pt>
                <c:pt idx="2">
                  <c:v>7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A7-411B-BBC9-4CA8CCD5A074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Cấp 4: Vựa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TPHCM</c:v>
                </c:pt>
                <c:pt idx="1">
                  <c:v>BR-VT</c:v>
                </c:pt>
                <c:pt idx="2">
                  <c:v>Bình Dương</c:v>
                </c:pt>
                <c:pt idx="3">
                  <c:v>Long An</c:v>
                </c:pt>
              </c:strCache>
            </c:strRef>
          </c:cat>
          <c:val>
            <c:numRef>
              <c:f>Sheet1!$F$2:$F$5</c:f>
              <c:numCache>
                <c:formatCode>General</c:formatCode>
                <c:ptCount val="4"/>
                <c:pt idx="0">
                  <c:v>889</c:v>
                </c:pt>
                <c:pt idx="1">
                  <c:v>31</c:v>
                </c:pt>
                <c:pt idx="2">
                  <c:v>119</c:v>
                </c:pt>
                <c:pt idx="3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A7-411B-BBC9-4CA8CCD5A0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9667552"/>
        <c:axId val="1849665152"/>
      </c:barChart>
      <c:catAx>
        <c:axId val="1849667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665152"/>
        <c:crosses val="autoZero"/>
        <c:auto val="1"/>
        <c:lblAlgn val="ctr"/>
        <c:lblOffset val="100"/>
        <c:noMultiLvlLbl val="0"/>
      </c:catAx>
      <c:valAx>
        <c:axId val="18496651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4966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555118110236209"/>
          <c:y val="9.6641878098571013E-2"/>
          <c:w val="0.20223097112860894"/>
          <c:h val="0.403358121901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Sản lượng</a:t>
            </a:r>
            <a:r>
              <a:rPr lang="en-US"/>
              <a:t> PET (tấn/tháng)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Sản lượng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Sheet1!$G$2:$G$5</c:f>
              <c:strCache>
                <c:ptCount val="4"/>
                <c:pt idx="0">
                  <c:v>TPHCM</c:v>
                </c:pt>
                <c:pt idx="1">
                  <c:v>BR-VT</c:v>
                </c:pt>
                <c:pt idx="2">
                  <c:v>Bình Dương</c:v>
                </c:pt>
                <c:pt idx="3">
                  <c:v>Long An</c:v>
                </c:pt>
              </c:strCache>
            </c:strRef>
          </c:cat>
          <c:val>
            <c:numRef>
              <c:f>Sheet1!$H$2:$H$5</c:f>
              <c:numCache>
                <c:formatCode>General</c:formatCode>
                <c:ptCount val="4"/>
                <c:pt idx="0">
                  <c:v>2602</c:v>
                </c:pt>
                <c:pt idx="1">
                  <c:v>75</c:v>
                </c:pt>
                <c:pt idx="2">
                  <c:v>522</c:v>
                </c:pt>
                <c:pt idx="3">
                  <c:v>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4-4946-AE8A-C6B3186D2C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6499168"/>
        <c:axId val="466501088"/>
      </c:barChart>
      <c:catAx>
        <c:axId val="46649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501088"/>
        <c:crosses val="autoZero"/>
        <c:auto val="1"/>
        <c:lblAlgn val="ctr"/>
        <c:lblOffset val="100"/>
        <c:noMultiLvlLbl val="0"/>
      </c:catAx>
      <c:valAx>
        <c:axId val="4665010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6649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6</xdr:row>
      <xdr:rowOff>85725</xdr:rowOff>
    </xdr:from>
    <xdr:to>
      <xdr:col>4</xdr:col>
      <xdr:colOff>212725</xdr:colOff>
      <xdr:row>21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19DEF2-DD00-557B-EDC3-0FB10CBAB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333375</xdr:colOff>
      <xdr:row>6</xdr:row>
      <xdr:rowOff>117475</xdr:rowOff>
    </xdr:from>
    <xdr:to>
      <xdr:col>8</xdr:col>
      <xdr:colOff>479425</xdr:colOff>
      <xdr:row>21</xdr:row>
      <xdr:rowOff>98425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C706AF-B50D-C084-B1AD-92C29B05D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iện, Trần Nhựt" id="{6D452C9F-187A-46CF-822F-E0817F763055}" userId="S::HienTN@duytanrecycling.com::e253f154-916a-4c41-831f-463147770e0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9" dT="2025-05-13T03:23:47.91" personId="{6D452C9F-187A-46CF-822F-E0817F763055}" id="{CFF07EF9-13DF-47A9-8F2A-639F1CC73C88}">
    <text>Lãi vay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8B7E-B7F9-4F09-B086-48C55D391CB4}">
  <dimension ref="A1:BA72"/>
  <sheetViews>
    <sheetView zoomScale="80" zoomScaleNormal="80" workbookViewId="0">
      <selection activeCell="C7" sqref="C7"/>
    </sheetView>
  </sheetViews>
  <sheetFormatPr defaultColWidth="8.7265625" defaultRowHeight="14" outlineLevelRow="1" x14ac:dyDescent="0.35"/>
  <cols>
    <col min="1" max="1" width="6.7265625" style="24" customWidth="1"/>
    <col min="2" max="2" width="40.26953125" style="11" customWidth="1"/>
    <col min="3" max="3" width="26.453125" style="12" customWidth="1"/>
    <col min="4" max="4" width="11" style="13" customWidth="1"/>
    <col min="5" max="5" width="11.54296875" style="14" customWidth="1"/>
    <col min="6" max="6" width="15.54296875" style="15" customWidth="1"/>
    <col min="7" max="7" width="24.453125" style="14" bestFit="1" customWidth="1"/>
    <col min="8" max="8" width="38.81640625" style="11" customWidth="1"/>
    <col min="9" max="9" width="8.1796875" style="11" customWidth="1"/>
    <col min="10" max="10" width="8.7265625" style="11" customWidth="1"/>
    <col min="11" max="11" width="41.1796875" style="11" customWidth="1"/>
    <col min="12" max="12" width="23" style="11" customWidth="1"/>
    <col min="13" max="13" width="10.1796875" style="11" customWidth="1"/>
    <col min="14" max="14" width="9.54296875" style="11" customWidth="1"/>
    <col min="15" max="15" width="16.54296875" style="11" customWidth="1"/>
    <col min="16" max="16" width="19.1796875" style="11" customWidth="1"/>
    <col min="17" max="17" width="35.7265625" style="11" customWidth="1"/>
    <col min="18" max="18" width="8.7265625" style="11"/>
    <col min="19" max="19" width="6.81640625" style="11" customWidth="1"/>
    <col min="20" max="20" width="40" style="11" customWidth="1"/>
    <col min="21" max="21" width="20.81640625" style="11" customWidth="1"/>
    <col min="22" max="22" width="8.7265625" style="11"/>
    <col min="23" max="23" width="11.81640625" style="11" customWidth="1"/>
    <col min="24" max="24" width="17.26953125" style="11" customWidth="1"/>
    <col min="25" max="25" width="25.7265625" style="11" customWidth="1"/>
    <col min="26" max="26" width="23" style="11" customWidth="1"/>
    <col min="27" max="27" width="8.7265625" style="11"/>
    <col min="28" max="28" width="6.81640625" style="11" customWidth="1"/>
    <col min="29" max="29" width="40.453125" style="11" customWidth="1"/>
    <col min="30" max="30" width="18.81640625" style="11" customWidth="1"/>
    <col min="31" max="31" width="10.7265625" style="11" customWidth="1"/>
    <col min="32" max="32" width="10.81640625" style="11" customWidth="1"/>
    <col min="33" max="33" width="15.26953125" style="11" customWidth="1"/>
    <col min="34" max="34" width="26.7265625" style="11" customWidth="1"/>
    <col min="35" max="35" width="21.54296875" style="11" customWidth="1"/>
    <col min="36" max="36" width="8.7265625" style="11"/>
    <col min="37" max="37" width="6.54296875" style="11" customWidth="1"/>
    <col min="38" max="38" width="41.7265625" style="11" customWidth="1"/>
    <col min="39" max="39" width="17.1796875" style="11" customWidth="1"/>
    <col min="40" max="40" width="9.26953125" style="11" customWidth="1"/>
    <col min="41" max="41" width="12.7265625" style="11" customWidth="1"/>
    <col min="42" max="42" width="15" style="11" customWidth="1"/>
    <col min="43" max="43" width="26.26953125" style="11" customWidth="1"/>
    <col min="44" max="44" width="15.453125" style="11" customWidth="1"/>
    <col min="45" max="45" width="8.7265625" style="11"/>
    <col min="46" max="46" width="6.54296875" style="11" customWidth="1"/>
    <col min="47" max="47" width="42.54296875" style="11" customWidth="1"/>
    <col min="48" max="48" width="18.54296875" style="11" customWidth="1"/>
    <col min="49" max="49" width="8.7265625" style="11"/>
    <col min="50" max="50" width="11.54296875" style="11" customWidth="1"/>
    <col min="51" max="51" width="15.81640625" style="11" customWidth="1"/>
    <col min="52" max="52" width="26.1796875" style="11" customWidth="1"/>
    <col min="53" max="53" width="22.54296875" style="11" customWidth="1"/>
    <col min="54" max="16384" width="8.7265625" style="11"/>
  </cols>
  <sheetData>
    <row r="1" spans="1:53" ht="24.75" customHeight="1" x14ac:dyDescent="0.35">
      <c r="A1" s="159" t="s">
        <v>82</v>
      </c>
      <c r="B1" s="159"/>
      <c r="C1" s="159"/>
      <c r="D1" s="159"/>
      <c r="E1" s="159"/>
      <c r="F1" s="159"/>
      <c r="G1" s="159"/>
      <c r="H1" s="159"/>
    </row>
    <row r="3" spans="1:53" x14ac:dyDescent="0.35">
      <c r="A3" s="70" t="s">
        <v>6</v>
      </c>
      <c r="F3" s="71" t="s">
        <v>83</v>
      </c>
      <c r="H3" s="36">
        <f>SUM(H5:H8)</f>
        <v>4909500000</v>
      </c>
      <c r="J3" s="70" t="s">
        <v>6</v>
      </c>
      <c r="L3" s="12"/>
      <c r="M3" s="13"/>
      <c r="N3" s="14"/>
      <c r="O3" s="71" t="s">
        <v>83</v>
      </c>
      <c r="P3" s="14"/>
      <c r="Q3" s="36">
        <f>SUM(Q5:Q8)</f>
        <v>4909500000</v>
      </c>
      <c r="S3" s="70" t="s">
        <v>6</v>
      </c>
      <c r="U3" s="12"/>
      <c r="V3" s="13"/>
      <c r="W3" s="14"/>
      <c r="X3" s="71" t="s">
        <v>83</v>
      </c>
      <c r="Y3" s="14"/>
      <c r="Z3" s="36">
        <f>SUM(Z5:Z8)</f>
        <v>4909500000</v>
      </c>
      <c r="AB3" s="70" t="s">
        <v>6</v>
      </c>
      <c r="AD3" s="12"/>
      <c r="AE3" s="13"/>
      <c r="AF3" s="14"/>
      <c r="AG3" s="71" t="s">
        <v>83</v>
      </c>
      <c r="AH3" s="14"/>
      <c r="AI3" s="36">
        <f>SUM(AI5:AI8)</f>
        <v>4909500000</v>
      </c>
      <c r="AK3" s="70" t="s">
        <v>6</v>
      </c>
      <c r="AM3" s="12"/>
      <c r="AN3" s="13"/>
      <c r="AO3" s="14"/>
      <c r="AP3" s="71" t="s">
        <v>83</v>
      </c>
      <c r="AQ3" s="14"/>
      <c r="AR3" s="36">
        <f>SUM(AR5:AR8)</f>
        <v>4909500000</v>
      </c>
      <c r="AT3" s="70" t="s">
        <v>6</v>
      </c>
      <c r="AV3" s="12"/>
      <c r="AW3" s="13"/>
      <c r="AX3" s="14"/>
      <c r="AY3" s="71" t="s">
        <v>83</v>
      </c>
      <c r="AZ3" s="14"/>
      <c r="BA3" s="36">
        <f>SUM(BA5:BA8)</f>
        <v>4909500000</v>
      </c>
    </row>
    <row r="4" spans="1:53" x14ac:dyDescent="0.35">
      <c r="A4" s="70"/>
      <c r="F4" s="11"/>
      <c r="G4" s="11"/>
      <c r="J4" s="70"/>
      <c r="L4" s="12"/>
      <c r="M4" s="13"/>
      <c r="N4" s="14"/>
      <c r="S4" s="70"/>
      <c r="U4" s="12"/>
      <c r="V4" s="13"/>
      <c r="W4" s="14"/>
      <c r="AB4" s="70"/>
      <c r="AD4" s="12"/>
      <c r="AE4" s="13"/>
      <c r="AF4" s="14"/>
      <c r="AK4" s="70"/>
      <c r="AM4" s="12"/>
      <c r="AN4" s="13"/>
      <c r="AO4" s="14"/>
      <c r="AT4" s="70"/>
      <c r="AV4" s="12"/>
      <c r="AW4" s="13"/>
      <c r="AX4" s="14"/>
    </row>
    <row r="5" spans="1:53" x14ac:dyDescent="0.35">
      <c r="A5" s="16">
        <v>1</v>
      </c>
      <c r="B5" s="17" t="s">
        <v>0</v>
      </c>
      <c r="C5" s="18">
        <f>C6/26</f>
        <v>23076.923076923078</v>
      </c>
      <c r="D5" s="19" t="s">
        <v>1</v>
      </c>
      <c r="F5" s="16">
        <v>1</v>
      </c>
      <c r="G5" s="21" t="s">
        <v>2</v>
      </c>
      <c r="H5" s="18">
        <f>G43+G53</f>
        <v>2103000000</v>
      </c>
      <c r="I5" s="10"/>
      <c r="J5" s="16">
        <v>1</v>
      </c>
      <c r="K5" s="17" t="s">
        <v>0</v>
      </c>
      <c r="L5" s="18">
        <f>L6/26</f>
        <v>1153.8461538461538</v>
      </c>
      <c r="M5" s="19" t="s">
        <v>1</v>
      </c>
      <c r="N5" s="14"/>
      <c r="O5" s="16">
        <v>1</v>
      </c>
      <c r="P5" s="21" t="s">
        <v>2</v>
      </c>
      <c r="Q5" s="18">
        <f>P43+P53</f>
        <v>2103000000</v>
      </c>
      <c r="S5" s="16">
        <v>1</v>
      </c>
      <c r="T5" s="17" t="s">
        <v>0</v>
      </c>
      <c r="U5" s="18">
        <f>U6/26</f>
        <v>1923.0769230769231</v>
      </c>
      <c r="V5" s="19" t="s">
        <v>1</v>
      </c>
      <c r="W5" s="14"/>
      <c r="X5" s="16">
        <v>1</v>
      </c>
      <c r="Y5" s="21" t="s">
        <v>2</v>
      </c>
      <c r="Z5" s="18">
        <f>Y43+Y53</f>
        <v>2103000000</v>
      </c>
      <c r="AB5" s="16">
        <v>1</v>
      </c>
      <c r="AC5" s="17" t="s">
        <v>0</v>
      </c>
      <c r="AD5" s="18">
        <f>AD6/26</f>
        <v>3461.5384615384614</v>
      </c>
      <c r="AE5" s="19" t="s">
        <v>1</v>
      </c>
      <c r="AF5" s="14"/>
      <c r="AG5" s="16">
        <v>1</v>
      </c>
      <c r="AH5" s="21" t="s">
        <v>2</v>
      </c>
      <c r="AI5" s="18">
        <f>AH43+AH53</f>
        <v>2103000000</v>
      </c>
      <c r="AK5" s="16">
        <v>1</v>
      </c>
      <c r="AL5" s="17" t="s">
        <v>0</v>
      </c>
      <c r="AM5" s="18">
        <f>AM6/26</f>
        <v>3846.1538461538462</v>
      </c>
      <c r="AN5" s="19" t="s">
        <v>1</v>
      </c>
      <c r="AO5" s="14"/>
      <c r="AP5" s="16">
        <v>1</v>
      </c>
      <c r="AQ5" s="21" t="s">
        <v>2</v>
      </c>
      <c r="AR5" s="18">
        <f>AQ43+AQ53</f>
        <v>2103000000</v>
      </c>
      <c r="AT5" s="16">
        <v>1</v>
      </c>
      <c r="AU5" s="17" t="s">
        <v>0</v>
      </c>
      <c r="AV5" s="18">
        <f>AV6/26</f>
        <v>5769.2307692307695</v>
      </c>
      <c r="AW5" s="19" t="s">
        <v>1</v>
      </c>
      <c r="AX5" s="14"/>
      <c r="AY5" s="16">
        <v>1</v>
      </c>
      <c r="AZ5" s="21" t="s">
        <v>2</v>
      </c>
      <c r="BA5" s="18">
        <f>AZ43+AZ53</f>
        <v>2103000000</v>
      </c>
    </row>
    <row r="6" spans="1:53" x14ac:dyDescent="0.35">
      <c r="A6" s="16">
        <v>2</v>
      </c>
      <c r="B6" s="20" t="s">
        <v>148</v>
      </c>
      <c r="C6" s="156">
        <v>600000</v>
      </c>
      <c r="D6" s="19" t="s">
        <v>1</v>
      </c>
      <c r="F6" s="16">
        <v>2</v>
      </c>
      <c r="G6" s="21" t="s">
        <v>40</v>
      </c>
      <c r="H6" s="18">
        <f>G57</f>
        <v>806500000</v>
      </c>
      <c r="I6" s="74"/>
      <c r="J6" s="16">
        <v>2</v>
      </c>
      <c r="K6" s="20" t="s">
        <v>148</v>
      </c>
      <c r="L6" s="156">
        <v>30000</v>
      </c>
      <c r="M6" s="19" t="s">
        <v>1</v>
      </c>
      <c r="N6" s="14"/>
      <c r="O6" s="16">
        <v>2</v>
      </c>
      <c r="P6" s="21" t="s">
        <v>40</v>
      </c>
      <c r="Q6" s="18">
        <f>P57</f>
        <v>806500000</v>
      </c>
      <c r="S6" s="16">
        <v>2</v>
      </c>
      <c r="T6" s="20" t="s">
        <v>148</v>
      </c>
      <c r="U6" s="156">
        <v>50000</v>
      </c>
      <c r="V6" s="19" t="s">
        <v>1</v>
      </c>
      <c r="W6" s="14"/>
      <c r="X6" s="16">
        <v>2</v>
      </c>
      <c r="Y6" s="21" t="s">
        <v>40</v>
      </c>
      <c r="Z6" s="18">
        <f>Y57</f>
        <v>806500000</v>
      </c>
      <c r="AB6" s="16">
        <v>2</v>
      </c>
      <c r="AC6" s="20" t="s">
        <v>148</v>
      </c>
      <c r="AD6" s="156">
        <v>90000</v>
      </c>
      <c r="AE6" s="19" t="s">
        <v>1</v>
      </c>
      <c r="AF6" s="14"/>
      <c r="AG6" s="16">
        <v>2</v>
      </c>
      <c r="AH6" s="21" t="s">
        <v>40</v>
      </c>
      <c r="AI6" s="18">
        <f>AH57</f>
        <v>806500000</v>
      </c>
      <c r="AK6" s="16">
        <v>2</v>
      </c>
      <c r="AL6" s="20" t="s">
        <v>148</v>
      </c>
      <c r="AM6" s="156">
        <v>100000</v>
      </c>
      <c r="AN6" s="19" t="s">
        <v>1</v>
      </c>
      <c r="AO6" s="14"/>
      <c r="AP6" s="16">
        <v>2</v>
      </c>
      <c r="AQ6" s="21" t="s">
        <v>40</v>
      </c>
      <c r="AR6" s="18">
        <f>AQ57</f>
        <v>806500000</v>
      </c>
      <c r="AT6" s="16">
        <v>2</v>
      </c>
      <c r="AU6" s="20" t="s">
        <v>148</v>
      </c>
      <c r="AV6" s="156">
        <v>150000</v>
      </c>
      <c r="AW6" s="19" t="s">
        <v>1</v>
      </c>
      <c r="AX6" s="14"/>
      <c r="AY6" s="16">
        <v>2</v>
      </c>
      <c r="AZ6" s="21" t="s">
        <v>40</v>
      </c>
      <c r="BA6" s="18">
        <f>AZ57</f>
        <v>806500000</v>
      </c>
    </row>
    <row r="7" spans="1:53" x14ac:dyDescent="0.35">
      <c r="A7" s="16">
        <v>3</v>
      </c>
      <c r="B7" s="17" t="s">
        <v>129</v>
      </c>
      <c r="C7" s="18">
        <v>8000</v>
      </c>
      <c r="D7" s="19" t="s">
        <v>3</v>
      </c>
      <c r="F7" s="16">
        <v>3</v>
      </c>
      <c r="G7" s="21" t="s">
        <v>74</v>
      </c>
      <c r="H7" s="18">
        <v>0</v>
      </c>
      <c r="J7" s="16">
        <v>3</v>
      </c>
      <c r="K7" s="17" t="s">
        <v>129</v>
      </c>
      <c r="L7" s="18">
        <v>8000</v>
      </c>
      <c r="M7" s="19" t="s">
        <v>3</v>
      </c>
      <c r="N7" s="14"/>
      <c r="O7" s="16">
        <v>3</v>
      </c>
      <c r="P7" s="21" t="s">
        <v>74</v>
      </c>
      <c r="Q7" s="18">
        <v>0</v>
      </c>
      <c r="S7" s="16">
        <v>3</v>
      </c>
      <c r="T7" s="17" t="s">
        <v>129</v>
      </c>
      <c r="U7" s="18">
        <v>8000</v>
      </c>
      <c r="V7" s="19" t="s">
        <v>3</v>
      </c>
      <c r="W7" s="14"/>
      <c r="X7" s="16">
        <v>3</v>
      </c>
      <c r="Y7" s="21" t="s">
        <v>74</v>
      </c>
      <c r="Z7" s="18">
        <v>0</v>
      </c>
      <c r="AB7" s="16">
        <v>3</v>
      </c>
      <c r="AC7" s="17" t="s">
        <v>129</v>
      </c>
      <c r="AD7" s="18">
        <v>8000</v>
      </c>
      <c r="AE7" s="19" t="s">
        <v>3</v>
      </c>
      <c r="AF7" s="14"/>
      <c r="AG7" s="16">
        <v>3</v>
      </c>
      <c r="AH7" s="21" t="s">
        <v>74</v>
      </c>
      <c r="AI7" s="18">
        <v>0</v>
      </c>
      <c r="AK7" s="16">
        <v>3</v>
      </c>
      <c r="AL7" s="17" t="s">
        <v>129</v>
      </c>
      <c r="AM7" s="18">
        <v>8000</v>
      </c>
      <c r="AN7" s="19" t="s">
        <v>3</v>
      </c>
      <c r="AO7" s="14"/>
      <c r="AP7" s="16">
        <v>3</v>
      </c>
      <c r="AQ7" s="21" t="s">
        <v>74</v>
      </c>
      <c r="AR7" s="18">
        <v>0</v>
      </c>
      <c r="AT7" s="16">
        <v>3</v>
      </c>
      <c r="AU7" s="17" t="s">
        <v>129</v>
      </c>
      <c r="AV7" s="18">
        <v>8000</v>
      </c>
      <c r="AW7" s="19" t="s">
        <v>3</v>
      </c>
      <c r="AX7" s="14"/>
      <c r="AY7" s="16">
        <v>3</v>
      </c>
      <c r="AZ7" s="21" t="s">
        <v>74</v>
      </c>
      <c r="BA7" s="18">
        <v>0</v>
      </c>
    </row>
    <row r="8" spans="1:53" x14ac:dyDescent="0.35">
      <c r="A8" s="16">
        <v>4</v>
      </c>
      <c r="B8" s="17" t="s">
        <v>121</v>
      </c>
      <c r="C8" s="18">
        <f>F13-C7</f>
        <v>1203</v>
      </c>
      <c r="D8" s="19" t="s">
        <v>3</v>
      </c>
      <c r="F8" s="16">
        <v>4</v>
      </c>
      <c r="G8" s="21" t="s">
        <v>4</v>
      </c>
      <c r="H8" s="18">
        <v>2000000000</v>
      </c>
      <c r="J8" s="16">
        <v>4</v>
      </c>
      <c r="K8" s="17" t="s">
        <v>121</v>
      </c>
      <c r="L8" s="18">
        <f>O13-L7</f>
        <v>2404</v>
      </c>
      <c r="M8" s="19" t="s">
        <v>3</v>
      </c>
      <c r="N8" s="14"/>
      <c r="O8" s="16">
        <v>4</v>
      </c>
      <c r="P8" s="21" t="s">
        <v>4</v>
      </c>
      <c r="Q8" s="18">
        <v>2000000000</v>
      </c>
      <c r="S8" s="16">
        <v>4</v>
      </c>
      <c r="T8" s="17" t="s">
        <v>121</v>
      </c>
      <c r="U8" s="18">
        <f>X13-U7</f>
        <v>1838</v>
      </c>
      <c r="V8" s="19" t="s">
        <v>3</v>
      </c>
      <c r="W8" s="14"/>
      <c r="X8" s="16">
        <v>4</v>
      </c>
      <c r="Y8" s="21" t="s">
        <v>4</v>
      </c>
      <c r="Z8" s="18">
        <v>2000000000</v>
      </c>
      <c r="AB8" s="16">
        <v>4</v>
      </c>
      <c r="AC8" s="17" t="s">
        <v>121</v>
      </c>
      <c r="AD8" s="18">
        <f>AG13-AD7</f>
        <v>1736</v>
      </c>
      <c r="AE8" s="19" t="s">
        <v>3</v>
      </c>
      <c r="AF8" s="14"/>
      <c r="AG8" s="16">
        <v>4</v>
      </c>
      <c r="AH8" s="21" t="s">
        <v>4</v>
      </c>
      <c r="AI8" s="18">
        <v>2000000000</v>
      </c>
      <c r="AK8" s="16">
        <v>4</v>
      </c>
      <c r="AL8" s="17" t="s">
        <v>121</v>
      </c>
      <c r="AM8" s="18">
        <f>AP13-AM7</f>
        <v>1651</v>
      </c>
      <c r="AN8" s="19" t="s">
        <v>3</v>
      </c>
      <c r="AO8" s="14"/>
      <c r="AP8" s="16">
        <v>4</v>
      </c>
      <c r="AQ8" s="21" t="s">
        <v>4</v>
      </c>
      <c r="AR8" s="18">
        <v>2000000000</v>
      </c>
      <c r="AT8" s="16">
        <v>4</v>
      </c>
      <c r="AU8" s="17" t="s">
        <v>121</v>
      </c>
      <c r="AV8" s="18">
        <f>AY13-AV7</f>
        <v>1423</v>
      </c>
      <c r="AW8" s="19" t="s">
        <v>3</v>
      </c>
      <c r="AX8" s="14"/>
      <c r="AY8" s="16">
        <v>4</v>
      </c>
      <c r="AZ8" s="21" t="s">
        <v>4</v>
      </c>
      <c r="BA8" s="18">
        <v>2000000000</v>
      </c>
    </row>
    <row r="9" spans="1:53" x14ac:dyDescent="0.35">
      <c r="A9" s="16">
        <v>5</v>
      </c>
      <c r="B9" s="17" t="s">
        <v>122</v>
      </c>
      <c r="C9" s="18">
        <v>500</v>
      </c>
      <c r="D9" s="19" t="s">
        <v>3</v>
      </c>
      <c r="F9" s="11"/>
      <c r="G9" s="11"/>
      <c r="J9" s="16">
        <v>5</v>
      </c>
      <c r="K9" s="17" t="s">
        <v>122</v>
      </c>
      <c r="L9" s="18">
        <v>500</v>
      </c>
      <c r="M9" s="19" t="s">
        <v>3</v>
      </c>
      <c r="N9" s="14"/>
      <c r="S9" s="16">
        <v>5</v>
      </c>
      <c r="T9" s="17" t="s">
        <v>122</v>
      </c>
      <c r="U9" s="18">
        <v>500</v>
      </c>
      <c r="V9" s="19" t="s">
        <v>3</v>
      </c>
      <c r="W9" s="14"/>
      <c r="AB9" s="16">
        <v>5</v>
      </c>
      <c r="AC9" s="17" t="s">
        <v>122</v>
      </c>
      <c r="AD9" s="18">
        <v>500</v>
      </c>
      <c r="AE9" s="19" t="s">
        <v>3</v>
      </c>
      <c r="AF9" s="14"/>
      <c r="AK9" s="16">
        <v>5</v>
      </c>
      <c r="AL9" s="17" t="s">
        <v>122</v>
      </c>
      <c r="AM9" s="18">
        <v>500</v>
      </c>
      <c r="AN9" s="19" t="s">
        <v>3</v>
      </c>
      <c r="AO9" s="14"/>
      <c r="AT9" s="16">
        <v>5</v>
      </c>
      <c r="AU9" s="17" t="s">
        <v>122</v>
      </c>
      <c r="AV9" s="18">
        <v>500</v>
      </c>
      <c r="AW9" s="19" t="s">
        <v>3</v>
      </c>
      <c r="AX9" s="14"/>
    </row>
    <row r="10" spans="1:53" x14ac:dyDescent="0.35">
      <c r="A10" s="11"/>
      <c r="C10" s="11"/>
      <c r="D10" s="11"/>
      <c r="F10" s="24"/>
      <c r="H10" s="34"/>
      <c r="I10" s="35"/>
      <c r="N10" s="14"/>
      <c r="O10" s="24"/>
      <c r="P10" s="14"/>
      <c r="Q10" s="34"/>
      <c r="W10" s="14"/>
      <c r="X10" s="24"/>
      <c r="Y10" s="14"/>
      <c r="Z10" s="34"/>
      <c r="AF10" s="14"/>
      <c r="AG10" s="24"/>
      <c r="AH10" s="14"/>
      <c r="AI10" s="34"/>
      <c r="AO10" s="14"/>
      <c r="AP10" s="24"/>
      <c r="AQ10" s="14"/>
      <c r="AR10" s="34"/>
      <c r="AX10" s="14"/>
      <c r="AY10" s="24"/>
      <c r="AZ10" s="14"/>
      <c r="BA10" s="34"/>
    </row>
    <row r="11" spans="1:53" ht="33" customHeight="1" x14ac:dyDescent="0.35">
      <c r="A11" s="37" t="s">
        <v>5</v>
      </c>
      <c r="B11" s="38" t="s">
        <v>6</v>
      </c>
      <c r="C11" s="39" t="s">
        <v>7</v>
      </c>
      <c r="D11" s="85" t="s">
        <v>151</v>
      </c>
      <c r="E11" s="40" t="s">
        <v>8</v>
      </c>
      <c r="F11" s="41" t="s">
        <v>9</v>
      </c>
      <c r="G11" s="41" t="s">
        <v>10</v>
      </c>
      <c r="H11" s="38" t="s">
        <v>11</v>
      </c>
      <c r="J11" s="37" t="s">
        <v>5</v>
      </c>
      <c r="K11" s="38" t="s">
        <v>6</v>
      </c>
      <c r="L11" s="39" t="s">
        <v>7</v>
      </c>
      <c r="M11" s="85" t="s">
        <v>151</v>
      </c>
      <c r="N11" s="40" t="s">
        <v>8</v>
      </c>
      <c r="O11" s="41" t="s">
        <v>9</v>
      </c>
      <c r="P11" s="41" t="s">
        <v>10</v>
      </c>
      <c r="Q11" s="38" t="s">
        <v>11</v>
      </c>
      <c r="S11" s="37" t="s">
        <v>5</v>
      </c>
      <c r="T11" s="38" t="s">
        <v>6</v>
      </c>
      <c r="U11" s="39" t="s">
        <v>7</v>
      </c>
      <c r="V11" s="85" t="s">
        <v>151</v>
      </c>
      <c r="W11" s="40" t="s">
        <v>8</v>
      </c>
      <c r="X11" s="41" t="s">
        <v>9</v>
      </c>
      <c r="Y11" s="41" t="s">
        <v>10</v>
      </c>
      <c r="Z11" s="38" t="s">
        <v>11</v>
      </c>
      <c r="AB11" s="37" t="s">
        <v>5</v>
      </c>
      <c r="AC11" s="38" t="s">
        <v>6</v>
      </c>
      <c r="AD11" s="39" t="s">
        <v>7</v>
      </c>
      <c r="AE11" s="85" t="s">
        <v>151</v>
      </c>
      <c r="AF11" s="40" t="s">
        <v>8</v>
      </c>
      <c r="AG11" s="41" t="s">
        <v>9</v>
      </c>
      <c r="AH11" s="41" t="s">
        <v>10</v>
      </c>
      <c r="AI11" s="38" t="s">
        <v>11</v>
      </c>
      <c r="AK11" s="37" t="s">
        <v>5</v>
      </c>
      <c r="AL11" s="38" t="s">
        <v>6</v>
      </c>
      <c r="AM11" s="39" t="s">
        <v>7</v>
      </c>
      <c r="AN11" s="85" t="s">
        <v>151</v>
      </c>
      <c r="AO11" s="40" t="s">
        <v>8</v>
      </c>
      <c r="AP11" s="41" t="s">
        <v>9</v>
      </c>
      <c r="AQ11" s="41" t="s">
        <v>10</v>
      </c>
      <c r="AR11" s="38" t="s">
        <v>11</v>
      </c>
      <c r="AT11" s="37" t="s">
        <v>5</v>
      </c>
      <c r="AU11" s="38" t="s">
        <v>6</v>
      </c>
      <c r="AV11" s="39" t="s">
        <v>7</v>
      </c>
      <c r="AW11" s="85" t="s">
        <v>151</v>
      </c>
      <c r="AX11" s="40" t="s">
        <v>8</v>
      </c>
      <c r="AY11" s="41" t="s">
        <v>9</v>
      </c>
      <c r="AZ11" s="41" t="s">
        <v>10</v>
      </c>
      <c r="BA11" s="38" t="s">
        <v>11</v>
      </c>
    </row>
    <row r="12" spans="1:53" s="122" customFormat="1" ht="33" customHeight="1" x14ac:dyDescent="0.35">
      <c r="A12" s="112" t="s">
        <v>185</v>
      </c>
      <c r="B12" s="113" t="s">
        <v>30</v>
      </c>
      <c r="C12" s="114"/>
      <c r="D12" s="120" t="s">
        <v>1</v>
      </c>
      <c r="E12" s="121">
        <f>E13</f>
        <v>570000</v>
      </c>
      <c r="F12" s="117">
        <f>IF(SUM(C7:C9)&gt;9700,9700,SUM(C7:C9))</f>
        <v>9700</v>
      </c>
      <c r="G12" s="117">
        <f>E12*F12</f>
        <v>5529000000</v>
      </c>
      <c r="H12" s="113"/>
      <c r="J12" s="112" t="s">
        <v>185</v>
      </c>
      <c r="K12" s="113" t="s">
        <v>30</v>
      </c>
      <c r="L12" s="114"/>
      <c r="M12" s="120" t="s">
        <v>1</v>
      </c>
      <c r="N12" s="121">
        <f>N13</f>
        <v>28500</v>
      </c>
      <c r="O12" s="117">
        <f>IF(SUM(L7:L9)&gt;9700,9700,SUM(L7:L9))</f>
        <v>9700</v>
      </c>
      <c r="P12" s="117">
        <f>N12*O12</f>
        <v>276450000</v>
      </c>
      <c r="Q12" s="113"/>
      <c r="S12" s="112" t="s">
        <v>185</v>
      </c>
      <c r="T12" s="113" t="s">
        <v>30</v>
      </c>
      <c r="U12" s="114"/>
      <c r="V12" s="120" t="s">
        <v>1</v>
      </c>
      <c r="W12" s="121">
        <f>W13</f>
        <v>47500</v>
      </c>
      <c r="X12" s="117">
        <f>IF(SUM(U7:U9)&gt;9700,9700,SUM(U7:U9))</f>
        <v>9700</v>
      </c>
      <c r="Y12" s="117">
        <f>W12*X12</f>
        <v>460750000</v>
      </c>
      <c r="Z12" s="113"/>
      <c r="AB12" s="112" t="s">
        <v>185</v>
      </c>
      <c r="AC12" s="113" t="s">
        <v>30</v>
      </c>
      <c r="AD12" s="114"/>
      <c r="AE12" s="120" t="s">
        <v>1</v>
      </c>
      <c r="AF12" s="121">
        <f>AF13</f>
        <v>85500</v>
      </c>
      <c r="AG12" s="117">
        <f>IF(SUM(AD7:AD9)&gt;9700,9700,SUM(AD7:AD9))</f>
        <v>9700</v>
      </c>
      <c r="AH12" s="117">
        <f>AF12*AG12</f>
        <v>829350000</v>
      </c>
      <c r="AI12" s="113"/>
      <c r="AK12" s="112" t="s">
        <v>185</v>
      </c>
      <c r="AL12" s="113" t="s">
        <v>30</v>
      </c>
      <c r="AM12" s="114"/>
      <c r="AN12" s="120" t="s">
        <v>1</v>
      </c>
      <c r="AO12" s="121">
        <f>AO13</f>
        <v>95000</v>
      </c>
      <c r="AP12" s="117">
        <f>IF(SUM(AM7:AM9)&gt;9700,9700,SUM(AM7:AM9))</f>
        <v>9700</v>
      </c>
      <c r="AQ12" s="117">
        <f>AO12*AP12</f>
        <v>921500000</v>
      </c>
      <c r="AR12" s="113"/>
      <c r="AT12" s="112" t="s">
        <v>185</v>
      </c>
      <c r="AU12" s="113" t="s">
        <v>30</v>
      </c>
      <c r="AV12" s="114"/>
      <c r="AW12" s="120" t="s">
        <v>1</v>
      </c>
      <c r="AX12" s="121">
        <f>AX13</f>
        <v>142500</v>
      </c>
      <c r="AY12" s="117">
        <f>IF(SUM(AV7:AV9)&gt;9700,9700,SUM(AV7:AV9))</f>
        <v>9700</v>
      </c>
      <c r="AZ12" s="117">
        <f>AX12*AY12</f>
        <v>1382250000</v>
      </c>
      <c r="BA12" s="113"/>
    </row>
    <row r="13" spans="1:53" s="130" customFormat="1" ht="21" customHeight="1" x14ac:dyDescent="0.35">
      <c r="A13" s="123" t="s">
        <v>186</v>
      </c>
      <c r="B13" s="124" t="s">
        <v>150</v>
      </c>
      <c r="C13" s="125"/>
      <c r="D13" s="126" t="s">
        <v>1</v>
      </c>
      <c r="E13" s="140">
        <f>C6-E18</f>
        <v>570000</v>
      </c>
      <c r="F13" s="127">
        <f>ROUNDUP(G13/E13,0)</f>
        <v>9203</v>
      </c>
      <c r="G13" s="128">
        <f>G14+G25+G32+G38+G40+G56</f>
        <v>5245452854.787879</v>
      </c>
      <c r="H13" s="129"/>
      <c r="J13" s="123" t="s">
        <v>186</v>
      </c>
      <c r="K13" s="124" t="s">
        <v>150</v>
      </c>
      <c r="L13" s="125"/>
      <c r="M13" s="126" t="s">
        <v>1</v>
      </c>
      <c r="N13" s="140">
        <f>L6-N18</f>
        <v>28500</v>
      </c>
      <c r="O13" s="127">
        <f>ROUNDUP(P13/N13,0)</f>
        <v>10404</v>
      </c>
      <c r="P13" s="128">
        <f>P14+P25+P32+P38+P40+P56</f>
        <v>296501976.07272726</v>
      </c>
      <c r="Q13" s="129"/>
      <c r="S13" s="123" t="s">
        <v>186</v>
      </c>
      <c r="T13" s="124" t="s">
        <v>150</v>
      </c>
      <c r="U13" s="125"/>
      <c r="V13" s="126" t="s">
        <v>1</v>
      </c>
      <c r="W13" s="140">
        <f>U6-W18</f>
        <v>47500</v>
      </c>
      <c r="X13" s="127">
        <f>ROUNDUP(Y13/W13,0)</f>
        <v>9838</v>
      </c>
      <c r="Y13" s="128">
        <f>Y14+Y25+Y32+Y38+Y40+Y56</f>
        <v>467288849.01010102</v>
      </c>
      <c r="Z13" s="129"/>
      <c r="AB13" s="123" t="s">
        <v>186</v>
      </c>
      <c r="AC13" s="124" t="s">
        <v>150</v>
      </c>
      <c r="AD13" s="125"/>
      <c r="AE13" s="126" t="s">
        <v>1</v>
      </c>
      <c r="AF13" s="140">
        <f>AD6-AF18</f>
        <v>85500</v>
      </c>
      <c r="AG13" s="127">
        <f>ROUNDUP(AH13/AF13,0)</f>
        <v>9736</v>
      </c>
      <c r="AH13" s="128">
        <f>AH14+AH25+AH32+AH38+AH40+AH56</f>
        <v>832387594.88484848</v>
      </c>
      <c r="AI13" s="129"/>
      <c r="AK13" s="123" t="s">
        <v>186</v>
      </c>
      <c r="AL13" s="124" t="s">
        <v>150</v>
      </c>
      <c r="AM13" s="125"/>
      <c r="AN13" s="126" t="s">
        <v>1</v>
      </c>
      <c r="AO13" s="140">
        <f>AM6-AO18</f>
        <v>95000</v>
      </c>
      <c r="AP13" s="127">
        <f>ROUNDUP(AQ13/AO13,0)</f>
        <v>9651</v>
      </c>
      <c r="AQ13" s="128">
        <f>AQ14+AQ25+AQ32+AQ38+AQ40+AQ56</f>
        <v>916781031.35353529</v>
      </c>
      <c r="AR13" s="129"/>
      <c r="AT13" s="123" t="s">
        <v>186</v>
      </c>
      <c r="AU13" s="124" t="s">
        <v>150</v>
      </c>
      <c r="AV13" s="125"/>
      <c r="AW13" s="126" t="s">
        <v>1</v>
      </c>
      <c r="AX13" s="140">
        <f>AV6-AX18</f>
        <v>142500</v>
      </c>
      <c r="AY13" s="127">
        <f>ROUNDUP(AZ13/AX13,0)</f>
        <v>9423</v>
      </c>
      <c r="AZ13" s="128">
        <f>AZ14+AZ25+AZ32+AZ38+AZ40+AZ56</f>
        <v>1342748213.6969697</v>
      </c>
      <c r="BA13" s="129"/>
    </row>
    <row r="14" spans="1:53" s="10" customFormat="1" ht="19.5" customHeight="1" x14ac:dyDescent="0.35">
      <c r="A14" s="131">
        <v>1</v>
      </c>
      <c r="B14" s="132" t="s">
        <v>84</v>
      </c>
      <c r="C14" s="132"/>
      <c r="D14" s="131" t="s">
        <v>1</v>
      </c>
      <c r="E14" s="133">
        <f>E13</f>
        <v>570000</v>
      </c>
      <c r="F14" s="133">
        <f>G14/E14</f>
        <v>8421.0526315789466</v>
      </c>
      <c r="G14" s="134">
        <f>SUM(G15:G18)</f>
        <v>4800000000</v>
      </c>
      <c r="H14" s="132"/>
      <c r="J14" s="131">
        <v>1</v>
      </c>
      <c r="K14" s="132" t="s">
        <v>84</v>
      </c>
      <c r="L14" s="132"/>
      <c r="M14" s="131" t="s">
        <v>1</v>
      </c>
      <c r="N14" s="133">
        <f>N13</f>
        <v>28500</v>
      </c>
      <c r="O14" s="133">
        <f>P14/N14</f>
        <v>8421.0526315789466</v>
      </c>
      <c r="P14" s="134">
        <f>SUM(P15:P18)</f>
        <v>240000000</v>
      </c>
      <c r="Q14" s="132"/>
      <c r="S14" s="131">
        <v>1</v>
      </c>
      <c r="T14" s="132" t="s">
        <v>84</v>
      </c>
      <c r="U14" s="132"/>
      <c r="V14" s="131" t="s">
        <v>1</v>
      </c>
      <c r="W14" s="133">
        <f>W13</f>
        <v>47500</v>
      </c>
      <c r="X14" s="133">
        <f>Y14/W14</f>
        <v>8421.0526315789466</v>
      </c>
      <c r="Y14" s="134">
        <f>SUM(Y15:Y18)</f>
        <v>400000000</v>
      </c>
      <c r="Z14" s="132"/>
      <c r="AB14" s="131">
        <v>1</v>
      </c>
      <c r="AC14" s="132" t="s">
        <v>84</v>
      </c>
      <c r="AD14" s="132"/>
      <c r="AE14" s="131" t="s">
        <v>1</v>
      </c>
      <c r="AF14" s="133">
        <f>AF13</f>
        <v>85500</v>
      </c>
      <c r="AG14" s="133">
        <f>AH14/AF14</f>
        <v>8421.0526315789466</v>
      </c>
      <c r="AH14" s="134">
        <f>SUM(AH15:AH18)</f>
        <v>720000000</v>
      </c>
      <c r="AI14" s="132"/>
      <c r="AK14" s="131">
        <v>1</v>
      </c>
      <c r="AL14" s="132" t="s">
        <v>84</v>
      </c>
      <c r="AM14" s="132"/>
      <c r="AN14" s="131" t="s">
        <v>1</v>
      </c>
      <c r="AO14" s="133">
        <f>AO13</f>
        <v>95000</v>
      </c>
      <c r="AP14" s="133">
        <f>AQ14/AO14</f>
        <v>8421.0526315789466</v>
      </c>
      <c r="AQ14" s="134">
        <f>SUM(AQ15:AQ18)</f>
        <v>800000000</v>
      </c>
      <c r="AR14" s="132"/>
      <c r="AT14" s="131">
        <v>1</v>
      </c>
      <c r="AU14" s="132" t="s">
        <v>84</v>
      </c>
      <c r="AV14" s="132"/>
      <c r="AW14" s="131" t="s">
        <v>1</v>
      </c>
      <c r="AX14" s="133">
        <f>AX13</f>
        <v>142500</v>
      </c>
      <c r="AY14" s="133">
        <f>AZ14/AX14</f>
        <v>8421.0526315789466</v>
      </c>
      <c r="AZ14" s="134">
        <f>SUM(AZ15:AZ18)</f>
        <v>1200000000</v>
      </c>
      <c r="BA14" s="132"/>
    </row>
    <row r="15" spans="1:53" ht="18.75" customHeight="1" x14ac:dyDescent="0.35">
      <c r="A15" s="92" t="s">
        <v>156</v>
      </c>
      <c r="B15" s="21" t="s">
        <v>147</v>
      </c>
      <c r="C15" s="21"/>
      <c r="D15" s="22">
        <v>1</v>
      </c>
      <c r="E15" s="52">
        <f>C6</f>
        <v>600000</v>
      </c>
      <c r="F15" s="53">
        <f>C7</f>
        <v>8000</v>
      </c>
      <c r="G15" s="52">
        <f>E15*F15</f>
        <v>4800000000</v>
      </c>
      <c r="H15" s="21"/>
      <c r="J15" s="92" t="s">
        <v>156</v>
      </c>
      <c r="K15" s="21" t="s">
        <v>147</v>
      </c>
      <c r="L15" s="21"/>
      <c r="M15" s="22">
        <v>1</v>
      </c>
      <c r="N15" s="52">
        <f>L6</f>
        <v>30000</v>
      </c>
      <c r="O15" s="53">
        <f>L7</f>
        <v>8000</v>
      </c>
      <c r="P15" s="52">
        <f>N15*O15</f>
        <v>240000000</v>
      </c>
      <c r="Q15" s="21"/>
      <c r="S15" s="92" t="s">
        <v>156</v>
      </c>
      <c r="T15" s="21" t="s">
        <v>147</v>
      </c>
      <c r="U15" s="21"/>
      <c r="V15" s="22">
        <v>1</v>
      </c>
      <c r="W15" s="52">
        <f>U6</f>
        <v>50000</v>
      </c>
      <c r="X15" s="53">
        <f>U7</f>
        <v>8000</v>
      </c>
      <c r="Y15" s="52">
        <f>W15*X15</f>
        <v>400000000</v>
      </c>
      <c r="Z15" s="21"/>
      <c r="AB15" s="92" t="s">
        <v>156</v>
      </c>
      <c r="AC15" s="21" t="s">
        <v>147</v>
      </c>
      <c r="AD15" s="21"/>
      <c r="AE15" s="22">
        <v>1</v>
      </c>
      <c r="AF15" s="52">
        <f>AD6</f>
        <v>90000</v>
      </c>
      <c r="AG15" s="53">
        <f>AD7</f>
        <v>8000</v>
      </c>
      <c r="AH15" s="52">
        <f>AF15*AG15</f>
        <v>720000000</v>
      </c>
      <c r="AI15" s="21"/>
      <c r="AK15" s="92" t="s">
        <v>156</v>
      </c>
      <c r="AL15" s="21" t="s">
        <v>147</v>
      </c>
      <c r="AM15" s="21"/>
      <c r="AN15" s="22">
        <v>1</v>
      </c>
      <c r="AO15" s="52">
        <f>AM6</f>
        <v>100000</v>
      </c>
      <c r="AP15" s="53">
        <f>AM7</f>
        <v>8000</v>
      </c>
      <c r="AQ15" s="52">
        <f>AO15*AP15</f>
        <v>800000000</v>
      </c>
      <c r="AR15" s="21"/>
      <c r="AT15" s="92" t="s">
        <v>156</v>
      </c>
      <c r="AU15" s="21" t="s">
        <v>147</v>
      </c>
      <c r="AV15" s="21"/>
      <c r="AW15" s="22">
        <v>1</v>
      </c>
      <c r="AX15" s="52">
        <f>AV6</f>
        <v>150000</v>
      </c>
      <c r="AY15" s="53">
        <f>AV7</f>
        <v>8000</v>
      </c>
      <c r="AZ15" s="52">
        <f>AX15*AY15</f>
        <v>1200000000</v>
      </c>
      <c r="BA15" s="21"/>
    </row>
    <row r="16" spans="1:53" s="84" customFormat="1" ht="33" hidden="1" customHeight="1" outlineLevel="1" x14ac:dyDescent="0.35">
      <c r="A16" s="77"/>
      <c r="B16" s="78" t="s">
        <v>12</v>
      </c>
      <c r="C16" s="79" t="s">
        <v>119</v>
      </c>
      <c r="D16" s="80"/>
      <c r="E16" s="81">
        <f>C6</f>
        <v>600000</v>
      </c>
      <c r="F16" s="82">
        <f>C7</f>
        <v>8000</v>
      </c>
      <c r="G16" s="81"/>
      <c r="H16" s="83"/>
      <c r="J16" s="77"/>
      <c r="K16" s="78" t="s">
        <v>12</v>
      </c>
      <c r="L16" s="79" t="s">
        <v>119</v>
      </c>
      <c r="M16" s="80"/>
      <c r="N16" s="81">
        <f>L6</f>
        <v>30000</v>
      </c>
      <c r="O16" s="82">
        <f>L7</f>
        <v>8000</v>
      </c>
      <c r="P16" s="81"/>
      <c r="Q16" s="83"/>
      <c r="S16" s="77"/>
      <c r="T16" s="78" t="s">
        <v>12</v>
      </c>
      <c r="U16" s="79" t="s">
        <v>119</v>
      </c>
      <c r="V16" s="80"/>
      <c r="W16" s="81">
        <f>U6</f>
        <v>50000</v>
      </c>
      <c r="X16" s="82">
        <f>U7</f>
        <v>8000</v>
      </c>
      <c r="Y16" s="81"/>
      <c r="Z16" s="83"/>
      <c r="AB16" s="77"/>
      <c r="AC16" s="78" t="s">
        <v>12</v>
      </c>
      <c r="AD16" s="79" t="s">
        <v>119</v>
      </c>
      <c r="AE16" s="80"/>
      <c r="AF16" s="81">
        <f>AD6</f>
        <v>90000</v>
      </c>
      <c r="AG16" s="82">
        <f>AD7</f>
        <v>8000</v>
      </c>
      <c r="AH16" s="81"/>
      <c r="AI16" s="83"/>
      <c r="AK16" s="77"/>
      <c r="AL16" s="78" t="s">
        <v>12</v>
      </c>
      <c r="AM16" s="79" t="s">
        <v>119</v>
      </c>
      <c r="AN16" s="80"/>
      <c r="AO16" s="81">
        <f>AM6</f>
        <v>100000</v>
      </c>
      <c r="AP16" s="82">
        <f>AM7</f>
        <v>8000</v>
      </c>
      <c r="AQ16" s="81"/>
      <c r="AR16" s="83"/>
      <c r="AT16" s="77"/>
      <c r="AU16" s="78" t="s">
        <v>12</v>
      </c>
      <c r="AV16" s="79" t="s">
        <v>119</v>
      </c>
      <c r="AW16" s="80"/>
      <c r="AX16" s="81">
        <f>AV6</f>
        <v>150000</v>
      </c>
      <c r="AY16" s="82">
        <f>AV7</f>
        <v>8000</v>
      </c>
      <c r="AZ16" s="81"/>
      <c r="BA16" s="83"/>
    </row>
    <row r="17" spans="1:53" s="84" customFormat="1" ht="21.75" hidden="1" customHeight="1" outlineLevel="1" x14ac:dyDescent="0.35">
      <c r="A17" s="77"/>
      <c r="B17" s="78" t="s">
        <v>13</v>
      </c>
      <c r="C17" s="79" t="s">
        <v>14</v>
      </c>
      <c r="D17" s="80"/>
      <c r="E17" s="81">
        <f>E16</f>
        <v>600000</v>
      </c>
      <c r="F17" s="82">
        <v>0</v>
      </c>
      <c r="G17" s="81"/>
      <c r="H17" s="83"/>
      <c r="J17" s="77"/>
      <c r="K17" s="78" t="s">
        <v>13</v>
      </c>
      <c r="L17" s="79" t="s">
        <v>14</v>
      </c>
      <c r="M17" s="80"/>
      <c r="N17" s="81">
        <f>N16</f>
        <v>30000</v>
      </c>
      <c r="O17" s="82">
        <v>0</v>
      </c>
      <c r="P17" s="81"/>
      <c r="Q17" s="83"/>
      <c r="S17" s="77"/>
      <c r="T17" s="78" t="s">
        <v>13</v>
      </c>
      <c r="U17" s="79" t="s">
        <v>14</v>
      </c>
      <c r="V17" s="80"/>
      <c r="W17" s="81">
        <f>W16</f>
        <v>50000</v>
      </c>
      <c r="X17" s="82">
        <v>0</v>
      </c>
      <c r="Y17" s="81"/>
      <c r="Z17" s="83"/>
      <c r="AB17" s="77"/>
      <c r="AC17" s="78" t="s">
        <v>13</v>
      </c>
      <c r="AD17" s="79" t="s">
        <v>14</v>
      </c>
      <c r="AE17" s="80"/>
      <c r="AF17" s="81">
        <f>AF16</f>
        <v>90000</v>
      </c>
      <c r="AG17" s="82">
        <v>0</v>
      </c>
      <c r="AH17" s="81"/>
      <c r="AI17" s="83"/>
      <c r="AK17" s="77"/>
      <c r="AL17" s="78" t="s">
        <v>13</v>
      </c>
      <c r="AM17" s="79" t="s">
        <v>14</v>
      </c>
      <c r="AN17" s="80"/>
      <c r="AO17" s="81">
        <f>AO16</f>
        <v>100000</v>
      </c>
      <c r="AP17" s="82">
        <v>0</v>
      </c>
      <c r="AQ17" s="81"/>
      <c r="AR17" s="83"/>
      <c r="AT17" s="77"/>
      <c r="AU17" s="78" t="s">
        <v>13</v>
      </c>
      <c r="AV17" s="79" t="s">
        <v>14</v>
      </c>
      <c r="AW17" s="80"/>
      <c r="AX17" s="81">
        <f>AX16</f>
        <v>150000</v>
      </c>
      <c r="AY17" s="82">
        <v>0</v>
      </c>
      <c r="AZ17" s="81"/>
      <c r="BA17" s="83"/>
    </row>
    <row r="18" spans="1:53" ht="35.25" customHeight="1" collapsed="1" x14ac:dyDescent="0.35">
      <c r="A18" s="92" t="s">
        <v>157</v>
      </c>
      <c r="B18" s="21" t="s">
        <v>15</v>
      </c>
      <c r="C18" s="60"/>
      <c r="D18" s="22">
        <v>0.05</v>
      </c>
      <c r="E18" s="52">
        <f>E15*D18</f>
        <v>30000</v>
      </c>
      <c r="F18" s="53">
        <v>0</v>
      </c>
      <c r="G18" s="52">
        <f>F18*E18</f>
        <v>0</v>
      </c>
      <c r="H18" s="60" t="s">
        <v>16</v>
      </c>
      <c r="J18" s="92" t="s">
        <v>157</v>
      </c>
      <c r="K18" s="21" t="s">
        <v>15</v>
      </c>
      <c r="L18" s="60"/>
      <c r="M18" s="22">
        <v>0.05</v>
      </c>
      <c r="N18" s="52">
        <f>N15*M18</f>
        <v>1500</v>
      </c>
      <c r="O18" s="53">
        <v>0</v>
      </c>
      <c r="P18" s="52">
        <f>O18*N18</f>
        <v>0</v>
      </c>
      <c r="Q18" s="60" t="s">
        <v>16</v>
      </c>
      <c r="S18" s="92" t="s">
        <v>157</v>
      </c>
      <c r="T18" s="21" t="s">
        <v>15</v>
      </c>
      <c r="U18" s="60"/>
      <c r="V18" s="22">
        <v>0.05</v>
      </c>
      <c r="W18" s="52">
        <f>W15*V18</f>
        <v>2500</v>
      </c>
      <c r="X18" s="53">
        <v>0</v>
      </c>
      <c r="Y18" s="52">
        <f>X18*W18</f>
        <v>0</v>
      </c>
      <c r="Z18" s="60" t="s">
        <v>16</v>
      </c>
      <c r="AB18" s="92" t="s">
        <v>157</v>
      </c>
      <c r="AC18" s="21" t="s">
        <v>15</v>
      </c>
      <c r="AD18" s="60"/>
      <c r="AE18" s="22">
        <v>0.05</v>
      </c>
      <c r="AF18" s="52">
        <f>AF15*AE18</f>
        <v>4500</v>
      </c>
      <c r="AG18" s="53">
        <v>0</v>
      </c>
      <c r="AH18" s="52">
        <f>AG18*AF18</f>
        <v>0</v>
      </c>
      <c r="AI18" s="60" t="s">
        <v>16</v>
      </c>
      <c r="AK18" s="92" t="s">
        <v>157</v>
      </c>
      <c r="AL18" s="21" t="s">
        <v>15</v>
      </c>
      <c r="AM18" s="60"/>
      <c r="AN18" s="22">
        <v>0.05</v>
      </c>
      <c r="AO18" s="52">
        <f>AO15*AN18</f>
        <v>5000</v>
      </c>
      <c r="AP18" s="53">
        <v>0</v>
      </c>
      <c r="AQ18" s="52">
        <f>AP18*AO18</f>
        <v>0</v>
      </c>
      <c r="AR18" s="60" t="s">
        <v>16</v>
      </c>
      <c r="AT18" s="92" t="s">
        <v>157</v>
      </c>
      <c r="AU18" s="21" t="s">
        <v>15</v>
      </c>
      <c r="AV18" s="60"/>
      <c r="AW18" s="22">
        <v>0.05</v>
      </c>
      <c r="AX18" s="52">
        <f>AX15*AW18</f>
        <v>7500</v>
      </c>
      <c r="AY18" s="53">
        <v>0</v>
      </c>
      <c r="AZ18" s="52">
        <f>AY18*AX18</f>
        <v>0</v>
      </c>
      <c r="BA18" s="60" t="s">
        <v>16</v>
      </c>
    </row>
    <row r="19" spans="1:53" s="23" customFormat="1" ht="14.5" hidden="1" outlineLevel="1" x14ac:dyDescent="0.35">
      <c r="A19" s="61"/>
      <c r="B19" s="54" t="s">
        <v>17</v>
      </c>
      <c r="C19" s="55"/>
      <c r="D19" s="56"/>
      <c r="E19" s="57"/>
      <c r="F19" s="58"/>
      <c r="G19" s="57"/>
      <c r="H19" s="62"/>
      <c r="J19" s="61"/>
      <c r="K19" s="54" t="s">
        <v>17</v>
      </c>
      <c r="L19" s="55"/>
      <c r="M19" s="56"/>
      <c r="N19" s="57"/>
      <c r="O19" s="58"/>
      <c r="P19" s="57"/>
      <c r="Q19" s="62"/>
      <c r="S19" s="61"/>
      <c r="T19" s="54" t="s">
        <v>17</v>
      </c>
      <c r="U19" s="55"/>
      <c r="V19" s="56"/>
      <c r="W19" s="57"/>
      <c r="X19" s="58"/>
      <c r="Y19" s="57"/>
      <c r="Z19" s="62"/>
      <c r="AB19" s="61"/>
      <c r="AC19" s="54" t="s">
        <v>17</v>
      </c>
      <c r="AD19" s="55"/>
      <c r="AE19" s="56"/>
      <c r="AF19" s="57"/>
      <c r="AG19" s="58"/>
      <c r="AH19" s="57"/>
      <c r="AI19" s="62"/>
      <c r="AK19" s="61"/>
      <c r="AL19" s="54" t="s">
        <v>17</v>
      </c>
      <c r="AM19" s="55"/>
      <c r="AN19" s="56"/>
      <c r="AO19" s="57"/>
      <c r="AP19" s="58"/>
      <c r="AQ19" s="57"/>
      <c r="AR19" s="62"/>
      <c r="AT19" s="61"/>
      <c r="AU19" s="54" t="s">
        <v>17</v>
      </c>
      <c r="AV19" s="55"/>
      <c r="AW19" s="56"/>
      <c r="AX19" s="57"/>
      <c r="AY19" s="58"/>
      <c r="AZ19" s="57"/>
      <c r="BA19" s="62"/>
    </row>
    <row r="20" spans="1:53" s="23" customFormat="1" ht="14.5" hidden="1" outlineLevel="1" x14ac:dyDescent="0.35">
      <c r="A20" s="61"/>
      <c r="B20" s="54" t="s">
        <v>79</v>
      </c>
      <c r="C20" s="55"/>
      <c r="D20" s="56"/>
      <c r="E20" s="57"/>
      <c r="F20" s="58"/>
      <c r="G20" s="57"/>
      <c r="H20" s="62"/>
      <c r="J20" s="61"/>
      <c r="K20" s="54" t="s">
        <v>79</v>
      </c>
      <c r="L20" s="55"/>
      <c r="M20" s="56"/>
      <c r="N20" s="57"/>
      <c r="O20" s="58"/>
      <c r="P20" s="57"/>
      <c r="Q20" s="62"/>
      <c r="S20" s="61"/>
      <c r="T20" s="54" t="s">
        <v>79</v>
      </c>
      <c r="U20" s="55"/>
      <c r="V20" s="56"/>
      <c r="W20" s="57"/>
      <c r="X20" s="58"/>
      <c r="Y20" s="57"/>
      <c r="Z20" s="62"/>
      <c r="AB20" s="61"/>
      <c r="AC20" s="54" t="s">
        <v>79</v>
      </c>
      <c r="AD20" s="55"/>
      <c r="AE20" s="56"/>
      <c r="AF20" s="57"/>
      <c r="AG20" s="58"/>
      <c r="AH20" s="57"/>
      <c r="AI20" s="62"/>
      <c r="AK20" s="61"/>
      <c r="AL20" s="54" t="s">
        <v>79</v>
      </c>
      <c r="AM20" s="55"/>
      <c r="AN20" s="56"/>
      <c r="AO20" s="57"/>
      <c r="AP20" s="58"/>
      <c r="AQ20" s="57"/>
      <c r="AR20" s="62"/>
      <c r="AT20" s="61"/>
      <c r="AU20" s="54" t="s">
        <v>79</v>
      </c>
      <c r="AV20" s="55"/>
      <c r="AW20" s="56"/>
      <c r="AX20" s="57"/>
      <c r="AY20" s="58"/>
      <c r="AZ20" s="57"/>
      <c r="BA20" s="62"/>
    </row>
    <row r="21" spans="1:53" s="23" customFormat="1" ht="14.5" hidden="1" outlineLevel="1" x14ac:dyDescent="0.35">
      <c r="A21" s="61"/>
      <c r="B21" s="54" t="s">
        <v>80</v>
      </c>
      <c r="C21" s="55"/>
      <c r="D21" s="56"/>
      <c r="E21" s="57"/>
      <c r="F21" s="58"/>
      <c r="G21" s="57"/>
      <c r="H21" s="62"/>
      <c r="J21" s="61"/>
      <c r="K21" s="54" t="s">
        <v>80</v>
      </c>
      <c r="L21" s="55"/>
      <c r="M21" s="56"/>
      <c r="N21" s="57"/>
      <c r="O21" s="58"/>
      <c r="P21" s="57"/>
      <c r="Q21" s="62"/>
      <c r="S21" s="61"/>
      <c r="T21" s="54" t="s">
        <v>80</v>
      </c>
      <c r="U21" s="55"/>
      <c r="V21" s="56"/>
      <c r="W21" s="57"/>
      <c r="X21" s="58"/>
      <c r="Y21" s="57"/>
      <c r="Z21" s="62"/>
      <c r="AB21" s="61"/>
      <c r="AC21" s="54" t="s">
        <v>80</v>
      </c>
      <c r="AD21" s="55"/>
      <c r="AE21" s="56"/>
      <c r="AF21" s="57"/>
      <c r="AG21" s="58"/>
      <c r="AH21" s="57"/>
      <c r="AI21" s="62"/>
      <c r="AK21" s="61"/>
      <c r="AL21" s="54" t="s">
        <v>80</v>
      </c>
      <c r="AM21" s="55"/>
      <c r="AN21" s="56"/>
      <c r="AO21" s="57"/>
      <c r="AP21" s="58"/>
      <c r="AQ21" s="57"/>
      <c r="AR21" s="62"/>
      <c r="AT21" s="61"/>
      <c r="AU21" s="54" t="s">
        <v>80</v>
      </c>
      <c r="AV21" s="55"/>
      <c r="AW21" s="56"/>
      <c r="AX21" s="57"/>
      <c r="AY21" s="58"/>
      <c r="AZ21" s="57"/>
      <c r="BA21" s="62"/>
    </row>
    <row r="22" spans="1:53" s="23" customFormat="1" ht="14.5" hidden="1" outlineLevel="1" x14ac:dyDescent="0.35">
      <c r="A22" s="61"/>
      <c r="B22" s="54" t="s">
        <v>81</v>
      </c>
      <c r="C22" s="55"/>
      <c r="D22" s="56"/>
      <c r="E22" s="57"/>
      <c r="F22" s="58"/>
      <c r="G22" s="57"/>
      <c r="H22" s="62"/>
      <c r="J22" s="61"/>
      <c r="K22" s="54" t="s">
        <v>81</v>
      </c>
      <c r="L22" s="55"/>
      <c r="M22" s="56"/>
      <c r="N22" s="57"/>
      <c r="O22" s="58"/>
      <c r="P22" s="57"/>
      <c r="Q22" s="62"/>
      <c r="S22" s="61"/>
      <c r="T22" s="54" t="s">
        <v>81</v>
      </c>
      <c r="U22" s="55"/>
      <c r="V22" s="56"/>
      <c r="W22" s="57"/>
      <c r="X22" s="58"/>
      <c r="Y22" s="57"/>
      <c r="Z22" s="62"/>
      <c r="AB22" s="61"/>
      <c r="AC22" s="54" t="s">
        <v>81</v>
      </c>
      <c r="AD22" s="55"/>
      <c r="AE22" s="56"/>
      <c r="AF22" s="57"/>
      <c r="AG22" s="58"/>
      <c r="AH22" s="57"/>
      <c r="AI22" s="62"/>
      <c r="AK22" s="61"/>
      <c r="AL22" s="54" t="s">
        <v>81</v>
      </c>
      <c r="AM22" s="55"/>
      <c r="AN22" s="56"/>
      <c r="AO22" s="57"/>
      <c r="AP22" s="58"/>
      <c r="AQ22" s="57"/>
      <c r="AR22" s="62"/>
      <c r="AT22" s="61"/>
      <c r="AU22" s="54" t="s">
        <v>81</v>
      </c>
      <c r="AV22" s="55"/>
      <c r="AW22" s="56"/>
      <c r="AX22" s="57"/>
      <c r="AY22" s="58"/>
      <c r="AZ22" s="57"/>
      <c r="BA22" s="62"/>
    </row>
    <row r="23" spans="1:53" s="23" customFormat="1" ht="24" hidden="1" customHeight="1" outlineLevel="1" x14ac:dyDescent="0.35">
      <c r="A23" s="61"/>
      <c r="B23" s="54" t="s">
        <v>18</v>
      </c>
      <c r="C23" s="55"/>
      <c r="D23" s="56"/>
      <c r="E23" s="57"/>
      <c r="F23" s="58"/>
      <c r="G23" s="57"/>
      <c r="H23" s="62" t="s">
        <v>19</v>
      </c>
      <c r="J23" s="61"/>
      <c r="K23" s="54" t="s">
        <v>18</v>
      </c>
      <c r="L23" s="55"/>
      <c r="M23" s="56"/>
      <c r="N23" s="57"/>
      <c r="O23" s="58"/>
      <c r="P23" s="57"/>
      <c r="Q23" s="62" t="s">
        <v>19</v>
      </c>
      <c r="S23" s="61"/>
      <c r="T23" s="54" t="s">
        <v>18</v>
      </c>
      <c r="U23" s="55"/>
      <c r="V23" s="56"/>
      <c r="W23" s="57"/>
      <c r="X23" s="58"/>
      <c r="Y23" s="57"/>
      <c r="Z23" s="62" t="s">
        <v>19</v>
      </c>
      <c r="AB23" s="61"/>
      <c r="AC23" s="54" t="s">
        <v>18</v>
      </c>
      <c r="AD23" s="55"/>
      <c r="AE23" s="56"/>
      <c r="AF23" s="57"/>
      <c r="AG23" s="58"/>
      <c r="AH23" s="57"/>
      <c r="AI23" s="62" t="s">
        <v>19</v>
      </c>
      <c r="AK23" s="61"/>
      <c r="AL23" s="54" t="s">
        <v>18</v>
      </c>
      <c r="AM23" s="55"/>
      <c r="AN23" s="56"/>
      <c r="AO23" s="57"/>
      <c r="AP23" s="58"/>
      <c r="AQ23" s="57"/>
      <c r="AR23" s="62" t="s">
        <v>19</v>
      </c>
      <c r="AT23" s="61"/>
      <c r="AU23" s="54" t="s">
        <v>18</v>
      </c>
      <c r="AV23" s="55"/>
      <c r="AW23" s="56"/>
      <c r="AX23" s="57"/>
      <c r="AY23" s="58"/>
      <c r="AZ23" s="57"/>
      <c r="BA23" s="62" t="s">
        <v>19</v>
      </c>
    </row>
    <row r="24" spans="1:53" s="23" customFormat="1" ht="14.5" collapsed="1" x14ac:dyDescent="0.35">
      <c r="A24" s="61"/>
      <c r="B24" s="59"/>
      <c r="C24" s="63"/>
      <c r="D24" s="64"/>
      <c r="E24" s="65"/>
      <c r="F24" s="66"/>
      <c r="G24" s="65"/>
      <c r="H24" s="67"/>
      <c r="J24" s="61"/>
      <c r="K24" s="59"/>
      <c r="L24" s="63"/>
      <c r="M24" s="64"/>
      <c r="N24" s="65"/>
      <c r="O24" s="66"/>
      <c r="P24" s="65"/>
      <c r="Q24" s="67"/>
      <c r="S24" s="61"/>
      <c r="T24" s="59"/>
      <c r="U24" s="63"/>
      <c r="V24" s="64"/>
      <c r="W24" s="65"/>
      <c r="X24" s="66"/>
      <c r="Y24" s="65"/>
      <c r="Z24" s="67"/>
      <c r="AB24" s="61"/>
      <c r="AC24" s="59"/>
      <c r="AD24" s="63"/>
      <c r="AE24" s="64"/>
      <c r="AF24" s="65"/>
      <c r="AG24" s="66"/>
      <c r="AH24" s="65"/>
      <c r="AI24" s="67"/>
      <c r="AK24" s="61"/>
      <c r="AL24" s="59"/>
      <c r="AM24" s="63"/>
      <c r="AN24" s="64"/>
      <c r="AO24" s="65"/>
      <c r="AP24" s="66"/>
      <c r="AQ24" s="65"/>
      <c r="AR24" s="67"/>
      <c r="AT24" s="61"/>
      <c r="AU24" s="59"/>
      <c r="AV24" s="63"/>
      <c r="AW24" s="64"/>
      <c r="AX24" s="65"/>
      <c r="AY24" s="66"/>
      <c r="AZ24" s="65"/>
      <c r="BA24" s="67"/>
    </row>
    <row r="25" spans="1:53" s="10" customFormat="1" ht="19.5" customHeight="1" x14ac:dyDescent="0.35">
      <c r="A25" s="131">
        <v>2</v>
      </c>
      <c r="B25" s="132" t="s">
        <v>85</v>
      </c>
      <c r="C25" s="135"/>
      <c r="D25" s="136" t="s">
        <v>1</v>
      </c>
      <c r="E25" s="134">
        <f>E13</f>
        <v>570000</v>
      </c>
      <c r="F25" s="137">
        <f>G25/E25</f>
        <v>380.0108563530037</v>
      </c>
      <c r="G25" s="134">
        <f>G26+G27</f>
        <v>216606188.12121212</v>
      </c>
      <c r="H25" s="138"/>
      <c r="J25" s="131">
        <v>2</v>
      </c>
      <c r="K25" s="132" t="s">
        <v>85</v>
      </c>
      <c r="L25" s="135"/>
      <c r="M25" s="136" t="s">
        <v>1</v>
      </c>
      <c r="N25" s="134">
        <f>N13</f>
        <v>28500</v>
      </c>
      <c r="O25" s="137">
        <f>P25/N25</f>
        <v>602.81787389686338</v>
      </c>
      <c r="P25" s="134">
        <f>P26+P27</f>
        <v>17180309.406060606</v>
      </c>
      <c r="Q25" s="138"/>
      <c r="S25" s="131">
        <v>2</v>
      </c>
      <c r="T25" s="132" t="s">
        <v>85</v>
      </c>
      <c r="U25" s="135"/>
      <c r="V25" s="136" t="s">
        <v>1</v>
      </c>
      <c r="W25" s="134">
        <f>W13</f>
        <v>47500</v>
      </c>
      <c r="X25" s="137">
        <f>Y25/W25</f>
        <v>567.73015459861779</v>
      </c>
      <c r="Y25" s="134">
        <f>Y26+Y27</f>
        <v>26967182.343434345</v>
      </c>
      <c r="Z25" s="138"/>
      <c r="AB25" s="131">
        <v>2</v>
      </c>
      <c r="AC25" s="132" t="s">
        <v>85</v>
      </c>
      <c r="AD25" s="135"/>
      <c r="AE25" s="136" t="s">
        <v>1</v>
      </c>
      <c r="AF25" s="134">
        <f>AF13</f>
        <v>85500</v>
      </c>
      <c r="AG25" s="137">
        <f>AH25/AF25</f>
        <v>544.33834173312073</v>
      </c>
      <c r="AH25" s="134">
        <f>AH26+AH27</f>
        <v>46540928.218181819</v>
      </c>
      <c r="AI25" s="138"/>
      <c r="AK25" s="131">
        <v>2</v>
      </c>
      <c r="AL25" s="132" t="s">
        <v>85</v>
      </c>
      <c r="AM25" s="135"/>
      <c r="AN25" s="136" t="s">
        <v>1</v>
      </c>
      <c r="AO25" s="134">
        <f>AO13</f>
        <v>95000</v>
      </c>
      <c r="AP25" s="137">
        <f>AQ25/AO25</f>
        <v>536.15120723019675</v>
      </c>
      <c r="AQ25" s="134">
        <f>AQ26+AQ27</f>
        <v>50934364.68686869</v>
      </c>
      <c r="AR25" s="138"/>
      <c r="AT25" s="131">
        <v>2</v>
      </c>
      <c r="AU25" s="132" t="s">
        <v>85</v>
      </c>
      <c r="AV25" s="135"/>
      <c r="AW25" s="136" t="s">
        <v>1</v>
      </c>
      <c r="AX25" s="134">
        <f>AX13</f>
        <v>142500</v>
      </c>
      <c r="AY25" s="137">
        <f>AZ25/AX25</f>
        <v>525.62489144072299</v>
      </c>
      <c r="AZ25" s="134">
        <f>AZ26+AZ27</f>
        <v>74901547.030303031</v>
      </c>
      <c r="BA25" s="138"/>
    </row>
    <row r="26" spans="1:53" ht="42.75" customHeight="1" x14ac:dyDescent="0.35">
      <c r="A26" s="92" t="s">
        <v>158</v>
      </c>
      <c r="B26" s="60" t="s">
        <v>126</v>
      </c>
      <c r="C26" s="60" t="s">
        <v>125</v>
      </c>
      <c r="D26" s="22" t="s">
        <v>1</v>
      </c>
      <c r="E26" s="52">
        <f>E13</f>
        <v>570000</v>
      </c>
      <c r="F26" s="53">
        <f>(3*10000000)/C6</f>
        <v>50</v>
      </c>
      <c r="G26" s="52">
        <f>F26*E26</f>
        <v>28500000</v>
      </c>
      <c r="H26" s="60" t="s">
        <v>124</v>
      </c>
      <c r="J26" s="92" t="s">
        <v>158</v>
      </c>
      <c r="K26" s="60" t="s">
        <v>126</v>
      </c>
      <c r="L26" s="60" t="s">
        <v>125</v>
      </c>
      <c r="M26" s="22" t="s">
        <v>1</v>
      </c>
      <c r="N26" s="52">
        <f>N13</f>
        <v>28500</v>
      </c>
      <c r="O26" s="53">
        <f>(3*10000000)/200000</f>
        <v>150</v>
      </c>
      <c r="P26" s="52">
        <f>O26*N26</f>
        <v>4275000</v>
      </c>
      <c r="Q26" s="60" t="s">
        <v>124</v>
      </c>
      <c r="S26" s="92" t="s">
        <v>158</v>
      </c>
      <c r="T26" s="60" t="s">
        <v>126</v>
      </c>
      <c r="U26" s="60" t="s">
        <v>125</v>
      </c>
      <c r="V26" s="22" t="s">
        <v>1</v>
      </c>
      <c r="W26" s="52">
        <f>W13</f>
        <v>47500</v>
      </c>
      <c r="X26" s="53">
        <f>(3*10000000)/200000</f>
        <v>150</v>
      </c>
      <c r="Y26" s="52">
        <f>X26*W26</f>
        <v>7125000</v>
      </c>
      <c r="Z26" s="60" t="s">
        <v>124</v>
      </c>
      <c r="AB26" s="92" t="s">
        <v>158</v>
      </c>
      <c r="AC26" s="60" t="s">
        <v>126</v>
      </c>
      <c r="AD26" s="60" t="s">
        <v>125</v>
      </c>
      <c r="AE26" s="22" t="s">
        <v>1</v>
      </c>
      <c r="AF26" s="52">
        <f>AF13</f>
        <v>85500</v>
      </c>
      <c r="AG26" s="53">
        <f>(3*10000000)/200000</f>
        <v>150</v>
      </c>
      <c r="AH26" s="52">
        <f>AG26*AF26</f>
        <v>12825000</v>
      </c>
      <c r="AI26" s="60" t="s">
        <v>124</v>
      </c>
      <c r="AK26" s="92" t="s">
        <v>158</v>
      </c>
      <c r="AL26" s="60" t="s">
        <v>126</v>
      </c>
      <c r="AM26" s="60" t="s">
        <v>125</v>
      </c>
      <c r="AN26" s="22" t="s">
        <v>1</v>
      </c>
      <c r="AO26" s="52">
        <f>AO13</f>
        <v>95000</v>
      </c>
      <c r="AP26" s="53">
        <f>(3*10000000)/200000</f>
        <v>150</v>
      </c>
      <c r="AQ26" s="52">
        <f>AP26*AO26</f>
        <v>14250000</v>
      </c>
      <c r="AR26" s="60" t="s">
        <v>124</v>
      </c>
      <c r="AT26" s="92" t="s">
        <v>158</v>
      </c>
      <c r="AU26" s="60" t="s">
        <v>126</v>
      </c>
      <c r="AV26" s="60" t="s">
        <v>125</v>
      </c>
      <c r="AW26" s="22" t="s">
        <v>1</v>
      </c>
      <c r="AX26" s="52">
        <f>AX13</f>
        <v>142500</v>
      </c>
      <c r="AY26" s="53">
        <f>(3*10000000)/200000</f>
        <v>150</v>
      </c>
      <c r="AZ26" s="52">
        <f>AY26*AX26</f>
        <v>21375000</v>
      </c>
      <c r="BA26" s="60" t="s">
        <v>124</v>
      </c>
    </row>
    <row r="27" spans="1:53" ht="21" customHeight="1" x14ac:dyDescent="0.35">
      <c r="A27" s="92" t="s">
        <v>159</v>
      </c>
      <c r="B27" s="21" t="s">
        <v>20</v>
      </c>
      <c r="C27" s="60"/>
      <c r="D27" s="22" t="s">
        <v>1</v>
      </c>
      <c r="E27" s="52">
        <f>E13</f>
        <v>570000</v>
      </c>
      <c r="F27" s="53">
        <f>G27/E27</f>
        <v>330.0108563530037</v>
      </c>
      <c r="G27" s="52">
        <f>SUM(G28:G31)</f>
        <v>188106188.12121212</v>
      </c>
      <c r="H27" s="68"/>
      <c r="J27" s="92" t="s">
        <v>159</v>
      </c>
      <c r="K27" s="21" t="s">
        <v>20</v>
      </c>
      <c r="L27" s="60"/>
      <c r="M27" s="22" t="s">
        <v>1</v>
      </c>
      <c r="N27" s="52">
        <f>N13</f>
        <v>28500</v>
      </c>
      <c r="O27" s="53">
        <f>P27/N27</f>
        <v>452.81787389686338</v>
      </c>
      <c r="P27" s="52">
        <f>SUM(P28:P31)</f>
        <v>12905309.406060606</v>
      </c>
      <c r="Q27" s="68"/>
      <c r="S27" s="92" t="s">
        <v>159</v>
      </c>
      <c r="T27" s="21" t="s">
        <v>20</v>
      </c>
      <c r="U27" s="60"/>
      <c r="V27" s="22" t="s">
        <v>1</v>
      </c>
      <c r="W27" s="52">
        <f>W13</f>
        <v>47500</v>
      </c>
      <c r="X27" s="53">
        <f>Y27/W27</f>
        <v>417.73015459861779</v>
      </c>
      <c r="Y27" s="52">
        <f>SUM(Y28:Y31)</f>
        <v>19842182.343434345</v>
      </c>
      <c r="Z27" s="68"/>
      <c r="AB27" s="92" t="s">
        <v>159</v>
      </c>
      <c r="AC27" s="21" t="s">
        <v>20</v>
      </c>
      <c r="AD27" s="60"/>
      <c r="AE27" s="22" t="s">
        <v>1</v>
      </c>
      <c r="AF27" s="52">
        <f>AF13</f>
        <v>85500</v>
      </c>
      <c r="AG27" s="53">
        <f>AH27/AF27</f>
        <v>394.33834173312067</v>
      </c>
      <c r="AH27" s="52">
        <f>SUM(AH28:AH31)</f>
        <v>33715928.218181819</v>
      </c>
      <c r="AI27" s="68"/>
      <c r="AK27" s="92" t="s">
        <v>159</v>
      </c>
      <c r="AL27" s="21" t="s">
        <v>20</v>
      </c>
      <c r="AM27" s="60"/>
      <c r="AN27" s="22" t="s">
        <v>1</v>
      </c>
      <c r="AO27" s="52">
        <f>AO13</f>
        <v>95000</v>
      </c>
      <c r="AP27" s="53">
        <f>AQ27/AO27</f>
        <v>386.15120723019675</v>
      </c>
      <c r="AQ27" s="52">
        <f>SUM(AQ28:AQ31)</f>
        <v>36684364.68686869</v>
      </c>
      <c r="AR27" s="68"/>
      <c r="AT27" s="92" t="s">
        <v>159</v>
      </c>
      <c r="AU27" s="21" t="s">
        <v>20</v>
      </c>
      <c r="AV27" s="60"/>
      <c r="AW27" s="22" t="s">
        <v>1</v>
      </c>
      <c r="AX27" s="52">
        <f>AX13</f>
        <v>142500</v>
      </c>
      <c r="AY27" s="53">
        <f>AZ27/AX27</f>
        <v>375.62489144072305</v>
      </c>
      <c r="AZ27" s="52">
        <f>SUM(AZ28:AZ31)</f>
        <v>53526547.030303031</v>
      </c>
      <c r="BA27" s="68"/>
    </row>
    <row r="28" spans="1:53" s="84" customFormat="1" ht="76.5" customHeight="1" outlineLevel="1" x14ac:dyDescent="0.35">
      <c r="A28" s="91" t="s">
        <v>160</v>
      </c>
      <c r="B28" s="90" t="s">
        <v>21</v>
      </c>
      <c r="C28" s="79" t="s">
        <v>93</v>
      </c>
      <c r="D28" s="86" t="s">
        <v>153</v>
      </c>
      <c r="E28" s="81">
        <f>(2+10+(7.5+75)*0.4+1)*8*26*(C5/900/8)</f>
        <v>30666.666666666668</v>
      </c>
      <c r="F28" s="82">
        <f>(1.5*3640+6.5*1987)/8</f>
        <v>2296.9375</v>
      </c>
      <c r="G28" s="82">
        <f>F28*E28</f>
        <v>70439416.666666672</v>
      </c>
      <c r="H28" s="87" t="s">
        <v>120</v>
      </c>
      <c r="J28" s="91" t="s">
        <v>160</v>
      </c>
      <c r="K28" s="90" t="s">
        <v>21</v>
      </c>
      <c r="L28" s="79" t="s">
        <v>93</v>
      </c>
      <c r="M28" s="86" t="s">
        <v>153</v>
      </c>
      <c r="N28" s="81">
        <f>(2+10+(7.5+75)*0.4+1)*8*26*(L5/900/8)</f>
        <v>1533.3333333333333</v>
      </c>
      <c r="O28" s="82">
        <f>(1.5*3640+6.5*1987)/8</f>
        <v>2296.9375</v>
      </c>
      <c r="P28" s="82">
        <f>O28*N28</f>
        <v>3521970.833333333</v>
      </c>
      <c r="Q28" s="87" t="s">
        <v>120</v>
      </c>
      <c r="S28" s="91" t="s">
        <v>160</v>
      </c>
      <c r="T28" s="90" t="s">
        <v>21</v>
      </c>
      <c r="U28" s="79" t="s">
        <v>93</v>
      </c>
      <c r="V28" s="86" t="s">
        <v>153</v>
      </c>
      <c r="W28" s="81">
        <f>(2+10+(7.5+75)*0.4+1)*8*26*(U5/900/8)</f>
        <v>2555.5555555555557</v>
      </c>
      <c r="X28" s="82">
        <f>(1.5*3640+6.5*1987)/8</f>
        <v>2296.9375</v>
      </c>
      <c r="Y28" s="82">
        <f>X28*W28</f>
        <v>5869951.388888889</v>
      </c>
      <c r="Z28" s="87" t="s">
        <v>120</v>
      </c>
      <c r="AB28" s="91" t="s">
        <v>160</v>
      </c>
      <c r="AC28" s="90" t="s">
        <v>21</v>
      </c>
      <c r="AD28" s="79" t="s">
        <v>93</v>
      </c>
      <c r="AE28" s="86" t="s">
        <v>153</v>
      </c>
      <c r="AF28" s="81">
        <f>(2+10+(7.5+75)*0.4+1)*8*26*(AD5/900/8)</f>
        <v>4600</v>
      </c>
      <c r="AG28" s="82">
        <f>(1.5*3640+6.5*1987)/8</f>
        <v>2296.9375</v>
      </c>
      <c r="AH28" s="82">
        <f>AG28*AF28</f>
        <v>10565912.5</v>
      </c>
      <c r="AI28" s="87" t="s">
        <v>120</v>
      </c>
      <c r="AK28" s="91" t="s">
        <v>160</v>
      </c>
      <c r="AL28" s="90" t="s">
        <v>21</v>
      </c>
      <c r="AM28" s="79" t="s">
        <v>93</v>
      </c>
      <c r="AN28" s="86" t="s">
        <v>153</v>
      </c>
      <c r="AO28" s="81">
        <f>(2+10+(7.5+75)*0.4+1)*8*26*(AM5/900/8)</f>
        <v>5111.1111111111113</v>
      </c>
      <c r="AP28" s="82">
        <f>(1.5*3640+6.5*1987)/8</f>
        <v>2296.9375</v>
      </c>
      <c r="AQ28" s="82">
        <f>AP28*AO28</f>
        <v>11739902.777777778</v>
      </c>
      <c r="AR28" s="87" t="s">
        <v>120</v>
      </c>
      <c r="AT28" s="91" t="s">
        <v>160</v>
      </c>
      <c r="AU28" s="90" t="s">
        <v>21</v>
      </c>
      <c r="AV28" s="79" t="s">
        <v>93</v>
      </c>
      <c r="AW28" s="86" t="s">
        <v>153</v>
      </c>
      <c r="AX28" s="81">
        <f>(2+10+(7.5+75)*0.4+1)*8*26*(AV5/900/8)</f>
        <v>7666.666666666667</v>
      </c>
      <c r="AY28" s="82">
        <f>(1.5*3640+6.5*1987)/8</f>
        <v>2296.9375</v>
      </c>
      <c r="AZ28" s="82">
        <f>AY28*AX28</f>
        <v>17609854.166666668</v>
      </c>
      <c r="BA28" s="87" t="s">
        <v>120</v>
      </c>
    </row>
    <row r="29" spans="1:53" s="84" customFormat="1" ht="28.5" customHeight="1" outlineLevel="1" x14ac:dyDescent="0.35">
      <c r="A29" s="91" t="s">
        <v>161</v>
      </c>
      <c r="B29" s="90" t="s">
        <v>138</v>
      </c>
      <c r="C29" s="83"/>
      <c r="D29" s="86" t="s">
        <v>1</v>
      </c>
      <c r="E29" s="81">
        <f>0.26*(E27/110)*1.05</f>
        <v>1414.6363636363637</v>
      </c>
      <c r="F29" s="82">
        <v>50926</v>
      </c>
      <c r="G29" s="82">
        <f>F29*E29</f>
        <v>72041771.454545453</v>
      </c>
      <c r="H29" s="87" t="str">
        <f>"110 kg/kiện &lt;=&gt; ~"&amp; ROUNDUP(E27/110,0)&amp;" kiện, 0,26kg dây/kiện, hao hụt đứt dây 5%"</f>
        <v>110 kg/kiện &lt;=&gt; ~5182 kiện, 0,26kg dây/kiện, hao hụt đứt dây 5%</v>
      </c>
      <c r="I29" s="88"/>
      <c r="J29" s="91" t="s">
        <v>161</v>
      </c>
      <c r="K29" s="90" t="s">
        <v>138</v>
      </c>
      <c r="L29" s="83"/>
      <c r="M29" s="86" t="s">
        <v>1</v>
      </c>
      <c r="N29" s="81">
        <f>0.26*(N27/110)*1.05</f>
        <v>70.731818181818184</v>
      </c>
      <c r="O29" s="82">
        <v>50926</v>
      </c>
      <c r="P29" s="82">
        <f>O29*N29</f>
        <v>3602088.5727272728</v>
      </c>
      <c r="Q29" s="87" t="str">
        <f>"110 kg/kiện &lt;=&gt; ~"&amp; ROUNDUP(N27/110,0)&amp;" kiện, 0,26kg dây/kiện, hao hụt đứt dây 5%"</f>
        <v>110 kg/kiện &lt;=&gt; ~260 kiện, 0,26kg dây/kiện, hao hụt đứt dây 5%</v>
      </c>
      <c r="S29" s="91" t="s">
        <v>161</v>
      </c>
      <c r="T29" s="90" t="s">
        <v>138</v>
      </c>
      <c r="U29" s="83"/>
      <c r="V29" s="86" t="s">
        <v>1</v>
      </c>
      <c r="W29" s="81">
        <f>0.26*(W27/110)*1.05</f>
        <v>117.88636363636365</v>
      </c>
      <c r="X29" s="82">
        <v>50926</v>
      </c>
      <c r="Y29" s="82">
        <f>X29*W29</f>
        <v>6003480.9545454551</v>
      </c>
      <c r="Z29" s="87" t="str">
        <f>"110 kg/kiện &lt;=&gt; ~"&amp; ROUNDUP(W27/110,0)&amp;" kiện, 0,26kg dây/kiện, hao hụt đứt dây 5%"</f>
        <v>110 kg/kiện &lt;=&gt; ~432 kiện, 0,26kg dây/kiện, hao hụt đứt dây 5%</v>
      </c>
      <c r="AB29" s="91" t="s">
        <v>161</v>
      </c>
      <c r="AC29" s="90" t="s">
        <v>138</v>
      </c>
      <c r="AD29" s="83"/>
      <c r="AE29" s="86" t="s">
        <v>1</v>
      </c>
      <c r="AF29" s="81">
        <f>0.26*(AF27/110)*1.05</f>
        <v>212.19545454545457</v>
      </c>
      <c r="AG29" s="82">
        <v>50926</v>
      </c>
      <c r="AH29" s="82">
        <f>AG29*AF29</f>
        <v>10806265.718181819</v>
      </c>
      <c r="AI29" s="87" t="str">
        <f>"110 kg/kiện &lt;=&gt; ~"&amp; ROUNDUP(AF27/110,0)&amp;" kiện, 0,26kg dây/kiện, hao hụt đứt dây 5%"</f>
        <v>110 kg/kiện &lt;=&gt; ~778 kiện, 0,26kg dây/kiện, hao hụt đứt dây 5%</v>
      </c>
      <c r="AK29" s="91" t="s">
        <v>161</v>
      </c>
      <c r="AL29" s="90" t="s">
        <v>138</v>
      </c>
      <c r="AM29" s="83"/>
      <c r="AN29" s="86" t="s">
        <v>1</v>
      </c>
      <c r="AO29" s="81">
        <f>0.26*(AO27/110)*1.05</f>
        <v>235.77272727272731</v>
      </c>
      <c r="AP29" s="82">
        <v>50926</v>
      </c>
      <c r="AQ29" s="82">
        <f>AP29*AO29</f>
        <v>12006961.90909091</v>
      </c>
      <c r="AR29" s="87" t="str">
        <f>"110 kg/kiện &lt;=&gt; ~"&amp; ROUNDUP(AO27/110,0)&amp;" kiện, 0,26kg dây/kiện, hao hụt đứt dây 5%"</f>
        <v>110 kg/kiện &lt;=&gt; ~864 kiện, 0,26kg dây/kiện, hao hụt đứt dây 5%</v>
      </c>
      <c r="AT29" s="91" t="s">
        <v>161</v>
      </c>
      <c r="AU29" s="90" t="s">
        <v>138</v>
      </c>
      <c r="AV29" s="83"/>
      <c r="AW29" s="86" t="s">
        <v>1</v>
      </c>
      <c r="AX29" s="81">
        <f>0.26*(AX27/110)*1.05</f>
        <v>353.65909090909093</v>
      </c>
      <c r="AY29" s="82">
        <v>50926</v>
      </c>
      <c r="AZ29" s="82">
        <f>AY29*AX29</f>
        <v>18010442.863636363</v>
      </c>
      <c r="BA29" s="87" t="str">
        <f>"110 kg/kiện &lt;=&gt; ~"&amp; ROUNDUP(AX27/110,0)&amp;" kiện, 0,26kg dây/kiện, hao hụt đứt dây 5%"</f>
        <v>110 kg/kiện &lt;=&gt; ~1296 kiện, 0,26kg dây/kiện, hao hụt đứt dây 5%</v>
      </c>
    </row>
    <row r="30" spans="1:53" s="84" customFormat="1" ht="28.5" customHeight="1" outlineLevel="1" x14ac:dyDescent="0.35">
      <c r="A30" s="91" t="s">
        <v>162</v>
      </c>
      <c r="B30" s="90" t="s">
        <v>22</v>
      </c>
      <c r="C30" s="89"/>
      <c r="D30" s="86" t="s">
        <v>1</v>
      </c>
      <c r="E30" s="81">
        <f>E27</f>
        <v>570000</v>
      </c>
      <c r="F30" s="82">
        <f>10000000/160000</f>
        <v>62.5</v>
      </c>
      <c r="G30" s="82">
        <f>F30*E30</f>
        <v>35625000</v>
      </c>
      <c r="H30" s="87" t="s">
        <v>94</v>
      </c>
      <c r="J30" s="91" t="s">
        <v>162</v>
      </c>
      <c r="K30" s="90" t="s">
        <v>22</v>
      </c>
      <c r="L30" s="89"/>
      <c r="M30" s="86" t="s">
        <v>1</v>
      </c>
      <c r="N30" s="81">
        <f>N27</f>
        <v>28500</v>
      </c>
      <c r="O30" s="82">
        <f>10000000/160000</f>
        <v>62.5</v>
      </c>
      <c r="P30" s="82">
        <f>O30*N30</f>
        <v>1781250</v>
      </c>
      <c r="Q30" s="87" t="s">
        <v>94</v>
      </c>
      <c r="S30" s="91" t="s">
        <v>162</v>
      </c>
      <c r="T30" s="90" t="s">
        <v>22</v>
      </c>
      <c r="U30" s="89"/>
      <c r="V30" s="86" t="s">
        <v>1</v>
      </c>
      <c r="W30" s="81">
        <f>W27</f>
        <v>47500</v>
      </c>
      <c r="X30" s="82">
        <f>10000000/160000</f>
        <v>62.5</v>
      </c>
      <c r="Y30" s="82">
        <f>X30*W30</f>
        <v>2968750</v>
      </c>
      <c r="Z30" s="87" t="s">
        <v>94</v>
      </c>
      <c r="AB30" s="91" t="s">
        <v>162</v>
      </c>
      <c r="AC30" s="90" t="s">
        <v>22</v>
      </c>
      <c r="AD30" s="89"/>
      <c r="AE30" s="86" t="s">
        <v>1</v>
      </c>
      <c r="AF30" s="81">
        <f>AF27</f>
        <v>85500</v>
      </c>
      <c r="AG30" s="82">
        <f>10000000/160000</f>
        <v>62.5</v>
      </c>
      <c r="AH30" s="82">
        <f>AG30*AF30</f>
        <v>5343750</v>
      </c>
      <c r="AI30" s="87" t="s">
        <v>94</v>
      </c>
      <c r="AK30" s="91" t="s">
        <v>162</v>
      </c>
      <c r="AL30" s="90" t="s">
        <v>22</v>
      </c>
      <c r="AM30" s="89"/>
      <c r="AN30" s="86" t="s">
        <v>1</v>
      </c>
      <c r="AO30" s="81">
        <f>AO27</f>
        <v>95000</v>
      </c>
      <c r="AP30" s="82">
        <f>10000000/160000</f>
        <v>62.5</v>
      </c>
      <c r="AQ30" s="82">
        <f>AP30*AO30</f>
        <v>5937500</v>
      </c>
      <c r="AR30" s="87" t="s">
        <v>94</v>
      </c>
      <c r="AT30" s="91" t="s">
        <v>162</v>
      </c>
      <c r="AU30" s="90" t="s">
        <v>22</v>
      </c>
      <c r="AV30" s="89"/>
      <c r="AW30" s="86" t="s">
        <v>1</v>
      </c>
      <c r="AX30" s="81">
        <f>AX27</f>
        <v>142500</v>
      </c>
      <c r="AY30" s="82">
        <f>10000000/160000</f>
        <v>62.5</v>
      </c>
      <c r="AZ30" s="82">
        <f>AY30*AX30</f>
        <v>8906250</v>
      </c>
      <c r="BA30" s="87" t="s">
        <v>94</v>
      </c>
    </row>
    <row r="31" spans="1:53" s="84" customFormat="1" ht="28.5" customHeight="1" outlineLevel="1" x14ac:dyDescent="0.35">
      <c r="A31" s="91" t="s">
        <v>163</v>
      </c>
      <c r="B31" s="90" t="s">
        <v>95</v>
      </c>
      <c r="C31" s="89"/>
      <c r="D31" s="86" t="s">
        <v>155</v>
      </c>
      <c r="E31" s="82">
        <v>1</v>
      </c>
      <c r="F31" s="82">
        <v>10000000</v>
      </c>
      <c r="G31" s="82">
        <f>F31*E31</f>
        <v>10000000</v>
      </c>
      <c r="H31" s="87" t="s">
        <v>201</v>
      </c>
      <c r="J31" s="91" t="s">
        <v>163</v>
      </c>
      <c r="K31" s="90" t="s">
        <v>95</v>
      </c>
      <c r="L31" s="89"/>
      <c r="M31" s="86" t="s">
        <v>155</v>
      </c>
      <c r="N31" s="82">
        <v>1</v>
      </c>
      <c r="O31" s="82">
        <v>4000000</v>
      </c>
      <c r="P31" s="82">
        <f>O31*N31</f>
        <v>4000000</v>
      </c>
      <c r="Q31" s="87" t="s">
        <v>201</v>
      </c>
      <c r="S31" s="91" t="s">
        <v>163</v>
      </c>
      <c r="T31" s="90" t="s">
        <v>95</v>
      </c>
      <c r="U31" s="89"/>
      <c r="V31" s="86" t="s">
        <v>155</v>
      </c>
      <c r="W31" s="82">
        <v>1</v>
      </c>
      <c r="X31" s="82">
        <v>5000000</v>
      </c>
      <c r="Y31" s="82">
        <f>X31*W31</f>
        <v>5000000</v>
      </c>
      <c r="Z31" s="87" t="s">
        <v>96</v>
      </c>
      <c r="AB31" s="91" t="s">
        <v>163</v>
      </c>
      <c r="AC31" s="90" t="s">
        <v>95</v>
      </c>
      <c r="AD31" s="89"/>
      <c r="AE31" s="86" t="s">
        <v>155</v>
      </c>
      <c r="AF31" s="82">
        <v>1</v>
      </c>
      <c r="AG31" s="82">
        <v>7000000</v>
      </c>
      <c r="AH31" s="82">
        <f>AG31*AF31</f>
        <v>7000000</v>
      </c>
      <c r="AI31" s="87" t="s">
        <v>96</v>
      </c>
      <c r="AK31" s="91" t="s">
        <v>163</v>
      </c>
      <c r="AL31" s="90" t="s">
        <v>95</v>
      </c>
      <c r="AM31" s="89"/>
      <c r="AN31" s="86" t="s">
        <v>155</v>
      </c>
      <c r="AO31" s="82">
        <v>1</v>
      </c>
      <c r="AP31" s="82">
        <v>7000000</v>
      </c>
      <c r="AQ31" s="82">
        <f>AP31*AO31</f>
        <v>7000000</v>
      </c>
      <c r="AR31" s="87" t="s">
        <v>96</v>
      </c>
      <c r="AT31" s="91" t="s">
        <v>163</v>
      </c>
      <c r="AU31" s="90" t="s">
        <v>95</v>
      </c>
      <c r="AV31" s="89"/>
      <c r="AW31" s="86" t="s">
        <v>155</v>
      </c>
      <c r="AX31" s="82">
        <v>1</v>
      </c>
      <c r="AY31" s="82">
        <v>9000000</v>
      </c>
      <c r="AZ31" s="82">
        <f>AY31*AX31</f>
        <v>9000000</v>
      </c>
      <c r="BA31" s="87" t="s">
        <v>96</v>
      </c>
    </row>
    <row r="32" spans="1:53" x14ac:dyDescent="0.35">
      <c r="A32" s="131">
        <v>3</v>
      </c>
      <c r="B32" s="132" t="s">
        <v>23</v>
      </c>
      <c r="C32" s="132"/>
      <c r="D32" s="136" t="s">
        <v>1</v>
      </c>
      <c r="E32" s="134">
        <f>E13</f>
        <v>570000</v>
      </c>
      <c r="F32" s="137">
        <f>G32/E32</f>
        <v>377.90350877192981</v>
      </c>
      <c r="G32" s="134">
        <f>SUM(G33:G37)</f>
        <v>215405000</v>
      </c>
      <c r="H32" s="138"/>
      <c r="J32" s="131">
        <v>3</v>
      </c>
      <c r="K32" s="132" t="s">
        <v>23</v>
      </c>
      <c r="L32" s="132"/>
      <c r="M32" s="136" t="s">
        <v>1</v>
      </c>
      <c r="N32" s="134">
        <f>N13</f>
        <v>28500</v>
      </c>
      <c r="O32" s="137">
        <f>P32/N32</f>
        <v>908.07017543859649</v>
      </c>
      <c r="P32" s="134">
        <f>SUM(P33:P37)</f>
        <v>25880000</v>
      </c>
      <c r="Q32" s="138"/>
      <c r="S32" s="131">
        <v>3</v>
      </c>
      <c r="T32" s="132" t="s">
        <v>23</v>
      </c>
      <c r="U32" s="132"/>
      <c r="V32" s="136" t="s">
        <v>1</v>
      </c>
      <c r="W32" s="134">
        <f>W13</f>
        <v>47500</v>
      </c>
      <c r="X32" s="137">
        <f>Y32/W32</f>
        <v>565.89473684210532</v>
      </c>
      <c r="Y32" s="134">
        <f>SUM(Y33:Y37)</f>
        <v>26880000</v>
      </c>
      <c r="Z32" s="138"/>
      <c r="AB32" s="131">
        <v>3</v>
      </c>
      <c r="AC32" s="132" t="s">
        <v>23</v>
      </c>
      <c r="AD32" s="132"/>
      <c r="AE32" s="136" t="s">
        <v>1</v>
      </c>
      <c r="AF32" s="134">
        <f>AF13</f>
        <v>85500</v>
      </c>
      <c r="AG32" s="137">
        <f>AH32/AF32</f>
        <v>612.9239766081871</v>
      </c>
      <c r="AH32" s="134">
        <f>SUM(AH33:AH37)</f>
        <v>52405000</v>
      </c>
      <c r="AI32" s="138"/>
      <c r="AK32" s="131">
        <v>3</v>
      </c>
      <c r="AL32" s="132" t="s">
        <v>23</v>
      </c>
      <c r="AM32" s="132"/>
      <c r="AN32" s="136" t="s">
        <v>1</v>
      </c>
      <c r="AO32" s="134">
        <f>AO13</f>
        <v>95000</v>
      </c>
      <c r="AP32" s="137">
        <f>AQ32/AO32</f>
        <v>551.63157894736844</v>
      </c>
      <c r="AQ32" s="134">
        <f>SUM(AQ33:AQ37)</f>
        <v>52405000</v>
      </c>
      <c r="AR32" s="138"/>
      <c r="AT32" s="131">
        <v>3</v>
      </c>
      <c r="AU32" s="132" t="s">
        <v>23</v>
      </c>
      <c r="AV32" s="132"/>
      <c r="AW32" s="136" t="s">
        <v>1</v>
      </c>
      <c r="AX32" s="134">
        <f>AX13</f>
        <v>142500</v>
      </c>
      <c r="AY32" s="137">
        <f>AZ32/AX32</f>
        <v>381.78947368421052</v>
      </c>
      <c r="AZ32" s="134">
        <f>SUM(AZ33:AZ37)</f>
        <v>54405000</v>
      </c>
      <c r="BA32" s="138"/>
    </row>
    <row r="33" spans="1:53" ht="22.5" customHeight="1" x14ac:dyDescent="0.35">
      <c r="A33" s="92" t="s">
        <v>164</v>
      </c>
      <c r="B33" s="93" t="s">
        <v>97</v>
      </c>
      <c r="C33" s="21"/>
      <c r="D33" s="22" t="s">
        <v>152</v>
      </c>
      <c r="E33" s="65">
        <v>1</v>
      </c>
      <c r="F33" s="66">
        <f>'Chi phí sản xuất'!$D$18</f>
        <v>23525000</v>
      </c>
      <c r="G33" s="52">
        <f>F33*E33</f>
        <v>23525000</v>
      </c>
      <c r="H33" s="68" t="s">
        <v>127</v>
      </c>
      <c r="J33" s="92" t="s">
        <v>164</v>
      </c>
      <c r="K33" s="93" t="s">
        <v>97</v>
      </c>
      <c r="L33" s="21"/>
      <c r="M33" s="22" t="s">
        <v>152</v>
      </c>
      <c r="N33" s="65">
        <v>0</v>
      </c>
      <c r="O33" s="66">
        <f>'Chi phí sản xuất'!$D$18</f>
        <v>23525000</v>
      </c>
      <c r="P33" s="52">
        <f>O33*N33</f>
        <v>0</v>
      </c>
      <c r="Q33" s="68" t="s">
        <v>127</v>
      </c>
      <c r="S33" s="92" t="s">
        <v>164</v>
      </c>
      <c r="T33" s="93" t="s">
        <v>97</v>
      </c>
      <c r="U33" s="21"/>
      <c r="V33" s="22" t="s">
        <v>152</v>
      </c>
      <c r="W33" s="65">
        <v>0</v>
      </c>
      <c r="X33" s="66">
        <f>'Chi phí sản xuất'!$D$18</f>
        <v>23525000</v>
      </c>
      <c r="Y33" s="52">
        <f>X33*W33</f>
        <v>0</v>
      </c>
      <c r="Z33" s="68" t="s">
        <v>127</v>
      </c>
      <c r="AB33" s="92" t="s">
        <v>164</v>
      </c>
      <c r="AC33" s="93" t="s">
        <v>97</v>
      </c>
      <c r="AD33" s="21"/>
      <c r="AE33" s="22" t="s">
        <v>152</v>
      </c>
      <c r="AF33" s="65">
        <v>1</v>
      </c>
      <c r="AG33" s="66">
        <f>'Chi phí sản xuất'!$D$18</f>
        <v>23525000</v>
      </c>
      <c r="AH33" s="52">
        <f>AG33*AF33</f>
        <v>23525000</v>
      </c>
      <c r="AI33" s="68" t="s">
        <v>127</v>
      </c>
      <c r="AK33" s="92" t="s">
        <v>164</v>
      </c>
      <c r="AL33" s="93" t="s">
        <v>97</v>
      </c>
      <c r="AM33" s="21"/>
      <c r="AN33" s="22" t="s">
        <v>152</v>
      </c>
      <c r="AO33" s="65">
        <v>1</v>
      </c>
      <c r="AP33" s="66">
        <f>'Chi phí sản xuất'!$D$18</f>
        <v>23525000</v>
      </c>
      <c r="AQ33" s="52">
        <f>AP33*AO33</f>
        <v>23525000</v>
      </c>
      <c r="AR33" s="68" t="s">
        <v>127</v>
      </c>
      <c r="AT33" s="92" t="s">
        <v>164</v>
      </c>
      <c r="AU33" s="93" t="s">
        <v>97</v>
      </c>
      <c r="AV33" s="21"/>
      <c r="AW33" s="22" t="s">
        <v>152</v>
      </c>
      <c r="AX33" s="65">
        <v>1</v>
      </c>
      <c r="AY33" s="66">
        <f>'Chi phí sản xuất'!$D$18</f>
        <v>23525000</v>
      </c>
      <c r="AZ33" s="52">
        <f>AY33*AX33</f>
        <v>23525000</v>
      </c>
      <c r="BA33" s="68" t="s">
        <v>127</v>
      </c>
    </row>
    <row r="34" spans="1:53" ht="22.5" customHeight="1" x14ac:dyDescent="0.35">
      <c r="A34" s="92" t="s">
        <v>165</v>
      </c>
      <c r="B34" s="93" t="s">
        <v>144</v>
      </c>
      <c r="C34" s="21"/>
      <c r="D34" s="22" t="s">
        <v>152</v>
      </c>
      <c r="E34" s="65">
        <v>1</v>
      </c>
      <c r="F34" s="66">
        <f>'Chi phí sản xuất'!$E$10</f>
        <v>11880000</v>
      </c>
      <c r="G34" s="52">
        <f>F34*E34</f>
        <v>11880000</v>
      </c>
      <c r="H34" s="68"/>
      <c r="J34" s="92" t="s">
        <v>165</v>
      </c>
      <c r="K34" s="93" t="s">
        <v>144</v>
      </c>
      <c r="L34" s="21"/>
      <c r="M34" s="22" t="s">
        <v>152</v>
      </c>
      <c r="N34" s="65">
        <v>1</v>
      </c>
      <c r="O34" s="66">
        <f>'Chi phí sản xuất'!$E$10</f>
        <v>11880000</v>
      </c>
      <c r="P34" s="52">
        <f>O34*N34</f>
        <v>11880000</v>
      </c>
      <c r="Q34" s="68"/>
      <c r="S34" s="92" t="s">
        <v>165</v>
      </c>
      <c r="T34" s="93" t="s">
        <v>144</v>
      </c>
      <c r="U34" s="21"/>
      <c r="V34" s="22" t="s">
        <v>152</v>
      </c>
      <c r="W34" s="65">
        <v>1</v>
      </c>
      <c r="X34" s="66">
        <f>'Chi phí sản xuất'!$E$10</f>
        <v>11880000</v>
      </c>
      <c r="Y34" s="52">
        <f>X34*W34</f>
        <v>11880000</v>
      </c>
      <c r="Z34" s="68"/>
      <c r="AB34" s="92" t="s">
        <v>165</v>
      </c>
      <c r="AC34" s="93" t="s">
        <v>144</v>
      </c>
      <c r="AD34" s="21"/>
      <c r="AE34" s="22" t="s">
        <v>152</v>
      </c>
      <c r="AF34" s="65">
        <v>1</v>
      </c>
      <c r="AG34" s="66">
        <f>'Chi phí sản xuất'!$E$10</f>
        <v>11880000</v>
      </c>
      <c r="AH34" s="52">
        <f>AG34*AF34</f>
        <v>11880000</v>
      </c>
      <c r="AI34" s="68"/>
      <c r="AK34" s="92" t="s">
        <v>165</v>
      </c>
      <c r="AL34" s="93" t="s">
        <v>144</v>
      </c>
      <c r="AM34" s="21"/>
      <c r="AN34" s="22" t="s">
        <v>152</v>
      </c>
      <c r="AO34" s="65">
        <v>1</v>
      </c>
      <c r="AP34" s="66">
        <f>'Chi phí sản xuất'!$E$10</f>
        <v>11880000</v>
      </c>
      <c r="AQ34" s="52">
        <f>AP34*AO34</f>
        <v>11880000</v>
      </c>
      <c r="AR34" s="68"/>
      <c r="AT34" s="92" t="s">
        <v>165</v>
      </c>
      <c r="AU34" s="93" t="s">
        <v>144</v>
      </c>
      <c r="AV34" s="21"/>
      <c r="AW34" s="22" t="s">
        <v>152</v>
      </c>
      <c r="AX34" s="65">
        <v>1</v>
      </c>
      <c r="AY34" s="66">
        <f>'Chi phí sản xuất'!$E$10</f>
        <v>11880000</v>
      </c>
      <c r="AZ34" s="52">
        <f>AY34*AX34</f>
        <v>11880000</v>
      </c>
      <c r="BA34" s="68"/>
    </row>
    <row r="35" spans="1:53" ht="22.5" customHeight="1" x14ac:dyDescent="0.35">
      <c r="A35" s="92" t="s">
        <v>166</v>
      </c>
      <c r="B35" s="93" t="s">
        <v>123</v>
      </c>
      <c r="C35" s="21"/>
      <c r="D35" s="22" t="s">
        <v>152</v>
      </c>
      <c r="E35" s="65">
        <v>1</v>
      </c>
      <c r="F35" s="66">
        <f>'Chi phí sản xuất'!$D$16</f>
        <v>10000000</v>
      </c>
      <c r="G35" s="52">
        <f>F35*E35</f>
        <v>10000000</v>
      </c>
      <c r="H35" s="68"/>
      <c r="J35" s="92" t="s">
        <v>166</v>
      </c>
      <c r="K35" s="93" t="s">
        <v>123</v>
      </c>
      <c r="L35" s="21"/>
      <c r="M35" s="22" t="s">
        <v>152</v>
      </c>
      <c r="N35" s="65">
        <v>1</v>
      </c>
      <c r="O35" s="66">
        <f>'Chi phí sản xuất'!$D$16</f>
        <v>10000000</v>
      </c>
      <c r="P35" s="52">
        <f>O35*N35</f>
        <v>10000000</v>
      </c>
      <c r="Q35" s="68"/>
      <c r="S35" s="92" t="s">
        <v>166</v>
      </c>
      <c r="T35" s="93" t="s">
        <v>123</v>
      </c>
      <c r="U35" s="21"/>
      <c r="V35" s="22" t="s">
        <v>152</v>
      </c>
      <c r="W35" s="65">
        <v>1</v>
      </c>
      <c r="X35" s="66">
        <f>'Chi phí sản xuất'!$D$16</f>
        <v>10000000</v>
      </c>
      <c r="Y35" s="52">
        <f>X35*W35</f>
        <v>10000000</v>
      </c>
      <c r="Z35" s="68"/>
      <c r="AB35" s="92" t="s">
        <v>166</v>
      </c>
      <c r="AC35" s="93" t="s">
        <v>123</v>
      </c>
      <c r="AD35" s="21"/>
      <c r="AE35" s="22" t="s">
        <v>152</v>
      </c>
      <c r="AF35" s="65">
        <v>1</v>
      </c>
      <c r="AG35" s="66">
        <f>'Chi phí sản xuất'!$D$16</f>
        <v>10000000</v>
      </c>
      <c r="AH35" s="52">
        <f>AG35*AF35</f>
        <v>10000000</v>
      </c>
      <c r="AI35" s="68"/>
      <c r="AK35" s="92" t="s">
        <v>166</v>
      </c>
      <c r="AL35" s="93" t="s">
        <v>123</v>
      </c>
      <c r="AM35" s="21"/>
      <c r="AN35" s="22" t="s">
        <v>152</v>
      </c>
      <c r="AO35" s="65">
        <v>1</v>
      </c>
      <c r="AP35" s="66">
        <f>'Chi phí sản xuất'!$D$16</f>
        <v>10000000</v>
      </c>
      <c r="AQ35" s="52">
        <f>AP35*AO35</f>
        <v>10000000</v>
      </c>
      <c r="AR35" s="68"/>
      <c r="AT35" s="92" t="s">
        <v>166</v>
      </c>
      <c r="AU35" s="93" t="s">
        <v>123</v>
      </c>
      <c r="AV35" s="21"/>
      <c r="AW35" s="22" t="s">
        <v>152</v>
      </c>
      <c r="AX35" s="65">
        <v>1</v>
      </c>
      <c r="AY35" s="66">
        <f>'Chi phí sản xuất'!$D$16</f>
        <v>10000000</v>
      </c>
      <c r="AZ35" s="52">
        <f>AY35*AX35</f>
        <v>10000000</v>
      </c>
      <c r="BA35" s="68"/>
    </row>
    <row r="36" spans="1:53" ht="18.75" customHeight="1" x14ac:dyDescent="0.35">
      <c r="A36" s="92" t="s">
        <v>167</v>
      </c>
      <c r="B36" s="93" t="s">
        <v>24</v>
      </c>
      <c r="C36" s="60"/>
      <c r="D36" s="22" t="s">
        <v>152</v>
      </c>
      <c r="E36" s="65">
        <v>1</v>
      </c>
      <c r="F36" s="66">
        <v>160000000</v>
      </c>
      <c r="G36" s="52">
        <f>F36*E36</f>
        <v>160000000</v>
      </c>
      <c r="H36" s="21"/>
      <c r="J36" s="92" t="s">
        <v>167</v>
      </c>
      <c r="K36" s="93" t="s">
        <v>24</v>
      </c>
      <c r="L36" s="60"/>
      <c r="M36" s="22" t="s">
        <v>152</v>
      </c>
      <c r="N36" s="65">
        <v>0</v>
      </c>
      <c r="O36" s="66">
        <v>60000000</v>
      </c>
      <c r="P36" s="52">
        <f>O36*N36</f>
        <v>0</v>
      </c>
      <c r="Q36" s="21"/>
      <c r="S36" s="92" t="s">
        <v>167</v>
      </c>
      <c r="T36" s="93" t="s">
        <v>24</v>
      </c>
      <c r="U36" s="60"/>
      <c r="V36" s="22" t="s">
        <v>152</v>
      </c>
      <c r="W36" s="65">
        <v>0</v>
      </c>
      <c r="X36" s="66">
        <v>60000000</v>
      </c>
      <c r="Y36" s="52">
        <f>X36*W36</f>
        <v>0</v>
      </c>
      <c r="Z36" s="21"/>
      <c r="AB36" s="92" t="s">
        <v>167</v>
      </c>
      <c r="AC36" s="93" t="s">
        <v>24</v>
      </c>
      <c r="AD36" s="60"/>
      <c r="AE36" s="22" t="s">
        <v>152</v>
      </c>
      <c r="AF36" s="65">
        <v>0</v>
      </c>
      <c r="AG36" s="66">
        <v>60000000</v>
      </c>
      <c r="AH36" s="52">
        <f>AG36*AF36</f>
        <v>0</v>
      </c>
      <c r="AI36" s="21"/>
      <c r="AK36" s="92" t="s">
        <v>167</v>
      </c>
      <c r="AL36" s="93" t="s">
        <v>24</v>
      </c>
      <c r="AM36" s="60"/>
      <c r="AN36" s="22" t="s">
        <v>152</v>
      </c>
      <c r="AO36" s="65">
        <v>0</v>
      </c>
      <c r="AP36" s="66">
        <v>60000000</v>
      </c>
      <c r="AQ36" s="52">
        <f>AP36*AO36</f>
        <v>0</v>
      </c>
      <c r="AR36" s="21"/>
      <c r="AT36" s="92" t="s">
        <v>167</v>
      </c>
      <c r="AU36" s="93" t="s">
        <v>24</v>
      </c>
      <c r="AV36" s="60"/>
      <c r="AW36" s="22" t="s">
        <v>152</v>
      </c>
      <c r="AX36" s="65">
        <v>0</v>
      </c>
      <c r="AY36" s="66">
        <v>60000000</v>
      </c>
      <c r="AZ36" s="52">
        <f>AY36*AX36</f>
        <v>0</v>
      </c>
      <c r="BA36" s="21"/>
    </row>
    <row r="37" spans="1:53" ht="29.25" customHeight="1" x14ac:dyDescent="0.35">
      <c r="A37" s="92" t="s">
        <v>168</v>
      </c>
      <c r="B37" s="94" t="s">
        <v>169</v>
      </c>
      <c r="C37" s="60"/>
      <c r="D37" s="22" t="s">
        <v>155</v>
      </c>
      <c r="E37" s="65">
        <v>1</v>
      </c>
      <c r="F37" s="66">
        <v>10000000</v>
      </c>
      <c r="G37" s="52">
        <f>F37*E37</f>
        <v>10000000</v>
      </c>
      <c r="H37" s="21"/>
      <c r="J37" s="92" t="s">
        <v>168</v>
      </c>
      <c r="K37" s="94" t="s">
        <v>169</v>
      </c>
      <c r="L37" s="60"/>
      <c r="M37" s="22" t="s">
        <v>155</v>
      </c>
      <c r="N37" s="65">
        <v>1</v>
      </c>
      <c r="O37" s="66">
        <v>4000000</v>
      </c>
      <c r="P37" s="52">
        <f>O37*N37</f>
        <v>4000000</v>
      </c>
      <c r="Q37" s="21"/>
      <c r="S37" s="92" t="s">
        <v>168</v>
      </c>
      <c r="T37" s="94" t="s">
        <v>169</v>
      </c>
      <c r="U37" s="60"/>
      <c r="V37" s="22" t="s">
        <v>155</v>
      </c>
      <c r="W37" s="65">
        <v>1</v>
      </c>
      <c r="X37" s="66">
        <v>5000000</v>
      </c>
      <c r="Y37" s="52">
        <f>X37*W37</f>
        <v>5000000</v>
      </c>
      <c r="Z37" s="21"/>
      <c r="AB37" s="92" t="s">
        <v>168</v>
      </c>
      <c r="AC37" s="94" t="s">
        <v>169</v>
      </c>
      <c r="AD37" s="60"/>
      <c r="AE37" s="22" t="s">
        <v>155</v>
      </c>
      <c r="AF37" s="65">
        <v>1</v>
      </c>
      <c r="AG37" s="66">
        <v>7000000</v>
      </c>
      <c r="AH37" s="52">
        <f>AG37*AF37</f>
        <v>7000000</v>
      </c>
      <c r="AI37" s="21"/>
      <c r="AK37" s="92" t="s">
        <v>168</v>
      </c>
      <c r="AL37" s="94" t="s">
        <v>169</v>
      </c>
      <c r="AM37" s="60"/>
      <c r="AN37" s="22" t="s">
        <v>155</v>
      </c>
      <c r="AO37" s="65">
        <v>1</v>
      </c>
      <c r="AP37" s="66">
        <v>7000000</v>
      </c>
      <c r="AQ37" s="52">
        <f>AP37*AO37</f>
        <v>7000000</v>
      </c>
      <c r="AR37" s="21"/>
      <c r="AT37" s="92" t="s">
        <v>168</v>
      </c>
      <c r="AU37" s="94" t="s">
        <v>169</v>
      </c>
      <c r="AV37" s="60"/>
      <c r="AW37" s="22" t="s">
        <v>155</v>
      </c>
      <c r="AX37" s="65">
        <v>1</v>
      </c>
      <c r="AY37" s="66">
        <v>9000000</v>
      </c>
      <c r="AZ37" s="52">
        <f>AY37*AX37</f>
        <v>9000000</v>
      </c>
      <c r="BA37" s="21"/>
    </row>
    <row r="38" spans="1:53" x14ac:dyDescent="0.35">
      <c r="A38" s="131">
        <v>4</v>
      </c>
      <c r="B38" s="132" t="s">
        <v>25</v>
      </c>
      <c r="C38" s="135"/>
      <c r="D38" s="136" t="s">
        <v>1</v>
      </c>
      <c r="E38" s="134">
        <f>E39</f>
        <v>0</v>
      </c>
      <c r="F38" s="137">
        <f>IFERROR(G38/E38,0)</f>
        <v>0</v>
      </c>
      <c r="G38" s="134">
        <f>SUM(G39:G39)</f>
        <v>0</v>
      </c>
      <c r="H38" s="138"/>
      <c r="J38" s="131">
        <v>4</v>
      </c>
      <c r="K38" s="132" t="s">
        <v>25</v>
      </c>
      <c r="L38" s="135"/>
      <c r="M38" s="136" t="s">
        <v>1</v>
      </c>
      <c r="N38" s="134">
        <f>N39</f>
        <v>0</v>
      </c>
      <c r="O38" s="137">
        <f>IFERROR(P38/N38,0)</f>
        <v>0</v>
      </c>
      <c r="P38" s="134">
        <f>SUM(P39:P39)</f>
        <v>0</v>
      </c>
      <c r="Q38" s="138"/>
      <c r="S38" s="131">
        <v>4</v>
      </c>
      <c r="T38" s="132" t="s">
        <v>25</v>
      </c>
      <c r="U38" s="135"/>
      <c r="V38" s="136" t="s">
        <v>1</v>
      </c>
      <c r="W38" s="134">
        <f>W39</f>
        <v>0</v>
      </c>
      <c r="X38" s="137">
        <f>IFERROR(Y38/W38,0)</f>
        <v>0</v>
      </c>
      <c r="Y38" s="134">
        <f>SUM(Y39:Y39)</f>
        <v>0</v>
      </c>
      <c r="Z38" s="138"/>
      <c r="AB38" s="131">
        <v>4</v>
      </c>
      <c r="AC38" s="132" t="s">
        <v>25</v>
      </c>
      <c r="AD38" s="135"/>
      <c r="AE38" s="136" t="s">
        <v>1</v>
      </c>
      <c r="AF38" s="134">
        <f>AF39</f>
        <v>0</v>
      </c>
      <c r="AG38" s="137">
        <f>IFERROR(AH38/AF38,0)</f>
        <v>0</v>
      </c>
      <c r="AH38" s="134">
        <f>SUM(AH39:AH39)</f>
        <v>0</v>
      </c>
      <c r="AI38" s="138"/>
      <c r="AK38" s="131">
        <v>4</v>
      </c>
      <c r="AL38" s="132" t="s">
        <v>25</v>
      </c>
      <c r="AM38" s="135"/>
      <c r="AN38" s="136" t="s">
        <v>1</v>
      </c>
      <c r="AO38" s="134">
        <f>AO39</f>
        <v>0</v>
      </c>
      <c r="AP38" s="137">
        <f>IFERROR(AQ38/AO38,0)</f>
        <v>0</v>
      </c>
      <c r="AQ38" s="134">
        <f>SUM(AQ39:AQ39)</f>
        <v>0</v>
      </c>
      <c r="AR38" s="138"/>
      <c r="AT38" s="131">
        <v>4</v>
      </c>
      <c r="AU38" s="132" t="s">
        <v>25</v>
      </c>
      <c r="AV38" s="135"/>
      <c r="AW38" s="136" t="s">
        <v>1</v>
      </c>
      <c r="AX38" s="134">
        <f>AX39</f>
        <v>0</v>
      </c>
      <c r="AY38" s="137">
        <f>IFERROR(AZ38/AX38,0)</f>
        <v>0</v>
      </c>
      <c r="AZ38" s="134">
        <f>SUM(AZ39:AZ39)</f>
        <v>0</v>
      </c>
      <c r="BA38" s="138"/>
    </row>
    <row r="39" spans="1:53" ht="53.25" customHeight="1" x14ac:dyDescent="0.35">
      <c r="A39" s="92" t="s">
        <v>154</v>
      </c>
      <c r="B39" s="63" t="s">
        <v>98</v>
      </c>
      <c r="C39" s="60"/>
      <c r="D39" s="16" t="s">
        <v>1</v>
      </c>
      <c r="E39" s="52"/>
      <c r="F39" s="53">
        <f>900000/6000</f>
        <v>150</v>
      </c>
      <c r="G39" s="52">
        <f>E39*F39</f>
        <v>0</v>
      </c>
      <c r="H39" s="68" t="s">
        <v>139</v>
      </c>
      <c r="J39" s="92" t="s">
        <v>154</v>
      </c>
      <c r="K39" s="63" t="s">
        <v>98</v>
      </c>
      <c r="L39" s="60"/>
      <c r="M39" s="16" t="s">
        <v>1</v>
      </c>
      <c r="N39" s="52"/>
      <c r="O39" s="53">
        <f>900000/6000</f>
        <v>150</v>
      </c>
      <c r="P39" s="52">
        <f>N39*O39</f>
        <v>0</v>
      </c>
      <c r="Q39" s="68" t="s">
        <v>139</v>
      </c>
      <c r="S39" s="92" t="s">
        <v>154</v>
      </c>
      <c r="T39" s="63" t="s">
        <v>98</v>
      </c>
      <c r="U39" s="60"/>
      <c r="V39" s="16" t="s">
        <v>1</v>
      </c>
      <c r="W39" s="52"/>
      <c r="X39" s="53">
        <f>900000/6000</f>
        <v>150</v>
      </c>
      <c r="Y39" s="52">
        <f>W39*X39</f>
        <v>0</v>
      </c>
      <c r="Z39" s="68" t="s">
        <v>139</v>
      </c>
      <c r="AB39" s="92" t="s">
        <v>154</v>
      </c>
      <c r="AC39" s="63" t="s">
        <v>98</v>
      </c>
      <c r="AD39" s="60"/>
      <c r="AE39" s="16" t="s">
        <v>1</v>
      </c>
      <c r="AF39" s="52"/>
      <c r="AG39" s="53">
        <f>900000/6000</f>
        <v>150</v>
      </c>
      <c r="AH39" s="52">
        <f>AF39*AG39</f>
        <v>0</v>
      </c>
      <c r="AI39" s="68" t="s">
        <v>139</v>
      </c>
      <c r="AK39" s="92" t="s">
        <v>154</v>
      </c>
      <c r="AL39" s="63" t="s">
        <v>98</v>
      </c>
      <c r="AM39" s="60"/>
      <c r="AN39" s="16" t="s">
        <v>1</v>
      </c>
      <c r="AO39" s="52"/>
      <c r="AP39" s="53">
        <f>900000/6000</f>
        <v>150</v>
      </c>
      <c r="AQ39" s="52">
        <f>AO39*AP39</f>
        <v>0</v>
      </c>
      <c r="AR39" s="68" t="s">
        <v>139</v>
      </c>
      <c r="AT39" s="92" t="s">
        <v>154</v>
      </c>
      <c r="AU39" s="63" t="s">
        <v>98</v>
      </c>
      <c r="AV39" s="60"/>
      <c r="AW39" s="16" t="s">
        <v>1</v>
      </c>
      <c r="AX39" s="52"/>
      <c r="AY39" s="53">
        <f>900000/6000</f>
        <v>150</v>
      </c>
      <c r="AZ39" s="52">
        <f>AX39*AY39</f>
        <v>0</v>
      </c>
      <c r="BA39" s="68" t="s">
        <v>139</v>
      </c>
    </row>
    <row r="40" spans="1:53" x14ac:dyDescent="0.35">
      <c r="A40" s="131">
        <v>5</v>
      </c>
      <c r="B40" s="132" t="s">
        <v>29</v>
      </c>
      <c r="C40" s="135"/>
      <c r="D40" s="136" t="s">
        <v>155</v>
      </c>
      <c r="E40" s="134">
        <v>1</v>
      </c>
      <c r="F40" s="137"/>
      <c r="G40" s="134">
        <f>'Phân tích đầu tư'!B19*'Phân tích đầu tư'!C19/12</f>
        <v>0</v>
      </c>
      <c r="H40" s="132"/>
      <c r="I40" s="69"/>
      <c r="J40" s="131">
        <v>5</v>
      </c>
      <c r="K40" s="132" t="s">
        <v>29</v>
      </c>
      <c r="L40" s="135"/>
      <c r="M40" s="136" t="s">
        <v>155</v>
      </c>
      <c r="N40" s="134">
        <v>1</v>
      </c>
      <c r="O40" s="137"/>
      <c r="P40" s="134">
        <f>'Phân tích đầu tư'!K19*'Phân tích đầu tư'!L19/12</f>
        <v>0</v>
      </c>
      <c r="Q40" s="132"/>
      <c r="S40" s="131">
        <v>5</v>
      </c>
      <c r="T40" s="132" t="s">
        <v>29</v>
      </c>
      <c r="U40" s="135"/>
      <c r="V40" s="136" t="s">
        <v>155</v>
      </c>
      <c r="W40" s="134">
        <v>1</v>
      </c>
      <c r="X40" s="137"/>
      <c r="Y40" s="134">
        <f>'Phân tích đầu tư'!T19*'Phân tích đầu tư'!U19/12</f>
        <v>0</v>
      </c>
      <c r="Z40" s="132"/>
      <c r="AB40" s="131">
        <v>5</v>
      </c>
      <c r="AC40" s="132" t="s">
        <v>29</v>
      </c>
      <c r="AD40" s="135"/>
      <c r="AE40" s="136" t="s">
        <v>155</v>
      </c>
      <c r="AF40" s="134">
        <v>1</v>
      </c>
      <c r="AG40" s="137"/>
      <c r="AH40" s="134">
        <f>'Phân tích đầu tư'!AC19*'Phân tích đầu tư'!AD19/12</f>
        <v>0</v>
      </c>
      <c r="AI40" s="132"/>
      <c r="AK40" s="131">
        <v>5</v>
      </c>
      <c r="AL40" s="132" t="s">
        <v>29</v>
      </c>
      <c r="AM40" s="135"/>
      <c r="AN40" s="136" t="s">
        <v>155</v>
      </c>
      <c r="AO40" s="134">
        <v>1</v>
      </c>
      <c r="AP40" s="137"/>
      <c r="AQ40" s="134">
        <f>'Phân tích đầu tư'!AL19*'Phân tích đầu tư'!AM19/12</f>
        <v>0</v>
      </c>
      <c r="AR40" s="132"/>
      <c r="AT40" s="131">
        <v>5</v>
      </c>
      <c r="AU40" s="132" t="s">
        <v>29</v>
      </c>
      <c r="AV40" s="135"/>
      <c r="AW40" s="136" t="s">
        <v>155</v>
      </c>
      <c r="AX40" s="134">
        <v>1</v>
      </c>
      <c r="AY40" s="137"/>
      <c r="AZ40" s="134">
        <f>'Phân tích đầu tư'!AU19*'Phân tích đầu tư'!AV19/12</f>
        <v>0</v>
      </c>
      <c r="BA40" s="132"/>
    </row>
    <row r="41" spans="1:53" x14ac:dyDescent="0.35">
      <c r="A41" s="16"/>
      <c r="B41" s="21"/>
      <c r="C41" s="60"/>
      <c r="D41" s="22"/>
      <c r="E41" s="52"/>
      <c r="F41" s="53"/>
      <c r="G41" s="52"/>
      <c r="H41" s="21"/>
      <c r="I41" s="69"/>
      <c r="J41" s="16"/>
      <c r="K41" s="21"/>
      <c r="L41" s="60"/>
      <c r="M41" s="22"/>
      <c r="N41" s="52"/>
      <c r="O41" s="53"/>
      <c r="P41" s="52"/>
      <c r="Q41" s="21"/>
      <c r="S41" s="16"/>
      <c r="T41" s="21"/>
      <c r="U41" s="60"/>
      <c r="V41" s="22"/>
      <c r="W41" s="52"/>
      <c r="X41" s="53"/>
      <c r="Y41" s="52"/>
      <c r="Z41" s="21"/>
      <c r="AB41" s="16"/>
      <c r="AC41" s="21"/>
      <c r="AD41" s="60"/>
      <c r="AE41" s="22"/>
      <c r="AF41" s="52"/>
      <c r="AG41" s="53"/>
      <c r="AH41" s="52"/>
      <c r="AI41" s="21"/>
      <c r="AK41" s="16"/>
      <c r="AL41" s="21"/>
      <c r="AM41" s="60"/>
      <c r="AN41" s="22"/>
      <c r="AO41" s="52"/>
      <c r="AP41" s="53"/>
      <c r="AQ41" s="52"/>
      <c r="AR41" s="21"/>
      <c r="AT41" s="16"/>
      <c r="AU41" s="21"/>
      <c r="AV41" s="60"/>
      <c r="AW41" s="22"/>
      <c r="AX41" s="52"/>
      <c r="AY41" s="53"/>
      <c r="AZ41" s="52"/>
      <c r="BA41" s="21"/>
    </row>
    <row r="42" spans="1:53" x14ac:dyDescent="0.35">
      <c r="A42" s="141">
        <v>6</v>
      </c>
      <c r="B42" s="142" t="s">
        <v>199</v>
      </c>
      <c r="C42" s="143"/>
      <c r="D42" s="144" t="s">
        <v>1</v>
      </c>
      <c r="E42" s="145">
        <f>E13</f>
        <v>570000</v>
      </c>
      <c r="F42" s="146">
        <f>(G43+G53)/(5*12*200000*0.95)</f>
        <v>184.47368421052633</v>
      </c>
      <c r="G42" s="147">
        <f>E42*F42</f>
        <v>105150000.00000001</v>
      </c>
      <c r="H42" s="143"/>
      <c r="I42" s="74"/>
      <c r="J42" s="141">
        <v>6</v>
      </c>
      <c r="K42" s="142" t="s">
        <v>199</v>
      </c>
      <c r="L42" s="143"/>
      <c r="M42" s="144" t="s">
        <v>1</v>
      </c>
      <c r="N42" s="145">
        <f>N13</f>
        <v>28500</v>
      </c>
      <c r="O42" s="146">
        <f>(P43+P53)/(5*12*200000*0.95)</f>
        <v>184.47368421052633</v>
      </c>
      <c r="P42" s="147">
        <f>N42*O42</f>
        <v>5257500</v>
      </c>
      <c r="Q42" s="143"/>
      <c r="S42" s="141">
        <v>6</v>
      </c>
      <c r="T42" s="142" t="s">
        <v>199</v>
      </c>
      <c r="U42" s="143"/>
      <c r="V42" s="144" t="s">
        <v>1</v>
      </c>
      <c r="W42" s="145">
        <f>W13</f>
        <v>47500</v>
      </c>
      <c r="X42" s="146">
        <f>(Y43+Y53)/(5*12*200000*0.95)</f>
        <v>184.47368421052633</v>
      </c>
      <c r="Y42" s="147">
        <f>W42*X42</f>
        <v>8762500</v>
      </c>
      <c r="Z42" s="143"/>
      <c r="AB42" s="141">
        <v>6</v>
      </c>
      <c r="AC42" s="142" t="s">
        <v>199</v>
      </c>
      <c r="AD42" s="143"/>
      <c r="AE42" s="144" t="s">
        <v>1</v>
      </c>
      <c r="AF42" s="145">
        <f>AF13</f>
        <v>85500</v>
      </c>
      <c r="AG42" s="146">
        <f>(AH43+AH53)/(5*12*200000*0.95)</f>
        <v>184.47368421052633</v>
      </c>
      <c r="AH42" s="147">
        <f>AF42*AG42</f>
        <v>15772500.000000002</v>
      </c>
      <c r="AI42" s="143"/>
      <c r="AK42" s="141">
        <v>6</v>
      </c>
      <c r="AL42" s="142" t="s">
        <v>199</v>
      </c>
      <c r="AM42" s="143"/>
      <c r="AN42" s="144" t="s">
        <v>1</v>
      </c>
      <c r="AO42" s="145">
        <f>AO13</f>
        <v>95000</v>
      </c>
      <c r="AP42" s="146">
        <f>(AQ43+AQ53)/(5*12*200000*0.95)</f>
        <v>184.47368421052633</v>
      </c>
      <c r="AQ42" s="147">
        <f>AO42*AP42</f>
        <v>17525000</v>
      </c>
      <c r="AR42" s="143"/>
      <c r="AT42" s="141">
        <v>6</v>
      </c>
      <c r="AU42" s="142" t="s">
        <v>199</v>
      </c>
      <c r="AV42" s="143"/>
      <c r="AW42" s="144" t="s">
        <v>1</v>
      </c>
      <c r="AX42" s="145">
        <f>AX13</f>
        <v>142500</v>
      </c>
      <c r="AY42" s="146">
        <f>(AZ43+AZ53)/(5*12*200000*0.95)</f>
        <v>184.47368421052633</v>
      </c>
      <c r="AZ42" s="147">
        <f>AX42*AY42</f>
        <v>26287500.000000004</v>
      </c>
      <c r="BA42" s="143"/>
    </row>
    <row r="43" spans="1:53" s="10" customFormat="1" ht="27.75" customHeight="1" x14ac:dyDescent="0.35">
      <c r="A43" s="102" t="s">
        <v>172</v>
      </c>
      <c r="B43" s="103" t="s">
        <v>26</v>
      </c>
      <c r="C43" s="104" t="s">
        <v>27</v>
      </c>
      <c r="D43" s="105"/>
      <c r="E43" s="106"/>
      <c r="F43" s="107"/>
      <c r="G43" s="106">
        <f>SUM(G44:G52)</f>
        <v>2083000000</v>
      </c>
      <c r="H43" s="104" t="str">
        <f>"5 năm &lt;=&gt; "&amp;5*12*200000*0.95&amp;" kg"</f>
        <v>5 năm &lt;=&gt; 11400000 kg</v>
      </c>
      <c r="J43" s="102" t="s">
        <v>172</v>
      </c>
      <c r="K43" s="103" t="s">
        <v>26</v>
      </c>
      <c r="L43" s="104" t="s">
        <v>27</v>
      </c>
      <c r="M43" s="105"/>
      <c r="N43" s="106"/>
      <c r="O43" s="107"/>
      <c r="P43" s="106">
        <f>SUM(P44:P52)</f>
        <v>2083000000</v>
      </c>
      <c r="Q43" s="104" t="str">
        <f>"5 năm &lt;=&gt; "&amp;5*12*200000*0.95&amp;" kg"</f>
        <v>5 năm &lt;=&gt; 11400000 kg</v>
      </c>
      <c r="S43" s="102" t="s">
        <v>172</v>
      </c>
      <c r="T43" s="103" t="s">
        <v>26</v>
      </c>
      <c r="U43" s="104" t="s">
        <v>27</v>
      </c>
      <c r="V43" s="105"/>
      <c r="W43" s="106"/>
      <c r="X43" s="107"/>
      <c r="Y43" s="106">
        <f>SUM(Y44:Y52)</f>
        <v>2083000000</v>
      </c>
      <c r="Z43" s="104" t="str">
        <f>"5 năm &lt;=&gt; "&amp;5*12*200000*0.95&amp;" kg"</f>
        <v>5 năm &lt;=&gt; 11400000 kg</v>
      </c>
      <c r="AB43" s="102" t="s">
        <v>172</v>
      </c>
      <c r="AC43" s="103" t="s">
        <v>26</v>
      </c>
      <c r="AD43" s="104" t="s">
        <v>27</v>
      </c>
      <c r="AE43" s="105"/>
      <c r="AF43" s="106"/>
      <c r="AG43" s="107"/>
      <c r="AH43" s="106">
        <f>SUM(AH44:AH52)</f>
        <v>2083000000</v>
      </c>
      <c r="AI43" s="104" t="str">
        <f>"5 năm &lt;=&gt; "&amp;5*12*200000*0.95&amp;" kg"</f>
        <v>5 năm &lt;=&gt; 11400000 kg</v>
      </c>
      <c r="AK43" s="102" t="s">
        <v>172</v>
      </c>
      <c r="AL43" s="103" t="s">
        <v>26</v>
      </c>
      <c r="AM43" s="104" t="s">
        <v>27</v>
      </c>
      <c r="AN43" s="105"/>
      <c r="AO43" s="106"/>
      <c r="AP43" s="107"/>
      <c r="AQ43" s="106">
        <f>SUM(AQ44:AQ52)</f>
        <v>2083000000</v>
      </c>
      <c r="AR43" s="104" t="str">
        <f>"5 năm &lt;=&gt; "&amp;5*12*200000*0.95&amp;" kg"</f>
        <v>5 năm &lt;=&gt; 11400000 kg</v>
      </c>
      <c r="AT43" s="102" t="s">
        <v>172</v>
      </c>
      <c r="AU43" s="103" t="s">
        <v>26</v>
      </c>
      <c r="AV43" s="104" t="s">
        <v>27</v>
      </c>
      <c r="AW43" s="105"/>
      <c r="AX43" s="106"/>
      <c r="AY43" s="107"/>
      <c r="AZ43" s="106">
        <f>SUM(AZ44:AZ52)</f>
        <v>2083000000</v>
      </c>
      <c r="BA43" s="104" t="str">
        <f>"5 năm &lt;=&gt; "&amp;5*12*200000*0.95&amp;" kg"</f>
        <v>5 năm &lt;=&gt; 11400000 kg</v>
      </c>
    </row>
    <row r="44" spans="1:53" ht="14.5" hidden="1" outlineLevel="1" x14ac:dyDescent="0.35">
      <c r="A44" s="111" t="s">
        <v>174</v>
      </c>
      <c r="B44" s="95" t="s">
        <v>99</v>
      </c>
      <c r="C44" s="96"/>
      <c r="D44" s="97"/>
      <c r="E44" s="98">
        <v>1</v>
      </c>
      <c r="F44" s="99">
        <v>59000000</v>
      </c>
      <c r="G44" s="100">
        <f>F44*E44</f>
        <v>59000000</v>
      </c>
      <c r="H44" s="101"/>
      <c r="I44" s="69"/>
      <c r="J44" s="111" t="s">
        <v>174</v>
      </c>
      <c r="K44" s="95" t="s">
        <v>99</v>
      </c>
      <c r="L44" s="96"/>
      <c r="M44" s="97"/>
      <c r="N44" s="98">
        <v>1</v>
      </c>
      <c r="O44" s="99">
        <v>59000000</v>
      </c>
      <c r="P44" s="100">
        <f>O44*N44</f>
        <v>59000000</v>
      </c>
      <c r="Q44" s="101"/>
      <c r="S44" s="111" t="s">
        <v>174</v>
      </c>
      <c r="T44" s="95" t="s">
        <v>99</v>
      </c>
      <c r="U44" s="96"/>
      <c r="V44" s="97"/>
      <c r="W44" s="98">
        <v>1</v>
      </c>
      <c r="X44" s="99">
        <v>59000000</v>
      </c>
      <c r="Y44" s="100">
        <f>X44*W44</f>
        <v>59000000</v>
      </c>
      <c r="Z44" s="101"/>
      <c r="AB44" s="111" t="s">
        <v>174</v>
      </c>
      <c r="AC44" s="95" t="s">
        <v>99</v>
      </c>
      <c r="AD44" s="96"/>
      <c r="AE44" s="97"/>
      <c r="AF44" s="98">
        <v>1</v>
      </c>
      <c r="AG44" s="99">
        <v>59000000</v>
      </c>
      <c r="AH44" s="100">
        <f>AG44*AF44</f>
        <v>59000000</v>
      </c>
      <c r="AI44" s="101"/>
      <c r="AK44" s="111" t="s">
        <v>174</v>
      </c>
      <c r="AL44" s="95" t="s">
        <v>99</v>
      </c>
      <c r="AM44" s="96"/>
      <c r="AN44" s="97"/>
      <c r="AO44" s="98">
        <v>1</v>
      </c>
      <c r="AP44" s="99">
        <v>59000000</v>
      </c>
      <c r="AQ44" s="100">
        <f>AP44*AO44</f>
        <v>59000000</v>
      </c>
      <c r="AR44" s="101"/>
      <c r="AT44" s="111" t="s">
        <v>174</v>
      </c>
      <c r="AU44" s="95" t="s">
        <v>99</v>
      </c>
      <c r="AV44" s="96"/>
      <c r="AW44" s="97"/>
      <c r="AX44" s="98">
        <v>1</v>
      </c>
      <c r="AY44" s="99">
        <v>59000000</v>
      </c>
      <c r="AZ44" s="100">
        <f>AY44*AX44</f>
        <v>59000000</v>
      </c>
      <c r="BA44" s="101"/>
    </row>
    <row r="45" spans="1:53" ht="14.5" hidden="1" outlineLevel="1" x14ac:dyDescent="0.35">
      <c r="A45" s="111" t="s">
        <v>175</v>
      </c>
      <c r="B45" s="95" t="s">
        <v>100</v>
      </c>
      <c r="C45" s="96"/>
      <c r="D45" s="97"/>
      <c r="E45" s="98">
        <v>1</v>
      </c>
      <c r="F45" s="99">
        <v>129000000</v>
      </c>
      <c r="G45" s="100">
        <f t="shared" ref="G45:G52" si="0">F45*E45</f>
        <v>129000000</v>
      </c>
      <c r="H45" s="101"/>
      <c r="J45" s="111" t="s">
        <v>175</v>
      </c>
      <c r="K45" s="95" t="s">
        <v>100</v>
      </c>
      <c r="L45" s="96"/>
      <c r="M45" s="97"/>
      <c r="N45" s="98">
        <v>1</v>
      </c>
      <c r="O45" s="99">
        <v>129000000</v>
      </c>
      <c r="P45" s="100">
        <f t="shared" ref="P45:P52" si="1">O45*N45</f>
        <v>129000000</v>
      </c>
      <c r="Q45" s="101"/>
      <c r="S45" s="111" t="s">
        <v>175</v>
      </c>
      <c r="T45" s="95" t="s">
        <v>100</v>
      </c>
      <c r="U45" s="96"/>
      <c r="V45" s="97"/>
      <c r="W45" s="98">
        <v>1</v>
      </c>
      <c r="X45" s="99">
        <v>129000000</v>
      </c>
      <c r="Y45" s="100">
        <f t="shared" ref="Y45:Y52" si="2">X45*W45</f>
        <v>129000000</v>
      </c>
      <c r="Z45" s="101"/>
      <c r="AB45" s="111" t="s">
        <v>175</v>
      </c>
      <c r="AC45" s="95" t="s">
        <v>100</v>
      </c>
      <c r="AD45" s="96"/>
      <c r="AE45" s="97"/>
      <c r="AF45" s="98">
        <v>1</v>
      </c>
      <c r="AG45" s="99">
        <v>129000000</v>
      </c>
      <c r="AH45" s="100">
        <f t="shared" ref="AH45:AH52" si="3">AG45*AF45</f>
        <v>129000000</v>
      </c>
      <c r="AI45" s="101"/>
      <c r="AK45" s="111" t="s">
        <v>175</v>
      </c>
      <c r="AL45" s="95" t="s">
        <v>100</v>
      </c>
      <c r="AM45" s="96"/>
      <c r="AN45" s="97"/>
      <c r="AO45" s="98">
        <v>1</v>
      </c>
      <c r="AP45" s="99">
        <v>129000000</v>
      </c>
      <c r="AQ45" s="100">
        <f t="shared" ref="AQ45:AQ52" si="4">AP45*AO45</f>
        <v>129000000</v>
      </c>
      <c r="AR45" s="101"/>
      <c r="AT45" s="111" t="s">
        <v>175</v>
      </c>
      <c r="AU45" s="95" t="s">
        <v>100</v>
      </c>
      <c r="AV45" s="96"/>
      <c r="AW45" s="97"/>
      <c r="AX45" s="98">
        <v>1</v>
      </c>
      <c r="AY45" s="99">
        <v>129000000</v>
      </c>
      <c r="AZ45" s="100">
        <f t="shared" ref="AZ45:AZ52" si="5">AY45*AX45</f>
        <v>129000000</v>
      </c>
      <c r="BA45" s="101"/>
    </row>
    <row r="46" spans="1:53" ht="14.5" hidden="1" outlineLevel="1" x14ac:dyDescent="0.35">
      <c r="A46" s="111" t="s">
        <v>176</v>
      </c>
      <c r="B46" s="95" t="s">
        <v>101</v>
      </c>
      <c r="C46" s="96"/>
      <c r="D46" s="97"/>
      <c r="E46" s="98">
        <v>1</v>
      </c>
      <c r="F46" s="99">
        <v>60000000</v>
      </c>
      <c r="G46" s="100">
        <f t="shared" si="0"/>
        <v>60000000</v>
      </c>
      <c r="H46" s="101"/>
      <c r="J46" s="111" t="s">
        <v>176</v>
      </c>
      <c r="K46" s="95" t="s">
        <v>101</v>
      </c>
      <c r="L46" s="96"/>
      <c r="M46" s="97"/>
      <c r="N46" s="98">
        <v>1</v>
      </c>
      <c r="O46" s="99">
        <v>60000000</v>
      </c>
      <c r="P46" s="100">
        <f t="shared" si="1"/>
        <v>60000000</v>
      </c>
      <c r="Q46" s="101"/>
      <c r="S46" s="111" t="s">
        <v>176</v>
      </c>
      <c r="T46" s="95" t="s">
        <v>101</v>
      </c>
      <c r="U46" s="96"/>
      <c r="V46" s="97"/>
      <c r="W46" s="98">
        <v>1</v>
      </c>
      <c r="X46" s="99">
        <v>60000000</v>
      </c>
      <c r="Y46" s="100">
        <f t="shared" si="2"/>
        <v>60000000</v>
      </c>
      <c r="Z46" s="101"/>
      <c r="AB46" s="111" t="s">
        <v>176</v>
      </c>
      <c r="AC46" s="95" t="s">
        <v>101</v>
      </c>
      <c r="AD46" s="96"/>
      <c r="AE46" s="97"/>
      <c r="AF46" s="98">
        <v>1</v>
      </c>
      <c r="AG46" s="99">
        <v>60000000</v>
      </c>
      <c r="AH46" s="100">
        <f t="shared" si="3"/>
        <v>60000000</v>
      </c>
      <c r="AI46" s="101"/>
      <c r="AK46" s="111" t="s">
        <v>176</v>
      </c>
      <c r="AL46" s="95" t="s">
        <v>101</v>
      </c>
      <c r="AM46" s="96"/>
      <c r="AN46" s="97"/>
      <c r="AO46" s="98">
        <v>1</v>
      </c>
      <c r="AP46" s="99">
        <v>60000000</v>
      </c>
      <c r="AQ46" s="100">
        <f t="shared" si="4"/>
        <v>60000000</v>
      </c>
      <c r="AR46" s="101"/>
      <c r="AT46" s="111" t="s">
        <v>176</v>
      </c>
      <c r="AU46" s="95" t="s">
        <v>101</v>
      </c>
      <c r="AV46" s="96"/>
      <c r="AW46" s="97"/>
      <c r="AX46" s="98">
        <v>1</v>
      </c>
      <c r="AY46" s="99">
        <v>60000000</v>
      </c>
      <c r="AZ46" s="100">
        <f t="shared" si="5"/>
        <v>60000000</v>
      </c>
      <c r="BA46" s="101"/>
    </row>
    <row r="47" spans="1:53" ht="14.5" hidden="1" outlineLevel="1" x14ac:dyDescent="0.35">
      <c r="A47" s="111" t="s">
        <v>177</v>
      </c>
      <c r="B47" s="95" t="s">
        <v>102</v>
      </c>
      <c r="C47" s="96"/>
      <c r="D47" s="97"/>
      <c r="E47" s="98">
        <v>1</v>
      </c>
      <c r="F47" s="99">
        <v>157000000</v>
      </c>
      <c r="G47" s="100">
        <f t="shared" si="0"/>
        <v>157000000</v>
      </c>
      <c r="H47" s="101"/>
      <c r="J47" s="111" t="s">
        <v>177</v>
      </c>
      <c r="K47" s="95" t="s">
        <v>102</v>
      </c>
      <c r="L47" s="96"/>
      <c r="M47" s="97"/>
      <c r="N47" s="98">
        <v>1</v>
      </c>
      <c r="O47" s="99">
        <v>157000000</v>
      </c>
      <c r="P47" s="100">
        <f t="shared" si="1"/>
        <v>157000000</v>
      </c>
      <c r="Q47" s="101"/>
      <c r="S47" s="111" t="s">
        <v>177</v>
      </c>
      <c r="T47" s="95" t="s">
        <v>102</v>
      </c>
      <c r="U47" s="96"/>
      <c r="V47" s="97"/>
      <c r="W47" s="98">
        <v>1</v>
      </c>
      <c r="X47" s="99">
        <v>157000000</v>
      </c>
      <c r="Y47" s="100">
        <f t="shared" si="2"/>
        <v>157000000</v>
      </c>
      <c r="Z47" s="101"/>
      <c r="AB47" s="111" t="s">
        <v>177</v>
      </c>
      <c r="AC47" s="95" t="s">
        <v>102</v>
      </c>
      <c r="AD47" s="96"/>
      <c r="AE47" s="97"/>
      <c r="AF47" s="98">
        <v>1</v>
      </c>
      <c r="AG47" s="99">
        <v>157000000</v>
      </c>
      <c r="AH47" s="100">
        <f t="shared" si="3"/>
        <v>157000000</v>
      </c>
      <c r="AI47" s="101"/>
      <c r="AK47" s="111" t="s">
        <v>177</v>
      </c>
      <c r="AL47" s="95" t="s">
        <v>102</v>
      </c>
      <c r="AM47" s="96"/>
      <c r="AN47" s="97"/>
      <c r="AO47" s="98">
        <v>1</v>
      </c>
      <c r="AP47" s="99">
        <v>157000000</v>
      </c>
      <c r="AQ47" s="100">
        <f t="shared" si="4"/>
        <v>157000000</v>
      </c>
      <c r="AR47" s="101"/>
      <c r="AT47" s="111" t="s">
        <v>177</v>
      </c>
      <c r="AU47" s="95" t="s">
        <v>102</v>
      </c>
      <c r="AV47" s="96"/>
      <c r="AW47" s="97"/>
      <c r="AX47" s="98">
        <v>1</v>
      </c>
      <c r="AY47" s="99">
        <v>157000000</v>
      </c>
      <c r="AZ47" s="100">
        <f t="shared" si="5"/>
        <v>157000000</v>
      </c>
      <c r="BA47" s="101"/>
    </row>
    <row r="48" spans="1:53" ht="14.5" hidden="1" outlineLevel="1" x14ac:dyDescent="0.35">
      <c r="A48" s="111" t="s">
        <v>178</v>
      </c>
      <c r="B48" s="95" t="s">
        <v>103</v>
      </c>
      <c r="C48" s="96"/>
      <c r="D48" s="97"/>
      <c r="E48" s="98">
        <v>1</v>
      </c>
      <c r="F48" s="99">
        <v>440000000</v>
      </c>
      <c r="G48" s="100">
        <f t="shared" si="0"/>
        <v>440000000</v>
      </c>
      <c r="H48" s="101"/>
      <c r="J48" s="111" t="s">
        <v>178</v>
      </c>
      <c r="K48" s="95" t="s">
        <v>103</v>
      </c>
      <c r="L48" s="96"/>
      <c r="M48" s="97"/>
      <c r="N48" s="98">
        <v>1</v>
      </c>
      <c r="O48" s="99">
        <v>440000000</v>
      </c>
      <c r="P48" s="100">
        <f t="shared" si="1"/>
        <v>440000000</v>
      </c>
      <c r="Q48" s="101"/>
      <c r="S48" s="111" t="s">
        <v>178</v>
      </c>
      <c r="T48" s="95" t="s">
        <v>103</v>
      </c>
      <c r="U48" s="96"/>
      <c r="V48" s="97"/>
      <c r="W48" s="98">
        <v>1</v>
      </c>
      <c r="X48" s="99">
        <v>440000000</v>
      </c>
      <c r="Y48" s="100">
        <f t="shared" si="2"/>
        <v>440000000</v>
      </c>
      <c r="Z48" s="101"/>
      <c r="AB48" s="111" t="s">
        <v>178</v>
      </c>
      <c r="AC48" s="95" t="s">
        <v>103</v>
      </c>
      <c r="AD48" s="96"/>
      <c r="AE48" s="97"/>
      <c r="AF48" s="98">
        <v>1</v>
      </c>
      <c r="AG48" s="99">
        <v>440000000</v>
      </c>
      <c r="AH48" s="100">
        <f t="shared" si="3"/>
        <v>440000000</v>
      </c>
      <c r="AI48" s="101"/>
      <c r="AK48" s="111" t="s">
        <v>178</v>
      </c>
      <c r="AL48" s="95" t="s">
        <v>103</v>
      </c>
      <c r="AM48" s="96"/>
      <c r="AN48" s="97"/>
      <c r="AO48" s="98">
        <v>1</v>
      </c>
      <c r="AP48" s="99">
        <v>440000000</v>
      </c>
      <c r="AQ48" s="100">
        <f t="shared" si="4"/>
        <v>440000000</v>
      </c>
      <c r="AR48" s="101"/>
      <c r="AT48" s="111" t="s">
        <v>178</v>
      </c>
      <c r="AU48" s="95" t="s">
        <v>103</v>
      </c>
      <c r="AV48" s="96"/>
      <c r="AW48" s="97"/>
      <c r="AX48" s="98">
        <v>1</v>
      </c>
      <c r="AY48" s="99">
        <v>440000000</v>
      </c>
      <c r="AZ48" s="100">
        <f t="shared" si="5"/>
        <v>440000000</v>
      </c>
      <c r="BA48" s="101"/>
    </row>
    <row r="49" spans="1:53" ht="14.5" hidden="1" outlineLevel="1" x14ac:dyDescent="0.35">
      <c r="A49" s="111" t="s">
        <v>179</v>
      </c>
      <c r="B49" s="95" t="s">
        <v>104</v>
      </c>
      <c r="C49" s="96"/>
      <c r="D49" s="97"/>
      <c r="E49" s="98">
        <v>2</v>
      </c>
      <c r="F49" s="99">
        <f>220000000</f>
        <v>220000000</v>
      </c>
      <c r="G49" s="100">
        <f t="shared" si="0"/>
        <v>440000000</v>
      </c>
      <c r="H49" s="101"/>
      <c r="J49" s="111" t="s">
        <v>179</v>
      </c>
      <c r="K49" s="95" t="s">
        <v>104</v>
      </c>
      <c r="L49" s="96"/>
      <c r="M49" s="97"/>
      <c r="N49" s="98">
        <v>2</v>
      </c>
      <c r="O49" s="99">
        <f>220000000</f>
        <v>220000000</v>
      </c>
      <c r="P49" s="100">
        <f t="shared" si="1"/>
        <v>440000000</v>
      </c>
      <c r="Q49" s="101"/>
      <c r="S49" s="111" t="s">
        <v>179</v>
      </c>
      <c r="T49" s="95" t="s">
        <v>104</v>
      </c>
      <c r="U49" s="96"/>
      <c r="V49" s="97"/>
      <c r="W49" s="98">
        <v>2</v>
      </c>
      <c r="X49" s="99">
        <f>220000000</f>
        <v>220000000</v>
      </c>
      <c r="Y49" s="100">
        <f t="shared" si="2"/>
        <v>440000000</v>
      </c>
      <c r="Z49" s="101"/>
      <c r="AB49" s="111" t="s">
        <v>179</v>
      </c>
      <c r="AC49" s="95" t="s">
        <v>104</v>
      </c>
      <c r="AD49" s="96"/>
      <c r="AE49" s="97"/>
      <c r="AF49" s="98">
        <v>2</v>
      </c>
      <c r="AG49" s="99">
        <f>220000000</f>
        <v>220000000</v>
      </c>
      <c r="AH49" s="100">
        <f t="shared" si="3"/>
        <v>440000000</v>
      </c>
      <c r="AI49" s="101"/>
      <c r="AK49" s="111" t="s">
        <v>179</v>
      </c>
      <c r="AL49" s="95" t="s">
        <v>104</v>
      </c>
      <c r="AM49" s="96"/>
      <c r="AN49" s="97"/>
      <c r="AO49" s="98">
        <v>2</v>
      </c>
      <c r="AP49" s="99">
        <f>220000000</f>
        <v>220000000</v>
      </c>
      <c r="AQ49" s="100">
        <f t="shared" si="4"/>
        <v>440000000</v>
      </c>
      <c r="AR49" s="101"/>
      <c r="AT49" s="111" t="s">
        <v>179</v>
      </c>
      <c r="AU49" s="95" t="s">
        <v>104</v>
      </c>
      <c r="AV49" s="96"/>
      <c r="AW49" s="97"/>
      <c r="AX49" s="98">
        <v>2</v>
      </c>
      <c r="AY49" s="99">
        <f>220000000</f>
        <v>220000000</v>
      </c>
      <c r="AZ49" s="100">
        <f t="shared" si="5"/>
        <v>440000000</v>
      </c>
      <c r="BA49" s="101"/>
    </row>
    <row r="50" spans="1:53" ht="14.5" hidden="1" outlineLevel="1" x14ac:dyDescent="0.35">
      <c r="A50" s="111" t="s">
        <v>180</v>
      </c>
      <c r="B50" s="95" t="s">
        <v>105</v>
      </c>
      <c r="C50" s="96"/>
      <c r="D50" s="97"/>
      <c r="E50" s="98">
        <v>1</v>
      </c>
      <c r="F50" s="99">
        <f>650000000</f>
        <v>650000000</v>
      </c>
      <c r="G50" s="100">
        <f t="shared" ref="G50" si="6">F50*E50</f>
        <v>650000000</v>
      </c>
      <c r="H50" s="101"/>
      <c r="J50" s="111" t="s">
        <v>180</v>
      </c>
      <c r="K50" s="95" t="s">
        <v>105</v>
      </c>
      <c r="L50" s="96"/>
      <c r="M50" s="97"/>
      <c r="N50" s="98">
        <v>1</v>
      </c>
      <c r="O50" s="99">
        <f>650000000</f>
        <v>650000000</v>
      </c>
      <c r="P50" s="100">
        <f t="shared" si="1"/>
        <v>650000000</v>
      </c>
      <c r="Q50" s="101"/>
      <c r="S50" s="111" t="s">
        <v>180</v>
      </c>
      <c r="T50" s="95" t="s">
        <v>105</v>
      </c>
      <c r="U50" s="96"/>
      <c r="V50" s="97"/>
      <c r="W50" s="98">
        <v>1</v>
      </c>
      <c r="X50" s="99">
        <f>650000000</f>
        <v>650000000</v>
      </c>
      <c r="Y50" s="100">
        <f t="shared" si="2"/>
        <v>650000000</v>
      </c>
      <c r="Z50" s="101"/>
      <c r="AB50" s="111" t="s">
        <v>180</v>
      </c>
      <c r="AC50" s="95" t="s">
        <v>105</v>
      </c>
      <c r="AD50" s="96"/>
      <c r="AE50" s="97"/>
      <c r="AF50" s="98">
        <v>1</v>
      </c>
      <c r="AG50" s="99">
        <f>650000000</f>
        <v>650000000</v>
      </c>
      <c r="AH50" s="100">
        <f t="shared" si="3"/>
        <v>650000000</v>
      </c>
      <c r="AI50" s="101"/>
      <c r="AK50" s="111" t="s">
        <v>180</v>
      </c>
      <c r="AL50" s="95" t="s">
        <v>105</v>
      </c>
      <c r="AM50" s="96"/>
      <c r="AN50" s="97"/>
      <c r="AO50" s="98">
        <v>1</v>
      </c>
      <c r="AP50" s="99">
        <f>650000000</f>
        <v>650000000</v>
      </c>
      <c r="AQ50" s="100">
        <f t="shared" si="4"/>
        <v>650000000</v>
      </c>
      <c r="AR50" s="101"/>
      <c r="AT50" s="111" t="s">
        <v>180</v>
      </c>
      <c r="AU50" s="95" t="s">
        <v>105</v>
      </c>
      <c r="AV50" s="96"/>
      <c r="AW50" s="97"/>
      <c r="AX50" s="98">
        <v>1</v>
      </c>
      <c r="AY50" s="99">
        <f>650000000</f>
        <v>650000000</v>
      </c>
      <c r="AZ50" s="100">
        <f t="shared" si="5"/>
        <v>650000000</v>
      </c>
      <c r="BA50" s="101"/>
    </row>
    <row r="51" spans="1:53" ht="14.5" hidden="1" outlineLevel="1" x14ac:dyDescent="0.35">
      <c r="A51" s="111" t="s">
        <v>181</v>
      </c>
      <c r="B51" s="95" t="s">
        <v>106</v>
      </c>
      <c r="C51" s="96"/>
      <c r="D51" s="97"/>
      <c r="E51" s="98">
        <v>1</v>
      </c>
      <c r="F51" s="99">
        <v>44000000</v>
      </c>
      <c r="G51" s="100">
        <f t="shared" si="0"/>
        <v>44000000</v>
      </c>
      <c r="H51" s="101"/>
      <c r="J51" s="111" t="s">
        <v>181</v>
      </c>
      <c r="K51" s="95" t="s">
        <v>106</v>
      </c>
      <c r="L51" s="96"/>
      <c r="M51" s="97"/>
      <c r="N51" s="98">
        <v>1</v>
      </c>
      <c r="O51" s="99">
        <v>44000000</v>
      </c>
      <c r="P51" s="100">
        <f t="shared" si="1"/>
        <v>44000000</v>
      </c>
      <c r="Q51" s="101"/>
      <c r="S51" s="111" t="s">
        <v>181</v>
      </c>
      <c r="T51" s="95" t="s">
        <v>106</v>
      </c>
      <c r="U51" s="96"/>
      <c r="V51" s="97"/>
      <c r="W51" s="98">
        <v>1</v>
      </c>
      <c r="X51" s="99">
        <v>44000000</v>
      </c>
      <c r="Y51" s="100">
        <f t="shared" si="2"/>
        <v>44000000</v>
      </c>
      <c r="Z51" s="101"/>
      <c r="AB51" s="111" t="s">
        <v>181</v>
      </c>
      <c r="AC51" s="95" t="s">
        <v>106</v>
      </c>
      <c r="AD51" s="96"/>
      <c r="AE51" s="97"/>
      <c r="AF51" s="98">
        <v>1</v>
      </c>
      <c r="AG51" s="99">
        <v>44000000</v>
      </c>
      <c r="AH51" s="100">
        <f t="shared" si="3"/>
        <v>44000000</v>
      </c>
      <c r="AI51" s="101"/>
      <c r="AK51" s="111" t="s">
        <v>181</v>
      </c>
      <c r="AL51" s="95" t="s">
        <v>106</v>
      </c>
      <c r="AM51" s="96"/>
      <c r="AN51" s="97"/>
      <c r="AO51" s="98">
        <v>1</v>
      </c>
      <c r="AP51" s="99">
        <v>44000000</v>
      </c>
      <c r="AQ51" s="100">
        <f t="shared" si="4"/>
        <v>44000000</v>
      </c>
      <c r="AR51" s="101"/>
      <c r="AT51" s="111" t="s">
        <v>181</v>
      </c>
      <c r="AU51" s="95" t="s">
        <v>106</v>
      </c>
      <c r="AV51" s="96"/>
      <c r="AW51" s="97"/>
      <c r="AX51" s="98">
        <v>1</v>
      </c>
      <c r="AY51" s="99">
        <v>44000000</v>
      </c>
      <c r="AZ51" s="100">
        <f t="shared" si="5"/>
        <v>44000000</v>
      </c>
      <c r="BA51" s="101"/>
    </row>
    <row r="52" spans="1:53" ht="14.5" hidden="1" outlineLevel="1" x14ac:dyDescent="0.35">
      <c r="A52" s="111" t="s">
        <v>182</v>
      </c>
      <c r="B52" s="95" t="s">
        <v>128</v>
      </c>
      <c r="C52" s="96"/>
      <c r="D52" s="97"/>
      <c r="E52" s="98">
        <v>1</v>
      </c>
      <c r="F52" s="99">
        <v>104000000</v>
      </c>
      <c r="G52" s="100">
        <f t="shared" si="0"/>
        <v>104000000</v>
      </c>
      <c r="H52" s="101"/>
      <c r="J52" s="111" t="s">
        <v>182</v>
      </c>
      <c r="K52" s="95" t="s">
        <v>128</v>
      </c>
      <c r="L52" s="96"/>
      <c r="M52" s="97"/>
      <c r="N52" s="98">
        <v>1</v>
      </c>
      <c r="O52" s="99">
        <v>104000000</v>
      </c>
      <c r="P52" s="100">
        <f t="shared" si="1"/>
        <v>104000000</v>
      </c>
      <c r="Q52" s="101"/>
      <c r="S52" s="111" t="s">
        <v>182</v>
      </c>
      <c r="T52" s="95" t="s">
        <v>128</v>
      </c>
      <c r="U52" s="96"/>
      <c r="V52" s="97"/>
      <c r="W52" s="98">
        <v>1</v>
      </c>
      <c r="X52" s="99">
        <v>104000000</v>
      </c>
      <c r="Y52" s="100">
        <f t="shared" si="2"/>
        <v>104000000</v>
      </c>
      <c r="Z52" s="101"/>
      <c r="AB52" s="111" t="s">
        <v>182</v>
      </c>
      <c r="AC52" s="95" t="s">
        <v>128</v>
      </c>
      <c r="AD52" s="96"/>
      <c r="AE52" s="97"/>
      <c r="AF52" s="98">
        <v>1</v>
      </c>
      <c r="AG52" s="99">
        <v>104000000</v>
      </c>
      <c r="AH52" s="100">
        <f t="shared" si="3"/>
        <v>104000000</v>
      </c>
      <c r="AI52" s="101"/>
      <c r="AK52" s="111" t="s">
        <v>182</v>
      </c>
      <c r="AL52" s="95" t="s">
        <v>128</v>
      </c>
      <c r="AM52" s="96"/>
      <c r="AN52" s="97"/>
      <c r="AO52" s="98">
        <v>1</v>
      </c>
      <c r="AP52" s="99">
        <v>104000000</v>
      </c>
      <c r="AQ52" s="100">
        <f t="shared" si="4"/>
        <v>104000000</v>
      </c>
      <c r="AR52" s="101"/>
      <c r="AT52" s="111" t="s">
        <v>182</v>
      </c>
      <c r="AU52" s="95" t="s">
        <v>128</v>
      </c>
      <c r="AV52" s="96"/>
      <c r="AW52" s="97"/>
      <c r="AX52" s="98">
        <v>1</v>
      </c>
      <c r="AY52" s="99">
        <v>104000000</v>
      </c>
      <c r="AZ52" s="100">
        <f t="shared" si="5"/>
        <v>104000000</v>
      </c>
      <c r="BA52" s="101"/>
    </row>
    <row r="53" spans="1:53" s="10" customFormat="1" ht="20.25" customHeight="1" collapsed="1" x14ac:dyDescent="0.35">
      <c r="A53" s="102" t="s">
        <v>173</v>
      </c>
      <c r="B53" s="103" t="s">
        <v>107</v>
      </c>
      <c r="C53" s="104"/>
      <c r="D53" s="105"/>
      <c r="E53" s="106"/>
      <c r="F53" s="107"/>
      <c r="G53" s="106">
        <f>SUM(G54:G55)</f>
        <v>20000000</v>
      </c>
      <c r="H53" s="104"/>
      <c r="J53" s="102" t="s">
        <v>173</v>
      </c>
      <c r="K53" s="103" t="s">
        <v>107</v>
      </c>
      <c r="L53" s="104"/>
      <c r="M53" s="105"/>
      <c r="N53" s="106"/>
      <c r="O53" s="107"/>
      <c r="P53" s="106">
        <f>SUM(P54:P55)</f>
        <v>20000000</v>
      </c>
      <c r="Q53" s="104"/>
      <c r="S53" s="102" t="s">
        <v>173</v>
      </c>
      <c r="T53" s="103" t="s">
        <v>107</v>
      </c>
      <c r="U53" s="104"/>
      <c r="V53" s="105"/>
      <c r="W53" s="106"/>
      <c r="X53" s="107"/>
      <c r="Y53" s="106">
        <f>SUM(Y54:Y55)</f>
        <v>20000000</v>
      </c>
      <c r="Z53" s="104"/>
      <c r="AB53" s="102" t="s">
        <v>173</v>
      </c>
      <c r="AC53" s="103" t="s">
        <v>107</v>
      </c>
      <c r="AD53" s="104"/>
      <c r="AE53" s="105"/>
      <c r="AF53" s="106"/>
      <c r="AG53" s="107"/>
      <c r="AH53" s="106">
        <f>SUM(AH54:AH55)</f>
        <v>20000000</v>
      </c>
      <c r="AI53" s="104"/>
      <c r="AK53" s="102" t="s">
        <v>173</v>
      </c>
      <c r="AL53" s="103" t="s">
        <v>107</v>
      </c>
      <c r="AM53" s="104"/>
      <c r="AN53" s="105"/>
      <c r="AO53" s="106"/>
      <c r="AP53" s="107"/>
      <c r="AQ53" s="106">
        <f>SUM(AQ54:AQ55)</f>
        <v>20000000</v>
      </c>
      <c r="AR53" s="104"/>
      <c r="AT53" s="102" t="s">
        <v>173</v>
      </c>
      <c r="AU53" s="103" t="s">
        <v>107</v>
      </c>
      <c r="AV53" s="104"/>
      <c r="AW53" s="105"/>
      <c r="AX53" s="106"/>
      <c r="AY53" s="107"/>
      <c r="AZ53" s="106">
        <f>SUM(AZ54:AZ55)</f>
        <v>20000000</v>
      </c>
      <c r="BA53" s="104"/>
    </row>
    <row r="54" spans="1:53" s="109" customFormat="1" ht="14.5" hidden="1" outlineLevel="1" x14ac:dyDescent="0.35">
      <c r="A54" s="111" t="s">
        <v>183</v>
      </c>
      <c r="B54" s="108" t="s">
        <v>108</v>
      </c>
      <c r="C54" s="96"/>
      <c r="D54" s="97"/>
      <c r="E54" s="98">
        <v>0</v>
      </c>
      <c r="F54" s="99">
        <v>500000000</v>
      </c>
      <c r="G54" s="100">
        <f>F54*E54</f>
        <v>0</v>
      </c>
      <c r="H54" s="101" t="s">
        <v>149</v>
      </c>
      <c r="J54" s="111" t="s">
        <v>183</v>
      </c>
      <c r="K54" s="108" t="s">
        <v>108</v>
      </c>
      <c r="L54" s="96"/>
      <c r="M54" s="97"/>
      <c r="N54" s="98">
        <v>0</v>
      </c>
      <c r="O54" s="99">
        <v>500000000</v>
      </c>
      <c r="P54" s="100">
        <f>O54*N54</f>
        <v>0</v>
      </c>
      <c r="Q54" s="101" t="s">
        <v>149</v>
      </c>
      <c r="S54" s="111" t="s">
        <v>183</v>
      </c>
      <c r="T54" s="108" t="s">
        <v>108</v>
      </c>
      <c r="U54" s="96"/>
      <c r="V54" s="97"/>
      <c r="W54" s="98">
        <v>0</v>
      </c>
      <c r="X54" s="99">
        <v>500000000</v>
      </c>
      <c r="Y54" s="100">
        <f>X54*W54</f>
        <v>0</v>
      </c>
      <c r="Z54" s="101" t="s">
        <v>149</v>
      </c>
      <c r="AB54" s="111" t="s">
        <v>183</v>
      </c>
      <c r="AC54" s="108" t="s">
        <v>108</v>
      </c>
      <c r="AD54" s="96"/>
      <c r="AE54" s="97"/>
      <c r="AF54" s="98">
        <v>0</v>
      </c>
      <c r="AG54" s="99">
        <v>500000000</v>
      </c>
      <c r="AH54" s="100">
        <f>AG54*AF54</f>
        <v>0</v>
      </c>
      <c r="AI54" s="101" t="s">
        <v>149</v>
      </c>
      <c r="AK54" s="111" t="s">
        <v>183</v>
      </c>
      <c r="AL54" s="108" t="s">
        <v>108</v>
      </c>
      <c r="AM54" s="96"/>
      <c r="AN54" s="97"/>
      <c r="AO54" s="98">
        <v>0</v>
      </c>
      <c r="AP54" s="99">
        <v>500000000</v>
      </c>
      <c r="AQ54" s="100">
        <f>AP54*AO54</f>
        <v>0</v>
      </c>
      <c r="AR54" s="101" t="s">
        <v>149</v>
      </c>
      <c r="AT54" s="111" t="s">
        <v>183</v>
      </c>
      <c r="AU54" s="108" t="s">
        <v>108</v>
      </c>
      <c r="AV54" s="96"/>
      <c r="AW54" s="97"/>
      <c r="AX54" s="98">
        <v>0</v>
      </c>
      <c r="AY54" s="99">
        <v>500000000</v>
      </c>
      <c r="AZ54" s="100">
        <f>AY54*AX54</f>
        <v>0</v>
      </c>
      <c r="BA54" s="101" t="s">
        <v>149</v>
      </c>
    </row>
    <row r="55" spans="1:53" s="109" customFormat="1" ht="14.5" hidden="1" outlineLevel="1" x14ac:dyDescent="0.35">
      <c r="A55" s="111" t="s">
        <v>184</v>
      </c>
      <c r="B55" s="108" t="s">
        <v>109</v>
      </c>
      <c r="C55" s="96"/>
      <c r="D55" s="97"/>
      <c r="E55" s="98">
        <v>1</v>
      </c>
      <c r="F55" s="99">
        <v>20000000</v>
      </c>
      <c r="G55" s="100">
        <f t="shared" ref="G55" si="7">F55*E55</f>
        <v>20000000</v>
      </c>
      <c r="H55" s="101"/>
      <c r="J55" s="111" t="s">
        <v>184</v>
      </c>
      <c r="K55" s="108" t="s">
        <v>109</v>
      </c>
      <c r="L55" s="96"/>
      <c r="M55" s="97"/>
      <c r="N55" s="98">
        <v>1</v>
      </c>
      <c r="O55" s="99">
        <v>20000000</v>
      </c>
      <c r="P55" s="100">
        <f t="shared" ref="P55" si="8">O55*N55</f>
        <v>20000000</v>
      </c>
      <c r="Q55" s="101"/>
      <c r="S55" s="111" t="s">
        <v>184</v>
      </c>
      <c r="T55" s="108" t="s">
        <v>109</v>
      </c>
      <c r="U55" s="96"/>
      <c r="V55" s="97"/>
      <c r="W55" s="98">
        <v>1</v>
      </c>
      <c r="X55" s="99">
        <v>20000000</v>
      </c>
      <c r="Y55" s="100">
        <f t="shared" ref="Y55" si="9">X55*W55</f>
        <v>20000000</v>
      </c>
      <c r="Z55" s="101"/>
      <c r="AB55" s="111" t="s">
        <v>184</v>
      </c>
      <c r="AC55" s="108" t="s">
        <v>109</v>
      </c>
      <c r="AD55" s="96"/>
      <c r="AE55" s="97"/>
      <c r="AF55" s="98">
        <v>1</v>
      </c>
      <c r="AG55" s="99">
        <v>20000000</v>
      </c>
      <c r="AH55" s="100">
        <f t="shared" ref="AH55" si="10">AG55*AF55</f>
        <v>20000000</v>
      </c>
      <c r="AI55" s="101"/>
      <c r="AK55" s="111" t="s">
        <v>184</v>
      </c>
      <c r="AL55" s="108" t="s">
        <v>109</v>
      </c>
      <c r="AM55" s="96"/>
      <c r="AN55" s="97"/>
      <c r="AO55" s="98">
        <v>1</v>
      </c>
      <c r="AP55" s="99">
        <v>20000000</v>
      </c>
      <c r="AQ55" s="100">
        <f t="shared" ref="AQ55" si="11">AP55*AO55</f>
        <v>20000000</v>
      </c>
      <c r="AR55" s="101"/>
      <c r="AT55" s="111" t="s">
        <v>184</v>
      </c>
      <c r="AU55" s="108" t="s">
        <v>109</v>
      </c>
      <c r="AV55" s="96"/>
      <c r="AW55" s="97"/>
      <c r="AX55" s="98">
        <v>1</v>
      </c>
      <c r="AY55" s="99">
        <v>20000000</v>
      </c>
      <c r="AZ55" s="100">
        <f t="shared" ref="AZ55" si="12">AY55*AX55</f>
        <v>20000000</v>
      </c>
      <c r="BA55" s="101"/>
    </row>
    <row r="56" spans="1:53" s="109" customFormat="1" collapsed="1" x14ac:dyDescent="0.35">
      <c r="A56" s="131">
        <v>7</v>
      </c>
      <c r="B56" s="132" t="s">
        <v>200</v>
      </c>
      <c r="C56" s="135"/>
      <c r="D56" s="136" t="s">
        <v>1</v>
      </c>
      <c r="E56" s="134">
        <f>E27</f>
        <v>570000</v>
      </c>
      <c r="F56" s="137">
        <f>G56/E56</f>
        <v>23.581871345029239</v>
      </c>
      <c r="G56" s="139">
        <f>G57/(5*12)</f>
        <v>13441666.666666666</v>
      </c>
      <c r="H56" s="135"/>
      <c r="J56" s="131">
        <v>7</v>
      </c>
      <c r="K56" s="132" t="s">
        <v>200</v>
      </c>
      <c r="L56" s="135"/>
      <c r="M56" s="136" t="s">
        <v>1</v>
      </c>
      <c r="N56" s="134">
        <f>N27</f>
        <v>28500</v>
      </c>
      <c r="O56" s="137">
        <f>P56/N56</f>
        <v>471.63742690058479</v>
      </c>
      <c r="P56" s="139">
        <f>P57/(5*12)</f>
        <v>13441666.666666666</v>
      </c>
      <c r="Q56" s="135"/>
      <c r="S56" s="131">
        <v>7</v>
      </c>
      <c r="T56" s="132" t="s">
        <v>200</v>
      </c>
      <c r="U56" s="135"/>
      <c r="V56" s="136" t="s">
        <v>1</v>
      </c>
      <c r="W56" s="134">
        <f>W27</f>
        <v>47500</v>
      </c>
      <c r="X56" s="137">
        <f>Y56/W56</f>
        <v>282.98245614035085</v>
      </c>
      <c r="Y56" s="139">
        <f>Y57/(5*12)</f>
        <v>13441666.666666666</v>
      </c>
      <c r="Z56" s="135"/>
      <c r="AB56" s="131">
        <v>7</v>
      </c>
      <c r="AC56" s="132" t="s">
        <v>200</v>
      </c>
      <c r="AD56" s="135"/>
      <c r="AE56" s="136" t="s">
        <v>1</v>
      </c>
      <c r="AF56" s="134">
        <f>AF27</f>
        <v>85500</v>
      </c>
      <c r="AG56" s="137">
        <f>AH56/AF56</f>
        <v>157.21247563352827</v>
      </c>
      <c r="AH56" s="139">
        <f>AH57/(5*12)</f>
        <v>13441666.666666666</v>
      </c>
      <c r="AI56" s="135"/>
      <c r="AK56" s="131">
        <v>7</v>
      </c>
      <c r="AL56" s="132" t="s">
        <v>200</v>
      </c>
      <c r="AM56" s="135"/>
      <c r="AN56" s="136" t="s">
        <v>1</v>
      </c>
      <c r="AO56" s="134">
        <f>AO27</f>
        <v>95000</v>
      </c>
      <c r="AP56" s="137">
        <f>AQ56/AO56</f>
        <v>141.49122807017542</v>
      </c>
      <c r="AQ56" s="139">
        <f>AQ57/(5*12)</f>
        <v>13441666.666666666</v>
      </c>
      <c r="AR56" s="135"/>
      <c r="AT56" s="131">
        <v>7</v>
      </c>
      <c r="AU56" s="132" t="s">
        <v>200</v>
      </c>
      <c r="AV56" s="135"/>
      <c r="AW56" s="136" t="s">
        <v>1</v>
      </c>
      <c r="AX56" s="134">
        <f>AX27</f>
        <v>142500</v>
      </c>
      <c r="AY56" s="137">
        <f>AZ56/AX56</f>
        <v>94.327485380116954</v>
      </c>
      <c r="AZ56" s="139">
        <f>AZ57/(5*12)</f>
        <v>13441666.666666666</v>
      </c>
      <c r="BA56" s="135"/>
    </row>
    <row r="57" spans="1:53" s="10" customFormat="1" ht="22.5" customHeight="1" x14ac:dyDescent="0.35">
      <c r="A57" s="102"/>
      <c r="B57" s="103" t="s">
        <v>28</v>
      </c>
      <c r="C57" s="104"/>
      <c r="D57" s="105"/>
      <c r="E57" s="106"/>
      <c r="F57" s="107"/>
      <c r="G57" s="106">
        <f>SUM(G58:G66)</f>
        <v>806500000</v>
      </c>
      <c r="H57" s="104" t="s">
        <v>198</v>
      </c>
      <c r="J57" s="102"/>
      <c r="K57" s="103" t="s">
        <v>28</v>
      </c>
      <c r="L57" s="104"/>
      <c r="M57" s="105"/>
      <c r="N57" s="106"/>
      <c r="O57" s="107"/>
      <c r="P57" s="106">
        <f>SUM(P58:P66)</f>
        <v>806500000</v>
      </c>
      <c r="Q57" s="104" t="s">
        <v>198</v>
      </c>
      <c r="S57" s="102"/>
      <c r="T57" s="103" t="s">
        <v>28</v>
      </c>
      <c r="U57" s="104"/>
      <c r="V57" s="105"/>
      <c r="W57" s="106"/>
      <c r="X57" s="107"/>
      <c r="Y57" s="106">
        <f>SUM(Y58:Y66)</f>
        <v>806500000</v>
      </c>
      <c r="Z57" s="104" t="s">
        <v>198</v>
      </c>
      <c r="AB57" s="102"/>
      <c r="AC57" s="103" t="s">
        <v>28</v>
      </c>
      <c r="AD57" s="104"/>
      <c r="AE57" s="105"/>
      <c r="AF57" s="106"/>
      <c r="AG57" s="107"/>
      <c r="AH57" s="106">
        <f>SUM(AH58:AH66)</f>
        <v>806500000</v>
      </c>
      <c r="AI57" s="104" t="s">
        <v>198</v>
      </c>
      <c r="AK57" s="102"/>
      <c r="AL57" s="103" t="s">
        <v>28</v>
      </c>
      <c r="AM57" s="104"/>
      <c r="AN57" s="105"/>
      <c r="AO57" s="106"/>
      <c r="AP57" s="107"/>
      <c r="AQ57" s="106">
        <f>SUM(AQ58:AQ66)</f>
        <v>806500000</v>
      </c>
      <c r="AR57" s="104" t="s">
        <v>198</v>
      </c>
      <c r="AT57" s="102"/>
      <c r="AU57" s="103" t="s">
        <v>28</v>
      </c>
      <c r="AV57" s="104"/>
      <c r="AW57" s="105"/>
      <c r="AX57" s="106"/>
      <c r="AY57" s="107"/>
      <c r="AZ57" s="106">
        <f>SUM(AZ58:AZ66)</f>
        <v>806500000</v>
      </c>
      <c r="BA57" s="104" t="s">
        <v>198</v>
      </c>
    </row>
    <row r="58" spans="1:53" s="109" customFormat="1" ht="14.5" hidden="1" outlineLevel="1" x14ac:dyDescent="0.35">
      <c r="A58" s="111" t="s">
        <v>189</v>
      </c>
      <c r="B58" s="108" t="s">
        <v>110</v>
      </c>
      <c r="C58" s="96"/>
      <c r="D58" s="97"/>
      <c r="E58" s="98">
        <v>1</v>
      </c>
      <c r="F58" s="99">
        <v>308000000</v>
      </c>
      <c r="G58" s="100">
        <f>F58*E58</f>
        <v>308000000</v>
      </c>
      <c r="H58" s="101"/>
      <c r="J58" s="111" t="s">
        <v>189</v>
      </c>
      <c r="K58" s="108" t="s">
        <v>110</v>
      </c>
      <c r="L58" s="96"/>
      <c r="M58" s="97"/>
      <c r="N58" s="98">
        <v>1</v>
      </c>
      <c r="O58" s="99">
        <v>308000000</v>
      </c>
      <c r="P58" s="100">
        <f>O58*N58</f>
        <v>308000000</v>
      </c>
      <c r="Q58" s="101"/>
      <c r="S58" s="111" t="s">
        <v>189</v>
      </c>
      <c r="T58" s="108" t="s">
        <v>110</v>
      </c>
      <c r="U58" s="96"/>
      <c r="V58" s="97"/>
      <c r="W58" s="98">
        <v>1</v>
      </c>
      <c r="X58" s="99">
        <v>308000000</v>
      </c>
      <c r="Y58" s="100">
        <f>X58*W58</f>
        <v>308000000</v>
      </c>
      <c r="Z58" s="101"/>
      <c r="AB58" s="111" t="s">
        <v>189</v>
      </c>
      <c r="AC58" s="108" t="s">
        <v>110</v>
      </c>
      <c r="AD58" s="96"/>
      <c r="AE58" s="97"/>
      <c r="AF58" s="98">
        <v>1</v>
      </c>
      <c r="AG58" s="99">
        <v>308000000</v>
      </c>
      <c r="AH58" s="100">
        <f>AG58*AF58</f>
        <v>308000000</v>
      </c>
      <c r="AI58" s="101"/>
      <c r="AK58" s="111" t="s">
        <v>189</v>
      </c>
      <c r="AL58" s="108" t="s">
        <v>110</v>
      </c>
      <c r="AM58" s="96"/>
      <c r="AN58" s="97"/>
      <c r="AO58" s="98">
        <v>1</v>
      </c>
      <c r="AP58" s="99">
        <v>308000000</v>
      </c>
      <c r="AQ58" s="100">
        <f>AP58*AO58</f>
        <v>308000000</v>
      </c>
      <c r="AR58" s="101"/>
      <c r="AT58" s="111" t="s">
        <v>189</v>
      </c>
      <c r="AU58" s="108" t="s">
        <v>110</v>
      </c>
      <c r="AV58" s="96"/>
      <c r="AW58" s="97"/>
      <c r="AX58" s="98">
        <v>1</v>
      </c>
      <c r="AY58" s="99">
        <v>308000000</v>
      </c>
      <c r="AZ58" s="100">
        <f>AY58*AX58</f>
        <v>308000000</v>
      </c>
      <c r="BA58" s="101"/>
    </row>
    <row r="59" spans="1:53" s="109" customFormat="1" ht="14.5" hidden="1" outlineLevel="1" x14ac:dyDescent="0.35">
      <c r="A59" s="111" t="s">
        <v>190</v>
      </c>
      <c r="B59" s="108" t="s">
        <v>111</v>
      </c>
      <c r="C59" s="96"/>
      <c r="D59" s="97"/>
      <c r="E59" s="98">
        <v>1</v>
      </c>
      <c r="F59" s="99">
        <v>70000000</v>
      </c>
      <c r="G59" s="100">
        <f t="shared" ref="G59:G66" si="13">F59*E59</f>
        <v>70000000</v>
      </c>
      <c r="H59" s="96"/>
      <c r="J59" s="111" t="s">
        <v>190</v>
      </c>
      <c r="K59" s="108" t="s">
        <v>111</v>
      </c>
      <c r="L59" s="96"/>
      <c r="M59" s="97"/>
      <c r="N59" s="98">
        <v>1</v>
      </c>
      <c r="O59" s="99">
        <v>70000000</v>
      </c>
      <c r="P59" s="100">
        <f t="shared" ref="P59:P66" si="14">O59*N59</f>
        <v>70000000</v>
      </c>
      <c r="Q59" s="96"/>
      <c r="S59" s="111" t="s">
        <v>190</v>
      </c>
      <c r="T59" s="108" t="s">
        <v>111</v>
      </c>
      <c r="U59" s="96"/>
      <c r="V59" s="97"/>
      <c r="W59" s="98">
        <v>1</v>
      </c>
      <c r="X59" s="99">
        <v>70000000</v>
      </c>
      <c r="Y59" s="100">
        <f t="shared" ref="Y59:Y66" si="15">X59*W59</f>
        <v>70000000</v>
      </c>
      <c r="Z59" s="96"/>
      <c r="AB59" s="111" t="s">
        <v>190</v>
      </c>
      <c r="AC59" s="108" t="s">
        <v>111</v>
      </c>
      <c r="AD59" s="96"/>
      <c r="AE59" s="97"/>
      <c r="AF59" s="98">
        <v>1</v>
      </c>
      <c r="AG59" s="99">
        <v>70000000</v>
      </c>
      <c r="AH59" s="100">
        <f t="shared" ref="AH59:AH66" si="16">AG59*AF59</f>
        <v>70000000</v>
      </c>
      <c r="AI59" s="96"/>
      <c r="AK59" s="111" t="s">
        <v>190</v>
      </c>
      <c r="AL59" s="108" t="s">
        <v>111</v>
      </c>
      <c r="AM59" s="96"/>
      <c r="AN59" s="97"/>
      <c r="AO59" s="98">
        <v>1</v>
      </c>
      <c r="AP59" s="99">
        <v>70000000</v>
      </c>
      <c r="AQ59" s="100">
        <f t="shared" ref="AQ59:AQ66" si="17">AP59*AO59</f>
        <v>70000000</v>
      </c>
      <c r="AR59" s="96"/>
      <c r="AT59" s="111" t="s">
        <v>190</v>
      </c>
      <c r="AU59" s="108" t="s">
        <v>111</v>
      </c>
      <c r="AV59" s="96"/>
      <c r="AW59" s="97"/>
      <c r="AX59" s="98">
        <v>1</v>
      </c>
      <c r="AY59" s="99">
        <v>70000000</v>
      </c>
      <c r="AZ59" s="100">
        <f t="shared" ref="AZ59:AZ66" si="18">AY59*AX59</f>
        <v>70000000</v>
      </c>
      <c r="BA59" s="96"/>
    </row>
    <row r="60" spans="1:53" s="109" customFormat="1" ht="14.5" hidden="1" outlineLevel="1" x14ac:dyDescent="0.35">
      <c r="A60" s="111" t="s">
        <v>191</v>
      </c>
      <c r="B60" s="108" t="s">
        <v>112</v>
      </c>
      <c r="C60" s="96"/>
      <c r="D60" s="97"/>
      <c r="E60" s="98">
        <v>1</v>
      </c>
      <c r="F60" s="99">
        <v>40000000</v>
      </c>
      <c r="G60" s="100">
        <f t="shared" si="13"/>
        <v>40000000</v>
      </c>
      <c r="H60" s="96"/>
      <c r="J60" s="111" t="s">
        <v>191</v>
      </c>
      <c r="K60" s="108" t="s">
        <v>112</v>
      </c>
      <c r="L60" s="96"/>
      <c r="M60" s="97"/>
      <c r="N60" s="98">
        <v>1</v>
      </c>
      <c r="O60" s="99">
        <v>40000000</v>
      </c>
      <c r="P60" s="100">
        <f t="shared" si="14"/>
        <v>40000000</v>
      </c>
      <c r="Q60" s="96"/>
      <c r="S60" s="111" t="s">
        <v>191</v>
      </c>
      <c r="T60" s="108" t="s">
        <v>112</v>
      </c>
      <c r="U60" s="96"/>
      <c r="V60" s="97"/>
      <c r="W60" s="98">
        <v>1</v>
      </c>
      <c r="X60" s="99">
        <v>40000000</v>
      </c>
      <c r="Y60" s="100">
        <f t="shared" si="15"/>
        <v>40000000</v>
      </c>
      <c r="Z60" s="96"/>
      <c r="AB60" s="111" t="s">
        <v>191</v>
      </c>
      <c r="AC60" s="108" t="s">
        <v>112</v>
      </c>
      <c r="AD60" s="96"/>
      <c r="AE60" s="97"/>
      <c r="AF60" s="98">
        <v>1</v>
      </c>
      <c r="AG60" s="99">
        <v>40000000</v>
      </c>
      <c r="AH60" s="100">
        <f t="shared" si="16"/>
        <v>40000000</v>
      </c>
      <c r="AI60" s="96"/>
      <c r="AK60" s="111" t="s">
        <v>191</v>
      </c>
      <c r="AL60" s="108" t="s">
        <v>112</v>
      </c>
      <c r="AM60" s="96"/>
      <c r="AN60" s="97"/>
      <c r="AO60" s="98">
        <v>1</v>
      </c>
      <c r="AP60" s="99">
        <v>40000000</v>
      </c>
      <c r="AQ60" s="100">
        <f t="shared" si="17"/>
        <v>40000000</v>
      </c>
      <c r="AR60" s="96"/>
      <c r="AT60" s="111" t="s">
        <v>191</v>
      </c>
      <c r="AU60" s="108" t="s">
        <v>112</v>
      </c>
      <c r="AV60" s="96"/>
      <c r="AW60" s="97"/>
      <c r="AX60" s="98">
        <v>1</v>
      </c>
      <c r="AY60" s="99">
        <v>40000000</v>
      </c>
      <c r="AZ60" s="100">
        <f t="shared" si="18"/>
        <v>40000000</v>
      </c>
      <c r="BA60" s="96"/>
    </row>
    <row r="61" spans="1:53" s="109" customFormat="1" ht="14.5" hidden="1" outlineLevel="1" x14ac:dyDescent="0.35">
      <c r="A61" s="111" t="s">
        <v>192</v>
      </c>
      <c r="B61" s="108" t="s">
        <v>113</v>
      </c>
      <c r="C61" s="96"/>
      <c r="D61" s="97"/>
      <c r="E61" s="98">
        <v>3</v>
      </c>
      <c r="F61" s="99">
        <v>1500000</v>
      </c>
      <c r="G61" s="100">
        <f t="shared" si="13"/>
        <v>4500000</v>
      </c>
      <c r="H61" s="96"/>
      <c r="J61" s="111" t="s">
        <v>192</v>
      </c>
      <c r="K61" s="108" t="s">
        <v>113</v>
      </c>
      <c r="L61" s="96"/>
      <c r="M61" s="97"/>
      <c r="N61" s="98">
        <v>3</v>
      </c>
      <c r="O61" s="99">
        <v>1500000</v>
      </c>
      <c r="P61" s="100">
        <f t="shared" si="14"/>
        <v>4500000</v>
      </c>
      <c r="Q61" s="96"/>
      <c r="S61" s="111" t="s">
        <v>192</v>
      </c>
      <c r="T61" s="108" t="s">
        <v>113</v>
      </c>
      <c r="U61" s="96"/>
      <c r="V61" s="97"/>
      <c r="W61" s="98">
        <v>3</v>
      </c>
      <c r="X61" s="99">
        <v>1500000</v>
      </c>
      <c r="Y61" s="100">
        <f t="shared" si="15"/>
        <v>4500000</v>
      </c>
      <c r="Z61" s="96"/>
      <c r="AB61" s="111" t="s">
        <v>192</v>
      </c>
      <c r="AC61" s="108" t="s">
        <v>113</v>
      </c>
      <c r="AD61" s="96"/>
      <c r="AE61" s="97"/>
      <c r="AF61" s="98">
        <v>3</v>
      </c>
      <c r="AG61" s="99">
        <v>1500000</v>
      </c>
      <c r="AH61" s="100">
        <f t="shared" si="16"/>
        <v>4500000</v>
      </c>
      <c r="AI61" s="96"/>
      <c r="AK61" s="111" t="s">
        <v>192</v>
      </c>
      <c r="AL61" s="108" t="s">
        <v>113</v>
      </c>
      <c r="AM61" s="96"/>
      <c r="AN61" s="97"/>
      <c r="AO61" s="98">
        <v>3</v>
      </c>
      <c r="AP61" s="99">
        <v>1500000</v>
      </c>
      <c r="AQ61" s="100">
        <f t="shared" si="17"/>
        <v>4500000</v>
      </c>
      <c r="AR61" s="96"/>
      <c r="AT61" s="111" t="s">
        <v>192</v>
      </c>
      <c r="AU61" s="108" t="s">
        <v>113</v>
      </c>
      <c r="AV61" s="96"/>
      <c r="AW61" s="97"/>
      <c r="AX61" s="98">
        <v>3</v>
      </c>
      <c r="AY61" s="99">
        <v>1500000</v>
      </c>
      <c r="AZ61" s="100">
        <f t="shared" si="18"/>
        <v>4500000</v>
      </c>
      <c r="BA61" s="96"/>
    </row>
    <row r="62" spans="1:53" s="109" customFormat="1" ht="14.5" hidden="1" outlineLevel="1" x14ac:dyDescent="0.35">
      <c r="A62" s="111" t="s">
        <v>193</v>
      </c>
      <c r="B62" s="108" t="s">
        <v>114</v>
      </c>
      <c r="C62" s="96"/>
      <c r="D62" s="97"/>
      <c r="E62" s="98">
        <v>1</v>
      </c>
      <c r="F62" s="99">
        <v>137000000</v>
      </c>
      <c r="G62" s="100">
        <f t="shared" si="13"/>
        <v>137000000</v>
      </c>
      <c r="H62" s="96"/>
      <c r="J62" s="111" t="s">
        <v>193</v>
      </c>
      <c r="K62" s="108" t="s">
        <v>114</v>
      </c>
      <c r="L62" s="96"/>
      <c r="M62" s="97"/>
      <c r="N62" s="98">
        <v>1</v>
      </c>
      <c r="O62" s="99">
        <v>137000000</v>
      </c>
      <c r="P62" s="100">
        <f t="shared" si="14"/>
        <v>137000000</v>
      </c>
      <c r="Q62" s="96"/>
      <c r="S62" s="111" t="s">
        <v>193</v>
      </c>
      <c r="T62" s="108" t="s">
        <v>114</v>
      </c>
      <c r="U62" s="96"/>
      <c r="V62" s="97"/>
      <c r="W62" s="98">
        <v>1</v>
      </c>
      <c r="X62" s="99">
        <v>137000000</v>
      </c>
      <c r="Y62" s="100">
        <f t="shared" si="15"/>
        <v>137000000</v>
      </c>
      <c r="Z62" s="96"/>
      <c r="AB62" s="111" t="s">
        <v>193</v>
      </c>
      <c r="AC62" s="108" t="s">
        <v>114</v>
      </c>
      <c r="AD62" s="96"/>
      <c r="AE62" s="97"/>
      <c r="AF62" s="98">
        <v>1</v>
      </c>
      <c r="AG62" s="99">
        <v>137000000</v>
      </c>
      <c r="AH62" s="100">
        <f t="shared" si="16"/>
        <v>137000000</v>
      </c>
      <c r="AI62" s="96"/>
      <c r="AK62" s="111" t="s">
        <v>193</v>
      </c>
      <c r="AL62" s="108" t="s">
        <v>114</v>
      </c>
      <c r="AM62" s="96"/>
      <c r="AN62" s="97"/>
      <c r="AO62" s="98">
        <v>1</v>
      </c>
      <c r="AP62" s="99">
        <v>137000000</v>
      </c>
      <c r="AQ62" s="100">
        <f t="shared" si="17"/>
        <v>137000000</v>
      </c>
      <c r="AR62" s="96"/>
      <c r="AT62" s="111" t="s">
        <v>193</v>
      </c>
      <c r="AU62" s="108" t="s">
        <v>114</v>
      </c>
      <c r="AV62" s="96"/>
      <c r="AW62" s="97"/>
      <c r="AX62" s="98">
        <v>1</v>
      </c>
      <c r="AY62" s="99">
        <v>137000000</v>
      </c>
      <c r="AZ62" s="100">
        <f t="shared" si="18"/>
        <v>137000000</v>
      </c>
      <c r="BA62" s="96"/>
    </row>
    <row r="63" spans="1:53" s="109" customFormat="1" ht="14.5" hidden="1" outlineLevel="1" x14ac:dyDescent="0.35">
      <c r="A63" s="111" t="s">
        <v>194</v>
      </c>
      <c r="B63" s="108" t="s">
        <v>115</v>
      </c>
      <c r="C63" s="96"/>
      <c r="D63" s="97"/>
      <c r="E63" s="98">
        <v>1</v>
      </c>
      <c r="F63" s="99">
        <v>170000000</v>
      </c>
      <c r="G63" s="100">
        <f t="shared" si="13"/>
        <v>170000000</v>
      </c>
      <c r="H63" s="96"/>
      <c r="J63" s="111" t="s">
        <v>194</v>
      </c>
      <c r="K63" s="108" t="s">
        <v>115</v>
      </c>
      <c r="L63" s="96"/>
      <c r="M63" s="97"/>
      <c r="N63" s="98">
        <v>1</v>
      </c>
      <c r="O63" s="99">
        <v>170000000</v>
      </c>
      <c r="P63" s="100">
        <f t="shared" si="14"/>
        <v>170000000</v>
      </c>
      <c r="Q63" s="96"/>
      <c r="S63" s="111" t="s">
        <v>194</v>
      </c>
      <c r="T63" s="108" t="s">
        <v>115</v>
      </c>
      <c r="U63" s="96"/>
      <c r="V63" s="97"/>
      <c r="W63" s="98">
        <v>1</v>
      </c>
      <c r="X63" s="99">
        <v>170000000</v>
      </c>
      <c r="Y63" s="100">
        <f t="shared" si="15"/>
        <v>170000000</v>
      </c>
      <c r="Z63" s="96"/>
      <c r="AB63" s="111" t="s">
        <v>194</v>
      </c>
      <c r="AC63" s="108" t="s">
        <v>115</v>
      </c>
      <c r="AD63" s="96"/>
      <c r="AE63" s="97"/>
      <c r="AF63" s="98">
        <v>1</v>
      </c>
      <c r="AG63" s="99">
        <v>170000000</v>
      </c>
      <c r="AH63" s="100">
        <f t="shared" si="16"/>
        <v>170000000</v>
      </c>
      <c r="AI63" s="96"/>
      <c r="AK63" s="111" t="s">
        <v>194</v>
      </c>
      <c r="AL63" s="108" t="s">
        <v>115</v>
      </c>
      <c r="AM63" s="96"/>
      <c r="AN63" s="97"/>
      <c r="AO63" s="98">
        <v>1</v>
      </c>
      <c r="AP63" s="99">
        <v>170000000</v>
      </c>
      <c r="AQ63" s="100">
        <f t="shared" si="17"/>
        <v>170000000</v>
      </c>
      <c r="AR63" s="96"/>
      <c r="AT63" s="111" t="s">
        <v>194</v>
      </c>
      <c r="AU63" s="108" t="s">
        <v>115</v>
      </c>
      <c r="AV63" s="96"/>
      <c r="AW63" s="97"/>
      <c r="AX63" s="98">
        <v>1</v>
      </c>
      <c r="AY63" s="99">
        <v>170000000</v>
      </c>
      <c r="AZ63" s="100">
        <f t="shared" si="18"/>
        <v>170000000</v>
      </c>
      <c r="BA63" s="96"/>
    </row>
    <row r="64" spans="1:53" s="109" customFormat="1" ht="16.5" hidden="1" customHeight="1" outlineLevel="1" x14ac:dyDescent="0.35">
      <c r="A64" s="111" t="s">
        <v>195</v>
      </c>
      <c r="B64" s="108" t="s">
        <v>116</v>
      </c>
      <c r="C64" s="96"/>
      <c r="D64" s="97"/>
      <c r="E64" s="98">
        <v>1</v>
      </c>
      <c r="F64" s="99">
        <v>25000000</v>
      </c>
      <c r="G64" s="100">
        <f t="shared" si="13"/>
        <v>25000000</v>
      </c>
      <c r="H64" s="96"/>
      <c r="J64" s="111" t="s">
        <v>195</v>
      </c>
      <c r="K64" s="108" t="s">
        <v>116</v>
      </c>
      <c r="L64" s="96"/>
      <c r="M64" s="97"/>
      <c r="N64" s="98">
        <v>1</v>
      </c>
      <c r="O64" s="99">
        <v>25000000</v>
      </c>
      <c r="P64" s="100">
        <f t="shared" si="14"/>
        <v>25000000</v>
      </c>
      <c r="Q64" s="96"/>
      <c r="S64" s="111" t="s">
        <v>195</v>
      </c>
      <c r="T64" s="108" t="s">
        <v>116</v>
      </c>
      <c r="U64" s="96"/>
      <c r="V64" s="97"/>
      <c r="W64" s="98">
        <v>1</v>
      </c>
      <c r="X64" s="99">
        <v>25000000</v>
      </c>
      <c r="Y64" s="100">
        <f t="shared" si="15"/>
        <v>25000000</v>
      </c>
      <c r="Z64" s="96"/>
      <c r="AB64" s="111" t="s">
        <v>195</v>
      </c>
      <c r="AC64" s="108" t="s">
        <v>116</v>
      </c>
      <c r="AD64" s="96"/>
      <c r="AE64" s="97"/>
      <c r="AF64" s="98">
        <v>1</v>
      </c>
      <c r="AG64" s="99">
        <v>25000000</v>
      </c>
      <c r="AH64" s="100">
        <f t="shared" si="16"/>
        <v>25000000</v>
      </c>
      <c r="AI64" s="96"/>
      <c r="AK64" s="111" t="s">
        <v>195</v>
      </c>
      <c r="AL64" s="108" t="s">
        <v>116</v>
      </c>
      <c r="AM64" s="96"/>
      <c r="AN64" s="97"/>
      <c r="AO64" s="98">
        <v>1</v>
      </c>
      <c r="AP64" s="99">
        <v>25000000</v>
      </c>
      <c r="AQ64" s="100">
        <f t="shared" si="17"/>
        <v>25000000</v>
      </c>
      <c r="AR64" s="96"/>
      <c r="AT64" s="111" t="s">
        <v>195</v>
      </c>
      <c r="AU64" s="108" t="s">
        <v>116</v>
      </c>
      <c r="AV64" s="96"/>
      <c r="AW64" s="97"/>
      <c r="AX64" s="98">
        <v>1</v>
      </c>
      <c r="AY64" s="99">
        <v>25000000</v>
      </c>
      <c r="AZ64" s="100">
        <f t="shared" si="18"/>
        <v>25000000</v>
      </c>
      <c r="BA64" s="96"/>
    </row>
    <row r="65" spans="1:53" s="109" customFormat="1" ht="31.5" hidden="1" customHeight="1" outlineLevel="1" x14ac:dyDescent="0.35">
      <c r="A65" s="111" t="s">
        <v>196</v>
      </c>
      <c r="B65" s="110" t="s">
        <v>117</v>
      </c>
      <c r="C65" s="96"/>
      <c r="D65" s="97"/>
      <c r="E65" s="98">
        <v>1</v>
      </c>
      <c r="F65" s="99">
        <v>40000000</v>
      </c>
      <c r="G65" s="100">
        <f t="shared" si="13"/>
        <v>40000000</v>
      </c>
      <c r="H65" s="96"/>
      <c r="J65" s="111" t="s">
        <v>196</v>
      </c>
      <c r="K65" s="110" t="s">
        <v>117</v>
      </c>
      <c r="L65" s="96"/>
      <c r="M65" s="97"/>
      <c r="N65" s="98">
        <v>1</v>
      </c>
      <c r="O65" s="99">
        <v>40000000</v>
      </c>
      <c r="P65" s="100">
        <f t="shared" si="14"/>
        <v>40000000</v>
      </c>
      <c r="Q65" s="96"/>
      <c r="S65" s="111" t="s">
        <v>196</v>
      </c>
      <c r="T65" s="110" t="s">
        <v>117</v>
      </c>
      <c r="U65" s="96"/>
      <c r="V65" s="97"/>
      <c r="W65" s="98">
        <v>1</v>
      </c>
      <c r="X65" s="99">
        <v>40000000</v>
      </c>
      <c r="Y65" s="100">
        <f t="shared" si="15"/>
        <v>40000000</v>
      </c>
      <c r="Z65" s="96"/>
      <c r="AB65" s="111" t="s">
        <v>196</v>
      </c>
      <c r="AC65" s="110" t="s">
        <v>117</v>
      </c>
      <c r="AD65" s="96"/>
      <c r="AE65" s="97"/>
      <c r="AF65" s="98">
        <v>1</v>
      </c>
      <c r="AG65" s="99">
        <v>40000000</v>
      </c>
      <c r="AH65" s="100">
        <f t="shared" si="16"/>
        <v>40000000</v>
      </c>
      <c r="AI65" s="96"/>
      <c r="AK65" s="111" t="s">
        <v>196</v>
      </c>
      <c r="AL65" s="110" t="s">
        <v>117</v>
      </c>
      <c r="AM65" s="96"/>
      <c r="AN65" s="97"/>
      <c r="AO65" s="98">
        <v>1</v>
      </c>
      <c r="AP65" s="99">
        <v>40000000</v>
      </c>
      <c r="AQ65" s="100">
        <f t="shared" si="17"/>
        <v>40000000</v>
      </c>
      <c r="AR65" s="96"/>
      <c r="AT65" s="111" t="s">
        <v>196</v>
      </c>
      <c r="AU65" s="110" t="s">
        <v>117</v>
      </c>
      <c r="AV65" s="96"/>
      <c r="AW65" s="97"/>
      <c r="AX65" s="98">
        <v>1</v>
      </c>
      <c r="AY65" s="99">
        <v>40000000</v>
      </c>
      <c r="AZ65" s="100">
        <f t="shared" si="18"/>
        <v>40000000</v>
      </c>
      <c r="BA65" s="96"/>
    </row>
    <row r="66" spans="1:53" s="109" customFormat="1" ht="31.5" hidden="1" customHeight="1" outlineLevel="1" x14ac:dyDescent="0.35">
      <c r="A66" s="111" t="s">
        <v>197</v>
      </c>
      <c r="B66" s="110" t="s">
        <v>118</v>
      </c>
      <c r="C66" s="96"/>
      <c r="D66" s="97"/>
      <c r="E66" s="98">
        <v>4</v>
      </c>
      <c r="F66" s="99">
        <v>3000000</v>
      </c>
      <c r="G66" s="100">
        <f t="shared" si="13"/>
        <v>12000000</v>
      </c>
      <c r="H66" s="96"/>
      <c r="J66" s="111" t="s">
        <v>197</v>
      </c>
      <c r="K66" s="110" t="s">
        <v>118</v>
      </c>
      <c r="L66" s="96"/>
      <c r="M66" s="97"/>
      <c r="N66" s="98">
        <v>4</v>
      </c>
      <c r="O66" s="99">
        <v>3000000</v>
      </c>
      <c r="P66" s="100">
        <f t="shared" si="14"/>
        <v>12000000</v>
      </c>
      <c r="Q66" s="96"/>
      <c r="S66" s="111" t="s">
        <v>197</v>
      </c>
      <c r="T66" s="110" t="s">
        <v>118</v>
      </c>
      <c r="U66" s="96"/>
      <c r="V66" s="97"/>
      <c r="W66" s="98">
        <v>4</v>
      </c>
      <c r="X66" s="99">
        <v>3000000</v>
      </c>
      <c r="Y66" s="100">
        <f t="shared" si="15"/>
        <v>12000000</v>
      </c>
      <c r="Z66" s="96"/>
      <c r="AB66" s="111" t="s">
        <v>197</v>
      </c>
      <c r="AC66" s="110" t="s">
        <v>118</v>
      </c>
      <c r="AD66" s="96"/>
      <c r="AE66" s="97"/>
      <c r="AF66" s="98">
        <v>4</v>
      </c>
      <c r="AG66" s="99">
        <v>3000000</v>
      </c>
      <c r="AH66" s="100">
        <f t="shared" si="16"/>
        <v>12000000</v>
      </c>
      <c r="AI66" s="96"/>
      <c r="AK66" s="111" t="s">
        <v>197</v>
      </c>
      <c r="AL66" s="110" t="s">
        <v>118</v>
      </c>
      <c r="AM66" s="96"/>
      <c r="AN66" s="97"/>
      <c r="AO66" s="98">
        <v>4</v>
      </c>
      <c r="AP66" s="99">
        <v>3000000</v>
      </c>
      <c r="AQ66" s="100">
        <f t="shared" si="17"/>
        <v>12000000</v>
      </c>
      <c r="AR66" s="96"/>
      <c r="AT66" s="111" t="s">
        <v>197</v>
      </c>
      <c r="AU66" s="110" t="s">
        <v>118</v>
      </c>
      <c r="AV66" s="96"/>
      <c r="AW66" s="97"/>
      <c r="AX66" s="98">
        <v>4</v>
      </c>
      <c r="AY66" s="99">
        <v>3000000</v>
      </c>
      <c r="AZ66" s="100">
        <f t="shared" si="18"/>
        <v>12000000</v>
      </c>
      <c r="BA66" s="96"/>
    </row>
    <row r="67" spans="1:53" s="119" customFormat="1" ht="21.75" customHeight="1" collapsed="1" x14ac:dyDescent="0.35">
      <c r="A67" s="112" t="s">
        <v>187</v>
      </c>
      <c r="B67" s="113" t="s">
        <v>52</v>
      </c>
      <c r="C67" s="114"/>
      <c r="D67" s="115" t="s">
        <v>1</v>
      </c>
      <c r="E67" s="116">
        <f>E13</f>
        <v>570000</v>
      </c>
      <c r="F67" s="117">
        <f>G67/E67</f>
        <v>497.45113195108951</v>
      </c>
      <c r="G67" s="118">
        <f>G12-G13</f>
        <v>283547145.21212101</v>
      </c>
      <c r="H67" s="113"/>
      <c r="J67" s="112" t="s">
        <v>187</v>
      </c>
      <c r="K67" s="113" t="s">
        <v>52</v>
      </c>
      <c r="L67" s="114"/>
      <c r="M67" s="115" t="s">
        <v>1</v>
      </c>
      <c r="N67" s="116">
        <f>N13</f>
        <v>28500</v>
      </c>
      <c r="O67" s="117">
        <f>P67/N67</f>
        <v>-703.57810781499165</v>
      </c>
      <c r="P67" s="118">
        <f>P12-P13</f>
        <v>-20051976.072727263</v>
      </c>
      <c r="Q67" s="113"/>
      <c r="S67" s="112" t="s">
        <v>187</v>
      </c>
      <c r="T67" s="113" t="s">
        <v>52</v>
      </c>
      <c r="U67" s="114"/>
      <c r="V67" s="115" t="s">
        <v>1</v>
      </c>
      <c r="W67" s="116">
        <f>W13</f>
        <v>47500</v>
      </c>
      <c r="X67" s="117">
        <f>Y67/W67</f>
        <v>-137.65997916002149</v>
      </c>
      <c r="Y67" s="118">
        <f>Y12-Y13</f>
        <v>-6538849.0101010203</v>
      </c>
      <c r="Z67" s="113"/>
      <c r="AB67" s="112" t="s">
        <v>187</v>
      </c>
      <c r="AC67" s="113" t="s">
        <v>52</v>
      </c>
      <c r="AD67" s="114"/>
      <c r="AE67" s="115" t="s">
        <v>1</v>
      </c>
      <c r="AF67" s="116">
        <f>AF13</f>
        <v>85500</v>
      </c>
      <c r="AG67" s="117">
        <f>AH67/AF67</f>
        <v>-35.527425553783338</v>
      </c>
      <c r="AH67" s="118">
        <f>AH12-AH13</f>
        <v>-3037594.8848484755</v>
      </c>
      <c r="AI67" s="113"/>
      <c r="AK67" s="112" t="s">
        <v>187</v>
      </c>
      <c r="AL67" s="113" t="s">
        <v>52</v>
      </c>
      <c r="AM67" s="114"/>
      <c r="AN67" s="115" t="s">
        <v>1</v>
      </c>
      <c r="AO67" s="116">
        <f>AO13</f>
        <v>95000</v>
      </c>
      <c r="AP67" s="117">
        <f>AQ67/AO67</f>
        <v>49.673354173312688</v>
      </c>
      <c r="AQ67" s="118">
        <f>AQ12-AQ13</f>
        <v>4718968.6464647055</v>
      </c>
      <c r="AR67" s="113"/>
      <c r="AT67" s="112" t="s">
        <v>187</v>
      </c>
      <c r="AU67" s="113" t="s">
        <v>52</v>
      </c>
      <c r="AV67" s="114"/>
      <c r="AW67" s="115" t="s">
        <v>1</v>
      </c>
      <c r="AX67" s="116">
        <f>AX13</f>
        <v>142500</v>
      </c>
      <c r="AY67" s="117">
        <f>AZ67/AX67</f>
        <v>277.20551791600178</v>
      </c>
      <c r="AZ67" s="118">
        <f>AZ12-AZ13</f>
        <v>39501786.303030252</v>
      </c>
      <c r="BA67" s="113"/>
    </row>
    <row r="68" spans="1:53" ht="14.25" customHeight="1" x14ac:dyDescent="0.35">
      <c r="A68" s="157"/>
      <c r="B68" s="151"/>
      <c r="C68" s="152"/>
      <c r="D68" s="153"/>
      <c r="E68" s="154"/>
      <c r="F68" s="155"/>
      <c r="G68" s="158"/>
      <c r="H68" s="151"/>
      <c r="J68" s="157"/>
      <c r="K68" s="151"/>
      <c r="L68" s="152"/>
      <c r="M68" s="153"/>
      <c r="N68" s="154"/>
      <c r="O68" s="155"/>
      <c r="P68" s="158"/>
      <c r="Q68" s="151"/>
      <c r="S68" s="157"/>
      <c r="T68" s="151"/>
      <c r="U68" s="152"/>
      <c r="V68" s="153"/>
      <c r="W68" s="154"/>
      <c r="X68" s="155"/>
      <c r="Y68" s="158"/>
      <c r="Z68" s="151"/>
      <c r="AB68" s="157"/>
      <c r="AC68" s="151"/>
      <c r="AD68" s="152"/>
      <c r="AE68" s="153"/>
      <c r="AF68" s="154"/>
      <c r="AG68" s="155"/>
      <c r="AH68" s="158"/>
      <c r="AI68" s="151"/>
    </row>
    <row r="69" spans="1:53" ht="25.5" customHeight="1" x14ac:dyDescent="0.35"/>
    <row r="71" spans="1:53" ht="45" customHeight="1" x14ac:dyDescent="0.35">
      <c r="E71" s="148" t="s">
        <v>146</v>
      </c>
      <c r="F71" s="149">
        <v>9700</v>
      </c>
    </row>
    <row r="72" spans="1:53" x14ac:dyDescent="0.35">
      <c r="E72" s="150" t="s">
        <v>145</v>
      </c>
      <c r="F72" s="149">
        <f>F12-F71</f>
        <v>0</v>
      </c>
    </row>
  </sheetData>
  <mergeCells count="1">
    <mergeCell ref="A1:H1"/>
  </mergeCells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0EDA-11E7-4E3C-B38B-462E7C45B7A0}">
  <dimension ref="A1:K51"/>
  <sheetViews>
    <sheetView topLeftCell="A30" zoomScale="70" zoomScaleNormal="70" workbookViewId="0">
      <selection activeCell="L55" sqref="L55"/>
    </sheetView>
  </sheetViews>
  <sheetFormatPr defaultColWidth="8.7265625" defaultRowHeight="14" x14ac:dyDescent="0.3"/>
  <cols>
    <col min="1" max="1" width="40.453125" style="1" bestFit="1" customWidth="1"/>
    <col min="2" max="2" width="27.1796875" style="3" bestFit="1" customWidth="1"/>
    <col min="3" max="3" width="13.81640625" style="1" bestFit="1" customWidth="1"/>
    <col min="4" max="4" width="12.453125" style="1" hidden="1" customWidth="1"/>
    <col min="5" max="5" width="13.54296875" style="1" hidden="1" customWidth="1"/>
    <col min="6" max="10" width="0" style="1" hidden="1" customWidth="1"/>
    <col min="11" max="11" width="11.7265625" style="1" hidden="1" customWidth="1"/>
    <col min="12" max="12" width="21.7265625" style="1" customWidth="1"/>
    <col min="13" max="16384" width="8.7265625" style="1"/>
  </cols>
  <sheetData>
    <row r="1" spans="1:11" x14ac:dyDescent="0.3">
      <c r="A1" s="25" t="s">
        <v>31</v>
      </c>
      <c r="B1" s="33" t="s">
        <v>32</v>
      </c>
    </row>
    <row r="2" spans="1:11" ht="28" x14ac:dyDescent="0.3">
      <c r="A2" s="7" t="s">
        <v>33</v>
      </c>
      <c r="B2" s="4" t="s">
        <v>87</v>
      </c>
    </row>
    <row r="3" spans="1:11" x14ac:dyDescent="0.3">
      <c r="A3" s="7" t="s">
        <v>34</v>
      </c>
      <c r="B3" s="4"/>
    </row>
    <row r="4" spans="1:11" ht="28" x14ac:dyDescent="0.3">
      <c r="A4" s="7" t="s">
        <v>35</v>
      </c>
      <c r="B4" s="4" t="s">
        <v>75</v>
      </c>
    </row>
    <row r="5" spans="1:11" x14ac:dyDescent="0.3">
      <c r="A5" s="7" t="s">
        <v>36</v>
      </c>
      <c r="B5" s="4" t="s">
        <v>37</v>
      </c>
    </row>
    <row r="7" spans="1:11" x14ac:dyDescent="0.3">
      <c r="A7" s="26" t="s">
        <v>38</v>
      </c>
      <c r="B7" s="27">
        <f>SUM(B8+B13)</f>
        <v>4909500000</v>
      </c>
      <c r="K7" s="1">
        <v>913000000</v>
      </c>
    </row>
    <row r="8" spans="1:11" x14ac:dyDescent="0.3">
      <c r="A8" s="45" t="s">
        <v>39</v>
      </c>
      <c r="B8" s="46">
        <f>SUM(B9:B11)</f>
        <v>4909500000</v>
      </c>
      <c r="K8" s="1">
        <v>440000000</v>
      </c>
    </row>
    <row r="9" spans="1:11" x14ac:dyDescent="0.3">
      <c r="A9" s="7" t="s">
        <v>40</v>
      </c>
      <c r="B9" s="8">
        <f>'PnL đầy đủ'!H6</f>
        <v>806500000</v>
      </c>
      <c r="K9" s="1">
        <f>K8+K7</f>
        <v>1353000000</v>
      </c>
    </row>
    <row r="10" spans="1:11" x14ac:dyDescent="0.3">
      <c r="A10" s="7" t="s">
        <v>41</v>
      </c>
      <c r="B10" s="8">
        <f>'PnL đầy đủ'!H5</f>
        <v>2103000000</v>
      </c>
      <c r="K10" s="1">
        <f>K9*1.1</f>
        <v>1488300000.0000002</v>
      </c>
    </row>
    <row r="11" spans="1:11" x14ac:dyDescent="0.3">
      <c r="A11" s="7" t="s">
        <v>42</v>
      </c>
      <c r="B11" s="8">
        <v>2000000000</v>
      </c>
    </row>
    <row r="12" spans="1:11" x14ac:dyDescent="0.3">
      <c r="A12" s="7"/>
      <c r="B12" s="8"/>
    </row>
    <row r="13" spans="1:11" hidden="1" x14ac:dyDescent="0.3">
      <c r="A13" s="45" t="s">
        <v>43</v>
      </c>
      <c r="B13" s="46">
        <f>SUM(B14)</f>
        <v>0</v>
      </c>
    </row>
    <row r="14" spans="1:11" hidden="1" x14ac:dyDescent="0.3">
      <c r="A14" s="7" t="s">
        <v>44</v>
      </c>
      <c r="B14" s="8">
        <v>0</v>
      </c>
    </row>
    <row r="16" spans="1:11" x14ac:dyDescent="0.3">
      <c r="A16" s="26" t="s">
        <v>45</v>
      </c>
      <c r="B16" s="27">
        <f>B8</f>
        <v>4909500000</v>
      </c>
    </row>
    <row r="17" spans="1:3" x14ac:dyDescent="0.3">
      <c r="A17" s="7" t="s">
        <v>78</v>
      </c>
      <c r="B17" s="8">
        <f>B9</f>
        <v>806500000</v>
      </c>
    </row>
    <row r="18" spans="1:3" x14ac:dyDescent="0.3">
      <c r="A18" s="7" t="s">
        <v>130</v>
      </c>
      <c r="B18" s="8">
        <f>B10</f>
        <v>2103000000</v>
      </c>
    </row>
    <row r="19" spans="1:3" x14ac:dyDescent="0.3">
      <c r="A19" s="7" t="s">
        <v>46</v>
      </c>
      <c r="B19" s="8">
        <v>2000000000</v>
      </c>
      <c r="C19" s="28">
        <v>0</v>
      </c>
    </row>
    <row r="21" spans="1:3" x14ac:dyDescent="0.3">
      <c r="A21" s="26" t="s">
        <v>47</v>
      </c>
      <c r="B21" s="8"/>
    </row>
    <row r="22" spans="1:3" x14ac:dyDescent="0.3">
      <c r="A22" s="7" t="s">
        <v>48</v>
      </c>
      <c r="B22" s="9">
        <f>'PnL đầy đủ'!E12</f>
        <v>570000</v>
      </c>
      <c r="C22" s="29" t="s">
        <v>49</v>
      </c>
    </row>
    <row r="23" spans="1:3" x14ac:dyDescent="0.3">
      <c r="A23" s="7" t="s">
        <v>50</v>
      </c>
      <c r="B23" s="9">
        <f>'PnL đầy đủ'!G13-'PnL đầy đủ'!G42</f>
        <v>5140302854.787879</v>
      </c>
      <c r="C23" s="29" t="s">
        <v>51</v>
      </c>
    </row>
    <row r="24" spans="1:3" x14ac:dyDescent="0.3">
      <c r="A24" s="7" t="s">
        <v>140</v>
      </c>
      <c r="B24" s="43">
        <f>'PnL đầy đủ'!C7</f>
        <v>8000</v>
      </c>
      <c r="C24" s="44" t="s">
        <v>72</v>
      </c>
    </row>
    <row r="25" spans="1:3" x14ac:dyDescent="0.3">
      <c r="A25" s="7" t="s">
        <v>131</v>
      </c>
      <c r="B25" s="43">
        <f>ROUNDUP(B23/B22,0)-B24</f>
        <v>1019</v>
      </c>
      <c r="C25" s="44" t="s">
        <v>72</v>
      </c>
    </row>
    <row r="26" spans="1:3" x14ac:dyDescent="0.3">
      <c r="A26" s="7" t="s">
        <v>132</v>
      </c>
      <c r="B26" s="43">
        <f>'PnL đầy đủ'!F42</f>
        <v>184.47368421052633</v>
      </c>
      <c r="C26" s="44" t="s">
        <v>72</v>
      </c>
    </row>
    <row r="27" spans="1:3" x14ac:dyDescent="0.3">
      <c r="A27" s="7" t="s">
        <v>133</v>
      </c>
      <c r="B27" s="43">
        <f>'PnL đầy đủ'!C9</f>
        <v>500</v>
      </c>
      <c r="C27" s="44" t="s">
        <v>72</v>
      </c>
    </row>
    <row r="28" spans="1:3" x14ac:dyDescent="0.3">
      <c r="A28" s="7" t="s">
        <v>134</v>
      </c>
      <c r="B28" s="75">
        <f>B25+B26+B27+B24</f>
        <v>9703.4736842105267</v>
      </c>
      <c r="C28" s="76" t="s">
        <v>72</v>
      </c>
    </row>
    <row r="29" spans="1:3" x14ac:dyDescent="0.3">
      <c r="A29" s="7" t="s">
        <v>52</v>
      </c>
      <c r="B29" s="9">
        <f>'PnL đầy đủ'!G67</f>
        <v>283547145.21212101</v>
      </c>
      <c r="C29" s="29" t="s">
        <v>51</v>
      </c>
    </row>
    <row r="30" spans="1:3" x14ac:dyDescent="0.3">
      <c r="A30" s="42"/>
      <c r="B30" s="43">
        <f>B29/B22</f>
        <v>497.45113195108951</v>
      </c>
      <c r="C30" s="44" t="s">
        <v>72</v>
      </c>
    </row>
    <row r="31" spans="1:3" x14ac:dyDescent="0.3">
      <c r="A31" s="26" t="s">
        <v>53</v>
      </c>
      <c r="B31" s="9"/>
      <c r="C31" s="29"/>
    </row>
    <row r="32" spans="1:3" x14ac:dyDescent="0.3">
      <c r="A32" s="7" t="s">
        <v>143</v>
      </c>
      <c r="B32" s="30">
        <f>B29*12/SUM(B17:B18)</f>
        <v>1.1694675176303324</v>
      </c>
      <c r="C32" s="29" t="s">
        <v>55</v>
      </c>
    </row>
    <row r="33" spans="1:5" x14ac:dyDescent="0.3">
      <c r="A33" s="7" t="s">
        <v>73</v>
      </c>
      <c r="B33" s="31">
        <f>1/B32</f>
        <v>0.85509001740063639</v>
      </c>
      <c r="C33" s="29" t="s">
        <v>57</v>
      </c>
      <c r="E33" s="1">
        <f>B33*12</f>
        <v>10.261080208807638</v>
      </c>
    </row>
    <row r="35" spans="1:5" x14ac:dyDescent="0.3">
      <c r="A35" s="45" t="s">
        <v>58</v>
      </c>
    </row>
    <row r="36" spans="1:5" x14ac:dyDescent="0.3">
      <c r="A36" s="7" t="s">
        <v>54</v>
      </c>
      <c r="B36" s="30">
        <f>B29*12/B18</f>
        <v>1.6179580325941285</v>
      </c>
      <c r="C36" s="29" t="s">
        <v>55</v>
      </c>
    </row>
    <row r="37" spans="1:5" x14ac:dyDescent="0.3">
      <c r="A37" s="7" t="s">
        <v>56</v>
      </c>
      <c r="B37" s="31">
        <f>1/B36</f>
        <v>0.61806300278176263</v>
      </c>
      <c r="C37" s="29" t="s">
        <v>57</v>
      </c>
      <c r="E37" s="1">
        <f>B37*12</f>
        <v>7.4167560333811515</v>
      </c>
    </row>
    <row r="39" spans="1:5" x14ac:dyDescent="0.3">
      <c r="A39" s="2" t="s">
        <v>136</v>
      </c>
    </row>
    <row r="40" spans="1:5" x14ac:dyDescent="0.3">
      <c r="A40" s="50" t="s">
        <v>59</v>
      </c>
      <c r="B40" s="51" t="s">
        <v>135</v>
      </c>
      <c r="C40" s="47"/>
      <c r="E40" s="29"/>
    </row>
    <row r="41" spans="1:5" x14ac:dyDescent="0.3">
      <c r="A41" s="5" t="s">
        <v>60</v>
      </c>
      <c r="B41" s="6">
        <v>70</v>
      </c>
      <c r="C41" s="1" t="s">
        <v>137</v>
      </c>
      <c r="E41" s="32"/>
    </row>
    <row r="42" spans="1:5" x14ac:dyDescent="0.3">
      <c r="A42" s="7" t="s">
        <v>76</v>
      </c>
      <c r="B42" s="49">
        <v>0.19</v>
      </c>
      <c r="E42" s="32"/>
    </row>
    <row r="43" spans="1:5" x14ac:dyDescent="0.3">
      <c r="A43" s="7" t="s">
        <v>73</v>
      </c>
      <c r="B43" s="31">
        <f>1/B42</f>
        <v>5.2631578947368425</v>
      </c>
      <c r="C43" s="29" t="s">
        <v>57</v>
      </c>
      <c r="E43" s="1">
        <f>B43*12</f>
        <v>63.15789473684211</v>
      </c>
    </row>
    <row r="44" spans="1:5" x14ac:dyDescent="0.3">
      <c r="A44" s="7"/>
      <c r="B44" s="9"/>
      <c r="E44" s="32"/>
    </row>
    <row r="45" spans="1:5" x14ac:dyDescent="0.3">
      <c r="A45" s="5" t="s">
        <v>61</v>
      </c>
      <c r="B45" s="6">
        <v>200</v>
      </c>
      <c r="C45" s="1" t="s">
        <v>141</v>
      </c>
      <c r="E45" s="32"/>
    </row>
    <row r="46" spans="1:5" ht="16" customHeight="1" x14ac:dyDescent="0.3">
      <c r="A46" s="7" t="s">
        <v>77</v>
      </c>
      <c r="B46" s="49">
        <v>0.54</v>
      </c>
      <c r="E46" s="32"/>
    </row>
    <row r="47" spans="1:5" x14ac:dyDescent="0.3">
      <c r="A47" s="7" t="s">
        <v>73</v>
      </c>
      <c r="B47" s="31">
        <f>1/B46</f>
        <v>1.8518518518518516</v>
      </c>
      <c r="C47" s="29" t="s">
        <v>57</v>
      </c>
      <c r="E47" s="1">
        <f>B47*12</f>
        <v>22.222222222222221</v>
      </c>
    </row>
    <row r="48" spans="1:5" x14ac:dyDescent="0.3">
      <c r="A48" s="7"/>
      <c r="B48" s="9"/>
      <c r="E48" s="32"/>
    </row>
    <row r="49" spans="1:5" x14ac:dyDescent="0.3">
      <c r="A49" s="5" t="s">
        <v>62</v>
      </c>
      <c r="B49" s="6">
        <v>400</v>
      </c>
      <c r="C49" s="1" t="s">
        <v>142</v>
      </c>
      <c r="E49" s="32"/>
    </row>
    <row r="50" spans="1:5" x14ac:dyDescent="0.3">
      <c r="A50" s="7" t="s">
        <v>76</v>
      </c>
      <c r="B50" s="49">
        <v>1.07</v>
      </c>
      <c r="E50" s="32"/>
    </row>
    <row r="51" spans="1:5" x14ac:dyDescent="0.3">
      <c r="A51" s="7" t="s">
        <v>73</v>
      </c>
      <c r="B51" s="31">
        <f>1/B50</f>
        <v>0.93457943925233644</v>
      </c>
      <c r="C51" s="29" t="s">
        <v>57</v>
      </c>
      <c r="E51" s="1">
        <f>B51*12</f>
        <v>11.214953271028037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34C5-F828-48D4-A6E0-EA32706F53CD}">
  <dimension ref="B2:F19"/>
  <sheetViews>
    <sheetView tabSelected="1" workbookViewId="0">
      <selection activeCell="D20" sqref="D20"/>
    </sheetView>
  </sheetViews>
  <sheetFormatPr defaultColWidth="8.7265625" defaultRowHeight="14" x14ac:dyDescent="0.3"/>
  <cols>
    <col min="1" max="1" width="8.7265625" style="1"/>
    <col min="2" max="2" width="36" style="1" customWidth="1"/>
    <col min="3" max="3" width="15.81640625" style="1" customWidth="1"/>
    <col min="4" max="5" width="14.54296875" style="3" customWidth="1"/>
    <col min="6" max="16384" width="8.7265625" style="1"/>
  </cols>
  <sheetData>
    <row r="2" spans="2:6" x14ac:dyDescent="0.3">
      <c r="C2" s="29" t="s">
        <v>63</v>
      </c>
      <c r="D2" s="3" t="s">
        <v>90</v>
      </c>
      <c r="E2" s="3" t="s">
        <v>91</v>
      </c>
    </row>
    <row r="3" spans="2:6" x14ac:dyDescent="0.3">
      <c r="B3" s="2" t="s">
        <v>92</v>
      </c>
      <c r="C3" s="2">
        <f>SUM(C4:C18)</f>
        <v>6</v>
      </c>
      <c r="D3" s="73"/>
      <c r="E3" s="73">
        <f>SUM(E4:E18)</f>
        <v>75405000</v>
      </c>
    </row>
    <row r="4" spans="2:6" x14ac:dyDescent="0.3">
      <c r="B4" s="1" t="s">
        <v>64</v>
      </c>
      <c r="C4" s="160">
        <v>3</v>
      </c>
      <c r="D4" s="163">
        <f>10000000</f>
        <v>10000000</v>
      </c>
      <c r="E4" s="163">
        <f>D4*C4</f>
        <v>30000000</v>
      </c>
    </row>
    <row r="5" spans="2:6" x14ac:dyDescent="0.3">
      <c r="B5" s="1" t="s">
        <v>65</v>
      </c>
      <c r="C5" s="160"/>
      <c r="D5" s="163"/>
      <c r="E5" s="163"/>
      <c r="F5" s="1" t="s">
        <v>188</v>
      </c>
    </row>
    <row r="6" spans="2:6" x14ac:dyDescent="0.3">
      <c r="B6" s="1" t="s">
        <v>66</v>
      </c>
      <c r="C6" s="160"/>
      <c r="D6" s="163"/>
      <c r="E6" s="163"/>
    </row>
    <row r="7" spans="2:6" x14ac:dyDescent="0.3">
      <c r="B7" s="1" t="s">
        <v>67</v>
      </c>
      <c r="C7" s="160"/>
      <c r="D7" s="163"/>
      <c r="E7" s="163"/>
    </row>
    <row r="8" spans="2:6" x14ac:dyDescent="0.3">
      <c r="B8" s="1" t="s">
        <v>70</v>
      </c>
      <c r="C8" s="160"/>
      <c r="D8" s="163"/>
      <c r="E8" s="163"/>
    </row>
    <row r="10" spans="2:6" x14ac:dyDescent="0.3">
      <c r="B10" s="1" t="s">
        <v>89</v>
      </c>
      <c r="C10" s="160">
        <v>1</v>
      </c>
      <c r="D10" s="164">
        <f>10000000+8000000*23.5%</f>
        <v>11880000</v>
      </c>
      <c r="E10" s="164">
        <f>D10*C10</f>
        <v>11880000</v>
      </c>
      <c r="F10" s="1" t="s">
        <v>170</v>
      </c>
    </row>
    <row r="11" spans="2:6" x14ac:dyDescent="0.3">
      <c r="B11" s="1" t="s">
        <v>69</v>
      </c>
      <c r="C11" s="160"/>
      <c r="D11" s="164"/>
      <c r="E11" s="164"/>
    </row>
    <row r="12" spans="2:6" x14ac:dyDescent="0.3">
      <c r="C12" s="11"/>
      <c r="D12" s="48"/>
      <c r="E12" s="48"/>
    </row>
    <row r="14" spans="2:6" x14ac:dyDescent="0.3">
      <c r="B14" s="1" t="s">
        <v>68</v>
      </c>
      <c r="C14" s="1">
        <v>0</v>
      </c>
      <c r="D14" s="3">
        <v>10000000</v>
      </c>
      <c r="E14" s="72">
        <f>D14*C14</f>
        <v>0</v>
      </c>
    </row>
    <row r="16" spans="2:6" x14ac:dyDescent="0.3">
      <c r="B16" s="1" t="s">
        <v>71</v>
      </c>
      <c r="C16" s="1">
        <v>1</v>
      </c>
      <c r="D16" s="3">
        <v>10000000</v>
      </c>
      <c r="E16" s="3">
        <f>D16*C16</f>
        <v>10000000</v>
      </c>
    </row>
    <row r="18" spans="2:6" x14ac:dyDescent="0.3">
      <c r="B18" s="1" t="s">
        <v>88</v>
      </c>
      <c r="C18" s="160">
        <v>1</v>
      </c>
      <c r="D18" s="161">
        <f>20000000+15000000*23.5%</f>
        <v>23525000</v>
      </c>
      <c r="E18" s="162">
        <f>D18*C18</f>
        <v>23525000</v>
      </c>
      <c r="F18" s="1" t="s">
        <v>171</v>
      </c>
    </row>
    <row r="19" spans="2:6" x14ac:dyDescent="0.3">
      <c r="B19" s="1" t="s">
        <v>86</v>
      </c>
      <c r="C19" s="160"/>
      <c r="D19" s="161"/>
      <c r="E19" s="162"/>
    </row>
  </sheetData>
  <mergeCells count="9">
    <mergeCell ref="C18:C19"/>
    <mergeCell ref="D18:D19"/>
    <mergeCell ref="E18:E19"/>
    <mergeCell ref="C4:C8"/>
    <mergeCell ref="D4:D8"/>
    <mergeCell ref="E4:E8"/>
    <mergeCell ref="C10:C11"/>
    <mergeCell ref="D10:D11"/>
    <mergeCell ref="E10:E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AC3E5-9C0F-449E-9B82-2A464B7CD747}">
  <dimension ref="A1:H5"/>
  <sheetViews>
    <sheetView workbookViewId="0">
      <selection activeCell="H2" sqref="H2"/>
    </sheetView>
  </sheetViews>
  <sheetFormatPr defaultRowHeight="14.5" x14ac:dyDescent="0.35"/>
  <cols>
    <col min="1" max="1" width="10.6328125" bestFit="1" customWidth="1"/>
    <col min="2" max="3" width="20.26953125" bestFit="1" customWidth="1"/>
    <col min="4" max="4" width="26.90625" bestFit="1" customWidth="1"/>
    <col min="5" max="6" width="20.26953125" bestFit="1" customWidth="1"/>
    <col min="8" max="8" width="14.08984375" customWidth="1"/>
  </cols>
  <sheetData>
    <row r="1" spans="1:8" x14ac:dyDescent="0.35"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212</v>
      </c>
      <c r="H1" t="s">
        <v>211</v>
      </c>
    </row>
    <row r="2" spans="1:8" x14ac:dyDescent="0.35">
      <c r="A2" t="s">
        <v>202</v>
      </c>
      <c r="B2">
        <v>24</v>
      </c>
      <c r="C2">
        <v>95</v>
      </c>
      <c r="D2">
        <v>51</v>
      </c>
      <c r="E2">
        <v>77</v>
      </c>
      <c r="F2">
        <v>889</v>
      </c>
      <c r="G2" t="s">
        <v>202</v>
      </c>
      <c r="H2">
        <v>2602</v>
      </c>
    </row>
    <row r="3" spans="1:8" x14ac:dyDescent="0.35">
      <c r="A3" t="s">
        <v>203</v>
      </c>
      <c r="B3">
        <v>1</v>
      </c>
      <c r="C3">
        <v>3</v>
      </c>
      <c r="D3">
        <v>8</v>
      </c>
      <c r="E3">
        <v>31</v>
      </c>
      <c r="F3">
        <v>31</v>
      </c>
      <c r="G3" t="s">
        <v>203</v>
      </c>
      <c r="H3">
        <v>75</v>
      </c>
    </row>
    <row r="4" spans="1:8" x14ac:dyDescent="0.35">
      <c r="A4" t="s">
        <v>204</v>
      </c>
      <c r="B4">
        <v>3</v>
      </c>
      <c r="C4">
        <v>21</v>
      </c>
      <c r="D4">
        <v>17</v>
      </c>
      <c r="E4">
        <v>7</v>
      </c>
      <c r="F4">
        <v>119</v>
      </c>
      <c r="G4" t="s">
        <v>204</v>
      </c>
      <c r="H4">
        <v>522</v>
      </c>
    </row>
    <row r="5" spans="1:8" x14ac:dyDescent="0.35">
      <c r="A5" t="s">
        <v>205</v>
      </c>
      <c r="B5">
        <v>6</v>
      </c>
      <c r="C5">
        <v>14</v>
      </c>
      <c r="D5">
        <v>15</v>
      </c>
      <c r="E5">
        <v>40</v>
      </c>
      <c r="F5">
        <v>163</v>
      </c>
      <c r="G5" t="s">
        <v>205</v>
      </c>
      <c r="H5">
        <v>551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PnL đầy đủ</vt:lpstr>
      <vt:lpstr>Phân tích đầu tư</vt:lpstr>
      <vt:lpstr>Chi phí sản xuất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Hiện, Trần Nhựt</dc:creator>
  <cp:keywords/>
  <dc:description/>
  <cp:lastModifiedBy>Hoàng, Trần Minh</cp:lastModifiedBy>
  <cp:revision/>
  <dcterms:created xsi:type="dcterms:W3CDTF">2023-09-27T00:50:47Z</dcterms:created>
  <dcterms:modified xsi:type="dcterms:W3CDTF">2026-05-27T05:00:23Z</dcterms:modified>
  <cp:category/>
  <cp:contentStatus/>
</cp:coreProperties>
</file>