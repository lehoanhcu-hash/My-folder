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giangvanloc_duytanrecycling_com/Documents/TAI CHE/BI/Báo cáo theo yêu cầu của Chú/"/>
    </mc:Choice>
  </mc:AlternateContent>
  <xr:revisionPtr revIDLastSave="36" documentId="8_{64D8C340-B5B0-4DC4-AFAF-E9A1A2BE6DD4}" xr6:coauthVersionLast="47" xr6:coauthVersionMax="47" xr10:uidLastSave="{36F47041-1D5A-4C42-B2AC-2CF93523F06D}"/>
  <bookViews>
    <workbookView xWindow="-110" yWindow="-110" windowWidth="19420" windowHeight="10300" tabRatio="931" activeTab="2" xr2:uid="{00000000-000D-0000-FFFF-FFFF00000000}"/>
  </bookViews>
  <sheets>
    <sheet name="PET" sheetId="54" r:id="rId1"/>
    <sheet name="Ma trận PET" sheetId="27" state="hidden" r:id="rId2"/>
    <sheet name="HD thổi" sheetId="55" r:id="rId3"/>
    <sheet name="Ma trận HDPE thổi" sheetId="22" state="hidden" r:id="rId4"/>
  </sheets>
  <definedNames>
    <definedName name="\T" localSheetId="2">#REF!</definedName>
    <definedName name="\T" localSheetId="0">#REF!</definedName>
    <definedName name="\T">#REF!</definedName>
    <definedName name="__dao1">#REF!</definedName>
    <definedName name="__dao2">#REF!</definedName>
    <definedName name="__dap2">#REF!</definedName>
    <definedName name="__day1">#REF!</definedName>
    <definedName name="__day2">#REF!</definedName>
    <definedName name="__dbu1">#REF!</definedName>
    <definedName name="__dbu2">#REF!</definedName>
    <definedName name="__doi3">#REF!</definedName>
    <definedName name="__E99999">#REF!</definedName>
    <definedName name="__Jan02">#REF!</definedName>
    <definedName name="__lap1">#REF!</definedName>
    <definedName name="__lap2">#REF!</definedName>
    <definedName name="__vc1">#REF!</definedName>
    <definedName name="__vc2">#REF!</definedName>
    <definedName name="__vc3">#REF!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#REF!</definedName>
    <definedName name="_2STREO7">#REF!</definedName>
    <definedName name="_4GOIC01">#REF!</definedName>
    <definedName name="_4OSLCTT">#REF!</definedName>
    <definedName name="_6BNTTTH">#REF!</definedName>
    <definedName name="_6DCTTBO">#REF!</definedName>
    <definedName name="_6DD24TT">#REF!</definedName>
    <definedName name="_6FCOTBU">#REF!</definedName>
    <definedName name="_6LATUBU">#REF!</definedName>
    <definedName name="_6SDTT24">#REF!</definedName>
    <definedName name="_6TBUDTT">#REF!</definedName>
    <definedName name="_6TDDDTT">#REF!</definedName>
    <definedName name="_6TLTTTH">#REF!</definedName>
    <definedName name="_6TUBUTT">#REF!</definedName>
    <definedName name="_6UCLVIS">#REF!</definedName>
    <definedName name="_7DNCABC">#REF!</definedName>
    <definedName name="_7HDCTBU">#REF!</definedName>
    <definedName name="_7PKTUBU">#REF!</definedName>
    <definedName name="_7TBHT20">#REF!</definedName>
    <definedName name="_7TBHT30">#REF!</definedName>
    <definedName name="_7TDCABC">#REF!</definedName>
    <definedName name="_dao1">#REF!</definedName>
    <definedName name="_dao2">#REF!</definedName>
    <definedName name="_dap2">#REF!</definedName>
    <definedName name="_day1">#REF!</definedName>
    <definedName name="_day2">#REF!</definedName>
    <definedName name="_dbu1">#REF!</definedName>
    <definedName name="_dbu2">#REF!</definedName>
    <definedName name="_doi3">#REF!</definedName>
    <definedName name="_E99999">#REF!</definedName>
    <definedName name="_Fill" hidden="1">#REF!</definedName>
    <definedName name="_Jan02">#REF!</definedName>
    <definedName name="_lap1">#REF!</definedName>
    <definedName name="_lap2">#REF!</definedName>
    <definedName name="_Order1" hidden="1">255</definedName>
    <definedName name="_Order2" hidden="1">255</definedName>
    <definedName name="_Sort" hidden="1">#REF!</definedName>
    <definedName name="_tram" hidden="1">#REF!</definedName>
    <definedName name="_vc1">#REF!</definedName>
    <definedName name="_vc2">#REF!</definedName>
    <definedName name="_vc3">#REF!</definedName>
    <definedName name="A">#REF!</definedName>
    <definedName name="AAA">#REF!</definedName>
    <definedName name="Account">#REF!</definedName>
    <definedName name="All_list">#REF!</definedName>
    <definedName name="anscount" hidden="1">2</definedName>
    <definedName name="AOP">#REF!</definedName>
    <definedName name="AOPP">#REF!</definedName>
    <definedName name="Apr">#REF!</definedName>
    <definedName name="Asset">#REF!</definedName>
    <definedName name="aù0">#REF!</definedName>
    <definedName name="Aug">#REF!</definedName>
    <definedName name="B">#REF!</definedName>
    <definedName name="BarData">#REF!</definedName>
    <definedName name="BLOCK1">#REF!</definedName>
    <definedName name="BLOCK2">#REF!</definedName>
    <definedName name="BLOCK3">#REF!</definedName>
    <definedName name="BOY">#REF!</definedName>
    <definedName name="Brand_Label">#REF!</definedName>
    <definedName name="BREAKDOWN">#REF!</definedName>
    <definedName name="C_">#REF!</definedName>
    <definedName name="cap">#REF!</definedName>
    <definedName name="cap0.7">#REF!</definedName>
    <definedName name="CCNK">#REF!</definedName>
    <definedName name="CL" localSheetId="2">#REF!</definedName>
    <definedName name="CL" localSheetId="0">#REF!</definedName>
    <definedName name="CL">#REF!</definedName>
    <definedName name="CLTMP" localSheetId="2">#REF!</definedName>
    <definedName name="CLTMP" localSheetId="0">#REF!</definedName>
    <definedName name="CLTMP">#REF!</definedName>
    <definedName name="CLVC">#REF!</definedName>
    <definedName name="Contingency">#REF!</definedName>
    <definedName name="cong_bq" localSheetId="2">#REF!</definedName>
    <definedName name="cong_bq" localSheetId="0">#REF!</definedName>
    <definedName name="cong_bq">#REF!</definedName>
    <definedName name="cong_bv" localSheetId="2">#REF!</definedName>
    <definedName name="cong_bv" localSheetId="0">#REF!</definedName>
    <definedName name="cong_bv">#REF!</definedName>
    <definedName name="cong_ck" localSheetId="2">#REF!</definedName>
    <definedName name="cong_ck" localSheetId="0">#REF!</definedName>
    <definedName name="cong_ck">#REF!</definedName>
    <definedName name="cong_d1" localSheetId="2">#REF!</definedName>
    <definedName name="cong_d1" localSheetId="0">#REF!</definedName>
    <definedName name="cong_d1">#REF!</definedName>
    <definedName name="cong_d2">#REF!</definedName>
    <definedName name="cong_d3">#REF!</definedName>
    <definedName name="cong_dl">#REF!</definedName>
    <definedName name="cong_kcs">#REF!</definedName>
    <definedName name="cong_nb">#REF!</definedName>
    <definedName name="cong_nv">#REF!</definedName>
    <definedName name="cong_ngio">#REF!</definedName>
    <definedName name="cong_t3">#REF!</definedName>
    <definedName name="cong_t4">#REF!</definedName>
    <definedName name="cong_t5">#REF!</definedName>
    <definedName name="cong_t6">#REF!</definedName>
    <definedName name="cong_tc">#REF!</definedName>
    <definedName name="cong_tm">#REF!</definedName>
    <definedName name="cong_vs">#REF!</definedName>
    <definedName name="cong_xh">#REF!</definedName>
    <definedName name="COPY" localSheetId="2">#REF!</definedName>
    <definedName name="COPY" localSheetId="0">#REF!</definedName>
    <definedName name="COPY">#REF!</definedName>
    <definedName name="COST" localSheetId="2">#REF!</definedName>
    <definedName name="COST" localSheetId="0">#REF!</definedName>
    <definedName name="COST">#REF!</definedName>
    <definedName name="Cost_Allocation_wage" localSheetId="2">#REF!</definedName>
    <definedName name="Cost_Allocation_wage" localSheetId="0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ChemicalReagent" localSheetId="2">#REF!</definedName>
    <definedName name="ChemicalReagent" localSheetId="0">#REF!</definedName>
    <definedName name="ChemicalReagent">#REF!</definedName>
    <definedName name="D">#REF!</definedName>
    <definedName name="Dandoc">#REF!</definedName>
    <definedName name="daotd">#REF!</definedName>
    <definedName name="dap">#REF!</definedName>
    <definedName name="daptd">#REF!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#REF!</definedName>
    <definedName name="ddtt1pvl">#REF!</definedName>
    <definedName name="ddtt3pnc">#REF!</definedName>
    <definedName name="ddtt3pvl">#REF!</definedName>
    <definedName name="Dec">#REF!</definedName>
    <definedName name="DL50SEC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2">{"Book1"}</definedName>
    <definedName name="Document_array" localSheetId="0">{"Book1"}</definedName>
    <definedName name="Document_array">{"Book1"}</definedName>
    <definedName name="DocumentYear">#REF!</definedName>
    <definedName name="domestic">#REF!</definedName>
    <definedName name="domesticcost">#REF!</definedName>
    <definedName name="domesticcostt">#REF!</definedName>
    <definedName name="domesticostts">#REF!</definedName>
    <definedName name="domestics">#REF!</definedName>
    <definedName name="DONVI">OFFSET(#REF!,1,0,COUNTA(#REF!)-1,5)</definedName>
    <definedName name="DONVIDG">OFFSET(#REF!,COUNTIF(#REF!,"&lt;&gt;0")-1,0,1)</definedName>
    <definedName name="E">#REF!</definedName>
    <definedName name="Equipmentsupplies">#REF!</definedName>
    <definedName name="Eur">13240</definedName>
    <definedName name="F">#REF!</definedName>
    <definedName name="feb">#REF!</definedName>
    <definedName name="forex">17054</definedName>
    <definedName name="Full">#REF!</definedName>
    <definedName name="G">#REF!</definedName>
    <definedName name="G23_">#REF!</definedName>
    <definedName name="Gas">#REF!</definedName>
    <definedName name="Graph_Contract">OFFSET(#REF!,#REF!,COLUMN(#REF!)-COLUMN(#REF!),1,2)</definedName>
    <definedName name="Graph_DA">OFFSET(#REF!,#REF!,COLUMN(#REF!)-COLUMN(#REF!),1,2)</definedName>
    <definedName name="Graph_Discret">OFFSET(#REF!,#REF!,COLUMN(#REF!)-COLUMN(#REF!),1,2)</definedName>
    <definedName name="Graph_growth">OFFSET(#REF!,#REF!,COLUMN(#REF!)-COLUMN(#REF!),1,2)</definedName>
    <definedName name="Graph_growth2">OFFSET(#REF!,#REF!,COLUMN(#REF!)-COLUMN(#REF!),1,2)</definedName>
    <definedName name="Graph_NDisc">OFFSET(#REF!,#REF!,COLUMN(#REF!)-COLUMN(#REF!),1,2)</definedName>
    <definedName name="Graph_Stale">OFFSET(#REF!,#REF!,COLUMN(#REF!)-COLUMN(#REF!),1,2)</definedName>
    <definedName name="Graph_volume">OFFSET(#REF!,#REF!,COLUMN(#REF!)-COLUMN(#REF!),1,2)</definedName>
    <definedName name="Graph_volume2">OFFSET(#REF!,#REF!,COLUMN(#REF!)-COLUMN(#REF!),1,2)</definedName>
    <definedName name="giaca">#REF!</definedName>
    <definedName name="gica_bq">#REF!</definedName>
    <definedName name="gica_bv">#REF!</definedName>
    <definedName name="gica_ck">#REF!</definedName>
    <definedName name="gica_d1">#REF!</definedName>
    <definedName name="gica_d2">#REF!</definedName>
    <definedName name="gica_d3">#REF!</definedName>
    <definedName name="gica_dl">#REF!</definedName>
    <definedName name="gica_kcs">#REF!</definedName>
    <definedName name="gica_nb">#REF!</definedName>
    <definedName name="gica_nv">#REF!</definedName>
    <definedName name="gica_ngio">#REF!</definedName>
    <definedName name="gica_t3">#REF!</definedName>
    <definedName name="gica_t4">#REF!</definedName>
    <definedName name="gica_t5">#REF!</definedName>
    <definedName name="gica_t6">#REF!</definedName>
    <definedName name="gica_tc">#REF!</definedName>
    <definedName name="gica_tm">#REF!</definedName>
    <definedName name="gica_vs">#REF!</definedName>
    <definedName name="gica_xh">#REF!</definedName>
    <definedName name="gio_bq">#REF!</definedName>
    <definedName name="gio_d1">#REF!</definedName>
    <definedName name="gio_d2">#REF!</definedName>
    <definedName name="gio_d3">#REF!</definedName>
    <definedName name="gio_dl">#REF!</definedName>
    <definedName name="gio_kcs">#REF!</definedName>
    <definedName name="gio_ngio">#REF!</definedName>
    <definedName name="gio_t3">#REF!</definedName>
    <definedName name="gio_t4">#REF!</definedName>
    <definedName name="gio_t5">#REF!</definedName>
    <definedName name="gio_t6">#REF!</definedName>
    <definedName name="gio_vs">#REF!</definedName>
    <definedName name="gio_xh">#REF!</definedName>
    <definedName name="HDCCT" localSheetId="2">#REF!</definedName>
    <definedName name="HDCCT" localSheetId="0">#REF!</definedName>
    <definedName name="HDCCT">#REF!</definedName>
    <definedName name="HDCD" localSheetId="2">#REF!</definedName>
    <definedName name="HDCD" localSheetId="0">#REF!</definedName>
    <definedName name="HDCD">#REF!</definedName>
    <definedName name="HM" localSheetId="2">#REF!</definedName>
    <definedName name="HM" localSheetId="0">#REF!</definedName>
    <definedName name="HM">#REF!</definedName>
    <definedName name="HSKK">#REF!</definedName>
    <definedName name="Index">100%</definedName>
    <definedName name="Inflation_WC">#REF!</definedName>
    <definedName name="jan">#REF!</definedName>
    <definedName name="Jul">#REF!</definedName>
    <definedName name="Jun">#REF!</definedName>
    <definedName name="Justification">#REF!</definedName>
    <definedName name="K">#REF!</definedName>
    <definedName name="K_1" localSheetId="2">#REF!</definedName>
    <definedName name="K_1" localSheetId="1">#REF!</definedName>
    <definedName name="K_1" localSheetId="0">#REF!</definedName>
    <definedName name="K_1">#REF!</definedName>
    <definedName name="K_2" localSheetId="2">#REF!</definedName>
    <definedName name="K_2" localSheetId="1">#REF!</definedName>
    <definedName name="K_2" localSheetId="0">#REF!</definedName>
    <definedName name="K_2">#REF!</definedName>
    <definedName name="KCSCM">#REF!</definedName>
    <definedName name="KVC">#REF!</definedName>
    <definedName name="L">#REF!</definedName>
    <definedName name="Lab_supplies_lists">#REF!</definedName>
    <definedName name="Labsupplieslist">#REF!</definedName>
    <definedName name="lanh_bq">#REF!</definedName>
    <definedName name="lanh_bv">#REF!</definedName>
    <definedName name="lanh_ck">#REF!</definedName>
    <definedName name="lanh_d1">#REF!</definedName>
    <definedName name="lanh_d2">#REF!</definedName>
    <definedName name="lanh_d3">#REF!</definedName>
    <definedName name="lanh_dl">#REF!</definedName>
    <definedName name="lanh_kcs">#REF!</definedName>
    <definedName name="lanh_nb">#REF!</definedName>
    <definedName name="lanh_nv">#REF!</definedName>
    <definedName name="lanh_ngio">#REF!</definedName>
    <definedName name="lanh_t3">#REF!</definedName>
    <definedName name="lanh_t4">#REF!</definedName>
    <definedName name="lanh_t5">#REF!</definedName>
    <definedName name="lanh_t6">#REF!</definedName>
    <definedName name="lanh_tc">#REF!</definedName>
    <definedName name="lanh_tm">#REF!</definedName>
    <definedName name="lanh_vs">#REF!</definedName>
    <definedName name="lanh_xh">#REF!</definedName>
    <definedName name="lapa">#REF!</definedName>
    <definedName name="lapb">#REF!</definedName>
    <definedName name="lapc">#REF!</definedName>
    <definedName name="lcb_bq">#REF!</definedName>
    <definedName name="lcb_bv">#REF!</definedName>
    <definedName name="lcb_ck">#REF!</definedName>
    <definedName name="lcb_d1">#REF!</definedName>
    <definedName name="lcb_d2">#REF!</definedName>
    <definedName name="lcb_d3">#REF!</definedName>
    <definedName name="lcb_dl">#REF!</definedName>
    <definedName name="lcb_kcs">#REF!</definedName>
    <definedName name="lcb_nb">#REF!</definedName>
    <definedName name="lcb_nv">#REF!</definedName>
    <definedName name="lcb_ngio">#REF!</definedName>
    <definedName name="lcb_t3">#REF!</definedName>
    <definedName name="lcb_t4">#REF!</definedName>
    <definedName name="lcb_t5">#REF!</definedName>
    <definedName name="lcb_t6">#REF!</definedName>
    <definedName name="lcb_tc">#REF!</definedName>
    <definedName name="lcb_tm">#REF!</definedName>
    <definedName name="lcb_vs">#REF!</definedName>
    <definedName name="lcb_xh">#REF!</definedName>
    <definedName name="le_bq">#REF!</definedName>
    <definedName name="le_bv">#REF!</definedName>
    <definedName name="le_ck">#REF!</definedName>
    <definedName name="le_d1">#REF!</definedName>
    <definedName name="le_d2">#REF!</definedName>
    <definedName name="le_d3">#REF!</definedName>
    <definedName name="le_dl">#REF!</definedName>
    <definedName name="le_kcs">#REF!</definedName>
    <definedName name="le_nb">#REF!</definedName>
    <definedName name="le_nv">#REF!</definedName>
    <definedName name="le_ngio">#REF!</definedName>
    <definedName name="le_t3">#REF!</definedName>
    <definedName name="le_t4">#REF!</definedName>
    <definedName name="le_t5">#REF!</definedName>
    <definedName name="le_t6">#REF!</definedName>
    <definedName name="le_tc">#REF!</definedName>
    <definedName name="le_tm">#REF!</definedName>
    <definedName name="le_vs">#REF!</definedName>
    <definedName name="le_xh">#REF!</definedName>
    <definedName name="limcount" hidden="1">1</definedName>
    <definedName name="list">#REF!</definedName>
    <definedName name="Location">#REF!</definedName>
    <definedName name="lVC">#REF!</definedName>
    <definedName name="MADONVI">OFFSET(#REF!,COUNTA(#REF!)-1,0,1)</definedName>
    <definedName name="MajorHeader">#REF!</definedName>
    <definedName name="mar">#REF!</definedName>
    <definedName name="mat">#REF!</definedName>
    <definedName name="may">#REF!</definedName>
    <definedName name="MPETABLE">#REF!</definedName>
    <definedName name="NCcap0.7">#REF!</definedName>
    <definedName name="NCcap1">#REF!</definedName>
    <definedName name="NOIDUNG">OFFSET(#REF!,COUNTA(#REF!)-1,0,1)</definedName>
    <definedName name="Nov">#REF!</definedName>
    <definedName name="NToS" localSheetId="2">#REF!</definedName>
    <definedName name="NToS" localSheetId="1">#REF!</definedName>
    <definedName name="NToS" localSheetId="0">#REF!</definedName>
    <definedName name="NToS">#REF!</definedName>
    <definedName name="NGANHANG">OFFSET(#REF!,COUNTIF(#REF!,"&lt;&gt;0")-1,0,1)</definedName>
    <definedName name="NGAØY">#REF!</definedName>
    <definedName name="NGAY">OFFSET(#REF!,COUNTA(#REF!)-1,0,1)</definedName>
    <definedName name="nghi_bq">#REF!</definedName>
    <definedName name="nghi_bv">#REF!</definedName>
    <definedName name="nghi_ck">#REF!</definedName>
    <definedName name="nghi_d1">#REF!</definedName>
    <definedName name="nghi_d2">#REF!</definedName>
    <definedName name="nghi_d3">#REF!</definedName>
    <definedName name="nghi_dl">#REF!</definedName>
    <definedName name="nghi_kcs">#REF!</definedName>
    <definedName name="nghi_nb">#REF!</definedName>
    <definedName name="nghi_nv">#REF!</definedName>
    <definedName name="nghi_ngio">#REF!</definedName>
    <definedName name="nghi_t3">#REF!</definedName>
    <definedName name="nghi_t4">#REF!</definedName>
    <definedName name="nghi_t5">#REF!</definedName>
    <definedName name="nghi_t6">#REF!</definedName>
    <definedName name="nghi_tc">#REF!</definedName>
    <definedName name="nghi_tm">#REF!</definedName>
    <definedName name="nghi_vs">#REF!</definedName>
    <definedName name="nghi_xh">#REF!</definedName>
    <definedName name="nhap">#REF!</definedName>
    <definedName name="NHAP1">#REF!</definedName>
    <definedName name="NHAP2">#REF!</definedName>
    <definedName name="Oct" localSheetId="2">#REF!</definedName>
    <definedName name="Oct" localSheetId="0">#REF!</definedName>
    <definedName name="Oct">#REF!</definedName>
    <definedName name="OneTwoThree" localSheetId="2">#REF!</definedName>
    <definedName name="OneTwoThree" localSheetId="0">#REF!</definedName>
    <definedName name="OneTwoThree">#REF!</definedName>
    <definedName name="oo">#REF!</definedName>
    <definedName name="ooo">#REF!</definedName>
    <definedName name="Other_Lab_Supplies">#REF!</definedName>
    <definedName name="oversea">#REF!</definedName>
    <definedName name="PackMat">#REF!</definedName>
    <definedName name="PC_LB">#REF!</definedName>
    <definedName name="PG_LB">#REF!</definedName>
    <definedName name="_xlnm.Print_Area" localSheetId="2">'HD thổi'!$A$1:$U$46</definedName>
    <definedName name="_xlnm.Print_Area" localSheetId="0">PET!$A$1:$T$59</definedName>
    <definedName name="Print_Area_MI">#REF!</definedName>
    <definedName name="_xlnm.Print_Titles">#N/A</definedName>
    <definedName name="PHUONG" localSheetId="2" hidden="1">#REF!</definedName>
    <definedName name="PHUONG" localSheetId="0" hidden="1">#REF!</definedName>
    <definedName name="PHUONG" hidden="1">#REF!</definedName>
    <definedName name="QUYLUONG" localSheetId="2">#REF!</definedName>
    <definedName name="QUYLUONG" localSheetId="0">#REF!</definedName>
    <definedName name="QUYLUONG">#REF!</definedName>
    <definedName name="RawMat">#REF!</definedName>
    <definedName name="re" localSheetId="2">#REF!</definedName>
    <definedName name="re" localSheetId="0">#REF!</definedName>
    <definedName name="re">#REF!</definedName>
    <definedName name="ree" localSheetId="2">#REF!</definedName>
    <definedName name="ree" localSheetId="0">#REF!</definedName>
    <definedName name="ree">#REF!</definedName>
    <definedName name="rr">#REF!</definedName>
    <definedName name="SALES" localSheetId="2">#REF!</definedName>
    <definedName name="SALES" localSheetId="0">#REF!</definedName>
    <definedName name="SALES">#REF!</definedName>
    <definedName name="sau">#REF!</definedName>
    <definedName name="sdafds">#REF!</definedName>
    <definedName name="SDDL">#REF!</definedName>
    <definedName name="sdgt" hidden="1">#REF!</definedName>
    <definedName name="sencount" hidden="1">1</definedName>
    <definedName name="Sep">#REF!</definedName>
    <definedName name="Sheet1">#REF!</definedName>
    <definedName name="shii">#REF!</definedName>
    <definedName name="SKU">#REF!</definedName>
    <definedName name="SO">OFFSET(#REF!,COUNTA(#REF!)-1,0,1)</definedName>
    <definedName name="Sort" hidden="1">#REF!</definedName>
    <definedName name="SORT_AREA">#REF!</definedName>
    <definedName name="SOTIEN">OFFSET(#REF!,COUNTA(#REF!)-1,0,1)</definedName>
    <definedName name="sp_bq">#REF!</definedName>
    <definedName name="sp_bv">#REF!</definedName>
    <definedName name="sp_ck">#REF!</definedName>
    <definedName name="sp_d1">#REF!</definedName>
    <definedName name="sp_d2">#REF!</definedName>
    <definedName name="sp_d3">#REF!</definedName>
    <definedName name="sp_dl">#REF!</definedName>
    <definedName name="sp_kcs">#REF!</definedName>
    <definedName name="sp_nb">#REF!</definedName>
    <definedName name="sp_nv">#REF!</definedName>
    <definedName name="sp_ngio">#REF!</definedName>
    <definedName name="sp_t3">#REF!</definedName>
    <definedName name="sp_t4">#REF!</definedName>
    <definedName name="sp_t5">#REF!</definedName>
    <definedName name="sp_t6">#REF!</definedName>
    <definedName name="sp_tc">#REF!</definedName>
    <definedName name="sp_tm">#REF!</definedName>
    <definedName name="sp_vs">#REF!</definedName>
    <definedName name="sp_xh">#REF!</definedName>
    <definedName name="sss">#REF!</definedName>
    <definedName name="TAIKHOAN">OFFSET(#REF!,COUNTIF(#REF!,"&lt;&gt;0")-1,0,1)</definedName>
    <definedName name="TAMTINH">#REF!</definedName>
    <definedName name="tdtrnc">#REF!</definedName>
    <definedName name="tdtrvl">#REF!</definedName>
    <definedName name="TG">#REF!</definedName>
    <definedName name="TGxayduong">#REF!</definedName>
    <definedName name="TINHTP">OFFSET(#REF!,COUNTIF(#REF!,"&lt;&gt;0")-1,0,1)</definedName>
    <definedName name="tluong">#REF!</definedName>
    <definedName name="tnh_bq">#REF!</definedName>
    <definedName name="tnh_bv">#REF!</definedName>
    <definedName name="tnh_ck">#REF!</definedName>
    <definedName name="tnh_d1">#REF!</definedName>
    <definedName name="tnh_d2">#REF!</definedName>
    <definedName name="tnh_d3">#REF!</definedName>
    <definedName name="tnh_dl">#REF!</definedName>
    <definedName name="tnh_kcs">#REF!</definedName>
    <definedName name="tnh_nb">#REF!</definedName>
    <definedName name="tnh_nv">#REF!</definedName>
    <definedName name="tnh_ngio">#REF!</definedName>
    <definedName name="tnh_t3">#REF!</definedName>
    <definedName name="tnh_t4">#REF!</definedName>
    <definedName name="tnh_t5">#REF!</definedName>
    <definedName name="tnh_t6">#REF!</definedName>
    <definedName name="tnh_tc">#REF!</definedName>
    <definedName name="tnh_tm">#REF!</definedName>
    <definedName name="tnh_vs">#REF!</definedName>
    <definedName name="tnh_xh">#REF!</definedName>
    <definedName name="TON">#REF!</definedName>
    <definedName name="TOP">#REF!</definedName>
    <definedName name="TSSCM" localSheetId="2">#REF!</definedName>
    <definedName name="TSSCM" localSheetId="0">#REF!</definedName>
    <definedName name="TSSCM">#REF!</definedName>
    <definedName name="TSSlist" localSheetId="2">#REF!</definedName>
    <definedName name="TSSlist" localSheetId="0">#REF!</definedName>
    <definedName name="TSSlist">#REF!</definedName>
    <definedName name="ttbt" localSheetId="2">#REF!</definedName>
    <definedName name="ttbt" localSheetId="0">#REF!</definedName>
    <definedName name="ttbt">#REF!</definedName>
    <definedName name="ttt">#REF!</definedName>
    <definedName name="tttb">#REF!</definedName>
    <definedName name="thgian_bq" localSheetId="2">#REF!</definedName>
    <definedName name="thgian_bq" localSheetId="0">#REF!</definedName>
    <definedName name="thgian_bq">#REF!</definedName>
    <definedName name="thgian_bv" localSheetId="2">#REF!</definedName>
    <definedName name="thgian_bv" localSheetId="0">#REF!</definedName>
    <definedName name="thgian_bv">#REF!</definedName>
    <definedName name="thgian_ck" localSheetId="2">#REF!</definedName>
    <definedName name="thgian_ck" localSheetId="0">#REF!</definedName>
    <definedName name="thgian_ck">#REF!</definedName>
    <definedName name="thgian_d1" localSheetId="2">#REF!</definedName>
    <definedName name="thgian_d1" localSheetId="0">#REF!</definedName>
    <definedName name="thgian_d1">#REF!</definedName>
    <definedName name="thgian_d2">#REF!</definedName>
    <definedName name="thgian_d3">#REF!</definedName>
    <definedName name="thgian_dl">#REF!</definedName>
    <definedName name="thgian_kcs">#REF!</definedName>
    <definedName name="thgian_nb">#REF!</definedName>
    <definedName name="thgian_nv">#REF!</definedName>
    <definedName name="thgian_ngio">#REF!</definedName>
    <definedName name="thgian_t3">#REF!</definedName>
    <definedName name="thgian_t4">#REF!</definedName>
    <definedName name="thgian_t5">#REF!</definedName>
    <definedName name="thgian_t6">#REF!</definedName>
    <definedName name="thgian_tc">#REF!</definedName>
    <definedName name="thgian_tm">#REF!</definedName>
    <definedName name="thgian_vs">#REF!</definedName>
    <definedName name="thgian_xh">#REF!</definedName>
    <definedName name="thgio_bq">#REF!</definedName>
    <definedName name="thgio_bv">#REF!</definedName>
    <definedName name="thgio_ck">#REF!</definedName>
    <definedName name="thgio_d1">#REF!</definedName>
    <definedName name="thgio_d2">#REF!</definedName>
    <definedName name="thgio_d3">#REF!</definedName>
    <definedName name="thgio_dl">#REF!</definedName>
    <definedName name="thgio_kcs">#REF!</definedName>
    <definedName name="thgio_nb">#REF!</definedName>
    <definedName name="thgio_nv">#REF!</definedName>
    <definedName name="thgio_ngio">#REF!</definedName>
    <definedName name="thgio_t3">#REF!</definedName>
    <definedName name="thgio_t4">#REF!</definedName>
    <definedName name="thgio_t5">#REF!</definedName>
    <definedName name="thgio_t6">#REF!</definedName>
    <definedName name="thgio_tc">#REF!</definedName>
    <definedName name="thgio_tm">#REF!</definedName>
    <definedName name="thgio_vs">#REF!</definedName>
    <definedName name="thgio_xh">#REF!</definedName>
    <definedName name="tram" localSheetId="2" hidden="1">#REF!</definedName>
    <definedName name="tram" localSheetId="0" hidden="1">#REF!</definedName>
    <definedName name="tram" hidden="1">#REF!</definedName>
    <definedName name="vc3.">#REF!</definedName>
    <definedName name="vca">#REF!</definedName>
    <definedName name="vccot" localSheetId="2">#REF!</definedName>
    <definedName name="vccot" localSheetId="0">#REF!</definedName>
    <definedName name="vccot">#REF!</definedName>
    <definedName name="vccot.">#REF!</definedName>
    <definedName name="vcdbt">#REF!</definedName>
    <definedName name="vcdc.">#REF!</definedName>
    <definedName name="vcdd">#REF!</definedName>
    <definedName name="vcdt">#REF!</definedName>
    <definedName name="vcdtb">#REF!</definedName>
    <definedName name="vctb">#REF!</definedName>
    <definedName name="vctt">#REF!</definedName>
    <definedName name="VDCLY">#REF!</definedName>
    <definedName name="Vlcap0.7">#REF!</definedName>
    <definedName name="VLcap1">#REF!</definedName>
    <definedName name="WeekNumbers">#REF!</definedName>
    <definedName name="xfconc">#REF!</definedName>
    <definedName name="xfcovl">#REF!</definedName>
    <definedName name="xh_bq">#REF!</definedName>
    <definedName name="xh_bv">#REF!</definedName>
    <definedName name="xh_ck">#REF!</definedName>
    <definedName name="xh_d1">#REF!</definedName>
    <definedName name="xh_d2">#REF!</definedName>
    <definedName name="xh_d3">#REF!</definedName>
    <definedName name="xh_dl">#REF!</definedName>
    <definedName name="xh_kcs">#REF!</definedName>
    <definedName name="xh_nb">#REF!</definedName>
    <definedName name="xh_nv">#REF!</definedName>
    <definedName name="xh_ngio">#REF!</definedName>
    <definedName name="xh_t3">#REF!</definedName>
    <definedName name="xh_t4">#REF!</definedName>
    <definedName name="xh_t5">#REF!</definedName>
    <definedName name="xh_t6">#REF!</definedName>
    <definedName name="xh_tc">#REF!</definedName>
    <definedName name="xh_tm">#REF!</definedName>
    <definedName name="xh_vs">#REF!</definedName>
    <definedName name="xh_xh">#REF!</definedName>
    <definedName name="Yomost">#REF!</definedName>
    <definedName name="yt_bq">#REF!</definedName>
    <definedName name="yt_bv">#REF!</definedName>
    <definedName name="yt_ck">#REF!</definedName>
    <definedName name="yt_d1">#REF!</definedName>
    <definedName name="yt_d2">#REF!</definedName>
    <definedName name="yt_d3">#REF!</definedName>
    <definedName name="yt_dl">#REF!</definedName>
    <definedName name="yt_kcs">#REF!</definedName>
    <definedName name="yt_nb">#REF!</definedName>
    <definedName name="yt_nv">#REF!</definedName>
    <definedName name="yt_ngio">#REF!</definedName>
    <definedName name="yt_t3">#REF!</definedName>
    <definedName name="yt_t4">#REF!</definedName>
    <definedName name="yt_t5">#REF!</definedName>
    <definedName name="yt_t6">#REF!</definedName>
    <definedName name="yt_tc">#REF!</definedName>
    <definedName name="yt_tm">#REF!</definedName>
    <definedName name="yt_vs">#REF!</definedName>
    <definedName name="yt_xh">#REF!</definedName>
    <definedName name="ZYX">#REF!</definedName>
    <definedName name="Z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22" l="1"/>
  <c r="J7" i="22"/>
  <c r="K7" i="22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AE7" i="22"/>
  <c r="AF7" i="22"/>
  <c r="AG7" i="22"/>
  <c r="AH7" i="22"/>
  <c r="AI7" i="22"/>
  <c r="AJ7" i="22"/>
  <c r="AK7" i="22"/>
  <c r="AP7" i="22"/>
  <c r="AQ7" i="22"/>
  <c r="AR7" i="22"/>
  <c r="AS7" i="22"/>
  <c r="AT7" i="22"/>
  <c r="AU7" i="22"/>
  <c r="AV7" i="22"/>
  <c r="AW7" i="22"/>
  <c r="AX7" i="22"/>
  <c r="AY7" i="22"/>
  <c r="AZ7" i="22"/>
  <c r="BA7" i="22"/>
  <c r="BB7" i="22"/>
  <c r="BC7" i="22"/>
  <c r="BD7" i="22"/>
  <c r="BE7" i="22"/>
  <c r="BF7" i="22"/>
  <c r="BG7" i="22"/>
  <c r="BH7" i="22"/>
  <c r="BI7" i="22"/>
  <c r="BJ7" i="22"/>
  <c r="BK7" i="22"/>
  <c r="BL7" i="22"/>
  <c r="BM7" i="22"/>
  <c r="BN7" i="22"/>
  <c r="BO7" i="22"/>
  <c r="BP7" i="22"/>
  <c r="BQ7" i="22"/>
  <c r="BR7" i="22"/>
  <c r="BS7" i="22"/>
  <c r="BT7" i="22"/>
  <c r="BU7" i="22"/>
  <c r="BV7" i="22"/>
  <c r="BW7" i="22"/>
  <c r="BX7" i="22"/>
  <c r="BY7" i="22"/>
  <c r="BZ7" i="22"/>
  <c r="CA7" i="22"/>
  <c r="CB7" i="22"/>
  <c r="CC7" i="22"/>
  <c r="CD7" i="22"/>
  <c r="CE7" i="22"/>
  <c r="CF7" i="22"/>
  <c r="CG7" i="22"/>
  <c r="CH7" i="22"/>
  <c r="CI7" i="22"/>
  <c r="CJ7" i="22"/>
  <c r="CK7" i="22"/>
  <c r="CL7" i="22"/>
  <c r="CM7" i="22"/>
  <c r="CN7" i="22"/>
  <c r="CO7" i="22"/>
  <c r="CP7" i="22"/>
  <c r="CQ7" i="22"/>
  <c r="CR7" i="22"/>
  <c r="CS7" i="22"/>
  <c r="CT7" i="22"/>
  <c r="CU7" i="22"/>
  <c r="CV7" i="22"/>
  <c r="CW7" i="22"/>
  <c r="CX7" i="22"/>
  <c r="CY7" i="22"/>
  <c r="CZ7" i="22"/>
  <c r="DA7" i="22"/>
  <c r="DB7" i="22"/>
  <c r="DC7" i="22"/>
  <c r="DD7" i="22"/>
  <c r="DE7" i="22"/>
  <c r="DF7" i="22"/>
  <c r="DG7" i="22"/>
  <c r="DH7" i="22"/>
  <c r="DI7" i="22"/>
  <c r="DJ7" i="22"/>
  <c r="DK7" i="22"/>
  <c r="DL7" i="22"/>
  <c r="DM7" i="22"/>
  <c r="DN7" i="22"/>
  <c r="DO7" i="22"/>
  <c r="DP7" i="22"/>
  <c r="DQ7" i="22"/>
  <c r="DR7" i="22"/>
  <c r="DS7" i="22"/>
  <c r="DT7" i="22"/>
  <c r="DU7" i="22"/>
  <c r="DV7" i="22"/>
  <c r="DW7" i="22"/>
  <c r="DX7" i="22"/>
  <c r="DY7" i="22"/>
  <c r="DZ7" i="22"/>
  <c r="EA7" i="22"/>
  <c r="EB7" i="22"/>
  <c r="EC7" i="22"/>
  <c r="ED7" i="22"/>
  <c r="EE7" i="22"/>
  <c r="EF7" i="22"/>
  <c r="FX9" i="22" l="1"/>
  <c r="FY9" i="22"/>
  <c r="FY10" i="22" s="1"/>
  <c r="FZ9" i="22"/>
  <c r="FZ10" i="22" s="1"/>
  <c r="GA9" i="22"/>
  <c r="GA10" i="22" s="1"/>
  <c r="GB9" i="22"/>
  <c r="GB10" i="22" s="1"/>
  <c r="GC9" i="22"/>
  <c r="GC10" i="22" s="1"/>
  <c r="GD9" i="22"/>
  <c r="GD10" i="22" s="1"/>
  <c r="GE9" i="22"/>
  <c r="GE10" i="22" s="1"/>
  <c r="GF9" i="22"/>
  <c r="GF10" i="22" s="1"/>
  <c r="GG9" i="22"/>
  <c r="GH9" i="22"/>
  <c r="GI9" i="22"/>
  <c r="GJ9" i="22"/>
  <c r="BS10" i="22"/>
  <c r="BT10" i="22"/>
  <c r="BU10" i="22"/>
  <c r="BV10" i="22"/>
  <c r="BW10" i="22"/>
  <c r="BX10" i="22"/>
  <c r="BY10" i="22"/>
  <c r="BZ10" i="22"/>
  <c r="CA10" i="22"/>
  <c r="CB10" i="22"/>
  <c r="CC10" i="22"/>
  <c r="CD10" i="22"/>
  <c r="CE10" i="22"/>
  <c r="CF10" i="22"/>
  <c r="CG10" i="22"/>
  <c r="CH10" i="22"/>
  <c r="CI10" i="22"/>
  <c r="CJ10" i="22"/>
  <c r="CK10" i="22"/>
  <c r="CL10" i="22"/>
  <c r="CM10" i="22"/>
  <c r="CN10" i="22"/>
  <c r="CO10" i="22"/>
  <c r="CP10" i="22"/>
  <c r="CQ10" i="22"/>
  <c r="CR10" i="22"/>
  <c r="CS10" i="22"/>
  <c r="CT10" i="22"/>
  <c r="CU10" i="22"/>
  <c r="CV10" i="22"/>
  <c r="CW10" i="22"/>
  <c r="CX10" i="22"/>
  <c r="CY10" i="22"/>
  <c r="CZ10" i="22"/>
  <c r="DA10" i="22"/>
  <c r="DB10" i="22"/>
  <c r="DC10" i="22"/>
  <c r="DD10" i="22"/>
  <c r="DE10" i="22"/>
  <c r="DF10" i="22"/>
  <c r="DG10" i="22"/>
  <c r="DH10" i="22"/>
  <c r="DI10" i="22"/>
  <c r="DJ10" i="22"/>
  <c r="DK10" i="22"/>
  <c r="DL10" i="22"/>
  <c r="DM10" i="22"/>
  <c r="DN10" i="22"/>
  <c r="DO10" i="22"/>
  <c r="DP10" i="22"/>
  <c r="DQ10" i="22"/>
  <c r="DR10" i="22"/>
  <c r="DS10" i="22"/>
  <c r="DT10" i="22"/>
  <c r="DU10" i="22"/>
  <c r="DV10" i="22"/>
  <c r="DW10" i="22"/>
  <c r="DX10" i="22"/>
  <c r="DY10" i="22"/>
  <c r="DZ10" i="22"/>
  <c r="EA10" i="22"/>
  <c r="EB10" i="22"/>
  <c r="EC10" i="22"/>
  <c r="ED10" i="22"/>
  <c r="EE10" i="22"/>
  <c r="EF10" i="22"/>
  <c r="EG10" i="22"/>
  <c r="EH10" i="22"/>
  <c r="EI10" i="22"/>
  <c r="EJ10" i="22"/>
  <c r="EK10" i="22"/>
  <c r="EL10" i="22"/>
  <c r="EM10" i="22"/>
  <c r="EN10" i="22"/>
  <c r="EO10" i="22"/>
  <c r="EP10" i="22"/>
  <c r="EQ10" i="22"/>
  <c r="ER10" i="22"/>
  <c r="ES10" i="22"/>
  <c r="ET10" i="22"/>
  <c r="EU10" i="22"/>
  <c r="EV10" i="22"/>
  <c r="EW10" i="22"/>
  <c r="EX10" i="22"/>
  <c r="EY10" i="22"/>
  <c r="EZ10" i="22"/>
  <c r="FA10" i="22"/>
  <c r="FB10" i="22"/>
  <c r="FC10" i="22"/>
  <c r="FD10" i="22"/>
  <c r="FE10" i="22"/>
  <c r="FF10" i="22"/>
  <c r="FG10" i="22"/>
  <c r="FH10" i="22"/>
  <c r="FI10" i="22"/>
  <c r="FJ10" i="22"/>
  <c r="FK10" i="22"/>
  <c r="FL10" i="22"/>
  <c r="FM10" i="22"/>
  <c r="FN10" i="22"/>
  <c r="FO10" i="22"/>
  <c r="FP10" i="22"/>
  <c r="FQ10" i="22"/>
  <c r="FR10" i="22"/>
  <c r="FS10" i="22"/>
  <c r="FT10" i="22"/>
  <c r="FU10" i="22"/>
  <c r="FV10" i="22"/>
  <c r="FW10" i="22"/>
  <c r="AP11" i="22"/>
  <c r="AQ11" i="22"/>
  <c r="AR11" i="22"/>
  <c r="AS11" i="22"/>
  <c r="AT11" i="22"/>
  <c r="AU11" i="22"/>
  <c r="AV11" i="22"/>
  <c r="AW11" i="22"/>
  <c r="AX11" i="22"/>
  <c r="AY11" i="22"/>
  <c r="AZ11" i="22"/>
  <c r="BA11" i="22"/>
  <c r="BB11" i="22"/>
  <c r="BC11" i="22"/>
  <c r="BD11" i="22"/>
  <c r="BE11" i="22"/>
  <c r="BK11" i="22"/>
  <c r="BL11" i="22"/>
  <c r="BM11" i="22"/>
  <c r="BN11" i="22"/>
  <c r="BO11" i="22"/>
  <c r="BP11" i="22"/>
  <c r="BQ11" i="22"/>
  <c r="BR11" i="22"/>
  <c r="BH12" i="22"/>
  <c r="BH13" i="22" s="1"/>
  <c r="BI12" i="22"/>
  <c r="BI13" i="22" s="1"/>
  <c r="BJ12" i="22"/>
  <c r="BJ13" i="22" s="1"/>
  <c r="BS12" i="22"/>
  <c r="BS13" i="22" s="1"/>
  <c r="BT12" i="22"/>
  <c r="BT13" i="22" s="1"/>
  <c r="BU12" i="22"/>
  <c r="BU13" i="22" s="1"/>
  <c r="BV12" i="22"/>
  <c r="BV13" i="22" s="1"/>
  <c r="BW12" i="22"/>
  <c r="BW13" i="22" s="1"/>
  <c r="BX12" i="22"/>
  <c r="BX13" i="22" s="1"/>
  <c r="BY12" i="22"/>
  <c r="BY13" i="22" s="1"/>
  <c r="BZ12" i="22"/>
  <c r="BZ13" i="22" s="1"/>
  <c r="CA12" i="22"/>
  <c r="CA13" i="22" s="1"/>
  <c r="CB12" i="22"/>
  <c r="CB13" i="22" s="1"/>
  <c r="CC12" i="22"/>
  <c r="CC13" i="22" s="1"/>
  <c r="CD12" i="22"/>
  <c r="CD13" i="22" s="1"/>
  <c r="CE12" i="22"/>
  <c r="CE13" i="22" s="1"/>
  <c r="CF12" i="22"/>
  <c r="CF13" i="22" s="1"/>
  <c r="CG12" i="22"/>
  <c r="CG13" i="22" s="1"/>
  <c r="CH12" i="22"/>
  <c r="CH13" i="22" s="1"/>
  <c r="CI12" i="22"/>
  <c r="CI13" i="22" s="1"/>
  <c r="CJ12" i="22"/>
  <c r="CJ13" i="22" s="1"/>
  <c r="CK12" i="22"/>
  <c r="CK13" i="22" s="1"/>
  <c r="CL12" i="22"/>
  <c r="CL13" i="22" s="1"/>
  <c r="CM12" i="22"/>
  <c r="CM13" i="22" s="1"/>
  <c r="CN12" i="22"/>
  <c r="CN13" i="22" s="1"/>
  <c r="CO12" i="22"/>
  <c r="CO13" i="22" s="1"/>
  <c r="CP12" i="22"/>
  <c r="CP13" i="22" s="1"/>
  <c r="CQ12" i="22"/>
  <c r="CQ13" i="22" s="1"/>
  <c r="CS12" i="22"/>
  <c r="CS13" i="22" s="1"/>
  <c r="CT12" i="22"/>
  <c r="CT13" i="22" s="1"/>
  <c r="CU12" i="22"/>
  <c r="CU13" i="22" s="1"/>
  <c r="CV12" i="22"/>
  <c r="CV13" i="22" s="1"/>
  <c r="CW12" i="22"/>
  <c r="CW13" i="22" s="1"/>
  <c r="CX12" i="22"/>
  <c r="CX13" i="22" s="1"/>
  <c r="CY12" i="22"/>
  <c r="CY13" i="22" s="1"/>
  <c r="CZ12" i="22"/>
  <c r="CZ13" i="22" s="1"/>
  <c r="DA12" i="22"/>
  <c r="DA13" i="22" s="1"/>
  <c r="DB12" i="22"/>
  <c r="DB13" i="22" s="1"/>
  <c r="DC12" i="22"/>
  <c r="DC13" i="22" s="1"/>
  <c r="DD12" i="22"/>
  <c r="DD13" i="22" s="1"/>
  <c r="DE12" i="22"/>
  <c r="DE13" i="22" s="1"/>
  <c r="DF12" i="22"/>
  <c r="DF13" i="22" s="1"/>
  <c r="DG12" i="22"/>
  <c r="DG13" i="22" s="1"/>
  <c r="DH12" i="22"/>
  <c r="DH13" i="22" s="1"/>
  <c r="DI12" i="22"/>
  <c r="DI13" i="22" s="1"/>
  <c r="DJ12" i="22"/>
  <c r="DJ13" i="22" s="1"/>
  <c r="DK12" i="22"/>
  <c r="DK13" i="22" s="1"/>
  <c r="DL12" i="22"/>
  <c r="DL13" i="22" s="1"/>
  <c r="DM12" i="22"/>
  <c r="DM13" i="22" s="1"/>
  <c r="DN12" i="22"/>
  <c r="DN13" i="22" s="1"/>
  <c r="DO12" i="22"/>
  <c r="DO13" i="22" s="1"/>
  <c r="DP12" i="22"/>
  <c r="DP13" i="22" s="1"/>
  <c r="DQ12" i="22"/>
  <c r="DQ13" i="22" s="1"/>
  <c r="DR12" i="22"/>
  <c r="DR13" i="22" s="1"/>
  <c r="DS12" i="22"/>
  <c r="DS13" i="22" s="1"/>
  <c r="DT12" i="22"/>
  <c r="DT13" i="22" s="1"/>
  <c r="DU12" i="22"/>
  <c r="DU13" i="22" s="1"/>
  <c r="DV12" i="22"/>
  <c r="DV13" i="22" s="1"/>
  <c r="DW12" i="22"/>
  <c r="DW13" i="22" s="1"/>
  <c r="DX12" i="22"/>
  <c r="DX13" i="22" s="1"/>
  <c r="DY12" i="22"/>
  <c r="DY13" i="22" s="1"/>
  <c r="DZ12" i="22"/>
  <c r="DZ13" i="22" s="1"/>
  <c r="EA12" i="22"/>
  <c r="EA13" i="22" s="1"/>
  <c r="EB12" i="22"/>
  <c r="EB13" i="22" s="1"/>
  <c r="EC12" i="22"/>
  <c r="EC13" i="22" s="1"/>
  <c r="ED12" i="22"/>
  <c r="ED13" i="22" s="1"/>
  <c r="EE12" i="22"/>
  <c r="EE13" i="22" s="1"/>
  <c r="EF12" i="22"/>
  <c r="EF13" i="22" s="1"/>
  <c r="EG12" i="22"/>
  <c r="EG13" i="22" s="1"/>
  <c r="EH12" i="22"/>
  <c r="EH13" i="22" s="1"/>
  <c r="EI12" i="22"/>
  <c r="EI13" i="22" s="1"/>
  <c r="EJ12" i="22"/>
  <c r="EJ13" i="22" s="1"/>
  <c r="EK12" i="22"/>
  <c r="EK13" i="22" s="1"/>
  <c r="EL12" i="22"/>
  <c r="EL13" i="22" s="1"/>
  <c r="EM12" i="22"/>
  <c r="EM13" i="22" s="1"/>
  <c r="EN12" i="22"/>
  <c r="EN13" i="22" s="1"/>
  <c r="EO12" i="22"/>
  <c r="EO13" i="22" s="1"/>
  <c r="EP12" i="22"/>
  <c r="EP13" i="22" s="1"/>
  <c r="EQ12" i="22"/>
  <c r="EQ13" i="22" s="1"/>
  <c r="ER12" i="22"/>
  <c r="ER13" i="22" s="1"/>
  <c r="ES12" i="22"/>
  <c r="ES13" i="22" s="1"/>
  <c r="ET12" i="22"/>
  <c r="ET13" i="22" s="1"/>
  <c r="EU12" i="22"/>
  <c r="EU13" i="22" s="1"/>
  <c r="EV12" i="22"/>
  <c r="EV13" i="22" s="1"/>
  <c r="EW12" i="22"/>
  <c r="EW13" i="22" s="1"/>
  <c r="EX12" i="22"/>
  <c r="EX13" i="22" s="1"/>
  <c r="EY12" i="22"/>
  <c r="EY13" i="22" s="1"/>
  <c r="EZ12" i="22"/>
  <c r="EZ13" i="22" s="1"/>
  <c r="FA12" i="22"/>
  <c r="FA13" i="22" s="1"/>
  <c r="FB12" i="22"/>
  <c r="FB13" i="22" s="1"/>
  <c r="FC12" i="22"/>
  <c r="FC13" i="22" s="1"/>
  <c r="FD12" i="22"/>
  <c r="FD13" i="22" s="1"/>
  <c r="FE12" i="22"/>
  <c r="FE13" i="22" s="1"/>
  <c r="FF12" i="22"/>
  <c r="FF13" i="22" s="1"/>
  <c r="FG12" i="22"/>
  <c r="FG13" i="22" s="1"/>
  <c r="FH12" i="22"/>
  <c r="FH13" i="22" s="1"/>
  <c r="FI12" i="22"/>
  <c r="FI13" i="22" s="1"/>
  <c r="FJ12" i="22"/>
  <c r="FJ13" i="22" s="1"/>
  <c r="FK12" i="22"/>
  <c r="FK13" i="22" s="1"/>
  <c r="FL12" i="22"/>
  <c r="FL13" i="22" s="1"/>
  <c r="FM12" i="22"/>
  <c r="FM13" i="22" s="1"/>
  <c r="FN12" i="22"/>
  <c r="FN13" i="22" s="1"/>
  <c r="FO12" i="22"/>
  <c r="FO13" i="22" s="1"/>
  <c r="FP12" i="22"/>
  <c r="FP13" i="22" s="1"/>
  <c r="FQ12" i="22"/>
  <c r="FQ13" i="22" s="1"/>
  <c r="FR12" i="22"/>
  <c r="FR13" i="22" s="1"/>
  <c r="FS12" i="22"/>
  <c r="FS13" i="22" s="1"/>
  <c r="FT12" i="22"/>
  <c r="FT13" i="22" s="1"/>
  <c r="FU12" i="22"/>
  <c r="FU13" i="22" s="1"/>
  <c r="FV12" i="22"/>
  <c r="FV13" i="22" s="1"/>
  <c r="FW12" i="22"/>
  <c r="FW13" i="22" s="1"/>
  <c r="CR12" i="22"/>
  <c r="CR13" i="22" s="1"/>
  <c r="BO12" i="22" l="1"/>
  <c r="BO13" i="22" s="1"/>
  <c r="BP12" i="22"/>
  <c r="BP13" i="22" s="1"/>
  <c r="BR12" i="22"/>
  <c r="BR13" i="22" s="1"/>
  <c r="BM12" i="22"/>
  <c r="BM13" i="22" s="1"/>
  <c r="BK12" i="22"/>
  <c r="BK13" i="22" s="1"/>
  <c r="BQ12" i="22"/>
  <c r="BQ13" i="22" s="1"/>
  <c r="BL12" i="22"/>
  <c r="BL13" i="22" s="1"/>
  <c r="BN12" i="22"/>
  <c r="BN13" i="22" s="1"/>
  <c r="FZ12" i="22"/>
  <c r="FZ13" i="22" s="1"/>
  <c r="GB12" i="22"/>
  <c r="GB13" i="22" s="1"/>
  <c r="GA12" i="22"/>
  <c r="GA13" i="22" s="1"/>
  <c r="FY12" i="22"/>
  <c r="FY13" i="22" s="1"/>
  <c r="GC12" i="22"/>
  <c r="GC13" i="22" s="1"/>
  <c r="GD12" i="22"/>
  <c r="GD13" i="22" s="1"/>
  <c r="FX10" i="22"/>
  <c r="GJ10" i="22"/>
  <c r="GJ12" i="22"/>
  <c r="GJ13" i="22" s="1"/>
  <c r="FX12" i="22"/>
  <c r="FX13" i="22" s="1"/>
  <c r="GI12" i="22"/>
  <c r="GI13" i="22" s="1"/>
  <c r="GH12" i="22"/>
  <c r="GH13" i="22" s="1"/>
  <c r="GF12" i="22"/>
  <c r="GF13" i="22" s="1"/>
  <c r="GI10" i="22"/>
  <c r="GH10" i="22"/>
  <c r="GG12" i="22"/>
  <c r="GG13" i="22" s="1"/>
  <c r="GG10" i="22"/>
  <c r="GE12" i="22"/>
  <c r="GE13" i="22" s="1"/>
  <c r="AK14" i="27"/>
  <c r="AK15" i="27" s="1"/>
  <c r="AK12" i="27"/>
  <c r="AK11" i="27"/>
  <c r="HG15" i="27"/>
  <c r="HF15" i="27"/>
  <c r="HE15" i="27"/>
  <c r="HD15" i="27"/>
  <c r="HC15" i="27"/>
  <c r="AK6" i="27"/>
  <c r="AK11" i="22"/>
  <c r="AK12" i="22" s="1"/>
  <c r="AK9" i="22"/>
  <c r="AK13" i="22" l="1"/>
  <c r="AK14" i="22" s="1"/>
  <c r="AK16" i="27"/>
  <c r="AK17" i="27" s="1"/>
  <c r="AK10" i="22"/>
  <c r="AJ14" i="27" l="1"/>
  <c r="AJ12" i="27"/>
  <c r="AJ11" i="27"/>
  <c r="HB15" i="27"/>
  <c r="HA15" i="27"/>
  <c r="GZ15" i="27"/>
  <c r="GY15" i="27"/>
  <c r="AJ11" i="22"/>
  <c r="AJ12" i="22" s="1"/>
  <c r="AJ6" i="27" l="1"/>
  <c r="AJ15" i="27"/>
  <c r="AJ9" i="22"/>
  <c r="AJ16" i="27" l="1"/>
  <c r="AJ17" i="27" s="1"/>
  <c r="AJ13" i="22"/>
  <c r="AJ14" i="22" s="1"/>
  <c r="AJ10" i="22"/>
  <c r="AI14" i="27" l="1"/>
  <c r="AI12" i="27"/>
  <c r="AI11" i="27"/>
  <c r="GX15" i="27"/>
  <c r="GW15" i="27"/>
  <c r="GV15" i="27"/>
  <c r="GU15" i="27"/>
  <c r="AI11" i="22"/>
  <c r="AI12" i="22" s="1"/>
  <c r="AI9" i="22"/>
  <c r="AI13" i="22" l="1"/>
  <c r="AI14" i="22" s="1"/>
  <c r="AI10" i="22"/>
  <c r="AI15" i="27" l="1"/>
  <c r="AI6" i="27"/>
  <c r="GT15" i="27"/>
  <c r="GS15" i="27"/>
  <c r="GR15" i="27"/>
  <c r="AI16" i="27" l="1"/>
  <c r="AI17" i="27" s="1"/>
  <c r="AG11" i="22"/>
  <c r="AG12" i="22" s="1"/>
  <c r="AH11" i="22"/>
  <c r="AH12" i="22" s="1"/>
  <c r="AH10" i="22"/>
  <c r="AH13" i="22" l="1"/>
  <c r="AH14" i="22" s="1"/>
  <c r="AG14" i="27"/>
  <c r="AG12" i="27"/>
  <c r="AG11" i="27"/>
  <c r="AH14" i="27"/>
  <c r="AH12" i="27"/>
  <c r="AH11" i="27"/>
  <c r="AH6" i="27"/>
  <c r="AH15" i="27" l="1"/>
  <c r="AH16" i="27" s="1"/>
  <c r="AH17" i="27" s="1"/>
  <c r="GQ15" i="27" l="1"/>
  <c r="GP15" i="27" l="1"/>
  <c r="GO15" i="27"/>
  <c r="GN15" i="27"/>
  <c r="GM15" i="27"/>
  <c r="GM16" i="27" s="1"/>
  <c r="GM17" i="27" s="1"/>
  <c r="GN6" i="27"/>
  <c r="GO6" i="27" s="1"/>
  <c r="GO16" i="27" l="1"/>
  <c r="GO17" i="27" s="1"/>
  <c r="GN16" i="27"/>
  <c r="GN17" i="27" s="1"/>
  <c r="GP6" i="27"/>
  <c r="AG13" i="22"/>
  <c r="AG14" i="22" s="1"/>
  <c r="AG10" i="22"/>
  <c r="GP16" i="27" l="1"/>
  <c r="GP17" i="27" s="1"/>
  <c r="GQ6" i="27"/>
  <c r="GQ16" i="27" l="1"/>
  <c r="GQ17" i="27" s="1"/>
  <c r="GR6" i="27"/>
  <c r="AG6" i="27"/>
  <c r="GS6" i="27" l="1"/>
  <c r="GR16" i="27"/>
  <c r="GR17" i="27" s="1"/>
  <c r="AG15" i="27"/>
  <c r="AG16" i="27" s="1"/>
  <c r="AG17" i="27" s="1"/>
  <c r="AF12" i="27"/>
  <c r="AF11" i="27"/>
  <c r="AF14" i="27"/>
  <c r="GI6" i="27"/>
  <c r="GJ6" i="27" s="1"/>
  <c r="GK6" i="27" s="1"/>
  <c r="GL6" i="27" s="1"/>
  <c r="GL15" i="27"/>
  <c r="GK15" i="27"/>
  <c r="GJ15" i="27"/>
  <c r="GI15" i="27"/>
  <c r="AF11" i="22"/>
  <c r="AF12" i="22" s="1"/>
  <c r="AF13" i="22" l="1"/>
  <c r="AF14" i="22" s="1"/>
  <c r="GS16" i="27"/>
  <c r="GS17" i="27" s="1"/>
  <c r="GT6" i="27"/>
  <c r="GL16" i="27"/>
  <c r="GL17" i="27" s="1"/>
  <c r="GK16" i="27"/>
  <c r="GK17" i="27" s="1"/>
  <c r="GJ16" i="27"/>
  <c r="GJ17" i="27" s="1"/>
  <c r="GI16" i="27"/>
  <c r="GI17" i="27" s="1"/>
  <c r="AF6" i="27"/>
  <c r="AF15" i="27"/>
  <c r="GH15" i="27"/>
  <c r="GH16" i="27" s="1"/>
  <c r="GH17" i="27" s="1"/>
  <c r="GG15" i="27"/>
  <c r="GG16" i="27" s="1"/>
  <c r="GG17" i="27" s="1"/>
  <c r="GF15" i="27"/>
  <c r="GF16" i="27" s="1"/>
  <c r="GF17" i="27" s="1"/>
  <c r="GE15" i="27"/>
  <c r="GE16" i="27" s="1"/>
  <c r="GE17" i="27" s="1"/>
  <c r="AF10" i="22"/>
  <c r="GT16" i="27" l="1"/>
  <c r="GT17" i="27" s="1"/>
  <c r="GU6" i="27"/>
  <c r="AF16" i="27"/>
  <c r="AF17" i="27" s="1"/>
  <c r="GU16" i="27" l="1"/>
  <c r="GU17" i="27" s="1"/>
  <c r="GV6" i="27"/>
  <c r="AE14" i="27"/>
  <c r="AE12" i="27"/>
  <c r="AE11" i="27"/>
  <c r="GV16" i="27" l="1"/>
  <c r="GV17" i="27" s="1"/>
  <c r="GW6" i="27"/>
  <c r="GD15" i="27"/>
  <c r="GD16" i="27" s="1"/>
  <c r="GD17" i="27" s="1"/>
  <c r="GC15" i="27"/>
  <c r="GC16" i="27" s="1"/>
  <c r="GC17" i="27" s="1"/>
  <c r="AE11" i="22"/>
  <c r="AE12" i="22" s="1"/>
  <c r="AE10" i="22"/>
  <c r="AE13" i="22" l="1"/>
  <c r="AE14" i="22" s="1"/>
  <c r="GX6" i="27"/>
  <c r="GW16" i="27"/>
  <c r="GW17" i="27" s="1"/>
  <c r="AE15" i="27"/>
  <c r="AE16" i="27" s="1"/>
  <c r="AE17" i="27" s="1"/>
  <c r="GX16" i="27" l="1"/>
  <c r="GX17" i="27" s="1"/>
  <c r="GY6" i="27"/>
  <c r="GB15" i="27"/>
  <c r="GB16" i="27" s="1"/>
  <c r="GB17" i="27" s="1"/>
  <c r="AD12" i="27"/>
  <c r="AD11" i="27"/>
  <c r="AD14" i="27"/>
  <c r="GA15" i="27"/>
  <c r="GA16" i="27" s="1"/>
  <c r="GA17" i="27" s="1"/>
  <c r="FZ15" i="27"/>
  <c r="FZ16" i="27" s="1"/>
  <c r="FZ17" i="27" s="1"/>
  <c r="AD11" i="22"/>
  <c r="AD12" i="22" s="1"/>
  <c r="FY15" i="27"/>
  <c r="FY16" i="27" s="1"/>
  <c r="FY17" i="27" s="1"/>
  <c r="AD10" i="22"/>
  <c r="AD13" i="22" l="1"/>
  <c r="AD14" i="22" s="1"/>
  <c r="GY16" i="27"/>
  <c r="GY17" i="27" s="1"/>
  <c r="GZ6" i="27"/>
  <c r="AD15" i="27"/>
  <c r="AD16" i="27" s="1"/>
  <c r="AD17" i="27" s="1"/>
  <c r="GZ16" i="27" l="1"/>
  <c r="GZ17" i="27" s="1"/>
  <c r="HA6" i="27"/>
  <c r="HA16" i="27" l="1"/>
  <c r="HA17" i="27" s="1"/>
  <c r="HB6" i="27"/>
  <c r="AC12" i="27"/>
  <c r="AC11" i="27"/>
  <c r="FX15" i="27"/>
  <c r="FX16" i="27" s="1"/>
  <c r="FX17" i="27" s="1"/>
  <c r="AC11" i="22"/>
  <c r="AC12" i="22" s="1"/>
  <c r="AC13" i="22" l="1"/>
  <c r="AC14" i="22" s="1"/>
  <c r="HB16" i="27"/>
  <c r="HB17" i="27" s="1"/>
  <c r="HC6" i="27"/>
  <c r="FW15" i="27"/>
  <c r="FW16" i="27" s="1"/>
  <c r="FW17" i="27" s="1"/>
  <c r="EP15" i="27"/>
  <c r="EQ15" i="27"/>
  <c r="ER15" i="27"/>
  <c r="ES15" i="27"/>
  <c r="ET15" i="27"/>
  <c r="EU15" i="27"/>
  <c r="EV15" i="27"/>
  <c r="EW15" i="27"/>
  <c r="EX15" i="27"/>
  <c r="EY15" i="27"/>
  <c r="EZ15" i="27"/>
  <c r="FA15" i="27"/>
  <c r="FB15" i="27"/>
  <c r="FC15" i="27"/>
  <c r="FD15" i="27"/>
  <c r="FE15" i="27"/>
  <c r="FF15" i="27"/>
  <c r="FG15" i="27"/>
  <c r="FH15" i="27"/>
  <c r="FI15" i="27"/>
  <c r="FJ15" i="27"/>
  <c r="FK15" i="27"/>
  <c r="FL15" i="27"/>
  <c r="FM15" i="27"/>
  <c r="FN15" i="27"/>
  <c r="FO15" i="27"/>
  <c r="FP15" i="27"/>
  <c r="FQ15" i="27"/>
  <c r="FR15" i="27"/>
  <c r="FS15" i="27"/>
  <c r="FT15" i="27"/>
  <c r="FT16" i="27" s="1"/>
  <c r="FT17" i="27" s="1"/>
  <c r="FU15" i="27"/>
  <c r="FU16" i="27" s="1"/>
  <c r="FU17" i="27" s="1"/>
  <c r="FV15" i="27"/>
  <c r="FV16" i="27" s="1"/>
  <c r="FV17" i="27" s="1"/>
  <c r="AC14" i="27"/>
  <c r="AC10" i="22"/>
  <c r="HD6" i="27" l="1"/>
  <c r="HC16" i="27"/>
  <c r="HC17" i="27" s="1"/>
  <c r="AC15" i="27"/>
  <c r="AC16" i="27" s="1"/>
  <c r="AC17" i="27" s="1"/>
  <c r="HE6" i="27" l="1"/>
  <c r="HD16" i="27"/>
  <c r="HD17" i="27" s="1"/>
  <c r="FS16" i="27"/>
  <c r="FS17" i="27" s="1"/>
  <c r="HF6" i="27" l="1"/>
  <c r="HE16" i="27"/>
  <c r="HE17" i="27" s="1"/>
  <c r="FR16" i="27"/>
  <c r="FR17" i="27" s="1"/>
  <c r="AB14" i="27"/>
  <c r="AB15" i="27" s="1"/>
  <c r="AB16" i="27" s="1"/>
  <c r="AB17" i="27" s="1"/>
  <c r="AB12" i="27"/>
  <c r="AB11" i="27"/>
  <c r="FQ16" i="27"/>
  <c r="FQ17" i="27" s="1"/>
  <c r="AB11" i="22"/>
  <c r="AB12" i="22" s="1"/>
  <c r="FP16" i="27"/>
  <c r="FP17" i="27" s="1"/>
  <c r="AB10" i="22"/>
  <c r="AB13" i="22" l="1"/>
  <c r="AB14" i="22" s="1"/>
  <c r="HG6" i="27"/>
  <c r="HG16" i="27" s="1"/>
  <c r="HG17" i="27" s="1"/>
  <c r="HF16" i="27"/>
  <c r="HF17" i="27" s="1"/>
  <c r="AA12" i="27" l="1"/>
  <c r="AA11" i="27"/>
  <c r="AA14" i="27"/>
  <c r="FO16" i="27"/>
  <c r="FO17" i="27" s="1"/>
  <c r="FN16" i="27"/>
  <c r="FN17" i="27" s="1"/>
  <c r="AA11" i="22"/>
  <c r="AA12" i="22" s="1"/>
  <c r="FM16" i="27" l="1"/>
  <c r="FM17" i="27" s="1"/>
  <c r="FL16" i="27"/>
  <c r="FL17" i="27" s="1"/>
  <c r="FL8" i="27"/>
  <c r="AA13" i="22" l="1"/>
  <c r="AA14" i="22" s="1"/>
  <c r="AA10" i="22"/>
  <c r="AA15" i="27" l="1"/>
  <c r="AA16" i="27" s="1"/>
  <c r="AA17" i="27" s="1"/>
  <c r="FK16" i="27"/>
  <c r="FK17" i="27" s="1"/>
  <c r="FK8" i="27"/>
  <c r="EW16" i="27" l="1"/>
  <c r="EX16" i="27"/>
  <c r="EY16" i="27"/>
  <c r="EZ16" i="27"/>
  <c r="FA16" i="27"/>
  <c r="FB16" i="27"/>
  <c r="FC16" i="27"/>
  <c r="FD16" i="27"/>
  <c r="FE16" i="27"/>
  <c r="FF16" i="27"/>
  <c r="FG16" i="27"/>
  <c r="FH16" i="27"/>
  <c r="FH17" i="27" s="1"/>
  <c r="FI16" i="27"/>
  <c r="FI17" i="27" s="1"/>
  <c r="FJ16" i="27"/>
  <c r="FJ17" i="27" s="1"/>
  <c r="ES16" i="27"/>
  <c r="ET16" i="27"/>
  <c r="EU16" i="27"/>
  <c r="EV16" i="27"/>
  <c r="FJ8" i="27"/>
  <c r="Z12" i="27"/>
  <c r="Z11" i="27"/>
  <c r="Z14" i="27"/>
  <c r="FI8" i="27"/>
  <c r="Z11" i="22"/>
  <c r="Z12" i="22" s="1"/>
  <c r="FH8" i="27"/>
  <c r="Z13" i="22" l="1"/>
  <c r="Z14" i="22" s="1"/>
  <c r="Z15" i="27"/>
  <c r="FG17" i="27"/>
  <c r="FG8" i="27"/>
  <c r="Z10" i="22"/>
  <c r="BM7" i="27"/>
  <c r="BN7" i="27"/>
  <c r="BO7" i="27"/>
  <c r="BP7" i="27"/>
  <c r="BQ7" i="27"/>
  <c r="BR7" i="27"/>
  <c r="BS7" i="27"/>
  <c r="BT7" i="27"/>
  <c r="BU7" i="27"/>
  <c r="BV7" i="27"/>
  <c r="BW7" i="27"/>
  <c r="BX7" i="27"/>
  <c r="BY7" i="27"/>
  <c r="BZ7" i="27"/>
  <c r="CA7" i="27"/>
  <c r="CB7" i="27"/>
  <c r="CP7" i="27"/>
  <c r="CQ7" i="27"/>
  <c r="CR7" i="27"/>
  <c r="CS7" i="27"/>
  <c r="CT7" i="27"/>
  <c r="CU7" i="27"/>
  <c r="CV7" i="27"/>
  <c r="CW7" i="27"/>
  <c r="CW8" i="27" s="1"/>
  <c r="J8" i="27" s="1"/>
  <c r="J9" i="27" s="1"/>
  <c r="CX7" i="27"/>
  <c r="CY7" i="27"/>
  <c r="CY8" i="27" s="1"/>
  <c r="CZ7" i="27"/>
  <c r="CZ8" i="27" s="1"/>
  <c r="DA7" i="27"/>
  <c r="DA8" i="27" s="1"/>
  <c r="DB7" i="27"/>
  <c r="DC7" i="27"/>
  <c r="DC8" i="27" s="1"/>
  <c r="DD7" i="27"/>
  <c r="DD8" i="27" s="1"/>
  <c r="DE7" i="27"/>
  <c r="DE8" i="27" s="1"/>
  <c r="DF7" i="27"/>
  <c r="DF8" i="27" s="1"/>
  <c r="DG7" i="27"/>
  <c r="DG8" i="27" s="1"/>
  <c r="DH7" i="27"/>
  <c r="DH8" i="27" s="1"/>
  <c r="DI7" i="27"/>
  <c r="DI8" i="27" s="1"/>
  <c r="DJ7" i="27"/>
  <c r="DJ8" i="27" s="1"/>
  <c r="DK7" i="27"/>
  <c r="DL7" i="27"/>
  <c r="DL8" i="27" s="1"/>
  <c r="DM7" i="27"/>
  <c r="DM8" i="27" s="1"/>
  <c r="DN7" i="27"/>
  <c r="DN8" i="27" s="1"/>
  <c r="DO7" i="27"/>
  <c r="DP7" i="27"/>
  <c r="DP8" i="27" s="1"/>
  <c r="DQ7" i="27"/>
  <c r="DQ8" i="27" s="1"/>
  <c r="DR7" i="27"/>
  <c r="DR8" i="27" s="1"/>
  <c r="DS7" i="27"/>
  <c r="DT7" i="27"/>
  <c r="DT8" i="27" s="1"/>
  <c r="DU7" i="27"/>
  <c r="DU8" i="27" s="1"/>
  <c r="DV7" i="27"/>
  <c r="DV8" i="27" s="1"/>
  <c r="DW7" i="27"/>
  <c r="DW8" i="27" s="1"/>
  <c r="DX7" i="27"/>
  <c r="DX8" i="27" s="1"/>
  <c r="Q8" i="27" s="1"/>
  <c r="DY7" i="27"/>
  <c r="DY8" i="27" s="1"/>
  <c r="R8" i="27" s="1"/>
  <c r="DZ7" i="27"/>
  <c r="DZ8" i="27" s="1"/>
  <c r="S8" i="27" s="1"/>
  <c r="EA7" i="27"/>
  <c r="EA8" i="27" s="1"/>
  <c r="T8" i="27" s="1"/>
  <c r="EB7" i="27"/>
  <c r="EB8" i="27" s="1"/>
  <c r="U8" i="27" s="1"/>
  <c r="EC7" i="27"/>
  <c r="EC8" i="27" s="1"/>
  <c r="V8" i="27" s="1"/>
  <c r="ED7" i="27"/>
  <c r="ED8" i="27" s="1"/>
  <c r="W8" i="27" s="1"/>
  <c r="EE7" i="27"/>
  <c r="EE8" i="27" s="1"/>
  <c r="X8" i="27" s="1"/>
  <c r="EF7" i="27"/>
  <c r="EF8" i="27" s="1"/>
  <c r="Y8" i="27" s="1"/>
  <c r="EG7" i="27"/>
  <c r="EG8" i="27" s="1"/>
  <c r="Z8" i="27" s="1"/>
  <c r="EH7" i="27"/>
  <c r="EH8" i="27" s="1"/>
  <c r="AA8" i="27" s="1"/>
  <c r="EI7" i="27"/>
  <c r="EI8" i="27" s="1"/>
  <c r="AB8" i="27" s="1"/>
  <c r="EJ7" i="27"/>
  <c r="EJ8" i="27" s="1"/>
  <c r="AC8" i="27" s="1"/>
  <c r="EK7" i="27"/>
  <c r="EK8" i="27" s="1"/>
  <c r="AD8" i="27" s="1"/>
  <c r="EL7" i="27"/>
  <c r="EL8" i="27" s="1"/>
  <c r="AE8" i="27" s="1"/>
  <c r="EM7" i="27"/>
  <c r="EM8" i="27" s="1"/>
  <c r="AF8" i="27" s="1"/>
  <c r="I8" i="27"/>
  <c r="I9" i="27" s="1"/>
  <c r="CC8" i="27"/>
  <c r="CC9" i="27" s="1"/>
  <c r="CD8" i="27"/>
  <c r="CD9" i="27" s="1"/>
  <c r="CE8" i="27"/>
  <c r="CE9" i="27" s="1"/>
  <c r="CF8" i="27"/>
  <c r="CF9" i="27" s="1"/>
  <c r="EN8" i="27"/>
  <c r="AG8" i="27" s="1"/>
  <c r="EO8" i="27"/>
  <c r="AH8" i="27" s="1"/>
  <c r="EP8" i="27"/>
  <c r="AI8" i="27" s="1"/>
  <c r="EQ8" i="27"/>
  <c r="AJ8" i="27" s="1"/>
  <c r="ER8" i="27"/>
  <c r="AK8" i="27" s="1"/>
  <c r="ES8" i="27"/>
  <c r="ET8" i="27"/>
  <c r="EU8" i="27"/>
  <c r="EV8" i="27"/>
  <c r="EW8" i="27"/>
  <c r="EX8" i="27"/>
  <c r="EY8" i="27"/>
  <c r="EZ8" i="27"/>
  <c r="FA8" i="27"/>
  <c r="FB8" i="27"/>
  <c r="FC8" i="27"/>
  <c r="FD8" i="27"/>
  <c r="FE8" i="27"/>
  <c r="FF8" i="27"/>
  <c r="DM9" i="27"/>
  <c r="Z16" i="27" l="1"/>
  <c r="Z17" i="27" s="1"/>
  <c r="W7" i="27"/>
  <c r="V7" i="27"/>
  <c r="U7" i="27"/>
  <c r="I7" i="27"/>
  <c r="T7" i="27"/>
  <c r="R7" i="27"/>
  <c r="Q7" i="27"/>
  <c r="S7" i="27"/>
  <c r="J7" i="27"/>
  <c r="M8" i="27"/>
  <c r="P7" i="27"/>
  <c r="O7" i="27"/>
  <c r="K7" i="27"/>
  <c r="N7" i="27"/>
  <c r="M7" i="27"/>
  <c r="L7" i="27"/>
  <c r="X7" i="27"/>
  <c r="DS8" i="27"/>
  <c r="P8" i="27" s="1"/>
  <c r="DB8" i="27"/>
  <c r="L8" i="27" s="1"/>
  <c r="DO8" i="27"/>
  <c r="O8" i="27" s="1"/>
  <c r="CX8" i="27"/>
  <c r="K8" i="27" s="1"/>
  <c r="DK8" i="27"/>
  <c r="N8" i="27" s="1"/>
  <c r="CP15" i="27" l="1"/>
  <c r="FF17" i="27"/>
  <c r="FE17" i="27"/>
  <c r="Y14" i="27" l="1"/>
  <c r="Y12" i="27"/>
  <c r="Y11" i="27"/>
  <c r="X11" i="27"/>
  <c r="FD17" i="27"/>
  <c r="Y15" i="27" l="1"/>
  <c r="Y11" i="22"/>
  <c r="Y12" i="22" s="1"/>
  <c r="Y13" i="22" l="1"/>
  <c r="Y14" i="22" s="1"/>
  <c r="Y16" i="27"/>
  <c r="Y17" i="27" s="1"/>
  <c r="Y10" i="22"/>
  <c r="X14" i="27" l="1"/>
  <c r="X12" i="27"/>
  <c r="FC17" i="27"/>
  <c r="FB17" i="27"/>
  <c r="FA17" i="27"/>
  <c r="X11" i="22"/>
  <c r="X12" i="22" s="1"/>
  <c r="W14" i="27" l="1"/>
  <c r="W12" i="27"/>
  <c r="W11" i="27"/>
  <c r="EZ17" i="27"/>
  <c r="X15" i="27" l="1"/>
  <c r="X16" i="27" s="1"/>
  <c r="X13" i="22" l="1"/>
  <c r="X14" i="22" s="1"/>
  <c r="X10" i="22"/>
  <c r="EY17" i="27"/>
  <c r="W11" i="22"/>
  <c r="W12" i="22" s="1"/>
  <c r="EX17" i="27"/>
  <c r="EW17" i="27" l="1"/>
  <c r="V14" i="27"/>
  <c r="V12" i="27"/>
  <c r="V11" i="27"/>
  <c r="EV17" i="27"/>
  <c r="EU17" i="27"/>
  <c r="V11" i="22"/>
  <c r="V12" i="22" s="1"/>
  <c r="W13" i="22" l="1"/>
  <c r="W14" i="22" s="1"/>
  <c r="W10" i="22"/>
  <c r="W15" i="27"/>
  <c r="W16" i="27" s="1"/>
  <c r="ET17" i="27"/>
  <c r="J10" i="22" l="1"/>
  <c r="K10" i="22"/>
  <c r="L10" i="22"/>
  <c r="M10" i="22"/>
  <c r="N10" i="22"/>
  <c r="O10" i="22"/>
  <c r="P10" i="22"/>
  <c r="Q10" i="22"/>
  <c r="R10" i="22"/>
  <c r="S10" i="22"/>
  <c r="T10" i="22"/>
  <c r="U10" i="22"/>
  <c r="V10" i="22"/>
  <c r="I10" i="22"/>
  <c r="V13" i="22"/>
  <c r="V14" i="22" s="1"/>
  <c r="V15" i="27"/>
  <c r="V16" i="27" s="1"/>
  <c r="ES17" i="27" l="1"/>
  <c r="U14" i="27"/>
  <c r="U12" i="27"/>
  <c r="U11" i="27"/>
  <c r="ER16" i="27" l="1"/>
  <c r="ER17" i="27" s="1"/>
  <c r="U11" i="22"/>
  <c r="U12" i="22" s="1"/>
  <c r="EP16" i="27" l="1"/>
  <c r="EP17" i="27" s="1"/>
  <c r="EQ16" i="27"/>
  <c r="EQ17" i="27" s="1"/>
  <c r="U15" i="27"/>
  <c r="U16" i="27" s="1"/>
  <c r="EO15" i="27"/>
  <c r="U13" i="22"/>
  <c r="U14" i="22" s="1"/>
  <c r="T14" i="27"/>
  <c r="T15" i="27" s="1"/>
  <c r="T16" i="27" s="1"/>
  <c r="T12" i="27"/>
  <c r="T11" i="27"/>
  <c r="EN15" i="27"/>
  <c r="EN16" i="27" s="1"/>
  <c r="EN17" i="27" s="1"/>
  <c r="T11" i="22"/>
  <c r="T12" i="22" s="1"/>
  <c r="EM15" i="27"/>
  <c r="EL15" i="27"/>
  <c r="EK15" i="27"/>
  <c r="EJ15" i="27"/>
  <c r="S14" i="27"/>
  <c r="S12" i="27"/>
  <c r="S11" i="27"/>
  <c r="EI15" i="27"/>
  <c r="S11" i="22"/>
  <c r="S12" i="22" s="1"/>
  <c r="EH15" i="27"/>
  <c r="T13" i="22" l="1"/>
  <c r="T14" i="22" s="1"/>
  <c r="EO16" i="27"/>
  <c r="EO17" i="27" s="1"/>
  <c r="EK16" i="27"/>
  <c r="EK17" i="27" s="1"/>
  <c r="EL16" i="27"/>
  <c r="EL17" i="27" s="1"/>
  <c r="EM16" i="27"/>
  <c r="EM17" i="27" s="1"/>
  <c r="EH16" i="27"/>
  <c r="EH17" i="27" s="1"/>
  <c r="EI16" i="27"/>
  <c r="EI17" i="27" s="1"/>
  <c r="EJ16" i="27"/>
  <c r="EJ17" i="27" s="1"/>
  <c r="EG15" i="27" l="1"/>
  <c r="EG16" i="27" l="1"/>
  <c r="EG17" i="27" s="1"/>
  <c r="R11" i="27"/>
  <c r="EF15" i="27"/>
  <c r="EF16" i="27" l="1"/>
  <c r="EF17" i="27" s="1"/>
  <c r="S13" i="22"/>
  <c r="S14" i="22" s="1"/>
  <c r="S15" i="27"/>
  <c r="S16" i="27" s="1"/>
  <c r="R14" i="27"/>
  <c r="R12" i="27"/>
  <c r="EE15" i="27"/>
  <c r="R11" i="22"/>
  <c r="R12" i="22" s="1"/>
  <c r="X17" i="27" l="1"/>
  <c r="EE16" i="27"/>
  <c r="EE17" i="27" s="1"/>
  <c r="ED15" i="27" l="1"/>
  <c r="EC15" i="27"/>
  <c r="EB15" i="27"/>
  <c r="U17" i="27"/>
  <c r="Q14" i="27"/>
  <c r="Q12" i="27"/>
  <c r="EA15" i="27"/>
  <c r="T17" i="27"/>
  <c r="Q11" i="22"/>
  <c r="Q12" i="22" s="1"/>
  <c r="W17" i="27" l="1"/>
  <c r="V17" i="27"/>
  <c r="EB16" i="27"/>
  <c r="EB17" i="27" s="1"/>
  <c r="ED16" i="27"/>
  <c r="ED17" i="27" s="1"/>
  <c r="EC16" i="27"/>
  <c r="EC17" i="27" s="1"/>
  <c r="EA16" i="27"/>
  <c r="EA17" i="27" s="1"/>
  <c r="R15" i="27"/>
  <c r="R16" i="27" s="1"/>
  <c r="DZ15" i="27"/>
  <c r="DZ11" i="27"/>
  <c r="S17" i="27" l="1"/>
  <c r="DZ16" i="27"/>
  <c r="DZ17" i="27" s="1"/>
  <c r="I6" i="27" l="1"/>
  <c r="J6" i="27"/>
  <c r="K6" i="27"/>
  <c r="L6" i="27"/>
  <c r="M6" i="27"/>
  <c r="P6" i="27"/>
  <c r="I12" i="27"/>
  <c r="J12" i="27"/>
  <c r="K12" i="27"/>
  <c r="L12" i="27"/>
  <c r="M12" i="27"/>
  <c r="N12" i="27"/>
  <c r="O12" i="27"/>
  <c r="P12" i="27"/>
  <c r="I13" i="27"/>
  <c r="J13" i="27"/>
  <c r="K13" i="27"/>
  <c r="I14" i="27"/>
  <c r="I15" i="27" s="1"/>
  <c r="J14" i="27"/>
  <c r="J15" i="27" s="1"/>
  <c r="K14" i="27"/>
  <c r="L14" i="27"/>
  <c r="M14" i="27"/>
  <c r="N14" i="27"/>
  <c r="O14" i="27"/>
  <c r="O15" i="27" s="1"/>
  <c r="P14" i="27"/>
  <c r="P15" i="27" s="1"/>
  <c r="AQ5" i="27"/>
  <c r="AR5" i="27" s="1"/>
  <c r="AS5" i="27" s="1"/>
  <c r="AT5" i="27" s="1"/>
  <c r="AU5" i="27" s="1"/>
  <c r="AV5" i="27" s="1"/>
  <c r="AW5" i="27" s="1"/>
  <c r="AX5" i="27" s="1"/>
  <c r="AY5" i="27" s="1"/>
  <c r="AZ5" i="27" s="1"/>
  <c r="BA5" i="27" s="1"/>
  <c r="BB5" i="27" s="1"/>
  <c r="BC5" i="27" s="1"/>
  <c r="BD5" i="27" s="1"/>
  <c r="BE5" i="27" s="1"/>
  <c r="BF5" i="27" s="1"/>
  <c r="BG5" i="27" s="1"/>
  <c r="BH5" i="27" s="1"/>
  <c r="BI5" i="27" s="1"/>
  <c r="BJ5" i="27" s="1"/>
  <c r="BK5" i="27" s="1"/>
  <c r="BL5" i="27" s="1"/>
  <c r="CC6" i="27"/>
  <c r="CC7" i="27" s="1"/>
  <c r="CD6" i="27"/>
  <c r="CD7" i="27" s="1"/>
  <c r="CE6" i="27"/>
  <c r="CE7" i="27" s="1"/>
  <c r="CF6" i="27"/>
  <c r="CF7" i="27" s="1"/>
  <c r="BM11" i="27"/>
  <c r="BN11" i="27"/>
  <c r="BO11" i="27"/>
  <c r="BP11" i="27"/>
  <c r="BQ11" i="27"/>
  <c r="BR11" i="27"/>
  <c r="BS11" i="27"/>
  <c r="BT11" i="27"/>
  <c r="BU11" i="27"/>
  <c r="BV11" i="27"/>
  <c r="BW11" i="27"/>
  <c r="BX11" i="27"/>
  <c r="BY11" i="27"/>
  <c r="BZ11" i="27"/>
  <c r="CA11" i="27"/>
  <c r="CB11" i="27"/>
  <c r="CF11" i="27"/>
  <c r="CI11" i="27"/>
  <c r="CJ11" i="27"/>
  <c r="CK11" i="27"/>
  <c r="CL11" i="27"/>
  <c r="CM11" i="27"/>
  <c r="CN11" i="27"/>
  <c r="CO11" i="27"/>
  <c r="BM14" i="27"/>
  <c r="BN14" i="27"/>
  <c r="BO14" i="27"/>
  <c r="BP14" i="27"/>
  <c r="BQ14" i="27"/>
  <c r="BR14" i="27"/>
  <c r="BS14" i="27"/>
  <c r="BT14" i="27"/>
  <c r="BU14" i="27"/>
  <c r="BV14" i="27"/>
  <c r="BW14" i="27"/>
  <c r="BX14" i="27"/>
  <c r="BY14" i="27"/>
  <c r="BZ14" i="27"/>
  <c r="CA14" i="27"/>
  <c r="CB14" i="27"/>
  <c r="CI14" i="27"/>
  <c r="CJ14" i="27"/>
  <c r="CJ15" i="27" s="1"/>
  <c r="CJ16" i="27" s="1"/>
  <c r="CJ17" i="27" s="1"/>
  <c r="CK14" i="27"/>
  <c r="CL14" i="27"/>
  <c r="CM14" i="27"/>
  <c r="CN14" i="27"/>
  <c r="CN15" i="27" s="1"/>
  <c r="CN16" i="27" s="1"/>
  <c r="CN17" i="27" s="1"/>
  <c r="CO14" i="27"/>
  <c r="CC15" i="27"/>
  <c r="CD15" i="27"/>
  <c r="CE15" i="27"/>
  <c r="CF15" i="27"/>
  <c r="CG15" i="27"/>
  <c r="CG16" i="27" s="1"/>
  <c r="CG17" i="27" s="1"/>
  <c r="CH15" i="27"/>
  <c r="CH16" i="27" s="1"/>
  <c r="CH17" i="27" s="1"/>
  <c r="CP16" i="27"/>
  <c r="CP17" i="27" s="1"/>
  <c r="CP11" i="27"/>
  <c r="CQ11" i="27"/>
  <c r="CR11" i="27"/>
  <c r="CS11" i="27"/>
  <c r="CT11" i="27"/>
  <c r="CU11" i="27"/>
  <c r="CV11" i="27"/>
  <c r="CW11" i="27"/>
  <c r="CX11" i="27"/>
  <c r="CY11" i="27"/>
  <c r="CZ11" i="27"/>
  <c r="DA11" i="27"/>
  <c r="DB11" i="27"/>
  <c r="DC11" i="27"/>
  <c r="DD11" i="27"/>
  <c r="DE11" i="27"/>
  <c r="DF11" i="27"/>
  <c r="DG11" i="27"/>
  <c r="DH11" i="27"/>
  <c r="DI11" i="27"/>
  <c r="DJ11" i="27"/>
  <c r="DK11" i="27"/>
  <c r="DL11" i="27"/>
  <c r="DM11" i="27"/>
  <c r="DN11" i="27"/>
  <c r="DO11" i="27"/>
  <c r="DP11" i="27"/>
  <c r="DQ11" i="27"/>
  <c r="DR11" i="27"/>
  <c r="DS11" i="27"/>
  <c r="DT11" i="27"/>
  <c r="DU11" i="27"/>
  <c r="DV11" i="27"/>
  <c r="DW11" i="27"/>
  <c r="CQ15" i="27"/>
  <c r="CR15" i="27"/>
  <c r="CS15" i="27"/>
  <c r="CT15" i="27"/>
  <c r="CU15" i="27"/>
  <c r="CV15" i="27"/>
  <c r="CW15" i="27"/>
  <c r="CX15" i="27"/>
  <c r="CY15" i="27"/>
  <c r="CZ15" i="27"/>
  <c r="DA15" i="27"/>
  <c r="DB15" i="27"/>
  <c r="DC15" i="27"/>
  <c r="DD15" i="27"/>
  <c r="DE15" i="27"/>
  <c r="DF15" i="27"/>
  <c r="DG15" i="27"/>
  <c r="DH15" i="27"/>
  <c r="DI15" i="27"/>
  <c r="DJ15" i="27"/>
  <c r="DK15" i="27"/>
  <c r="DL15" i="27"/>
  <c r="DM15" i="27"/>
  <c r="DN15" i="27"/>
  <c r="DO15" i="27"/>
  <c r="DP15" i="27"/>
  <c r="DQ15" i="27"/>
  <c r="DR15" i="27"/>
  <c r="DS15" i="27"/>
  <c r="DT15" i="27"/>
  <c r="DU15" i="27"/>
  <c r="DV15" i="27"/>
  <c r="DW15" i="27"/>
  <c r="Q15" i="27"/>
  <c r="Q16" i="27" s="1"/>
  <c r="DY15" i="27"/>
  <c r="DY11" i="27"/>
  <c r="R17" i="27"/>
  <c r="Q13" i="22"/>
  <c r="Q14" i="22" s="1"/>
  <c r="DX11" i="27"/>
  <c r="DX15" i="27"/>
  <c r="P11" i="22"/>
  <c r="P12" i="22" s="1"/>
  <c r="P16" i="27" l="1"/>
  <c r="O16" i="27"/>
  <c r="J16" i="27"/>
  <c r="J17" i="27" s="1"/>
  <c r="I16" i="27"/>
  <c r="I17" i="27" s="1"/>
  <c r="CL15" i="27"/>
  <c r="CL16" i="27" s="1"/>
  <c r="CL17" i="27" s="1"/>
  <c r="CK15" i="27"/>
  <c r="CK16" i="27" s="1"/>
  <c r="CK17" i="27" s="1"/>
  <c r="Q11" i="27"/>
  <c r="K15" i="27"/>
  <c r="K16" i="27" s="1"/>
  <c r="K11" i="27"/>
  <c r="DC16" i="27"/>
  <c r="DC17" i="27" s="1"/>
  <c r="CU16" i="27"/>
  <c r="CU17" i="27" s="1"/>
  <c r="I11" i="27"/>
  <c r="DU16" i="27"/>
  <c r="DU17" i="27" s="1"/>
  <c r="L11" i="27"/>
  <c r="J11" i="27"/>
  <c r="DM16" i="27"/>
  <c r="DM17" i="27" s="1"/>
  <c r="DE16" i="27"/>
  <c r="DE17" i="27" s="1"/>
  <c r="CW16" i="27"/>
  <c r="CW17" i="27" s="1"/>
  <c r="O11" i="27"/>
  <c r="N15" i="27"/>
  <c r="N16" i="27" s="1"/>
  <c r="M15" i="27"/>
  <c r="M16" i="27" s="1"/>
  <c r="O17" i="27"/>
  <c r="M11" i="27"/>
  <c r="L15" i="27"/>
  <c r="L16" i="27" s="1"/>
  <c r="DR16" i="27"/>
  <c r="DR17" i="27" s="1"/>
  <c r="DJ16" i="27"/>
  <c r="DJ17" i="27" s="1"/>
  <c r="DB16" i="27"/>
  <c r="DB17" i="27" s="1"/>
  <c r="CT16" i="27"/>
  <c r="CT17" i="27" s="1"/>
  <c r="P11" i="27"/>
  <c r="N11" i="27"/>
  <c r="CF16" i="27"/>
  <c r="CF17" i="27" s="1"/>
  <c r="CC16" i="27"/>
  <c r="CC17" i="27" s="1"/>
  <c r="CE16" i="27"/>
  <c r="CE17" i="27" s="1"/>
  <c r="CM15" i="27"/>
  <c r="CM16" i="27" s="1"/>
  <c r="CM17" i="27" s="1"/>
  <c r="CD16" i="27"/>
  <c r="CD17" i="27" s="1"/>
  <c r="DD16" i="27"/>
  <c r="DD17" i="27" s="1"/>
  <c r="CV16" i="27"/>
  <c r="CV17" i="27" s="1"/>
  <c r="P17" i="27"/>
  <c r="DL16" i="27"/>
  <c r="DL17" i="27" s="1"/>
  <c r="DK16" i="27"/>
  <c r="DK17" i="27" s="1"/>
  <c r="DI16" i="27"/>
  <c r="DI17" i="27" s="1"/>
  <c r="CS16" i="27"/>
  <c r="CS17" i="27" s="1"/>
  <c r="CR16" i="27"/>
  <c r="CR17" i="27" s="1"/>
  <c r="CI15" i="27"/>
  <c r="CI16" i="27" s="1"/>
  <c r="CI17" i="27" s="1"/>
  <c r="CQ16" i="27"/>
  <c r="CQ17" i="27" s="1"/>
  <c r="DT16" i="27"/>
  <c r="DT17" i="27" s="1"/>
  <c r="DV16" i="27"/>
  <c r="DV17" i="27" s="1"/>
  <c r="DN16" i="27"/>
  <c r="DN17" i="27" s="1"/>
  <c r="DF16" i="27"/>
  <c r="DF17" i="27" s="1"/>
  <c r="CX16" i="27"/>
  <c r="CX17" i="27" s="1"/>
  <c r="CO15" i="27"/>
  <c r="CO16" i="27" s="1"/>
  <c r="CO17" i="27" s="1"/>
  <c r="DS16" i="27"/>
  <c r="DS17" i="27" s="1"/>
  <c r="DQ16" i="27"/>
  <c r="DQ17" i="27" s="1"/>
  <c r="DA16" i="27"/>
  <c r="DA17" i="27" s="1"/>
  <c r="DP16" i="27"/>
  <c r="DP17" i="27" s="1"/>
  <c r="DH16" i="27"/>
  <c r="DH17" i="27" s="1"/>
  <c r="CZ16" i="27"/>
  <c r="CZ17" i="27" s="1"/>
  <c r="DW16" i="27"/>
  <c r="DW17" i="27" s="1"/>
  <c r="DO16" i="27"/>
  <c r="DO17" i="27" s="1"/>
  <c r="DG16" i="27"/>
  <c r="DG17" i="27" s="1"/>
  <c r="CY16" i="27"/>
  <c r="CY17" i="27" s="1"/>
  <c r="DY16" i="27"/>
  <c r="DY17" i="27" s="1"/>
  <c r="Q17" i="27"/>
  <c r="DX16" i="27"/>
  <c r="DX17" i="27" s="1"/>
  <c r="N17" i="27" l="1"/>
  <c r="K17" i="27"/>
  <c r="M17" i="27"/>
  <c r="L17" i="27"/>
  <c r="R13" i="22"/>
  <c r="R14" i="22" s="1"/>
  <c r="P13" i="22" l="1"/>
  <c r="P14" i="22" s="1"/>
  <c r="O11" i="22" l="1"/>
  <c r="O12" i="22" s="1"/>
  <c r="N11" i="22" l="1"/>
  <c r="N12" i="22" s="1"/>
  <c r="M11" i="22"/>
  <c r="M12" i="22" s="1"/>
  <c r="L11" i="22"/>
  <c r="L12" i="22" s="1"/>
  <c r="K11" i="22"/>
  <c r="K12" i="22" s="1"/>
  <c r="J11" i="22"/>
  <c r="J12" i="22" s="1"/>
  <c r="I11" i="22"/>
  <c r="I12" i="22" s="1"/>
  <c r="M13" i="22" l="1"/>
  <c r="M14" i="22" s="1"/>
  <c r="N13" i="22"/>
  <c r="N14" i="22" s="1"/>
  <c r="K13" i="22"/>
  <c r="K14" i="22" s="1"/>
  <c r="I13" i="22"/>
  <c r="I14" i="22" s="1"/>
  <c r="J13" i="22"/>
  <c r="J14" i="22" s="1"/>
  <c r="L13" i="22"/>
  <c r="L14" i="22" s="1"/>
  <c r="O13" i="22"/>
  <c r="O14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AI22" authorId="0" shapeId="0" xr:uid="{164B4B02-3774-4555-91B9-114AC3AD9C20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AJ22" authorId="0" shapeId="0" xr:uid="{8E0F412C-B3FA-45A9-98AD-5D2904BA6ECC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  <comment ref="AK22" authorId="0" shapeId="0" xr:uid="{D9387435-1FC4-4256-AACF-2F49CEEBA22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Tờ trình ký ngày 05.03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Lộc, Giang Văn</author>
  </authors>
  <commentList>
    <comment ref="F11" authorId="0" shapeId="0" xr:uid="{4515630C-3D7B-479F-9946-B3E5DD836263}">
      <text>
        <r>
          <rPr>
            <b/>
            <sz val="9"/>
            <color indexed="81"/>
            <rFont val="Tahoma"/>
            <family val="2"/>
          </rPr>
          <t>Lộc, Giang Văn:</t>
        </r>
        <r>
          <rPr>
            <sz val="9"/>
            <color indexed="81"/>
            <rFont val="Tahoma"/>
            <family val="2"/>
          </rPr>
          <t xml:space="preserve">
BQ 4 tuần</t>
        </r>
      </text>
    </comment>
    <comment ref="H11" authorId="0" shapeId="0" xr:uid="{BAD5B414-9895-4F3B-B98A-7DA56154BD09}">
      <text>
        <r>
          <rPr>
            <b/>
            <sz val="9"/>
            <color indexed="81"/>
            <rFont val="Tahoma"/>
            <family val="2"/>
          </rPr>
          <t>Lộc, Giang Văn:</t>
        </r>
        <r>
          <rPr>
            <sz val="9"/>
            <color indexed="81"/>
            <rFont val="Tahoma"/>
            <family val="2"/>
          </rPr>
          <t xml:space="preserve">
BQ 4 tuần</t>
        </r>
      </text>
    </comment>
    <comment ref="AO11" authorId="0" shapeId="0" xr:uid="{206B2C4B-8D0B-469F-BF3E-A46D02D6639B}">
      <text>
        <r>
          <rPr>
            <b/>
            <sz val="9"/>
            <color indexed="81"/>
            <rFont val="Tahoma"/>
            <family val="2"/>
          </rPr>
          <t>Lộc, Giang Văn:</t>
        </r>
        <r>
          <rPr>
            <sz val="9"/>
            <color indexed="81"/>
            <rFont val="Tahoma"/>
            <family val="2"/>
          </rPr>
          <t xml:space="preserve">
BQ 4 tuần</t>
        </r>
      </text>
    </comment>
  </commentList>
</comments>
</file>

<file path=xl/sharedStrings.xml><?xml version="1.0" encoding="utf-8"?>
<sst xmlns="http://schemas.openxmlformats.org/spreadsheetml/2006/main" count="231" uniqueCount="86">
  <si>
    <t>Stt</t>
  </si>
  <si>
    <t>Mã SAP</t>
  </si>
  <si>
    <t>Diễn giải</t>
  </si>
  <si>
    <t>Tỷ giá</t>
  </si>
  <si>
    <t>Tên hàng hóa SAP</t>
  </si>
  <si>
    <t>Mã SP</t>
  </si>
  <si>
    <t>Tên sản phẩm</t>
  </si>
  <si>
    <t>Đơn vị tính</t>
  </si>
  <si>
    <t>Vảy PET DBF01-CR</t>
  </si>
  <si>
    <t>đồng /kg</t>
  </si>
  <si>
    <t>$ /tấn</t>
  </si>
  <si>
    <t>110000329</t>
  </si>
  <si>
    <t>Hạt rPET WSS01</t>
  </si>
  <si>
    <t>WSS01/G</t>
  </si>
  <si>
    <t>WSS01 - Hạt rPET (IV 0.78)</t>
  </si>
  <si>
    <t>DTR-Giá EXW xuất xưởng</t>
  </si>
  <si>
    <t>ẩn</t>
  </si>
  <si>
    <t>110000330</t>
  </si>
  <si>
    <t>Hạt rPET SS01</t>
  </si>
  <si>
    <t>ISS01/G</t>
  </si>
  <si>
    <t>SS01 - Hạt rPET  (IV 0.82)</t>
  </si>
  <si>
    <t>DTR-Giá FOB rPET ISS01</t>
  </si>
  <si>
    <t>ICIS</t>
  </si>
  <si>
    <t>ICIS giá rPET  ($ /tấn)</t>
  </si>
  <si>
    <t>ICIS FOB ĐNA - Giá trung bình</t>
  </si>
  <si>
    <t>ICIS FOB ĐNA - Giá Cao</t>
  </si>
  <si>
    <t>Anh 12</t>
  </si>
  <si>
    <t>FENC_FOB TAIWAN BÁN CHO UNILEVER</t>
  </si>
  <si>
    <t>C1</t>
  </si>
  <si>
    <t>DTR-Giá mua Vảy HDPE _Clear  ($ /tấn)</t>
  </si>
  <si>
    <t>Giá vảy HDPE mua ngoài</t>
  </si>
  <si>
    <t>110000339</t>
  </si>
  <si>
    <t>Hạt nhựa rHDPE MBF01</t>
  </si>
  <si>
    <t>MBF01</t>
  </si>
  <si>
    <t>MA TRẬN GIÁ BÁN rHDPE</t>
  </si>
  <si>
    <t>MA TRẬN GIÁ BÁN rPET</t>
  </si>
  <si>
    <t>DTR-Giá WSS01 FOB-HCM (IV: 0,78+/- 0.02)</t>
  </si>
  <si>
    <t>DTR-Giá ISS01 FOB-HCM (IV: 0,82+/- 0.02)</t>
  </si>
  <si>
    <t>ICIS - Giá vảy HDPE</t>
  </si>
  <si>
    <t>FENC_BÁN CHO UNILEVER</t>
  </si>
  <si>
    <t>ISS01 (IV: 0,82+/- 0.02)</t>
  </si>
  <si>
    <t>07.02</t>
  </si>
  <si>
    <t>14.02</t>
  </si>
  <si>
    <t>21.02</t>
  </si>
  <si>
    <t>%</t>
  </si>
  <si>
    <t>TTCP</t>
  </si>
  <si>
    <t>CL</t>
  </si>
  <si>
    <t>28.02</t>
  </si>
  <si>
    <t>Điểm hòa vốn</t>
  </si>
  <si>
    <t>1</t>
  </si>
  <si>
    <t>DTR- rHD</t>
  </si>
  <si>
    <t>giá EXW</t>
  </si>
  <si>
    <t>1/24</t>
  </si>
  <si>
    <t>01</t>
  </si>
  <si>
    <t>T1.24</t>
  </si>
  <si>
    <t>02</t>
  </si>
  <si>
    <t>03</t>
  </si>
  <si>
    <t>04</t>
  </si>
  <si>
    <t>05</t>
  </si>
  <si>
    <t>RESIN</t>
  </si>
  <si>
    <t>DTR</t>
  </si>
  <si>
    <t>DTR (personal care)</t>
  </si>
  <si>
    <t>DTR (Home care)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</si>
  <si>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</si>
  <si>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</si>
  <si>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</si>
  <si>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</si>
  <si>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</si>
  <si>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</si>
  <si>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</si>
  <si>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</si>
  <si>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</si>
  <si>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</si>
  <si>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</si>
  <si>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</si>
  <si>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</si>
  <si>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</si>
  <si>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</si>
  <si>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</si>
  <si>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</si>
  <si>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</si>
  <si>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T1.25</t>
  </si>
  <si>
    <t>06</t>
  </si>
  <si>
    <t>WSS01G</t>
  </si>
  <si>
    <t>07</t>
  </si>
  <si>
    <t>T1.23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</si>
</sst>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-* #,##0.00\ _₫_-;\-* #,##0.00\ _₫_-;_-* &quot;-&quot;??\ _₫_-;_-@_-"/>
    <numFmt numFmtId="168" formatCode="_(* #,##0_);_(* \(#,##0\);_(* &quot;-&quot;??_);_(@_)"/>
    <numFmt numFmtId="169" formatCode="#,##0\ [$₫-42A];\-#,##0\ [$₫-42A]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Times New Roman"/>
      <family val="1"/>
    </font>
    <font>
      <sz val="10"/>
      <color rgb="FFC00000"/>
      <name val="Times New Roman"/>
      <family val="1"/>
    </font>
    <font>
      <sz val="10"/>
      <color theme="1"/>
      <name val=".VnArial"/>
      <family val="2"/>
    </font>
    <font>
      <sz val="11"/>
      <color rgb="FF000099"/>
      <name val="Times New Roman"/>
      <family val="1"/>
    </font>
    <font>
      <b/>
      <sz val="18"/>
      <color theme="1"/>
      <name val="Times New Roman"/>
      <family val="1"/>
    </font>
    <font>
      <sz val="10"/>
      <color rgb="FF92D050"/>
      <name val="Times New Roman"/>
      <family val="1"/>
    </font>
    <font>
      <b/>
      <sz val="11"/>
      <color rgb="FF000099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0000FF"/>
      <name val="Times New Roman"/>
      <family val="1"/>
    </font>
    <font>
      <sz val="11"/>
      <color rgb="FF0000FF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name val="Times New Roman"/>
      <family val="1"/>
    </font>
    <font>
      <sz val="10"/>
      <name val="Times New Roman"/>
      <family val="1"/>
    </font>
    <font>
      <sz val="12"/>
      <color theme="1"/>
      <name val="Calibri"/>
      <family val="2"/>
      <scheme val="minor"/>
    </font>
    <font>
      <sz val="10"/>
      <color rgb="FF000099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Times New Roman"/>
      <family val="1"/>
    </font>
    <font>
      <b/>
      <sz val="12"/>
      <color theme="9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segoe UI"/>
      <family val="2"/>
      <charset val="163"/>
    </font>
    <font>
      <sz val="10"/>
      <name val="Arial"/>
      <family val="2"/>
    </font>
    <font>
      <sz val="10"/>
      <name val="Arial"/>
      <family val="2"/>
    </font>
    <font>
      <b/>
      <sz val="1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166" fontId="1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7" fillId="0" borderId="0"/>
    <xf numFmtId="0" fontId="29" fillId="0" borderId="0"/>
    <xf numFmtId="43" fontId="2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0" fillId="0" borderId="0"/>
    <xf numFmtId="0" fontId="31" fillId="0" borderId="0"/>
    <xf numFmtId="0" fontId="30" fillId="0" borderId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5" fillId="0" borderId="0" xfId="0" applyFont="1" applyAlignment="1">
      <alignment vertical="center"/>
    </xf>
    <xf numFmtId="168" fontId="5" fillId="0" borderId="0" xfId="1" applyNumberFormat="1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9" fontId="4" fillId="0" borderId="1" xfId="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64" fontId="4" fillId="0" borderId="1" xfId="6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6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/>
    <xf numFmtId="0" fontId="9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68" fontId="14" fillId="0" borderId="0" xfId="1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4" fillId="0" borderId="0" xfId="6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center"/>
    </xf>
    <xf numFmtId="164" fontId="19" fillId="5" borderId="1" xfId="6" applyNumberFormat="1" applyFont="1" applyFill="1" applyBorder="1" applyAlignment="1">
      <alignment horizontal="center" vertical="center"/>
    </xf>
    <xf numFmtId="168" fontId="14" fillId="0" borderId="1" xfId="1" applyNumberFormat="1" applyFont="1" applyBorder="1" applyAlignment="1">
      <alignment vertical="center"/>
    </xf>
    <xf numFmtId="164" fontId="4" fillId="4" borderId="3" xfId="6" applyNumberFormat="1" applyFont="1" applyFill="1" applyBorder="1" applyAlignment="1">
      <alignment horizontal="center" vertical="center"/>
    </xf>
    <xf numFmtId="9" fontId="5" fillId="0" borderId="0" xfId="5" applyFont="1" applyAlignment="1">
      <alignment vertical="center"/>
    </xf>
    <xf numFmtId="0" fontId="4" fillId="0" borderId="4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164" fontId="8" fillId="0" borderId="1" xfId="6" applyNumberFormat="1" applyFont="1" applyFill="1" applyBorder="1" applyAlignment="1">
      <alignment horizontal="center" vertical="center"/>
    </xf>
    <xf numFmtId="164" fontId="8" fillId="0" borderId="3" xfId="6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21" fillId="0" borderId="0" xfId="0" applyFont="1"/>
    <xf numFmtId="0" fontId="22" fillId="0" borderId="0" xfId="0" applyFont="1" applyAlignment="1">
      <alignment vertical="center"/>
    </xf>
    <xf numFmtId="0" fontId="26" fillId="0" borderId="0" xfId="0" applyFont="1"/>
    <xf numFmtId="0" fontId="20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3" fontId="20" fillId="0" borderId="0" xfId="0" applyNumberFormat="1" applyFont="1" applyAlignment="1">
      <alignment horizontal="center" vertical="center"/>
    </xf>
    <xf numFmtId="164" fontId="4" fillId="0" borderId="1" xfId="6" applyNumberFormat="1" applyFont="1" applyBorder="1" applyAlignment="1">
      <alignment horizontal="center" vertical="center"/>
    </xf>
    <xf numFmtId="9" fontId="0" fillId="0" borderId="0" xfId="5" applyFont="1"/>
    <xf numFmtId="0" fontId="13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quotePrefix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64" fontId="4" fillId="0" borderId="0" xfId="6" applyNumberFormat="1" applyFont="1" applyFill="1" applyBorder="1" applyAlignment="1">
      <alignment horizontal="right" vertical="center"/>
    </xf>
    <xf numFmtId="9" fontId="20" fillId="0" borderId="0" xfId="5" applyFont="1" applyBorder="1" applyAlignment="1">
      <alignment vertical="center"/>
    </xf>
    <xf numFmtId="0" fontId="26" fillId="0" borderId="0" xfId="0" applyFont="1" applyAlignment="1">
      <alignment wrapText="1"/>
    </xf>
    <xf numFmtId="0" fontId="13" fillId="2" borderId="1" xfId="0" quotePrefix="1" applyFont="1" applyFill="1" applyBorder="1" applyAlignment="1">
      <alignment horizontal="center" vertical="center"/>
    </xf>
    <xf numFmtId="0" fontId="26" fillId="0" borderId="0" xfId="0" applyFont="1" applyAlignment="1">
      <alignment vertical="center" wrapText="1"/>
    </xf>
    <xf numFmtId="168" fontId="13" fillId="2" borderId="1" xfId="1" quotePrefix="1" applyNumberFormat="1" applyFont="1" applyFill="1" applyBorder="1" applyAlignment="1">
      <alignment horizontal="center" vertical="center"/>
    </xf>
    <xf numFmtId="169" fontId="4" fillId="0" borderId="1" xfId="6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" fontId="13" fillId="2" borderId="1" xfId="0" quotePrefix="1" applyNumberFormat="1" applyFont="1" applyFill="1" applyBorder="1" applyAlignment="1">
      <alignment horizontal="center" vertical="center"/>
    </xf>
    <xf numFmtId="164" fontId="4" fillId="0" borderId="1" xfId="6" applyNumberFormat="1" applyFont="1" applyFill="1" applyBorder="1" applyAlignment="1">
      <alignment vertical="center"/>
    </xf>
    <xf numFmtId="0" fontId="27" fillId="5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1" fontId="13" fillId="2" borderId="1" xfId="0" applyNumberFormat="1" applyFont="1" applyFill="1" applyBorder="1" applyAlignment="1">
      <alignment horizontal="center" vertical="center"/>
    </xf>
    <xf numFmtId="164" fontId="8" fillId="0" borderId="1" xfId="6" applyNumberFormat="1" applyFont="1" applyBorder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/>
    </xf>
    <xf numFmtId="164" fontId="8" fillId="0" borderId="3" xfId="6" applyNumberFormat="1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14" fontId="5" fillId="0" borderId="0" xfId="0" applyNumberFormat="1" applyFont="1" applyAlignment="1">
      <alignment vertical="center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64" fontId="8" fillId="7" borderId="1" xfId="6" applyNumberFormat="1" applyFont="1" applyFill="1" applyBorder="1" applyAlignment="1">
      <alignment horizontal="center" vertical="center"/>
    </xf>
    <xf numFmtId="164" fontId="8" fillId="7" borderId="3" xfId="6" applyNumberFormat="1" applyFont="1" applyFill="1" applyBorder="1" applyAlignment="1">
      <alignment horizontal="center" vertical="center"/>
    </xf>
    <xf numFmtId="0" fontId="5" fillId="0" borderId="0" xfId="0" quotePrefix="1" applyFont="1" applyAlignment="1">
      <alignment vertical="center"/>
    </xf>
    <xf numFmtId="0" fontId="28" fillId="6" borderId="0" xfId="0" applyFont="1" applyFill="1" applyAlignment="1">
      <alignment horizontal="left" vertical="center" wrapText="1"/>
    </xf>
    <xf numFmtId="164" fontId="4" fillId="7" borderId="1" xfId="6" applyNumberFormat="1" applyFont="1" applyFill="1" applyBorder="1" applyAlignment="1">
      <alignment horizontal="center" vertical="center"/>
    </xf>
    <xf numFmtId="168" fontId="28" fillId="6" borderId="0" xfId="1" applyNumberFormat="1" applyFont="1" applyFill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 wrapText="1"/>
    </xf>
    <xf numFmtId="168" fontId="19" fillId="5" borderId="1" xfId="1" applyNumberFormat="1" applyFont="1" applyFill="1" applyBorder="1" applyAlignment="1">
      <alignment horizontal="center" vertical="center"/>
    </xf>
    <xf numFmtId="164" fontId="4" fillId="0" borderId="0" xfId="6" applyNumberFormat="1" applyFont="1" applyAlignment="1">
      <alignment horizontal="center" vertical="center"/>
    </xf>
    <xf numFmtId="3" fontId="5" fillId="0" borderId="0" xfId="0" applyNumberFormat="1" applyFont="1" applyAlignment="1">
      <alignment vertical="center"/>
    </xf>
    <xf numFmtId="0" fontId="5" fillId="0" borderId="0" xfId="1" applyNumberFormat="1" applyFont="1" applyAlignment="1">
      <alignment horizontal="right" vertical="center"/>
    </xf>
    <xf numFmtId="3" fontId="5" fillId="0" borderId="0" xfId="1" applyNumberFormat="1" applyFont="1" applyAlignment="1">
      <alignment horizontal="right" vertical="center"/>
    </xf>
    <xf numFmtId="9" fontId="20" fillId="0" borderId="0" xfId="5" applyFont="1" applyAlignment="1">
      <alignment vertical="center"/>
    </xf>
    <xf numFmtId="0" fontId="32" fillId="0" borderId="0" xfId="0" applyFont="1" applyAlignment="1">
      <alignment vertical="center"/>
    </xf>
    <xf numFmtId="168" fontId="20" fillId="0" borderId="0" xfId="1" applyNumberFormat="1" applyFont="1" applyAlignment="1">
      <alignment vertical="center"/>
    </xf>
    <xf numFmtId="168" fontId="32" fillId="0" borderId="0" xfId="0" applyNumberFormat="1" applyFont="1" applyAlignment="1">
      <alignment vertical="center"/>
    </xf>
    <xf numFmtId="164" fontId="4" fillId="0" borderId="0" xfId="6" applyNumberFormat="1" applyFont="1" applyAlignment="1">
      <alignment horizontal="right" vertical="center"/>
    </xf>
    <xf numFmtId="164" fontId="19" fillId="5" borderId="0" xfId="6" applyNumberFormat="1" applyFont="1" applyFill="1" applyBorder="1" applyAlignment="1">
      <alignment horizontal="center" vertical="center"/>
    </xf>
    <xf numFmtId="168" fontId="19" fillId="5" borderId="0" xfId="1" applyNumberFormat="1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5" borderId="0" xfId="0" applyFont="1" applyFill="1" applyAlignment="1">
      <alignment horizontal="left" vertical="center"/>
    </xf>
    <xf numFmtId="0" fontId="12" fillId="3" borderId="0" xfId="0" applyFont="1" applyFill="1" applyAlignment="1">
      <alignment vertical="center"/>
    </xf>
    <xf numFmtId="3" fontId="5" fillId="3" borderId="0" xfId="1" applyNumberFormat="1" applyFont="1" applyFill="1" applyAlignment="1">
      <alignment horizontal="right" vertical="center"/>
    </xf>
    <xf numFmtId="3" fontId="5" fillId="3" borderId="0" xfId="0" applyNumberFormat="1" applyFont="1" applyFill="1" applyAlignment="1">
      <alignment vertical="center"/>
    </xf>
    <xf numFmtId="168" fontId="5" fillId="0" borderId="0" xfId="0" applyNumberFormat="1" applyFont="1" applyAlignment="1">
      <alignment vertical="center"/>
    </xf>
    <xf numFmtId="0" fontId="32" fillId="3" borderId="0" xfId="0" applyFont="1" applyFill="1" applyAlignment="1">
      <alignment vertical="center"/>
    </xf>
    <xf numFmtId="0" fontId="26" fillId="0" borderId="0" xfId="0" applyFont="1" applyAlignment="1">
      <alignment horizontal="center" vertical="center" wrapText="1"/>
    </xf>
  </cellXfs>
  <cellStyles count="16">
    <cellStyle name="Comma" xfId="1" builtinId="3"/>
    <cellStyle name="Comma 2" xfId="3" xr:uid="{194E7761-03A8-44F9-BB05-263B1C78CC73}"/>
    <cellStyle name="Comma 2 2" xfId="9" xr:uid="{B070CB0A-E990-438F-9A05-4D2B8B00BB61}"/>
    <cellStyle name="Comma 3" xfId="10" xr:uid="{C6CF9922-71FF-4B02-ABBC-976A0C2F44D2}"/>
    <cellStyle name="Comma 4" xfId="14" xr:uid="{41706825-7D02-4CED-A836-0572959B3845}"/>
    <cellStyle name="Comma 5" xfId="15" xr:uid="{FB08A40A-C8A1-4AF4-95E6-975B75C1DB5F}"/>
    <cellStyle name="Currency" xfId="6" builtinId="4"/>
    <cellStyle name="Normal" xfId="0" builtinId="0"/>
    <cellStyle name="Normal 10" xfId="7" xr:uid="{71E9BD72-641B-468E-ADC3-E2C0EE31EE9B}"/>
    <cellStyle name="Normal 2" xfId="2" xr:uid="{991F7F03-A84D-4AE6-9014-83531200038C}"/>
    <cellStyle name="Normal 2 2" xfId="8" xr:uid="{CF5ABDB8-0502-48EC-812C-10BF2A0C0E15}"/>
    <cellStyle name="Normal 3" xfId="11" xr:uid="{F5403120-556B-402E-80FC-9E4945468064}"/>
    <cellStyle name="Normal 4" xfId="12" xr:uid="{13C362C1-B5D5-4B5C-98B0-B146F8EF7A73}"/>
    <cellStyle name="Normal 5" xfId="13" xr:uid="{8D15DEF2-E4EA-440E-A253-FF9932868990}"/>
    <cellStyle name="Percent" xfId="5" builtinId="5"/>
    <cellStyle name="Percent 2" xfId="4" xr:uid="{D46C7BA7-423C-4BFB-84DF-0670B505554D}"/>
  </cellStyles>
  <dxfs count="0"/>
  <tableStyles count="0" defaultTableStyle="TableStyleMedium2" defaultPivotStyle="PivotStyleLight16"/>
  <colors>
    <mruColors>
      <color rgb="FFFF3399"/>
      <color rgb="FF0000FF"/>
      <color rgb="FF60943C"/>
      <color rgb="FF4E6F49"/>
      <color rgb="FF639D69"/>
      <color rgb="FF2CD8D4"/>
      <color rgb="FFFFCC00"/>
      <color rgb="FFFF6600"/>
      <color rgb="FFFF505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0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rPET </a:t>
            </a:r>
            <a:r>
              <a:rPr lang="en-US" sz="20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sz="20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WSS01G SO VỚI </a:t>
            </a:r>
            <a:r>
              <a:rPr lang="en-US" sz="2000" b="1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PET RESIN</a:t>
            </a:r>
            <a:r>
              <a:rPr lang="en-US" sz="20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NĂM 2023-2025 (USD/tấn)</a:t>
            </a:r>
            <a:endParaRPr lang="en-US" sz="20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9505115686632961E-2"/>
          <c:y val="0.11047368858807251"/>
          <c:w val="0.8653515431244212"/>
          <c:h val="0.8086243455651364"/>
        </c:manualLayout>
      </c:layout>
      <c:areaChart>
        <c:grouping val="stacked"/>
        <c:varyColors val="0"/>
        <c:ser>
          <c:idx val="1"/>
          <c:order val="7"/>
          <c:tx>
            <c:strRef>
              <c:f>'Ma trận PET'!$H$15</c:f>
              <c:strCache>
                <c:ptCount val="1"/>
                <c:pt idx="0">
                  <c:v>TTCP</c:v>
                </c:pt>
              </c:strCache>
            </c:strRef>
          </c:tx>
          <c:spPr>
            <a:noFill/>
            <a:ln>
              <a:noFill/>
            </a:ln>
            <a:effectLst/>
          </c:spPr>
          <c:val>
            <c:numRef>
              <c:f>'Ma trận PET'!$I$15:$AK$15</c:f>
              <c:numCache>
                <c:formatCode>"$"#,##0_);\("$"#,##0\)</c:formatCode>
                <c:ptCount val="29"/>
                <c:pt idx="0">
                  <c:v>1000</c:v>
                </c:pt>
                <c:pt idx="1">
                  <c:v>1045</c:v>
                </c:pt>
                <c:pt idx="2">
                  <c:v>1020</c:v>
                </c:pt>
                <c:pt idx="3">
                  <c:v>1055</c:v>
                </c:pt>
                <c:pt idx="4">
                  <c:v>974</c:v>
                </c:pt>
                <c:pt idx="5">
                  <c:v>895</c:v>
                </c:pt>
                <c:pt idx="6">
                  <c:v>903</c:v>
                </c:pt>
                <c:pt idx="7">
                  <c:v>918</c:v>
                </c:pt>
                <c:pt idx="8">
                  <c:v>930</c:v>
                </c:pt>
                <c:pt idx="9">
                  <c:v>922.5</c:v>
                </c:pt>
                <c:pt idx="10">
                  <c:v>900</c:v>
                </c:pt>
                <c:pt idx="11">
                  <c:v>900</c:v>
                </c:pt>
                <c:pt idx="12">
                  <c:v>930</c:v>
                </c:pt>
                <c:pt idx="13">
                  <c:v>943.33333333333337</c:v>
                </c:pt>
                <c:pt idx="14">
                  <c:v>940</c:v>
                </c:pt>
                <c:pt idx="15">
                  <c:v>940</c:v>
                </c:pt>
                <c:pt idx="16">
                  <c:v>942</c:v>
                </c:pt>
                <c:pt idx="17">
                  <c:v>950</c:v>
                </c:pt>
                <c:pt idx="18">
                  <c:v>947.5</c:v>
                </c:pt>
                <c:pt idx="19">
                  <c:v>930</c:v>
                </c:pt>
                <c:pt idx="20">
                  <c:v>880</c:v>
                </c:pt>
                <c:pt idx="21">
                  <c:v>862.5</c:v>
                </c:pt>
                <c:pt idx="22">
                  <c:v>852</c:v>
                </c:pt>
                <c:pt idx="23">
                  <c:v>830</c:v>
                </c:pt>
                <c:pt idx="24">
                  <c:v>827.5</c:v>
                </c:pt>
                <c:pt idx="25">
                  <c:v>840</c:v>
                </c:pt>
                <c:pt idx="26">
                  <c:v>822.5</c:v>
                </c:pt>
                <c:pt idx="27">
                  <c:v>765</c:v>
                </c:pt>
                <c:pt idx="28">
                  <c:v>773.33333333333337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CC-432C-9FA9-F70F542DAA5F}"/>
            </c:ext>
          </c:extLst>
        </c:ser>
        <c:ser>
          <c:idx val="2"/>
          <c:order val="9"/>
          <c:tx>
            <c:strRef>
              <c:f>'Ma trận PET'!$H$16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accent4">
                  <a:lumMod val="20000"/>
                  <a:lumOff val="80000"/>
                </a:schemeClr>
              </a:solidFill>
            </a:ln>
            <a:effectLst/>
          </c:spPr>
          <c:dLbls>
            <c:dLbl>
              <c:idx val="0"/>
              <c:tx>
                <c:rich>
                  <a:bodyPr/>
                  <a:lstStyle/>
                  <a:p>
                    <a:fld id="{E07E738E-7431-4637-AF8F-AC6DF0295F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D3D-47A5-892E-56A695F54BA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8681AF8-5D64-4E00-A571-9DC048DC3B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D3D-47A5-892E-56A695F54BA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5452333-DEEF-4261-95CC-DE7D4BFD36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D3D-47A5-892E-56A695F54BA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B91B774-DD38-4E32-9A75-476685489B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D3D-47A5-892E-56A695F54BA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023B55F-FAE2-4DD7-9343-2017ABE039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D3D-47A5-892E-56A695F54BA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D6FF29A-F96D-409A-8077-DB26508D62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D3D-47A5-892E-56A695F54BA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4D7AE8B-258B-48AA-958D-EDFB9E590E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D3D-47A5-892E-56A695F54BA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572789D-CBDA-433D-87C8-636375DE83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D3D-47A5-892E-56A695F54BA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C54C633-73CD-4A11-899D-67468D82B3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D3D-47A5-892E-56A695F54BA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E4E0C4F-1140-4DF4-BB8D-98BC64BA52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D3D-47A5-892E-56A695F54BA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60A4944-D225-4514-B606-F3CE425CF9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D3D-47A5-892E-56A695F54BA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8F5FA89-F6F9-46BB-8E1D-D10397830B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D3D-47A5-892E-56A695F54BA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EA74EDD-18F4-4EA5-A923-50BD73C3D1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D3D-47A5-892E-56A695F54BA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5266939-9AD1-4403-93B3-565E588795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D3D-47A5-892E-56A695F54BA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EBAFD90-D546-4262-892C-D1ADA58F17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D3D-47A5-892E-56A695F54BA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42F4F30-DD29-47C2-B9D7-36E2BD8748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D3D-47A5-892E-56A695F54BA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F533867-5DDD-4CD3-8B29-333F6AF594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D3D-47A5-892E-56A695F54BA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29C0FA3-8C39-4635-BE84-BC783167B6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DD3D-47A5-892E-56A695F54BA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AAD3D63-308A-49F8-8164-97345C8646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D3D-47A5-892E-56A695F54BA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763A35A-DD91-42A6-97A9-8CCE5803D8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D3D-47A5-892E-56A695F54BA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9C32242-E54C-46D4-B4BA-8C4DDC84D2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D3D-47A5-892E-56A695F54BA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72D3F99-20F3-4AE2-84B9-FCC0F5D5D4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D3D-47A5-892E-56A695F54BA1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D98D85C-E59B-4DC3-B62B-E12C8675B3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D3D-47A5-892E-56A695F54BA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D33F712-63F9-4541-A12E-D9BB6D7111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D3D-47A5-892E-56A695F54BA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3E1B4F58-6DBA-421B-A36F-406423AE57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D3D-47A5-892E-56A695F54BA1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EE2DB6A-017D-45B5-9503-B1FB1B6F66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D3D-47A5-892E-56A695F54BA1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3C7FDA43-C0BF-4FC5-99F3-BB858CCF36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D3D-47A5-892E-56A695F54BA1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6C533E2-D683-4DCD-AA2A-D79B74D85D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D3D-47A5-892E-56A695F54BA1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1F0A503F-F7BE-4C20-85A2-5570986C69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D3D-47A5-892E-56A695F54BA1}"/>
                </c:ext>
              </c:extLst>
            </c:dLbl>
            <c:spPr>
              <a:noFill/>
              <a:ln w="12700" cap="flat" cmpd="sng" algn="ctr">
                <a:noFill/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 trận PET'!$I$16:$AK$16</c:f>
              <c:numCache>
                <c:formatCode>"$"#,##0_);\("$"#,##0\)</c:formatCode>
                <c:ptCount val="29"/>
                <c:pt idx="0">
                  <c:v>330</c:v>
                </c:pt>
                <c:pt idx="1">
                  <c:v>285</c:v>
                </c:pt>
                <c:pt idx="2">
                  <c:v>360</c:v>
                </c:pt>
                <c:pt idx="3">
                  <c:v>325</c:v>
                </c:pt>
                <c:pt idx="4">
                  <c:v>406</c:v>
                </c:pt>
                <c:pt idx="5">
                  <c:v>485</c:v>
                </c:pt>
                <c:pt idx="6">
                  <c:v>397</c:v>
                </c:pt>
                <c:pt idx="7">
                  <c:v>332</c:v>
                </c:pt>
                <c:pt idx="8">
                  <c:v>320</c:v>
                </c:pt>
                <c:pt idx="9">
                  <c:v>327.5</c:v>
                </c:pt>
                <c:pt idx="10">
                  <c:v>350</c:v>
                </c:pt>
                <c:pt idx="11">
                  <c:v>350</c:v>
                </c:pt>
                <c:pt idx="12">
                  <c:v>320</c:v>
                </c:pt>
                <c:pt idx="13">
                  <c:v>306.66666666666663</c:v>
                </c:pt>
                <c:pt idx="14">
                  <c:v>310</c:v>
                </c:pt>
                <c:pt idx="15">
                  <c:v>310</c:v>
                </c:pt>
                <c:pt idx="16">
                  <c:v>358</c:v>
                </c:pt>
                <c:pt idx="17">
                  <c:v>350</c:v>
                </c:pt>
                <c:pt idx="18">
                  <c:v>352.5</c:v>
                </c:pt>
                <c:pt idx="19">
                  <c:v>370</c:v>
                </c:pt>
                <c:pt idx="20">
                  <c:v>430</c:v>
                </c:pt>
                <c:pt idx="21">
                  <c:v>462.5</c:v>
                </c:pt>
                <c:pt idx="22">
                  <c:v>473</c:v>
                </c:pt>
                <c:pt idx="23">
                  <c:v>445</c:v>
                </c:pt>
                <c:pt idx="24">
                  <c:v>402.5</c:v>
                </c:pt>
                <c:pt idx="25">
                  <c:v>390</c:v>
                </c:pt>
                <c:pt idx="26">
                  <c:v>407.5</c:v>
                </c:pt>
                <c:pt idx="27">
                  <c:v>485</c:v>
                </c:pt>
                <c:pt idx="28">
                  <c:v>476.66666666666663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'Ma trận PET'!$I$17:$AK$17</c15:f>
                <c15:dlblRangeCache>
                  <c:ptCount val="29"/>
                  <c:pt idx="0">
                    <c:v>33%</c:v>
                  </c:pt>
                  <c:pt idx="1">
                    <c:v>27%</c:v>
                  </c:pt>
                  <c:pt idx="2">
                    <c:v>35%</c:v>
                  </c:pt>
                  <c:pt idx="3">
                    <c:v>31%</c:v>
                  </c:pt>
                  <c:pt idx="4">
                    <c:v>42%</c:v>
                  </c:pt>
                  <c:pt idx="5">
                    <c:v>54%</c:v>
                  </c:pt>
                  <c:pt idx="6">
                    <c:v>44%</c:v>
                  </c:pt>
                  <c:pt idx="7">
                    <c:v>36%</c:v>
                  </c:pt>
                  <c:pt idx="8">
                    <c:v>34%</c:v>
                  </c:pt>
                  <c:pt idx="9">
                    <c:v>36%</c:v>
                  </c:pt>
                  <c:pt idx="10">
                    <c:v>39%</c:v>
                  </c:pt>
                  <c:pt idx="11">
                    <c:v>39%</c:v>
                  </c:pt>
                  <c:pt idx="12">
                    <c:v>34%</c:v>
                  </c:pt>
                  <c:pt idx="13">
                    <c:v>33%</c:v>
                  </c:pt>
                  <c:pt idx="14">
                    <c:v>33%</c:v>
                  </c:pt>
                  <c:pt idx="15">
                    <c:v>33%</c:v>
                  </c:pt>
                  <c:pt idx="16">
                    <c:v>38%</c:v>
                  </c:pt>
                  <c:pt idx="17">
                    <c:v>37%</c:v>
                  </c:pt>
                  <c:pt idx="18">
                    <c:v>37%</c:v>
                  </c:pt>
                  <c:pt idx="19">
                    <c:v>40%</c:v>
                  </c:pt>
                  <c:pt idx="20">
                    <c:v>49%</c:v>
                  </c:pt>
                  <c:pt idx="21">
                    <c:v>54%</c:v>
                  </c:pt>
                  <c:pt idx="22">
                    <c:v>56%</c:v>
                  </c:pt>
                  <c:pt idx="23">
                    <c:v>54%</c:v>
                  </c:pt>
                  <c:pt idx="24">
                    <c:v>49%</c:v>
                  </c:pt>
                  <c:pt idx="25">
                    <c:v>46%</c:v>
                  </c:pt>
                  <c:pt idx="26">
                    <c:v>50%</c:v>
                  </c:pt>
                  <c:pt idx="27">
                    <c:v>63%</c:v>
                  </c:pt>
                  <c:pt idx="28">
                    <c:v>62%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15CC-432C-9FA9-F70F542DA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16735"/>
        <c:axId val="1917910079"/>
      </c:areaChart>
      <c:lineChart>
        <c:grouping val="standard"/>
        <c:varyColors val="0"/>
        <c:ser>
          <c:idx val="12"/>
          <c:order val="1"/>
          <c:tx>
            <c:strRef>
              <c:f>'Ma trận PET'!$H$11:$H$11</c:f>
              <c:strCache>
                <c:ptCount val="1"/>
                <c:pt idx="0">
                  <c:v>ICIS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PET'!$I$5:$AK$5</c:f>
              <c:strCache>
                <c:ptCount val="29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</c:strCache>
            </c:strRef>
          </c:cat>
          <c:val>
            <c:numRef>
              <c:f>'Ma trận PET'!$I$11:$AK$11</c:f>
            </c:numRef>
          </c:val>
          <c:smooth val="0"/>
          <c:extLst>
            <c:ext xmlns:c16="http://schemas.microsoft.com/office/drawing/2014/chart" uri="{C3380CC4-5D6E-409C-BE32-E72D297353CC}">
              <c16:uniqueId val="{00000042-AAD9-428E-AA2F-574999B2252F}"/>
            </c:ext>
          </c:extLst>
        </c:ser>
        <c:ser>
          <c:idx val="14"/>
          <c:order val="2"/>
          <c:tx>
            <c:strRef>
              <c:f>'Ma trận PET'!$H$6</c:f>
              <c:strCache>
                <c:ptCount val="1"/>
                <c:pt idx="0">
                  <c:v>DTR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A6F-4524-A680-A8A288F16413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F2D-49E3-8DED-11BE198763C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A6F-4524-A680-A8A288F16413}"/>
                </c:ext>
              </c:extLst>
            </c:dLbl>
            <c:dLbl>
              <c:idx val="6"/>
              <c:layout>
                <c:manualLayout>
                  <c:x val="-5.9066948143741867E-3"/>
                  <c:y val="-2.31854924775897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DAE-401E-95D2-E8DFD5D5569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D3D-47A5-892E-56A695F54BA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DAE-401E-95D2-E8DFD5D5569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A6F-4524-A680-A8A288F16413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A6F-4524-A680-A8A288F16413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47-4015-B647-A8F113DFFA5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F4-467A-814F-13B9DCDEF39B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8C3-4A8D-9D5C-A82200F95B3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FAC-40E7-90D0-7B6345B4EF5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D3D-47A5-892E-56A695F54BA1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D3D-47A5-892E-56A695F54BA1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D3D-47A5-892E-56A695F54BA1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D3D-47A5-892E-56A695F54BA1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D3D-47A5-892E-56A695F54BA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PET'!$I$5:$AK$5</c:f>
              <c:strCache>
                <c:ptCount val="29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</c:strCache>
            </c:strRef>
          </c:cat>
          <c:val>
            <c:numRef>
              <c:f>'Ma trận PET'!$I$6:$AK$6</c:f>
              <c:numCache>
                <c:formatCode>"$"#,##0_);\("$"#,##0\)</c:formatCode>
                <c:ptCount val="29"/>
                <c:pt idx="0">
                  <c:v>1330</c:v>
                </c:pt>
                <c:pt idx="1">
                  <c:v>1330</c:v>
                </c:pt>
                <c:pt idx="2">
                  <c:v>1380</c:v>
                </c:pt>
                <c:pt idx="3">
                  <c:v>1380</c:v>
                </c:pt>
                <c:pt idx="4">
                  <c:v>1380</c:v>
                </c:pt>
                <c:pt idx="5">
                  <c:v>1380</c:v>
                </c:pt>
                <c:pt idx="6">
                  <c:v>1300</c:v>
                </c:pt>
                <c:pt idx="7">
                  <c:v>1250</c:v>
                </c:pt>
                <c:pt idx="8">
                  <c:v>1250</c:v>
                </c:pt>
                <c:pt idx="9">
                  <c:v>1250</c:v>
                </c:pt>
                <c:pt idx="10">
                  <c:v>1250</c:v>
                </c:pt>
                <c:pt idx="11">
                  <c:v>1250</c:v>
                </c:pt>
                <c:pt idx="12">
                  <c:v>1250</c:v>
                </c:pt>
                <c:pt idx="13">
                  <c:v>1250</c:v>
                </c:pt>
                <c:pt idx="14">
                  <c:v>1250</c:v>
                </c:pt>
                <c:pt idx="15">
                  <c:v>1250</c:v>
                </c:pt>
                <c:pt idx="16">
                  <c:v>1300</c:v>
                </c:pt>
                <c:pt idx="17">
                  <c:v>1300</c:v>
                </c:pt>
                <c:pt idx="18">
                  <c:v>1300</c:v>
                </c:pt>
                <c:pt idx="19">
                  <c:v>1300</c:v>
                </c:pt>
                <c:pt idx="20">
                  <c:v>1310</c:v>
                </c:pt>
                <c:pt idx="21">
                  <c:v>1325</c:v>
                </c:pt>
                <c:pt idx="22">
                  <c:v>1325</c:v>
                </c:pt>
                <c:pt idx="23">
                  <c:v>1275</c:v>
                </c:pt>
                <c:pt idx="24">
                  <c:v>1230</c:v>
                </c:pt>
                <c:pt idx="25">
                  <c:v>1230</c:v>
                </c:pt>
                <c:pt idx="26">
                  <c:v>1230</c:v>
                </c:pt>
                <c:pt idx="27">
                  <c:v>1250</c:v>
                </c:pt>
                <c:pt idx="28">
                  <c:v>1250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4-AAD9-428E-AA2F-574999B2252F}"/>
            </c:ext>
          </c:extLst>
        </c:ser>
        <c:ser>
          <c:idx val="0"/>
          <c:order val="3"/>
          <c:tx>
            <c:strRef>
              <c:f>'Ma trận PET'!#REF!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'Ma trận PET'!$I$5:$AK$5</c:f>
              <c:strCache>
                <c:ptCount val="29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</c:strCache>
            </c:strRef>
          </c:cat>
          <c:val>
            <c:numRef>
              <c:f>'Ma trận PET'!#REF!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5D8-4192-9A7E-2102ECE33B65}"/>
            </c:ext>
          </c:extLst>
        </c:ser>
        <c:ser>
          <c:idx val="11"/>
          <c:order val="4"/>
          <c:tx>
            <c:strRef>
              <c:f>'Ma trận PET'!$H$10:$H$10</c:f>
              <c:strCache>
                <c:ptCount val="1"/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PET'!$I$5:$AK$5</c:f>
              <c:strCache>
                <c:ptCount val="29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</c:strCache>
            </c:strRef>
          </c:cat>
          <c:val>
            <c:numRef>
              <c:f>'Ma trận PET'!$I$10:$Q$10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1-AAD9-428E-AA2F-574999B2252F}"/>
            </c:ext>
          </c:extLst>
        </c:ser>
        <c:ser>
          <c:idx val="13"/>
          <c:order val="6"/>
          <c:tx>
            <c:strRef>
              <c:f>'Ma trận PET'!$H$12:$H$12</c:f>
              <c:strCache>
                <c:ptCount val="1"/>
                <c:pt idx="0">
                  <c:v>ICIS FOB ĐNA - Giá Cao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PET'!$I$5:$AK$5</c:f>
              <c:strCache>
                <c:ptCount val="29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</c:strCache>
            </c:strRef>
          </c:cat>
          <c:val>
            <c:numRef>
              <c:f>'Ma trận PET'!$I$12:$Q$12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43-AAD9-428E-AA2F-574999B2252F}"/>
            </c:ext>
          </c:extLst>
        </c:ser>
        <c:ser>
          <c:idx val="15"/>
          <c:order val="8"/>
          <c:tx>
            <c:strRef>
              <c:f>'Ma trận PET'!$H$14:$H$14</c:f>
              <c:strCache>
                <c:ptCount val="1"/>
                <c:pt idx="0">
                  <c:v>RESIN</c:v>
                </c:pt>
              </c:strCache>
            </c:strRef>
          </c:tx>
          <c:spPr>
            <a:ln w="53975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2.4645174915147623E-2"/>
                  <c:y val="3.70275775388373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3D-47A5-892E-56A695F54BA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PET'!$I$5:$AK$5</c:f>
              <c:strCache>
                <c:ptCount val="29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</c:strCache>
            </c:strRef>
          </c:cat>
          <c:val>
            <c:numRef>
              <c:f>'Ma trận PET'!$I$14:$AK$14</c:f>
              <c:numCache>
                <c:formatCode>"$"#,##0_);\("$"#,##0\)</c:formatCode>
                <c:ptCount val="29"/>
                <c:pt idx="0">
                  <c:v>1000</c:v>
                </c:pt>
                <c:pt idx="1">
                  <c:v>1045</c:v>
                </c:pt>
                <c:pt idx="2">
                  <c:v>1020</c:v>
                </c:pt>
                <c:pt idx="3">
                  <c:v>1055</c:v>
                </c:pt>
                <c:pt idx="4">
                  <c:v>974</c:v>
                </c:pt>
                <c:pt idx="5">
                  <c:v>895</c:v>
                </c:pt>
                <c:pt idx="6">
                  <c:v>903</c:v>
                </c:pt>
                <c:pt idx="7">
                  <c:v>918</c:v>
                </c:pt>
                <c:pt idx="8">
                  <c:v>930</c:v>
                </c:pt>
                <c:pt idx="9">
                  <c:v>922.5</c:v>
                </c:pt>
                <c:pt idx="10">
                  <c:v>900</c:v>
                </c:pt>
                <c:pt idx="11">
                  <c:v>900</c:v>
                </c:pt>
                <c:pt idx="12">
                  <c:v>930</c:v>
                </c:pt>
                <c:pt idx="13">
                  <c:v>943.33333333333337</c:v>
                </c:pt>
                <c:pt idx="14">
                  <c:v>940</c:v>
                </c:pt>
                <c:pt idx="15">
                  <c:v>940</c:v>
                </c:pt>
                <c:pt idx="16">
                  <c:v>942</c:v>
                </c:pt>
                <c:pt idx="17">
                  <c:v>950</c:v>
                </c:pt>
                <c:pt idx="18">
                  <c:v>947.5</c:v>
                </c:pt>
                <c:pt idx="19">
                  <c:v>930</c:v>
                </c:pt>
                <c:pt idx="20">
                  <c:v>880</c:v>
                </c:pt>
                <c:pt idx="21">
                  <c:v>862.5</c:v>
                </c:pt>
                <c:pt idx="22">
                  <c:v>852</c:v>
                </c:pt>
                <c:pt idx="23">
                  <c:v>830</c:v>
                </c:pt>
                <c:pt idx="24">
                  <c:v>827.5</c:v>
                </c:pt>
                <c:pt idx="25">
                  <c:v>840</c:v>
                </c:pt>
                <c:pt idx="26">
                  <c:v>822.5</c:v>
                </c:pt>
                <c:pt idx="27">
                  <c:v>765</c:v>
                </c:pt>
                <c:pt idx="28">
                  <c:v>773.33333333333337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AAD9-428E-AA2F-574999B2252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>
          <c:ext xmlns:c15="http://schemas.microsoft.com/office/drawing/2012/chart" uri="{02D57815-91ED-43cb-92C2-25804820EDAC}">
            <c15:filteredLine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'Ma trận PET'!$H$22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53975" cap="rnd">
                    <a:solidFill>
                      <a:srgbClr val="2CD8D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38F4-467A-814F-13B9DCDEF39B}"/>
                      </c:ext>
                    </c:extLst>
                  </c:dLbl>
                  <c:dLbl>
                    <c:idx val="1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1-6FAC-40E7-90D0-7B6345B4EF5D}"/>
                      </c:ext>
                    </c:extLst>
                  </c:dLbl>
                  <c:dLbl>
                    <c:idx val="16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6FAC-40E7-90D0-7B6345B4EF5D}"/>
                      </c:ext>
                    </c:extLst>
                  </c:dLbl>
                  <c:dLbl>
                    <c:idx val="17"/>
                    <c:layout>
                      <c:manualLayout>
                        <c:x val="-2.1664281057494204E-2"/>
                        <c:y val="-2.782499571356708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6FAC-40E7-90D0-7B6345B4EF5D}"/>
                      </c:ext>
                    </c:extLst>
                  </c:dLbl>
                  <c:dLbl>
                    <c:idx val="18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6FAC-40E7-90D0-7B6345B4EF5D}"/>
                      </c:ext>
                    </c:extLst>
                  </c:dLbl>
                  <c:dLbl>
                    <c:idx val="20"/>
                    <c:layout>
                      <c:manualLayout>
                        <c:x val="-2.9034603479115768E-3"/>
                        <c:y val="1.83575697861292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6FAC-40E7-90D0-7B6345B4EF5D}"/>
                      </c:ext>
                    </c:extLst>
                  </c:dLbl>
                  <c:dLbl>
                    <c:idx val="2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6-6FAC-40E7-90D0-7B6345B4EF5D}"/>
                      </c:ext>
                    </c:extLst>
                  </c:dLbl>
                  <c:dLbl>
                    <c:idx val="2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6FAC-40E7-90D0-7B6345B4EF5D}"/>
                      </c:ext>
                    </c:extLst>
                  </c:dLbl>
                  <c:dLbl>
                    <c:idx val="2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6FAC-40E7-90D0-7B6345B4EF5D}"/>
                      </c:ext>
                    </c:extLst>
                  </c:dLbl>
                  <c:dLbl>
                    <c:idx val="2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6FAC-40E7-90D0-7B6345B4EF5D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2CD8D4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'Ma trận PET'!$I$5:$AK$5</c15:sqref>
                        </c15:formulaRef>
                      </c:ext>
                    </c:extLst>
                    <c:strCache>
                      <c:ptCount val="29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8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 trận PET'!$I$22:$AK$22</c15:sqref>
                        </c15:formulaRef>
                      </c:ext>
                    </c:extLst>
                    <c:numCache>
                      <c:formatCode>General</c:formatCode>
                      <c:ptCount val="29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2DAD-4A38-A633-822797BF3B10}"/>
                  </c:ext>
                </c:extLst>
              </c15:ser>
            </c15:filteredLineSeries>
            <c15:filteredLine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 trận PET'!$H$18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5397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6"/>
                    <c:layout>
                      <c:manualLayout>
                        <c:x val="-2.3227682783292614E-2"/>
                        <c:y val="3.0018667574802572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A-6FAC-40E7-90D0-7B6345B4EF5D}"/>
                      </c:ext>
                    </c:extLst>
                  </c:dLbl>
                  <c:dLbl>
                    <c:idx val="17"/>
                    <c:layout>
                      <c:manualLayout>
                        <c:x val="-2.2557653472236094E-2"/>
                        <c:y val="3.244325226353654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6FAC-40E7-90D0-7B6345B4EF5D}"/>
                      </c:ext>
                    </c:extLst>
                  </c:dLbl>
                  <c:numFmt formatCode="#,##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 trận PET'!$I$5:$AK$5</c15:sqref>
                        </c15:formulaRef>
                      </c:ext>
                    </c:extLst>
                    <c:strCache>
                      <c:ptCount val="29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8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'Ma trận PET'!$I$18:$AK$18</c15:sqref>
                        </c15:formulaRef>
                      </c:ext>
                    </c:extLst>
                    <c:numCache>
                      <c:formatCode>"$"#,##0_);\("$"#,##0\)</c:formatCode>
                      <c:ptCount val="29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7548-40C3-8211-CA0056C21B68}"/>
                  </c:ext>
                </c:extLst>
              </c15:ser>
            </c15:filteredLineSeries>
          </c:ext>
        </c:extLst>
      </c:lineChart>
      <c:catAx>
        <c:axId val="19179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7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90024200288371159"/>
          <c:y val="0.23307310092315081"/>
          <c:w val="9.4869697959564916E-2"/>
          <c:h val="0.626122920985127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2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2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HẠT NHỰA </a:t>
            </a:r>
            <a:r>
              <a:rPr lang="en-US" sz="22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rHDPE THỔI</a:t>
            </a:r>
            <a:r>
              <a:rPr lang="en-US" sz="22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SO VỚI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HDPE RESIN</a:t>
            </a:r>
            <a:r>
              <a:rPr lang="en-US" sz="2400" b="1" i="0" u="none" strike="noStrike" kern="1200" spc="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2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NĂM 2023-2025 (USD/tấn)</a:t>
            </a:r>
            <a:endParaRPr lang="en-US" sz="2200" b="1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200" b="1" i="0" u="none" strike="noStrike" kern="1200" spc="0" baseline="0">
              <a:solidFill>
                <a:srgbClr val="0000FF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211187348356736E-2"/>
          <c:y val="0.12548660011418883"/>
          <c:w val="0.88237164070880303"/>
          <c:h val="0.77557344530558303"/>
        </c:manualLayout>
      </c:layout>
      <c:areaChart>
        <c:grouping val="stacked"/>
        <c:varyColors val="0"/>
        <c:ser>
          <c:idx val="16"/>
          <c:order val="4"/>
          <c:tx>
            <c:strRef>
              <c:f>'Ma trận HDPE thổi'!$H$12</c:f>
              <c:strCache>
                <c:ptCount val="1"/>
                <c:pt idx="0">
                  <c:v> TTCP 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'Ma trận HDPE thổi'!$I$12:$AK$12</c:f>
              <c:numCache>
                <c:formatCode>"$"#,##0_);\("$"#,##0\)</c:formatCode>
                <c:ptCount val="29"/>
                <c:pt idx="0">
                  <c:v>1017.5</c:v>
                </c:pt>
                <c:pt idx="1">
                  <c:v>1092.5</c:v>
                </c:pt>
                <c:pt idx="2">
                  <c:v>1072.5</c:v>
                </c:pt>
                <c:pt idx="3">
                  <c:v>1050</c:v>
                </c:pt>
                <c:pt idx="4">
                  <c:v>1044</c:v>
                </c:pt>
                <c:pt idx="5">
                  <c:v>970</c:v>
                </c:pt>
                <c:pt idx="6">
                  <c:v>960</c:v>
                </c:pt>
                <c:pt idx="7">
                  <c:v>1008</c:v>
                </c:pt>
                <c:pt idx="8">
                  <c:v>1027.5</c:v>
                </c:pt>
                <c:pt idx="9">
                  <c:v>1020</c:v>
                </c:pt>
                <c:pt idx="10">
                  <c:v>955</c:v>
                </c:pt>
                <c:pt idx="11">
                  <c:v>928</c:v>
                </c:pt>
                <c:pt idx="12">
                  <c:v>940</c:v>
                </c:pt>
                <c:pt idx="13">
                  <c:v>993.33333333333337</c:v>
                </c:pt>
                <c:pt idx="14">
                  <c:v>985</c:v>
                </c:pt>
                <c:pt idx="15">
                  <c:v>962.5</c:v>
                </c:pt>
                <c:pt idx="16">
                  <c:v>982</c:v>
                </c:pt>
                <c:pt idx="17">
                  <c:v>1000</c:v>
                </c:pt>
                <c:pt idx="18">
                  <c:v>1000</c:v>
                </c:pt>
                <c:pt idx="19">
                  <c:v>984</c:v>
                </c:pt>
                <c:pt idx="20">
                  <c:v>967.5</c:v>
                </c:pt>
                <c:pt idx="21">
                  <c:v>965</c:v>
                </c:pt>
                <c:pt idx="22">
                  <c:v>974</c:v>
                </c:pt>
                <c:pt idx="23">
                  <c:v>956</c:v>
                </c:pt>
                <c:pt idx="24">
                  <c:v>940</c:v>
                </c:pt>
                <c:pt idx="25">
                  <c:v>918</c:v>
                </c:pt>
                <c:pt idx="26">
                  <c:v>896</c:v>
                </c:pt>
                <c:pt idx="27">
                  <c:v>891.5</c:v>
                </c:pt>
                <c:pt idx="28">
                  <c:v>866.66666666666663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C-433E-B398-94E83FF47F3E}"/>
            </c:ext>
          </c:extLst>
        </c:ser>
        <c:ser>
          <c:idx val="17"/>
          <c:order val="5"/>
          <c:tx>
            <c:strRef>
              <c:f>'Ma trận HDPE thổi'!$H$13</c:f>
              <c:strCache>
                <c:ptCount val="1"/>
                <c:pt idx="0">
                  <c:v>CL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dLbls>
            <c:dLbl>
              <c:idx val="0"/>
              <c:tx>
                <c:rich>
                  <a:bodyPr/>
                  <a:lstStyle/>
                  <a:p>
                    <a:fld id="{A6335A89-AE67-496D-A33F-94FDA0AF48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E72-455C-AD97-AF772EE4FA9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AC597CF-BBA0-4BBF-8284-D53B775219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E72-455C-AD97-AF772EE4FA9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447EA12-51A3-45E4-A808-8AF1FDF0F5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E72-455C-AD97-AF772EE4FA9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D473EB9-A463-4932-9476-F8F965EDCF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E72-455C-AD97-AF772EE4FA9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97615E0-4E70-4CEA-BAE0-AF0F62DD4C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E72-455C-AD97-AF772EE4FA9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DDD2DF1-E74F-45DA-A05F-105E67208A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E72-455C-AD97-AF772EE4FA9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1184895-C61B-4178-B9F9-7FDF07B5C2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E72-455C-AD97-AF772EE4FA9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CCEAA18-A8B2-4C71-92A2-46F5A9E65F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E72-455C-AD97-AF772EE4FA9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BF9BA78-DFFD-4A43-8204-033529D6C5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E72-455C-AD97-AF772EE4FA9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01A1B18-BBAE-48ED-956A-C51AECCEF7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E72-455C-AD97-AF772EE4FA9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DFF0523-3135-427E-8944-C47F358EBD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E72-455C-AD97-AF772EE4FA9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117076B-CDAD-4747-9A1B-9DB639ED0C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7E72-455C-AD97-AF772EE4FA9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6BCDC0A-9C35-4A29-B104-905F5F6E51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E72-455C-AD97-AF772EE4FA9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0F7DB98-A05D-46C3-9A40-8D925F475A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7E72-455C-AD97-AF772EE4FA9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35268DE-211F-4BE8-8CA3-934DE763C3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7E72-455C-AD97-AF772EE4FA9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6CE4EB6-C1DB-44EC-985B-76DDF22E74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7E72-455C-AD97-AF772EE4FA9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343F7F1-2FE4-4C4B-A193-16FBA8A2E8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7E72-455C-AD97-AF772EE4FA9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A49F432-237D-4B0E-991A-8E69D15A69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E72-455C-AD97-AF772EE4FA9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5C56A8E-ED47-43D9-9AC5-DC0005B48D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7E72-455C-AD97-AF772EE4FA9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6E799F6-7B8A-4A73-B6A2-EA1300F1BB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7E72-455C-AD97-AF772EE4FA9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5D183D3-6596-45A7-BC66-A4C6C9AC5A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7E72-455C-AD97-AF772EE4FA9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E70B14F6-5C55-4868-87B7-5CFD05EF5D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7E72-455C-AD97-AF772EE4FA9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32BA7B0-A997-4077-A8FE-98EF4146BD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7E72-455C-AD97-AF772EE4FA9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1033964-484F-44A6-AA03-01CBE77937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7E72-455C-AD97-AF772EE4FA9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8C93A24A-1BD6-40C3-8284-13804A67B0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7E72-455C-AD97-AF772EE4FA9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87419F92-825A-4439-962A-F7A302B454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7E72-455C-AD97-AF772EE4FA9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02B5C17B-FD3A-4A7E-B140-5CCA919669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7E72-455C-AD97-AF772EE4FA90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6C116568-48E5-4903-9299-5211030346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7E72-455C-AD97-AF772EE4FA90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8586A518-D1FB-4C66-ABB0-BC1FEBA504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7E72-455C-AD97-AF772EE4FA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0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'Ma trận HDPE thổi'!$I$13:$AK$13</c:f>
              <c:numCache>
                <c:formatCode>"$"#,##0_);\("$"#,##0\)</c:formatCode>
                <c:ptCount val="29"/>
                <c:pt idx="0">
                  <c:v>382.5</c:v>
                </c:pt>
                <c:pt idx="1">
                  <c:v>307.5</c:v>
                </c:pt>
                <c:pt idx="2">
                  <c:v>327.5</c:v>
                </c:pt>
                <c:pt idx="3">
                  <c:v>480</c:v>
                </c:pt>
                <c:pt idx="4">
                  <c:v>486</c:v>
                </c:pt>
                <c:pt idx="5">
                  <c:v>560</c:v>
                </c:pt>
                <c:pt idx="6">
                  <c:v>490</c:v>
                </c:pt>
                <c:pt idx="7">
                  <c:v>392</c:v>
                </c:pt>
                <c:pt idx="8">
                  <c:v>372.5</c:v>
                </c:pt>
                <c:pt idx="9">
                  <c:v>380</c:v>
                </c:pt>
                <c:pt idx="10">
                  <c:v>445</c:v>
                </c:pt>
                <c:pt idx="11">
                  <c:v>472</c:v>
                </c:pt>
                <c:pt idx="12">
                  <c:v>460</c:v>
                </c:pt>
                <c:pt idx="13">
                  <c:v>406.66666666666663</c:v>
                </c:pt>
                <c:pt idx="14">
                  <c:v>415</c:v>
                </c:pt>
                <c:pt idx="15">
                  <c:v>437.5</c:v>
                </c:pt>
                <c:pt idx="16">
                  <c:v>418</c:v>
                </c:pt>
                <c:pt idx="17">
                  <c:v>400</c:v>
                </c:pt>
                <c:pt idx="18">
                  <c:v>400</c:v>
                </c:pt>
                <c:pt idx="19">
                  <c:v>416</c:v>
                </c:pt>
                <c:pt idx="20">
                  <c:v>432.5</c:v>
                </c:pt>
                <c:pt idx="21">
                  <c:v>435</c:v>
                </c:pt>
                <c:pt idx="22">
                  <c:v>426</c:v>
                </c:pt>
                <c:pt idx="23">
                  <c:v>444</c:v>
                </c:pt>
                <c:pt idx="24">
                  <c:v>460</c:v>
                </c:pt>
                <c:pt idx="25">
                  <c:v>482</c:v>
                </c:pt>
                <c:pt idx="26">
                  <c:v>454</c:v>
                </c:pt>
                <c:pt idx="27">
                  <c:v>458.5</c:v>
                </c:pt>
                <c:pt idx="28">
                  <c:v>483.33333333333337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'Ma trận HDPE thổi'!$I$14:$AK$14</c15:f>
                <c15:dlblRangeCache>
                  <c:ptCount val="29"/>
                  <c:pt idx="0">
                    <c:v>38%</c:v>
                  </c:pt>
                  <c:pt idx="1">
                    <c:v>28%</c:v>
                  </c:pt>
                  <c:pt idx="2">
                    <c:v>31%</c:v>
                  </c:pt>
                  <c:pt idx="3">
                    <c:v>46%</c:v>
                  </c:pt>
                  <c:pt idx="4">
                    <c:v>47%</c:v>
                  </c:pt>
                  <c:pt idx="5">
                    <c:v>58%</c:v>
                  </c:pt>
                  <c:pt idx="6">
                    <c:v>51%</c:v>
                  </c:pt>
                  <c:pt idx="7">
                    <c:v>39%</c:v>
                  </c:pt>
                  <c:pt idx="8">
                    <c:v>36%</c:v>
                  </c:pt>
                  <c:pt idx="9">
                    <c:v>37%</c:v>
                  </c:pt>
                  <c:pt idx="10">
                    <c:v>47%</c:v>
                  </c:pt>
                  <c:pt idx="11">
                    <c:v>51%</c:v>
                  </c:pt>
                  <c:pt idx="12">
                    <c:v>49%</c:v>
                  </c:pt>
                  <c:pt idx="13">
                    <c:v>41%</c:v>
                  </c:pt>
                  <c:pt idx="14">
                    <c:v>42%</c:v>
                  </c:pt>
                  <c:pt idx="15">
                    <c:v>45%</c:v>
                  </c:pt>
                  <c:pt idx="16">
                    <c:v>43%</c:v>
                  </c:pt>
                  <c:pt idx="17">
                    <c:v>40%</c:v>
                  </c:pt>
                  <c:pt idx="18">
                    <c:v>40%</c:v>
                  </c:pt>
                  <c:pt idx="19">
                    <c:v>42%</c:v>
                  </c:pt>
                  <c:pt idx="20">
                    <c:v>45%</c:v>
                  </c:pt>
                  <c:pt idx="21">
                    <c:v>45%</c:v>
                  </c:pt>
                  <c:pt idx="22">
                    <c:v>44%</c:v>
                  </c:pt>
                  <c:pt idx="23">
                    <c:v>46%</c:v>
                  </c:pt>
                  <c:pt idx="24">
                    <c:v>49%</c:v>
                  </c:pt>
                  <c:pt idx="25">
                    <c:v>53%</c:v>
                  </c:pt>
                  <c:pt idx="26">
                    <c:v>51%</c:v>
                  </c:pt>
                  <c:pt idx="27">
                    <c:v>51%</c:v>
                  </c:pt>
                  <c:pt idx="28">
                    <c:v>56%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469C-433E-B398-94E83FF47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917916735"/>
        <c:axId val="1917910079"/>
      </c:areaChart>
      <c:lineChart>
        <c:grouping val="standard"/>
        <c:varyColors val="0"/>
        <c:ser>
          <c:idx val="5"/>
          <c:order val="0"/>
          <c:tx>
            <c:strRef>
              <c:f>'Ma trận HDPE thổi'!$H$9</c:f>
              <c:strCache>
                <c:ptCount val="1"/>
                <c:pt idx="0">
                  <c:v>DTR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26-4E74-BA7E-A2E754F0EAB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26-4E74-BA7E-A2E754F0EAB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F7-4985-BE94-C688CEE8534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95-477E-AEE3-5BC118CE4382}"/>
                </c:ext>
              </c:extLst>
            </c:dLbl>
            <c:dLbl>
              <c:idx val="6"/>
              <c:layout>
                <c:manualLayout>
                  <c:x val="-9.1496502384096571E-3"/>
                  <c:y val="-1.71083184900032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68A-42D7-B4BB-1620A3ABA0B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60B-4F80-889D-2C5DBB25881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D5-45E2-A197-908ECDF60A2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6F7-4985-BE94-C688CEE8534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95-477E-AEE3-5BC118CE4382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E72-455C-AD97-AF772EE4FA9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B41-4816-AD57-0491C71FDD69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E72-455C-AD97-AF772EE4FA9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E72-455C-AD97-AF772EE4FA90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E72-455C-AD97-AF772EE4FA90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E72-455C-AD97-AF772EE4FA90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E72-455C-AD97-AF772EE4FA90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E72-455C-AD97-AF772EE4FA90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E72-455C-AD97-AF772EE4FA9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thổi'!$I$5:$AK$5</c:f>
              <c:strCache>
                <c:ptCount val="29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</c:strCache>
            </c:strRef>
          </c:cat>
          <c:val>
            <c:numRef>
              <c:f>'Ma trận HDPE thổi'!$I$9:$AK$9</c:f>
              <c:numCache>
                <c:formatCode>"$"#,##0_);\("$"#,##0\)</c:formatCode>
                <c:ptCount val="29"/>
                <c:pt idx="0">
                  <c:v>1400</c:v>
                </c:pt>
                <c:pt idx="1">
                  <c:v>1400</c:v>
                </c:pt>
                <c:pt idx="2">
                  <c:v>1400</c:v>
                </c:pt>
                <c:pt idx="3">
                  <c:v>1530</c:v>
                </c:pt>
                <c:pt idx="4">
                  <c:v>1530</c:v>
                </c:pt>
                <c:pt idx="5">
                  <c:v>1530</c:v>
                </c:pt>
                <c:pt idx="6">
                  <c:v>1450</c:v>
                </c:pt>
                <c:pt idx="7">
                  <c:v>1400</c:v>
                </c:pt>
                <c:pt idx="8">
                  <c:v>1400</c:v>
                </c:pt>
                <c:pt idx="9">
                  <c:v>1400</c:v>
                </c:pt>
                <c:pt idx="10">
                  <c:v>1400</c:v>
                </c:pt>
                <c:pt idx="11">
                  <c:v>1400</c:v>
                </c:pt>
                <c:pt idx="12">
                  <c:v>1400</c:v>
                </c:pt>
                <c:pt idx="13">
                  <c:v>1400</c:v>
                </c:pt>
                <c:pt idx="14">
                  <c:v>1400</c:v>
                </c:pt>
                <c:pt idx="15">
                  <c:v>1400</c:v>
                </c:pt>
                <c:pt idx="16">
                  <c:v>1400</c:v>
                </c:pt>
                <c:pt idx="17">
                  <c:v>1400</c:v>
                </c:pt>
                <c:pt idx="18">
                  <c:v>1400</c:v>
                </c:pt>
                <c:pt idx="19">
                  <c:v>1400</c:v>
                </c:pt>
                <c:pt idx="20">
                  <c:v>1400</c:v>
                </c:pt>
                <c:pt idx="21">
                  <c:v>1400</c:v>
                </c:pt>
                <c:pt idx="22">
                  <c:v>1400</c:v>
                </c:pt>
                <c:pt idx="23">
                  <c:v>1400</c:v>
                </c:pt>
                <c:pt idx="24">
                  <c:v>1400</c:v>
                </c:pt>
                <c:pt idx="25">
                  <c:v>1400</c:v>
                </c:pt>
                <c:pt idx="26">
                  <c:v>1350</c:v>
                </c:pt>
                <c:pt idx="27">
                  <c:v>1350</c:v>
                </c:pt>
                <c:pt idx="28">
                  <c:v>1350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DAC2-4624-A7B2-21F9AB8BB5CB}"/>
            </c:ext>
          </c:extLst>
        </c:ser>
        <c:ser>
          <c:idx val="4"/>
          <c:order val="2"/>
          <c:tx>
            <c:strRef>
              <c:f>'Ma trận HDPE thổi'!$H$8</c:f>
              <c:strCache>
                <c:ptCount val="1"/>
                <c:pt idx="0">
                  <c:v>ICIS - Giá vảy HDPE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rgbClr val="60943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 trận HDPE thổi'!$I$5:$AK$5</c:f>
              <c:strCache>
                <c:ptCount val="29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</c:strCache>
            </c:strRef>
          </c:cat>
          <c:val>
            <c:numRef>
              <c:f>'Ma trận HDPE thổi'!$I$8:$J$8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DAC2-4624-A7B2-21F9AB8BB5CB}"/>
            </c:ext>
          </c:extLst>
        </c:ser>
        <c:ser>
          <c:idx val="13"/>
          <c:order val="3"/>
          <c:tx>
            <c:strRef>
              <c:f>'Ma trận HDPE thổi'!$H$11</c:f>
              <c:strCache>
                <c:ptCount val="1"/>
                <c:pt idx="0">
                  <c:v>RESIN</c:v>
                </c:pt>
              </c:strCache>
            </c:strRef>
          </c:tx>
          <c:spPr>
            <a:ln w="508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2.0451807810980206E-2"/>
                  <c:y val="4.0486144998082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E72-455C-AD97-AF772EE4FA90}"/>
                </c:ext>
              </c:extLst>
            </c:dLbl>
            <c:dLbl>
              <c:idx val="4"/>
              <c:layout>
                <c:manualLayout>
                  <c:x val="-2.2138554846937334E-2"/>
                  <c:y val="3.19851171769626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72-455C-AD97-AF772EE4FA90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 trận HDPE thổi'!$I$5:$AK$5</c:f>
              <c:strCache>
                <c:ptCount val="29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</c:strCache>
            </c:strRef>
          </c:cat>
          <c:val>
            <c:numRef>
              <c:f>'Ma trận HDPE thổi'!$I$11:$AK$11</c:f>
              <c:numCache>
                <c:formatCode>"$"#,##0_);\("$"#,##0\)</c:formatCode>
                <c:ptCount val="29"/>
                <c:pt idx="0">
                  <c:v>1017.5</c:v>
                </c:pt>
                <c:pt idx="1">
                  <c:v>1092.5</c:v>
                </c:pt>
                <c:pt idx="2">
                  <c:v>1072.5</c:v>
                </c:pt>
                <c:pt idx="3">
                  <c:v>1050</c:v>
                </c:pt>
                <c:pt idx="4">
                  <c:v>1044</c:v>
                </c:pt>
                <c:pt idx="5">
                  <c:v>970</c:v>
                </c:pt>
                <c:pt idx="6">
                  <c:v>960</c:v>
                </c:pt>
                <c:pt idx="7">
                  <c:v>1008</c:v>
                </c:pt>
                <c:pt idx="8">
                  <c:v>1027.5</c:v>
                </c:pt>
                <c:pt idx="9">
                  <c:v>1020</c:v>
                </c:pt>
                <c:pt idx="10">
                  <c:v>955</c:v>
                </c:pt>
                <c:pt idx="11">
                  <c:v>928</c:v>
                </c:pt>
                <c:pt idx="12">
                  <c:v>940</c:v>
                </c:pt>
                <c:pt idx="13">
                  <c:v>993.33333333333337</c:v>
                </c:pt>
                <c:pt idx="14">
                  <c:v>985</c:v>
                </c:pt>
                <c:pt idx="15">
                  <c:v>962.5</c:v>
                </c:pt>
                <c:pt idx="16">
                  <c:v>982</c:v>
                </c:pt>
                <c:pt idx="17">
                  <c:v>1000</c:v>
                </c:pt>
                <c:pt idx="18">
                  <c:v>1000</c:v>
                </c:pt>
                <c:pt idx="19">
                  <c:v>984</c:v>
                </c:pt>
                <c:pt idx="20">
                  <c:v>967.5</c:v>
                </c:pt>
                <c:pt idx="21">
                  <c:v>965</c:v>
                </c:pt>
                <c:pt idx="22">
                  <c:v>974</c:v>
                </c:pt>
                <c:pt idx="23">
                  <c:v>956</c:v>
                </c:pt>
                <c:pt idx="24">
                  <c:v>940</c:v>
                </c:pt>
                <c:pt idx="25">
                  <c:v>918</c:v>
                </c:pt>
                <c:pt idx="26">
                  <c:v>896</c:v>
                </c:pt>
                <c:pt idx="27">
                  <c:v>891.5</c:v>
                </c:pt>
                <c:pt idx="28">
                  <c:v>866.66666666666663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AC2-4624-A7B2-21F9AB8BB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17916735"/>
        <c:axId val="1917910079"/>
        <c:extLst>
          <c:ext xmlns:c15="http://schemas.microsoft.com/office/drawing/2012/chart" uri="{02D57815-91ED-43cb-92C2-25804820EDAC}">
            <c15:filteredLineSeries>
              <c15:ser>
                <c:idx val="2"/>
                <c:order val="1"/>
                <c:tx>
                  <c:strRef>
                    <c:extLst>
                      <c:ext uri="{02D57815-91ED-43cb-92C2-25804820EDAC}">
                        <c15:formulaRef>
                          <c15:sqref>'Ma trận HDPE thổi'!$H$10</c15:sqref>
                        </c15:formulaRef>
                      </c:ext>
                    </c:extLst>
                    <c:strCache>
                      <c:ptCount val="1"/>
                      <c:pt idx="0">
                        <c:v>DTR (Home care)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'Ma trận HDPE thổi'!$I$5:$AK$5</c15:sqref>
                        </c15:formulaRef>
                      </c:ext>
                    </c:extLst>
                    <c:strCache>
                      <c:ptCount val="29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8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'Ma trận HDPE thổi'!$I$10:$AK$10</c15:sqref>
                        </c15:formulaRef>
                      </c:ext>
                    </c:extLst>
                    <c:numCache>
                      <c:formatCode>"$"#,##0_);\("$"#,##0\)</c:formatCode>
                      <c:ptCount val="29"/>
                      <c:pt idx="0">
                        <c:v>1350</c:v>
                      </c:pt>
                      <c:pt idx="1">
                        <c:v>1350</c:v>
                      </c:pt>
                      <c:pt idx="2">
                        <c:v>1350</c:v>
                      </c:pt>
                      <c:pt idx="3">
                        <c:v>1480</c:v>
                      </c:pt>
                      <c:pt idx="4">
                        <c:v>1480</c:v>
                      </c:pt>
                      <c:pt idx="5">
                        <c:v>1480</c:v>
                      </c:pt>
                      <c:pt idx="6">
                        <c:v>1400</c:v>
                      </c:pt>
                      <c:pt idx="7">
                        <c:v>1350</c:v>
                      </c:pt>
                      <c:pt idx="8">
                        <c:v>1350</c:v>
                      </c:pt>
                      <c:pt idx="9">
                        <c:v>1350</c:v>
                      </c:pt>
                      <c:pt idx="10">
                        <c:v>1350</c:v>
                      </c:pt>
                      <c:pt idx="11">
                        <c:v>1350</c:v>
                      </c:pt>
                      <c:pt idx="12">
                        <c:v>1350</c:v>
                      </c:pt>
                      <c:pt idx="13">
                        <c:v>1350</c:v>
                      </c:pt>
                      <c:pt idx="14">
                        <c:v>1350</c:v>
                      </c:pt>
                      <c:pt idx="15">
                        <c:v>1350</c:v>
                      </c:pt>
                      <c:pt idx="16">
                        <c:v>1350</c:v>
                      </c:pt>
                      <c:pt idx="17">
                        <c:v>1350</c:v>
                      </c:pt>
                      <c:pt idx="18">
                        <c:v>1350</c:v>
                      </c:pt>
                      <c:pt idx="19">
                        <c:v>1350</c:v>
                      </c:pt>
                      <c:pt idx="20">
                        <c:v>1350</c:v>
                      </c:pt>
                      <c:pt idx="21">
                        <c:v>1350</c:v>
                      </c:pt>
                      <c:pt idx="22">
                        <c:v>1350</c:v>
                      </c:pt>
                      <c:pt idx="23">
                        <c:v>1350</c:v>
                      </c:pt>
                      <c:pt idx="24">
                        <c:v>1350</c:v>
                      </c:pt>
                      <c:pt idx="25">
                        <c:v>1350</c:v>
                      </c:pt>
                      <c:pt idx="26">
                        <c:v>1300</c:v>
                      </c:pt>
                      <c:pt idx="27">
                        <c:v>1300</c:v>
                      </c:pt>
                      <c:pt idx="28">
                        <c:v>1300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11-DAC2-4624-A7B2-21F9AB8BB5CB}"/>
                  </c:ext>
                </c:extLst>
              </c15:ser>
            </c15:filteredLineSeries>
          </c:ext>
        </c:extLst>
      </c:lineChart>
      <c:catAx>
        <c:axId val="1917916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0079"/>
        <c:crosses val="autoZero"/>
        <c:auto val="1"/>
        <c:lblAlgn val="ctr"/>
        <c:lblOffset val="100"/>
        <c:noMultiLvlLbl val="0"/>
      </c:catAx>
      <c:valAx>
        <c:axId val="1917910079"/>
        <c:scaling>
          <c:orientation val="minMax"/>
          <c:min val="8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7916735"/>
        <c:crosses val="autoZero"/>
        <c:crossBetween val="between"/>
        <c:majorUnit val="100"/>
      </c:valAx>
      <c:spPr>
        <a:noFill/>
        <a:ln>
          <a:solidFill>
            <a:schemeClr val="bg1"/>
          </a:solidFill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639D6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91710362158534176"/>
          <c:y val="0.19997262267418237"/>
          <c:w val="7.6992763788808385E-2"/>
          <c:h val="0.718654133340294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106680</xdr:colOff>
      <xdr:row>14</xdr:row>
      <xdr:rowOff>15240</xdr:rowOff>
    </xdr:from>
    <xdr:to>
      <xdr:col>10</xdr:col>
      <xdr:colOff>15240</xdr:colOff>
      <xdr:row>15</xdr:row>
      <xdr:rowOff>121920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9692640" y="2026920"/>
          <a:ext cx="510540" cy="289560"/>
        </a:xfrm>
        <a:prstGeom prst="ellipse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87183</xdr:colOff>
      <xdr:row>4</xdr:row>
      <xdr:rowOff>145146</xdr:rowOff>
    </xdr:from>
    <xdr:to>
      <xdr:col>19</xdr:col>
      <xdr:colOff>888999</xdr:colOff>
      <xdr:row>53</xdr:row>
      <xdr:rowOff>54430</xdr:rowOff>
    </xdr:to>
    <xdr:graphicFrame macro="">
      <xdr:nvGraphicFramePr>
        <xdr:cNvPr id="25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0.92636</cdr:x>
      <cdr:y>0.38231</cdr:y>
    </cdr:from>
    <cdr:to>
      <cdr:x>1</cdr:x>
      <cdr:y>0.42721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78CC37-54AA-F233-B178-5EDACAA7E3FD}"/>
            </a:ext>
          </a:extLst>
        </cdr:cNvPr>
        <cdr:cNvSpPr txBox="1"/>
      </cdr:nvSpPr>
      <cdr:spPr>
        <a:xfrm xmlns:a="http://schemas.openxmlformats.org/drawingml/2006/main">
          <a:off x="11981815" y="1881822"/>
          <a:ext cx="952500" cy="2209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81642</xdr:colOff>
      <xdr:row>1</xdr:row>
      <xdr:rowOff>136071</xdr:rowOff>
    </xdr:from>
    <xdr:to>
      <xdr:col>20</xdr:col>
      <xdr:colOff>834572</xdr:colOff>
      <xdr:row>45</xdr:row>
      <xdr:rowOff>136071</xdr:rowOff>
    </xdr:to>
    <xdr:graphicFrame macro="">
      <xdr:nvGraphicFramePr>
        <xdr:cNvPr id="8" name="Chart 4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D2F74-0272-4396-8CD6-FCFA23428F0D}">
  <sheetPr>
    <tabColor rgb="FFFFC000"/>
  </sheetPr>
  <dimension ref="I16:V48"/>
  <sheetViews>
    <sheetView showGridLines="0" topLeftCell="A4" zoomScale="70" zoomScaleNormal="70" workbookViewId="0">
      <selection activeCell="F3" sqref="F3"/>
    </sheetView>
  </sheetViews>
  <sheetFormatPr defaultColWidth="8.81640625" defaultRowHeight="14.5" x14ac:dyDescent="0.35"/>
  <cols>
    <col min="1" max="1" width="3.453125" bestFit="1" customWidth="1"/>
    <col min="2" max="2" width="10.26953125" customWidth="1"/>
    <col min="4" max="4" width="15.1796875" customWidth="1"/>
    <col min="5" max="5" width="12.1796875" bestFit="1" customWidth="1"/>
    <col min="6" max="6" width="14.1796875" bestFit="1" customWidth="1"/>
    <col min="7" max="7" width="17.81640625" customWidth="1"/>
    <col min="12" max="12" width="12.1796875" customWidth="1"/>
    <col min="14" max="14" width="9" customWidth="1"/>
    <col min="15" max="15" width="13.453125" customWidth="1"/>
    <col min="16" max="16" width="13.81640625" customWidth="1"/>
    <col min="19" max="19" width="10.1796875" bestFit="1" customWidth="1"/>
    <col min="20" max="20" width="13.54296875" customWidth="1"/>
    <col min="22" max="22" width="9.54296875" bestFit="1" customWidth="1"/>
    <col min="23" max="23" width="13.1796875" bestFit="1" customWidth="1"/>
    <col min="26" max="26" width="8.81640625" customWidth="1"/>
  </cols>
  <sheetData>
    <row r="16" spans="15:15" ht="14.75" customHeight="1" x14ac:dyDescent="0.35">
      <c r="O16" s="109"/>
    </row>
    <row r="17" spans="9:22" ht="14.75" customHeight="1" x14ac:dyDescent="0.35">
      <c r="O17" s="109"/>
      <c r="P17" s="62"/>
    </row>
    <row r="18" spans="9:22" ht="14.75" customHeight="1" x14ac:dyDescent="0.35">
      <c r="O18" s="109"/>
    </row>
    <row r="19" spans="9:22" ht="14.75" customHeight="1" x14ac:dyDescent="0.35">
      <c r="O19" s="109"/>
    </row>
    <row r="20" spans="9:22" ht="14.75" customHeight="1" x14ac:dyDescent="0.35">
      <c r="V20" s="109"/>
    </row>
    <row r="21" spans="9:22" x14ac:dyDescent="0.35">
      <c r="V21" s="109"/>
    </row>
    <row r="22" spans="9:22" ht="14.75" customHeight="1" x14ac:dyDescent="0.35">
      <c r="V22" s="109"/>
    </row>
    <row r="24" spans="9:22" x14ac:dyDescent="0.35">
      <c r="V24" s="109"/>
    </row>
    <row r="25" spans="9:22" ht="14.75" customHeight="1" x14ac:dyDescent="0.35">
      <c r="P25" s="54"/>
      <c r="V25" s="109"/>
    </row>
    <row r="26" spans="9:22" ht="14.75" customHeight="1" x14ac:dyDescent="0.35">
      <c r="P26" s="54"/>
      <c r="V26" s="109"/>
    </row>
    <row r="27" spans="9:22" ht="14.75" customHeight="1" x14ac:dyDescent="0.35">
      <c r="T27" s="64"/>
    </row>
    <row r="30" spans="9:22" ht="15" x14ac:dyDescent="0.35">
      <c r="I30" s="44"/>
    </row>
    <row r="35" spans="9:16" ht="15" x14ac:dyDescent="0.35">
      <c r="I35" s="44"/>
    </row>
    <row r="45" spans="9:16" ht="15" x14ac:dyDescent="0.35">
      <c r="P45" s="44"/>
    </row>
    <row r="46" spans="9:16" ht="15" x14ac:dyDescent="0.35">
      <c r="P46" s="44"/>
    </row>
    <row r="47" spans="9:16" ht="15" x14ac:dyDescent="0.35">
      <c r="P47" s="44"/>
    </row>
    <row r="48" spans="9:16" ht="15.5" x14ac:dyDescent="0.35">
      <c r="P48" s="46"/>
    </row>
  </sheetData>
  <mergeCells count="3">
    <mergeCell ref="O16:O19"/>
    <mergeCell ref="V20:V22"/>
    <mergeCell ref="V24:V26"/>
  </mergeCells>
  <printOptions horizontalCentered="1"/>
  <pageMargins left="0.15748031496062992" right="0.15748031496062992" top="0.27559055118110237" bottom="0.31496062992125984" header="0.31496062992125984" footer="0.31496062992125984"/>
  <pageSetup paperSize="9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9608-68F9-4B19-A020-883A0124F48F}">
  <dimension ref="A1:HG44"/>
  <sheetViews>
    <sheetView showGridLines="0" topLeftCell="D3" zoomScale="90" zoomScaleNormal="90" workbookViewId="0">
      <pane xSplit="3" ySplit="3" topLeftCell="H6" activePane="bottomRight" state="frozen"/>
      <selection activeCell="S23" sqref="S23"/>
      <selection pane="topRight" activeCell="S23" sqref="S23"/>
      <selection pane="bottomLeft" activeCell="S23" sqref="S23"/>
      <selection pane="bottomRight" activeCell="S23" sqref="S23"/>
    </sheetView>
  </sheetViews>
  <sheetFormatPr defaultColWidth="9.1796875" defaultRowHeight="13" x14ac:dyDescent="0.35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11.453125" style="1" customWidth="1"/>
    <col min="5" max="5" width="33.1796875" style="1" hidden="1" customWidth="1"/>
    <col min="6" max="6" width="42.81640625" style="1" hidden="1" customWidth="1"/>
    <col min="7" max="7" width="10.54296875" style="1" hidden="1" customWidth="1"/>
    <col min="8" max="8" width="28.1796875" style="1" bestFit="1" customWidth="1"/>
    <col min="9" max="21" width="9" style="1" customWidth="1"/>
    <col min="22" max="37" width="8.453125" style="1" customWidth="1"/>
    <col min="38" max="38" width="9.1796875" style="1"/>
    <col min="39" max="40" width="0" style="1" hidden="1" customWidth="1"/>
    <col min="41" max="41" width="26.1796875" style="1" hidden="1" customWidth="1"/>
    <col min="42" max="64" width="8.1796875" style="1" hidden="1" customWidth="1"/>
    <col min="65" max="93" width="9.1796875" style="1" hidden="1" customWidth="1"/>
    <col min="94" max="94" width="10.81640625" style="1" hidden="1" customWidth="1"/>
    <col min="95" max="95" width="10.1796875" style="1" hidden="1" customWidth="1"/>
    <col min="96" max="96" width="9.81640625" style="1" hidden="1" customWidth="1"/>
    <col min="97" max="149" width="0" style="1" hidden="1" customWidth="1"/>
    <col min="150" max="194" width="7.1796875" style="1" hidden="1" customWidth="1"/>
    <col min="195" max="215" width="7.81640625" style="1" hidden="1" customWidth="1"/>
    <col min="216" max="216" width="0" style="1" hidden="1" customWidth="1"/>
    <col min="217" max="16384" width="9.1796875" style="1"/>
  </cols>
  <sheetData>
    <row r="1" spans="1:215" hidden="1" x14ac:dyDescent="0.35"/>
    <row r="2" spans="1:215" hidden="1" x14ac:dyDescent="0.35"/>
    <row r="3" spans="1:215" ht="19.399999999999999" customHeight="1" x14ac:dyDescent="0.35">
      <c r="D3" s="14" t="s">
        <v>35</v>
      </c>
      <c r="F3" s="14"/>
      <c r="H3" s="14"/>
      <c r="I3" s="104">
        <v>2023</v>
      </c>
      <c r="U3" s="104">
        <v>2024</v>
      </c>
      <c r="AG3" s="104">
        <v>2025</v>
      </c>
      <c r="AH3" s="21"/>
      <c r="AI3" s="21"/>
      <c r="AJ3" s="21"/>
      <c r="AK3" s="21"/>
      <c r="CP3" s="104">
        <v>2023</v>
      </c>
      <c r="CT3" s="84" t="s">
        <v>41</v>
      </c>
      <c r="CU3" s="84" t="s">
        <v>42</v>
      </c>
      <c r="CV3" s="84" t="s">
        <v>43</v>
      </c>
      <c r="CW3" s="84" t="s">
        <v>47</v>
      </c>
      <c r="CX3" s="84">
        <v>7.03</v>
      </c>
      <c r="CY3" s="84">
        <v>14.03</v>
      </c>
      <c r="CZ3" s="84">
        <v>21.03</v>
      </c>
      <c r="DA3" s="84">
        <v>28.03</v>
      </c>
      <c r="DB3" s="84">
        <v>4.04</v>
      </c>
      <c r="DC3" s="84">
        <v>11.04</v>
      </c>
      <c r="DD3" s="84">
        <v>18.04</v>
      </c>
      <c r="DE3" s="84">
        <v>25.04</v>
      </c>
      <c r="DF3" s="84">
        <v>2.0499999999999998</v>
      </c>
      <c r="DG3" s="84">
        <v>9.0500000000000007</v>
      </c>
      <c r="DH3" s="1">
        <v>16.05</v>
      </c>
      <c r="DI3" s="84">
        <v>23.05</v>
      </c>
      <c r="DJ3" s="84">
        <v>30.05</v>
      </c>
      <c r="DK3" s="84">
        <v>6.06</v>
      </c>
      <c r="DL3" s="84">
        <v>13.06</v>
      </c>
      <c r="DM3" s="84">
        <v>20.059999999999999</v>
      </c>
      <c r="DN3" s="84"/>
      <c r="DO3" s="84"/>
      <c r="EO3" s="104">
        <v>2024</v>
      </c>
      <c r="GM3" s="104">
        <v>2025</v>
      </c>
    </row>
    <row r="4" spans="1:215" s="43" customFormat="1" ht="17.5" x14ac:dyDescent="0.35">
      <c r="A4" s="49"/>
      <c r="B4" s="49"/>
      <c r="C4" s="49"/>
      <c r="D4" s="50"/>
      <c r="E4" s="49"/>
      <c r="F4" s="51"/>
      <c r="G4" s="51"/>
      <c r="H4" s="51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</row>
    <row r="5" spans="1:215" s="21" customFormat="1" ht="19.5" customHeight="1" x14ac:dyDescent="0.35">
      <c r="A5" s="22" t="s">
        <v>0</v>
      </c>
      <c r="B5" s="22" t="s">
        <v>1</v>
      </c>
      <c r="C5" s="22" t="s">
        <v>4</v>
      </c>
      <c r="D5" s="23" t="s">
        <v>5</v>
      </c>
      <c r="E5" s="22" t="s">
        <v>6</v>
      </c>
      <c r="F5" s="22" t="s">
        <v>2</v>
      </c>
      <c r="G5" s="22" t="s">
        <v>7</v>
      </c>
      <c r="H5" s="22" t="s">
        <v>2</v>
      </c>
      <c r="I5" s="22" t="s">
        <v>85</v>
      </c>
      <c r="J5" s="63">
        <v>2</v>
      </c>
      <c r="K5" s="63">
        <v>3</v>
      </c>
      <c r="L5" s="63">
        <v>4</v>
      </c>
      <c r="M5" s="63">
        <v>5</v>
      </c>
      <c r="N5" s="63">
        <v>6</v>
      </c>
      <c r="O5" s="63">
        <v>7</v>
      </c>
      <c r="P5" s="63">
        <v>8</v>
      </c>
      <c r="Q5" s="63">
        <v>9</v>
      </c>
      <c r="R5" s="63">
        <v>10</v>
      </c>
      <c r="S5" s="22">
        <v>11</v>
      </c>
      <c r="T5" s="22">
        <v>12</v>
      </c>
      <c r="U5" s="22" t="s">
        <v>54</v>
      </c>
      <c r="V5" s="22">
        <v>2</v>
      </c>
      <c r="W5" s="22">
        <v>3</v>
      </c>
      <c r="X5" s="22">
        <v>4</v>
      </c>
      <c r="Y5" s="22">
        <v>5</v>
      </c>
      <c r="Z5" s="22">
        <v>6</v>
      </c>
      <c r="AA5" s="22">
        <v>7</v>
      </c>
      <c r="AB5" s="22">
        <v>8</v>
      </c>
      <c r="AC5" s="22">
        <v>9</v>
      </c>
      <c r="AD5" s="22">
        <v>10</v>
      </c>
      <c r="AE5" s="22">
        <v>11</v>
      </c>
      <c r="AF5" s="22">
        <v>12</v>
      </c>
      <c r="AG5" s="22" t="s">
        <v>81</v>
      </c>
      <c r="AH5" s="22">
        <v>2</v>
      </c>
      <c r="AI5" s="22">
        <v>3</v>
      </c>
      <c r="AJ5" s="22">
        <v>4</v>
      </c>
      <c r="AK5" s="22">
        <v>5</v>
      </c>
      <c r="AM5" s="23" t="s">
        <v>5</v>
      </c>
      <c r="AN5" s="22" t="s">
        <v>6</v>
      </c>
      <c r="AO5" s="22" t="s">
        <v>2</v>
      </c>
      <c r="AP5" s="22">
        <v>1</v>
      </c>
      <c r="AQ5" s="22">
        <f>+AP5+1</f>
        <v>2</v>
      </c>
      <c r="AR5" s="22">
        <f t="shared" ref="AR5:BL5" si="0">+AQ5+1</f>
        <v>3</v>
      </c>
      <c r="AS5" s="22">
        <f t="shared" si="0"/>
        <v>4</v>
      </c>
      <c r="AT5" s="22">
        <f t="shared" si="0"/>
        <v>5</v>
      </c>
      <c r="AU5" s="22">
        <f t="shared" si="0"/>
        <v>6</v>
      </c>
      <c r="AV5" s="22">
        <f t="shared" si="0"/>
        <v>7</v>
      </c>
      <c r="AW5" s="22">
        <f t="shared" si="0"/>
        <v>8</v>
      </c>
      <c r="AX5" s="22">
        <f t="shared" si="0"/>
        <v>9</v>
      </c>
      <c r="AY5" s="22">
        <f t="shared" si="0"/>
        <v>10</v>
      </c>
      <c r="AZ5" s="22">
        <f t="shared" si="0"/>
        <v>11</v>
      </c>
      <c r="BA5" s="22">
        <f t="shared" si="0"/>
        <v>12</v>
      </c>
      <c r="BB5" s="22">
        <f t="shared" si="0"/>
        <v>13</v>
      </c>
      <c r="BC5" s="22">
        <f t="shared" si="0"/>
        <v>14</v>
      </c>
      <c r="BD5" s="22">
        <f t="shared" si="0"/>
        <v>15</v>
      </c>
      <c r="BE5" s="22">
        <f t="shared" si="0"/>
        <v>16</v>
      </c>
      <c r="BF5" s="22">
        <f t="shared" si="0"/>
        <v>17</v>
      </c>
      <c r="BG5" s="22">
        <f t="shared" si="0"/>
        <v>18</v>
      </c>
      <c r="BH5" s="22">
        <f t="shared" si="0"/>
        <v>19</v>
      </c>
      <c r="BI5" s="22">
        <f t="shared" si="0"/>
        <v>20</v>
      </c>
      <c r="BJ5" s="22">
        <f t="shared" si="0"/>
        <v>21</v>
      </c>
      <c r="BK5" s="22">
        <f t="shared" si="0"/>
        <v>22</v>
      </c>
      <c r="BL5" s="22">
        <f t="shared" si="0"/>
        <v>23</v>
      </c>
      <c r="BM5" s="65">
        <v>24</v>
      </c>
      <c r="BN5" s="65">
        <v>25</v>
      </c>
      <c r="BO5" s="65">
        <v>26</v>
      </c>
      <c r="BP5" s="65">
        <v>27</v>
      </c>
      <c r="BQ5" s="65">
        <v>28</v>
      </c>
      <c r="BR5" s="65">
        <v>29</v>
      </c>
      <c r="BS5" s="65">
        <v>30</v>
      </c>
      <c r="BT5" s="65">
        <v>31</v>
      </c>
      <c r="BU5" s="65">
        <v>32</v>
      </c>
      <c r="BV5" s="65">
        <v>33</v>
      </c>
      <c r="BW5" s="65">
        <v>34</v>
      </c>
      <c r="BX5" s="65">
        <v>35</v>
      </c>
      <c r="BY5" s="65">
        <v>36</v>
      </c>
      <c r="BZ5" s="65">
        <v>37</v>
      </c>
      <c r="CA5" s="65">
        <v>38</v>
      </c>
      <c r="CB5" s="65">
        <v>39</v>
      </c>
      <c r="CC5" s="65">
        <v>40</v>
      </c>
      <c r="CD5" s="65">
        <v>41</v>
      </c>
      <c r="CE5" s="65">
        <v>42</v>
      </c>
      <c r="CF5" s="65">
        <v>43</v>
      </c>
      <c r="CG5" s="65">
        <v>44</v>
      </c>
      <c r="CH5" s="65">
        <v>45</v>
      </c>
      <c r="CI5" s="74">
        <v>46</v>
      </c>
      <c r="CJ5" s="74">
        <v>47</v>
      </c>
      <c r="CK5" s="74">
        <v>48</v>
      </c>
      <c r="CL5" s="74">
        <v>49</v>
      </c>
      <c r="CM5" s="74">
        <v>50</v>
      </c>
      <c r="CN5" s="74">
        <v>51</v>
      </c>
      <c r="CO5" s="74">
        <v>52</v>
      </c>
      <c r="CP5" s="65" t="s">
        <v>49</v>
      </c>
      <c r="CQ5" s="65">
        <v>2</v>
      </c>
      <c r="CR5" s="65">
        <v>3</v>
      </c>
      <c r="CS5" s="65">
        <v>5</v>
      </c>
      <c r="CT5" s="65">
        <v>6</v>
      </c>
      <c r="CU5" s="65">
        <v>7</v>
      </c>
      <c r="CV5" s="65">
        <v>8</v>
      </c>
      <c r="CW5" s="65">
        <v>9</v>
      </c>
      <c r="CX5" s="65">
        <v>10</v>
      </c>
      <c r="CY5" s="65">
        <v>11</v>
      </c>
      <c r="CZ5" s="65">
        <v>12</v>
      </c>
      <c r="DA5" s="65">
        <v>13</v>
      </c>
      <c r="DB5" s="65">
        <v>14</v>
      </c>
      <c r="DC5" s="65">
        <v>15</v>
      </c>
      <c r="DD5" s="65">
        <v>16</v>
      </c>
      <c r="DE5" s="65">
        <v>17</v>
      </c>
      <c r="DF5" s="65">
        <v>18</v>
      </c>
      <c r="DG5" s="65">
        <v>19</v>
      </c>
      <c r="DH5" s="65">
        <v>20</v>
      </c>
      <c r="DI5" s="65">
        <v>21</v>
      </c>
      <c r="DJ5" s="65">
        <v>22</v>
      </c>
      <c r="DK5" s="65">
        <v>23</v>
      </c>
      <c r="DL5" s="65">
        <v>24</v>
      </c>
      <c r="DM5" s="65">
        <v>25</v>
      </c>
      <c r="DN5" s="65">
        <v>26</v>
      </c>
      <c r="DO5" s="65">
        <v>27</v>
      </c>
      <c r="DP5" s="65">
        <v>28</v>
      </c>
      <c r="DQ5" s="65">
        <v>29</v>
      </c>
      <c r="DR5" s="65">
        <v>30</v>
      </c>
      <c r="DS5" s="65">
        <v>31</v>
      </c>
      <c r="DT5" s="65">
        <v>32</v>
      </c>
      <c r="DU5" s="65">
        <v>33</v>
      </c>
      <c r="DV5" s="74">
        <v>34</v>
      </c>
      <c r="DW5" s="74">
        <v>35</v>
      </c>
      <c r="DX5" s="74">
        <v>36</v>
      </c>
      <c r="DY5" s="74">
        <v>37</v>
      </c>
      <c r="DZ5" s="74">
        <v>38</v>
      </c>
      <c r="EA5" s="74">
        <v>39</v>
      </c>
      <c r="EB5" s="74">
        <v>40</v>
      </c>
      <c r="EC5" s="74">
        <v>41</v>
      </c>
      <c r="ED5" s="74">
        <v>42</v>
      </c>
      <c r="EE5" s="74">
        <v>43</v>
      </c>
      <c r="EF5" s="74">
        <v>44</v>
      </c>
      <c r="EG5" s="74">
        <v>45</v>
      </c>
      <c r="EH5" s="74">
        <v>46</v>
      </c>
      <c r="EI5" s="74">
        <v>47</v>
      </c>
      <c r="EJ5" s="74">
        <v>48</v>
      </c>
      <c r="EK5" s="74">
        <v>49</v>
      </c>
      <c r="EL5" s="74">
        <v>50</v>
      </c>
      <c r="EM5" s="74">
        <v>51</v>
      </c>
      <c r="EN5" s="74">
        <v>52</v>
      </c>
      <c r="EO5" s="74" t="s">
        <v>52</v>
      </c>
      <c r="EP5" s="65" t="s">
        <v>55</v>
      </c>
      <c r="EQ5" s="65" t="s">
        <v>56</v>
      </c>
      <c r="ER5" s="65" t="s">
        <v>57</v>
      </c>
      <c r="ES5" s="65" t="s">
        <v>58</v>
      </c>
      <c r="ET5" s="65" t="s">
        <v>63</v>
      </c>
      <c r="EU5" s="65" t="s">
        <v>64</v>
      </c>
      <c r="EV5" s="65" t="s">
        <v>65</v>
      </c>
      <c r="EW5" s="65" t="s">
        <v>66</v>
      </c>
      <c r="EX5" s="65" t="s">
        <v>67</v>
      </c>
      <c r="EY5" s="65" t="s">
        <v>68</v>
      </c>
      <c r="EZ5" s="65" t="s">
        <v>69</v>
      </c>
      <c r="FA5" s="65" t="s">
        <v>70</v>
      </c>
      <c r="FB5" s="65" t="s">
        <v>71</v>
      </c>
      <c r="FC5" s="65" t="s">
        <v>72</v>
      </c>
      <c r="FD5" s="65" t="s">
        <v>73</v>
      </c>
      <c r="FE5" s="65" t="s">
        <v>74</v>
      </c>
      <c r="FF5" s="65" t="s">
        <v>75</v>
      </c>
      <c r="FG5" s="65" t="s">
        <v>76</v>
      </c>
      <c r="FH5" s="65" t="s">
        <v>77</v>
      </c>
      <c r="FI5" s="65" t="s">
        <v>78</v>
      </c>
      <c r="FJ5" s="65" t="s">
        <v>79</v>
      </c>
      <c r="FK5" s="65" t="s">
        <v>80</v>
      </c>
      <c r="FL5" s="65">
        <v>26</v>
      </c>
      <c r="FM5" s="65">
        <v>27</v>
      </c>
      <c r="FN5" s="65">
        <v>28</v>
      </c>
      <c r="FO5" s="65">
        <v>29</v>
      </c>
      <c r="FP5" s="65">
        <v>30</v>
      </c>
      <c r="FQ5" s="65">
        <v>31</v>
      </c>
      <c r="FR5" s="65">
        <v>32</v>
      </c>
      <c r="FS5" s="65">
        <v>33</v>
      </c>
      <c r="FT5" s="65">
        <v>34</v>
      </c>
      <c r="FU5" s="65">
        <v>35</v>
      </c>
      <c r="FV5" s="65">
        <v>36</v>
      </c>
      <c r="FW5" s="65">
        <v>37</v>
      </c>
      <c r="FX5" s="65">
        <v>38</v>
      </c>
      <c r="FY5" s="65">
        <v>39</v>
      </c>
      <c r="FZ5" s="65">
        <v>40</v>
      </c>
      <c r="GA5" s="65">
        <v>41</v>
      </c>
      <c r="GB5" s="65">
        <v>42</v>
      </c>
      <c r="GC5" s="65">
        <v>43</v>
      </c>
      <c r="GD5" s="65">
        <v>44</v>
      </c>
      <c r="GE5" s="65">
        <v>45</v>
      </c>
      <c r="GF5" s="65">
        <v>46</v>
      </c>
      <c r="GG5" s="65">
        <v>47</v>
      </c>
      <c r="GH5" s="65">
        <v>48</v>
      </c>
      <c r="GI5" s="65">
        <v>49</v>
      </c>
      <c r="GJ5" s="65">
        <v>50</v>
      </c>
      <c r="GK5" s="65">
        <v>51</v>
      </c>
      <c r="GL5" s="65">
        <v>52</v>
      </c>
      <c r="GM5" s="65" t="s">
        <v>53</v>
      </c>
      <c r="GN5" s="65" t="s">
        <v>55</v>
      </c>
      <c r="GO5" s="65" t="s">
        <v>56</v>
      </c>
      <c r="GP5" s="65" t="s">
        <v>57</v>
      </c>
      <c r="GQ5" s="65" t="s">
        <v>82</v>
      </c>
      <c r="GR5" s="65" t="s">
        <v>84</v>
      </c>
      <c r="GS5" s="65" t="s">
        <v>63</v>
      </c>
      <c r="GT5" s="65" t="s">
        <v>64</v>
      </c>
      <c r="GU5" s="65" t="s">
        <v>65</v>
      </c>
      <c r="GV5" s="65" t="s">
        <v>66</v>
      </c>
      <c r="GW5" s="65" t="s">
        <v>67</v>
      </c>
      <c r="GX5" s="65" t="s">
        <v>68</v>
      </c>
      <c r="GY5" s="65" t="s">
        <v>69</v>
      </c>
      <c r="GZ5" s="65" t="s">
        <v>70</v>
      </c>
      <c r="HA5" s="65" t="s">
        <v>71</v>
      </c>
      <c r="HB5" s="65" t="s">
        <v>72</v>
      </c>
      <c r="HC5" s="65" t="s">
        <v>73</v>
      </c>
      <c r="HD5" s="65" t="s">
        <v>74</v>
      </c>
      <c r="HE5" s="65" t="s">
        <v>75</v>
      </c>
      <c r="HF5" s="65" t="s">
        <v>76</v>
      </c>
      <c r="HG5" s="65" t="s">
        <v>77</v>
      </c>
    </row>
    <row r="6" spans="1:215" ht="14" x14ac:dyDescent="0.35">
      <c r="A6" s="8">
        <v>5</v>
      </c>
      <c r="B6" s="10" t="s">
        <v>11</v>
      </c>
      <c r="C6" s="10" t="s">
        <v>12</v>
      </c>
      <c r="D6" s="8" t="s">
        <v>83</v>
      </c>
      <c r="E6" s="10" t="s">
        <v>14</v>
      </c>
      <c r="F6" s="10" t="s">
        <v>60</v>
      </c>
      <c r="G6" s="8" t="s">
        <v>10</v>
      </c>
      <c r="H6" s="10" t="s">
        <v>60</v>
      </c>
      <c r="I6" s="34">
        <f>+SUM(CP6:CS6)/4</f>
        <v>1330</v>
      </c>
      <c r="J6" s="11">
        <f>+SUM(CT6:CW6)/4</f>
        <v>1330</v>
      </c>
      <c r="K6" s="11">
        <f>+SUM(CX6:CZ6)/COUNT(CX6:CZ6)</f>
        <v>1380</v>
      </c>
      <c r="L6" s="11">
        <f>+SUM(DB6:DE6)/COUNT(DB6:DE6)</f>
        <v>1380</v>
      </c>
      <c r="M6" s="11">
        <f>+SUM(DF6:DJ6)/COUNT(DF6:DJ6)</f>
        <v>1380</v>
      </c>
      <c r="N6" s="11">
        <v>1380</v>
      </c>
      <c r="O6" s="11">
        <v>1300</v>
      </c>
      <c r="P6" s="34">
        <f>DS6</f>
        <v>1250</v>
      </c>
      <c r="Q6" s="34">
        <v>1250</v>
      </c>
      <c r="R6" s="34">
        <v>1250</v>
      </c>
      <c r="S6" s="34">
        <v>1250</v>
      </c>
      <c r="T6" s="34">
        <v>1250</v>
      </c>
      <c r="U6" s="34">
        <v>1250</v>
      </c>
      <c r="V6" s="34">
        <v>1250</v>
      </c>
      <c r="W6" s="34">
        <v>1250</v>
      </c>
      <c r="X6" s="34">
        <v>1250</v>
      </c>
      <c r="Y6" s="34">
        <v>1300</v>
      </c>
      <c r="Z6" s="34">
        <v>1300</v>
      </c>
      <c r="AA6" s="34">
        <v>1300</v>
      </c>
      <c r="AB6" s="34">
        <v>1300</v>
      </c>
      <c r="AC6" s="34">
        <v>1310</v>
      </c>
      <c r="AD6" s="34">
        <v>1325</v>
      </c>
      <c r="AE6" s="34">
        <v>1325</v>
      </c>
      <c r="AF6" s="34">
        <f>1325-50</f>
        <v>1275</v>
      </c>
      <c r="AG6" s="34">
        <f>1325-50-45</f>
        <v>1230</v>
      </c>
      <c r="AH6" s="34">
        <f>1325-50-45</f>
        <v>1230</v>
      </c>
      <c r="AI6" s="34">
        <f>1325-50-45</f>
        <v>1230</v>
      </c>
      <c r="AJ6" s="34">
        <f>1325-50-45+20</f>
        <v>1250</v>
      </c>
      <c r="AK6" s="34">
        <f>1325-50-45+20</f>
        <v>1250</v>
      </c>
      <c r="AM6" s="8" t="s">
        <v>13</v>
      </c>
      <c r="AN6" s="10" t="s">
        <v>14</v>
      </c>
      <c r="AO6" s="81" t="s">
        <v>60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1">
        <v>1550</v>
      </c>
      <c r="BN6" s="11">
        <v>1550</v>
      </c>
      <c r="BO6" s="11">
        <v>1550</v>
      </c>
      <c r="BP6" s="11">
        <v>1550</v>
      </c>
      <c r="BQ6" s="11">
        <v>1550</v>
      </c>
      <c r="BR6" s="11">
        <v>1550</v>
      </c>
      <c r="BS6" s="11">
        <v>1550</v>
      </c>
      <c r="BT6" s="11">
        <v>1480</v>
      </c>
      <c r="BU6" s="11">
        <v>1480</v>
      </c>
      <c r="BV6" s="11">
        <v>1480</v>
      </c>
      <c r="BW6" s="11">
        <v>1480</v>
      </c>
      <c r="BX6" s="11">
        <v>1480</v>
      </c>
      <c r="BY6" s="11">
        <v>1410</v>
      </c>
      <c r="BZ6" s="11">
        <v>1410</v>
      </c>
      <c r="CA6" s="11">
        <v>1410</v>
      </c>
      <c r="CB6" s="11">
        <v>1410</v>
      </c>
      <c r="CC6" s="11" t="e">
        <f>#REF!/CC4*1000</f>
        <v>#REF!</v>
      </c>
      <c r="CD6" s="34" t="e">
        <f>#REF!/CD4*1000</f>
        <v>#REF!</v>
      </c>
      <c r="CE6" s="34" t="e">
        <f>#REF!/CE4*1000</f>
        <v>#REF!</v>
      </c>
      <c r="CF6" s="34" t="e">
        <f>#REF!/CF4*1000</f>
        <v>#REF!</v>
      </c>
      <c r="CG6" s="34">
        <v>1380</v>
      </c>
      <c r="CH6" s="34">
        <v>1380</v>
      </c>
      <c r="CI6" s="34">
        <v>1380</v>
      </c>
      <c r="CJ6" s="34">
        <v>1380</v>
      </c>
      <c r="CK6" s="34">
        <v>1380</v>
      </c>
      <c r="CL6" s="34">
        <v>1380</v>
      </c>
      <c r="CM6" s="34">
        <v>1380</v>
      </c>
      <c r="CN6" s="34">
        <v>1330</v>
      </c>
      <c r="CO6" s="34">
        <v>1330</v>
      </c>
      <c r="CP6" s="34">
        <v>1330</v>
      </c>
      <c r="CQ6" s="34">
        <v>1330</v>
      </c>
      <c r="CR6" s="34">
        <v>1330</v>
      </c>
      <c r="CS6" s="34">
        <v>1330</v>
      </c>
      <c r="CT6" s="34">
        <v>1330</v>
      </c>
      <c r="CU6" s="34">
        <v>1330</v>
      </c>
      <c r="CV6" s="34">
        <v>1330</v>
      </c>
      <c r="CW6" s="34">
        <v>1330</v>
      </c>
      <c r="CX6" s="34">
        <v>1380</v>
      </c>
      <c r="CY6" s="34">
        <v>1380</v>
      </c>
      <c r="CZ6" s="34">
        <v>1380</v>
      </c>
      <c r="DA6" s="34">
        <v>1380</v>
      </c>
      <c r="DB6" s="34">
        <v>1380</v>
      </c>
      <c r="DC6" s="34">
        <v>1380</v>
      </c>
      <c r="DD6" s="34">
        <v>1380</v>
      </c>
      <c r="DE6" s="34">
        <v>1380</v>
      </c>
      <c r="DF6" s="34">
        <v>1380</v>
      </c>
      <c r="DG6" s="34">
        <v>1380</v>
      </c>
      <c r="DH6" s="34">
        <v>1380</v>
      </c>
      <c r="DI6" s="34">
        <v>1380</v>
      </c>
      <c r="DJ6" s="34">
        <v>1380</v>
      </c>
      <c r="DK6" s="34">
        <v>1350</v>
      </c>
      <c r="DL6" s="34">
        <v>1350</v>
      </c>
      <c r="DM6" s="34">
        <v>1300</v>
      </c>
      <c r="DN6" s="34">
        <v>1300</v>
      </c>
      <c r="DO6" s="34">
        <v>1300</v>
      </c>
      <c r="DP6" s="34">
        <v>1300</v>
      </c>
      <c r="DQ6" s="34">
        <v>1250</v>
      </c>
      <c r="DR6" s="34">
        <v>1250</v>
      </c>
      <c r="DS6" s="34">
        <v>1250</v>
      </c>
      <c r="DT6" s="34">
        <v>1250</v>
      </c>
      <c r="DU6" s="34">
        <v>1250</v>
      </c>
      <c r="DV6" s="34">
        <v>1250</v>
      </c>
      <c r="DW6" s="34">
        <v>1250</v>
      </c>
      <c r="DX6" s="34">
        <v>1250</v>
      </c>
      <c r="DY6" s="34">
        <v>1250</v>
      </c>
      <c r="DZ6" s="34">
        <v>1250</v>
      </c>
      <c r="EA6" s="34">
        <v>1250</v>
      </c>
      <c r="EB6" s="34">
        <v>1250</v>
      </c>
      <c r="EC6" s="34">
        <v>1250</v>
      </c>
      <c r="ED6" s="34">
        <v>1250</v>
      </c>
      <c r="EE6" s="34">
        <v>1250</v>
      </c>
      <c r="EF6" s="34">
        <v>1250</v>
      </c>
      <c r="EG6" s="34">
        <v>1250</v>
      </c>
      <c r="EH6" s="34">
        <v>1250</v>
      </c>
      <c r="EI6" s="34">
        <v>1250</v>
      </c>
      <c r="EJ6" s="34">
        <v>1250</v>
      </c>
      <c r="EK6" s="34">
        <v>1250</v>
      </c>
      <c r="EL6" s="34">
        <v>1250</v>
      </c>
      <c r="EM6" s="34">
        <v>1250</v>
      </c>
      <c r="EN6" s="34">
        <v>1250</v>
      </c>
      <c r="EO6" s="34">
        <v>1250</v>
      </c>
      <c r="EP6" s="34">
        <v>1250</v>
      </c>
      <c r="EQ6" s="34">
        <v>1250</v>
      </c>
      <c r="ER6" s="34">
        <v>1250</v>
      </c>
      <c r="ES6" s="34">
        <v>1250</v>
      </c>
      <c r="ET6" s="34">
        <v>1250</v>
      </c>
      <c r="EU6" s="34">
        <v>1250</v>
      </c>
      <c r="EV6" s="34">
        <v>1250</v>
      </c>
      <c r="EW6" s="34">
        <v>1250</v>
      </c>
      <c r="EX6" s="34">
        <v>1250</v>
      </c>
      <c r="EY6" s="34">
        <v>1250</v>
      </c>
      <c r="EZ6" s="34">
        <v>1250</v>
      </c>
      <c r="FA6" s="34">
        <v>1250</v>
      </c>
      <c r="FB6" s="34">
        <v>1250</v>
      </c>
      <c r="FC6" s="34">
        <v>1250</v>
      </c>
      <c r="FD6" s="34">
        <v>1300</v>
      </c>
      <c r="FE6" s="34">
        <v>1300</v>
      </c>
      <c r="FF6" s="34">
        <v>1300</v>
      </c>
      <c r="FG6" s="34">
        <v>1300</v>
      </c>
      <c r="FH6" s="34">
        <v>1300</v>
      </c>
      <c r="FI6" s="34">
        <v>1300</v>
      </c>
      <c r="FJ6" s="34">
        <v>1300</v>
      </c>
      <c r="FK6" s="34">
        <v>1300</v>
      </c>
      <c r="FL6" s="34">
        <v>1300</v>
      </c>
      <c r="FM6" s="34">
        <v>1300</v>
      </c>
      <c r="FN6" s="34">
        <v>1300</v>
      </c>
      <c r="FO6" s="34">
        <v>1300</v>
      </c>
      <c r="FP6" s="34">
        <v>1300</v>
      </c>
      <c r="FQ6" s="34">
        <v>1300</v>
      </c>
      <c r="FR6" s="34">
        <v>1300</v>
      </c>
      <c r="FS6" s="34">
        <v>1300</v>
      </c>
      <c r="FT6" s="34">
        <v>1300</v>
      </c>
      <c r="FU6" s="34">
        <v>1300</v>
      </c>
      <c r="FV6" s="34">
        <v>1310</v>
      </c>
      <c r="FW6" s="34">
        <v>1310</v>
      </c>
      <c r="FX6" s="34">
        <v>1310</v>
      </c>
      <c r="FY6" s="34">
        <v>1310</v>
      </c>
      <c r="FZ6" s="34">
        <v>1325</v>
      </c>
      <c r="GA6" s="34">
        <v>1325</v>
      </c>
      <c r="GB6" s="34">
        <v>1325</v>
      </c>
      <c r="GC6" s="34">
        <v>1325</v>
      </c>
      <c r="GD6" s="34">
        <v>1325</v>
      </c>
      <c r="GE6" s="34">
        <v>1325</v>
      </c>
      <c r="GF6" s="34">
        <v>1325</v>
      </c>
      <c r="GG6" s="34">
        <v>1325</v>
      </c>
      <c r="GH6" s="34">
        <v>1325</v>
      </c>
      <c r="GI6" s="34">
        <f>1325-50</f>
        <v>1275</v>
      </c>
      <c r="GJ6" s="34">
        <f>GI6</f>
        <v>1275</v>
      </c>
      <c r="GK6" s="34">
        <f t="shared" ref="GK6:GL6" si="1">GJ6</f>
        <v>1275</v>
      </c>
      <c r="GL6" s="34">
        <f t="shared" si="1"/>
        <v>1275</v>
      </c>
      <c r="GM6" s="34">
        <v>1230</v>
      </c>
      <c r="GN6" s="34">
        <f t="shared" ref="GN6:GP6" si="2">GM6</f>
        <v>1230</v>
      </c>
      <c r="GO6" s="34">
        <f t="shared" si="2"/>
        <v>1230</v>
      </c>
      <c r="GP6" s="34">
        <f t="shared" si="2"/>
        <v>1230</v>
      </c>
      <c r="GQ6" s="34">
        <f>GP6</f>
        <v>1230</v>
      </c>
      <c r="GR6" s="34">
        <f t="shared" ref="GR6:GV6" si="3">GQ6</f>
        <v>1230</v>
      </c>
      <c r="GS6" s="34">
        <f t="shared" si="3"/>
        <v>1230</v>
      </c>
      <c r="GT6" s="34">
        <f t="shared" si="3"/>
        <v>1230</v>
      </c>
      <c r="GU6" s="34">
        <f t="shared" si="3"/>
        <v>1230</v>
      </c>
      <c r="GV6" s="34">
        <f t="shared" si="3"/>
        <v>1230</v>
      </c>
      <c r="GW6" s="34">
        <f t="shared" ref="GW6" si="4">GV6</f>
        <v>1230</v>
      </c>
      <c r="GX6" s="34">
        <f t="shared" ref="GX6" si="5">GW6</f>
        <v>1230</v>
      </c>
      <c r="GY6" s="34">
        <f>GX6+20</f>
        <v>1250</v>
      </c>
      <c r="GZ6" s="34">
        <f t="shared" ref="GZ6" si="6">GY6</f>
        <v>1250</v>
      </c>
      <c r="HA6" s="34">
        <f t="shared" ref="HA6" si="7">GZ6</f>
        <v>1250</v>
      </c>
      <c r="HB6" s="34">
        <f t="shared" ref="HB6:HC6" si="8">HA6</f>
        <v>1250</v>
      </c>
      <c r="HC6" s="34">
        <f t="shared" si="8"/>
        <v>1250</v>
      </c>
      <c r="HD6" s="34">
        <f t="shared" ref="HD6" si="9">HC6</f>
        <v>1250</v>
      </c>
      <c r="HE6" s="34">
        <f t="shared" ref="HE6" si="10">HD6</f>
        <v>1250</v>
      </c>
      <c r="HF6" s="34">
        <f t="shared" ref="HF6" si="11">HE6</f>
        <v>1250</v>
      </c>
      <c r="HG6" s="34">
        <f t="shared" ref="HG6" si="12">HF6</f>
        <v>1250</v>
      </c>
    </row>
    <row r="7" spans="1:215" ht="14" hidden="1" x14ac:dyDescent="0.35">
      <c r="A7" s="8">
        <v>6</v>
      </c>
      <c r="B7" s="10" t="s">
        <v>11</v>
      </c>
      <c r="C7" s="10" t="s">
        <v>12</v>
      </c>
      <c r="D7" s="8" t="s">
        <v>13</v>
      </c>
      <c r="E7" s="10" t="s">
        <v>14</v>
      </c>
      <c r="F7" s="10" t="s">
        <v>36</v>
      </c>
      <c r="G7" s="8" t="s">
        <v>10</v>
      </c>
      <c r="H7" s="81" t="s">
        <v>60</v>
      </c>
      <c r="I7" s="11">
        <f>+SUM(CP7:CS7)/4</f>
        <v>1330</v>
      </c>
      <c r="J7" s="11">
        <f>+SUM(CQ7:CT7)/4</f>
        <v>1330</v>
      </c>
      <c r="K7" s="11">
        <f>+SUM(CX7:CZ7)/COUNT(CX7:CZ7)</f>
        <v>1380</v>
      </c>
      <c r="L7" s="11">
        <f>+SUM(DB7:DE7)/COUNT(DB7:DE7)</f>
        <v>1380</v>
      </c>
      <c r="M7" s="11">
        <f>+SUM(DF7:DJ7)/COUNT(DF7:DJ7)</f>
        <v>1380</v>
      </c>
      <c r="N7" s="11">
        <f>+SUM(DK7:DN7)/COUNT(DK7:DN7)</f>
        <v>1325</v>
      </c>
      <c r="O7" s="11">
        <f>+SUM(DO7:DR7)/COUNT(DO7:DR7)</f>
        <v>1275</v>
      </c>
      <c r="P7" s="34">
        <f>+SUM(DS7:DW7)/COUNT(DS7:DW7)</f>
        <v>1250</v>
      </c>
      <c r="Q7" s="34">
        <f t="shared" ref="Q7:AK8" si="13">DX7</f>
        <v>1250</v>
      </c>
      <c r="R7" s="34">
        <f t="shared" si="13"/>
        <v>1250</v>
      </c>
      <c r="S7" s="34">
        <f t="shared" si="13"/>
        <v>1250</v>
      </c>
      <c r="T7" s="34">
        <f t="shared" si="13"/>
        <v>1250</v>
      </c>
      <c r="U7" s="34">
        <f t="shared" si="13"/>
        <v>1250</v>
      </c>
      <c r="V7" s="34">
        <f t="shared" si="13"/>
        <v>1250</v>
      </c>
      <c r="W7" s="34">
        <f t="shared" si="13"/>
        <v>1250</v>
      </c>
      <c r="X7" s="34">
        <f t="shared" si="13"/>
        <v>1250</v>
      </c>
      <c r="Y7" s="34">
        <v>1300</v>
      </c>
      <c r="Z7" s="34">
        <v>1300</v>
      </c>
      <c r="AA7" s="34">
        <v>1300</v>
      </c>
      <c r="AB7" s="34">
        <v>1300</v>
      </c>
      <c r="AC7" s="34">
        <v>1300</v>
      </c>
      <c r="AD7" s="34">
        <v>1300</v>
      </c>
      <c r="AE7" s="34">
        <v>1300</v>
      </c>
      <c r="AF7" s="34">
        <v>1300</v>
      </c>
      <c r="AG7" s="34">
        <v>1300</v>
      </c>
      <c r="AH7" s="34">
        <v>1300</v>
      </c>
      <c r="AI7" s="34">
        <v>1300</v>
      </c>
      <c r="AJ7" s="34">
        <v>1300</v>
      </c>
      <c r="AK7" s="34">
        <v>1300</v>
      </c>
      <c r="AL7" s="35"/>
      <c r="AM7" s="8" t="s">
        <v>51</v>
      </c>
      <c r="AN7" s="10" t="s">
        <v>14</v>
      </c>
      <c r="AO7" s="81" t="s">
        <v>60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1">
        <f t="shared" ref="BM7:CF7" si="14">BM6+20</f>
        <v>1570</v>
      </c>
      <c r="BN7" s="11">
        <f t="shared" si="14"/>
        <v>1570</v>
      </c>
      <c r="BO7" s="11">
        <f t="shared" si="14"/>
        <v>1570</v>
      </c>
      <c r="BP7" s="11">
        <f t="shared" si="14"/>
        <v>1570</v>
      </c>
      <c r="BQ7" s="11">
        <f t="shared" si="14"/>
        <v>1570</v>
      </c>
      <c r="BR7" s="11">
        <f t="shared" si="14"/>
        <v>1570</v>
      </c>
      <c r="BS7" s="11">
        <f t="shared" si="14"/>
        <v>1570</v>
      </c>
      <c r="BT7" s="11">
        <f t="shared" si="14"/>
        <v>1500</v>
      </c>
      <c r="BU7" s="11">
        <f t="shared" si="14"/>
        <v>1500</v>
      </c>
      <c r="BV7" s="11">
        <f t="shared" si="14"/>
        <v>1500</v>
      </c>
      <c r="BW7" s="11">
        <f t="shared" si="14"/>
        <v>1500</v>
      </c>
      <c r="BX7" s="11">
        <f t="shared" si="14"/>
        <v>1500</v>
      </c>
      <c r="BY7" s="11">
        <f t="shared" si="14"/>
        <v>1430</v>
      </c>
      <c r="BZ7" s="11">
        <f t="shared" si="14"/>
        <v>1430</v>
      </c>
      <c r="CA7" s="11">
        <f t="shared" si="14"/>
        <v>1430</v>
      </c>
      <c r="CB7" s="11">
        <f t="shared" si="14"/>
        <v>1430</v>
      </c>
      <c r="CC7" s="11" t="e">
        <f t="shared" si="14"/>
        <v>#REF!</v>
      </c>
      <c r="CD7" s="34" t="e">
        <f t="shared" si="14"/>
        <v>#REF!</v>
      </c>
      <c r="CE7" s="11" t="e">
        <f t="shared" si="14"/>
        <v>#REF!</v>
      </c>
      <c r="CF7" s="11" t="e">
        <f t="shared" si="14"/>
        <v>#REF!</v>
      </c>
      <c r="CG7" s="11">
        <v>1400</v>
      </c>
      <c r="CH7" s="11">
        <v>1400</v>
      </c>
      <c r="CI7" s="11">
        <v>1400</v>
      </c>
      <c r="CJ7" s="11">
        <v>1400</v>
      </c>
      <c r="CK7" s="11">
        <v>1400</v>
      </c>
      <c r="CL7" s="11">
        <v>1400</v>
      </c>
      <c r="CM7" s="11">
        <v>1400</v>
      </c>
      <c r="CN7" s="11">
        <v>1350</v>
      </c>
      <c r="CO7" s="11">
        <v>1350</v>
      </c>
      <c r="CP7" s="11">
        <f t="shared" ref="CP7:DU7" si="15">CP6</f>
        <v>1330</v>
      </c>
      <c r="CQ7" s="11">
        <f t="shared" si="15"/>
        <v>1330</v>
      </c>
      <c r="CR7" s="11">
        <f t="shared" si="15"/>
        <v>1330</v>
      </c>
      <c r="CS7" s="11">
        <f t="shared" si="15"/>
        <v>1330</v>
      </c>
      <c r="CT7" s="11">
        <f t="shared" si="15"/>
        <v>1330</v>
      </c>
      <c r="CU7" s="11">
        <f t="shared" si="15"/>
        <v>1330</v>
      </c>
      <c r="CV7" s="11">
        <f t="shared" si="15"/>
        <v>1330</v>
      </c>
      <c r="CW7" s="11">
        <f t="shared" si="15"/>
        <v>1330</v>
      </c>
      <c r="CX7" s="11">
        <f t="shared" si="15"/>
        <v>1380</v>
      </c>
      <c r="CY7" s="11">
        <f t="shared" si="15"/>
        <v>1380</v>
      </c>
      <c r="CZ7" s="11">
        <f t="shared" si="15"/>
        <v>1380</v>
      </c>
      <c r="DA7" s="11">
        <f t="shared" si="15"/>
        <v>1380</v>
      </c>
      <c r="DB7" s="11">
        <f t="shared" si="15"/>
        <v>1380</v>
      </c>
      <c r="DC7" s="11">
        <f t="shared" si="15"/>
        <v>1380</v>
      </c>
      <c r="DD7" s="11">
        <f t="shared" si="15"/>
        <v>1380</v>
      </c>
      <c r="DE7" s="11">
        <f t="shared" si="15"/>
        <v>1380</v>
      </c>
      <c r="DF7" s="11">
        <f t="shared" si="15"/>
        <v>1380</v>
      </c>
      <c r="DG7" s="11">
        <f t="shared" si="15"/>
        <v>1380</v>
      </c>
      <c r="DH7" s="11">
        <f t="shared" si="15"/>
        <v>1380</v>
      </c>
      <c r="DI7" s="11">
        <f t="shared" si="15"/>
        <v>1380</v>
      </c>
      <c r="DJ7" s="11">
        <f t="shared" si="15"/>
        <v>1380</v>
      </c>
      <c r="DK7" s="11">
        <f t="shared" si="15"/>
        <v>1350</v>
      </c>
      <c r="DL7" s="11">
        <f t="shared" si="15"/>
        <v>1350</v>
      </c>
      <c r="DM7" s="11">
        <f t="shared" si="15"/>
        <v>1300</v>
      </c>
      <c r="DN7" s="11">
        <f t="shared" si="15"/>
        <v>1300</v>
      </c>
      <c r="DO7" s="11">
        <f t="shared" si="15"/>
        <v>1300</v>
      </c>
      <c r="DP7" s="11">
        <f t="shared" si="15"/>
        <v>1300</v>
      </c>
      <c r="DQ7" s="11">
        <f t="shared" si="15"/>
        <v>1250</v>
      </c>
      <c r="DR7" s="11">
        <f t="shared" si="15"/>
        <v>1250</v>
      </c>
      <c r="DS7" s="11">
        <f t="shared" si="15"/>
        <v>1250</v>
      </c>
      <c r="DT7" s="11">
        <f t="shared" si="15"/>
        <v>1250</v>
      </c>
      <c r="DU7" s="11">
        <f t="shared" si="15"/>
        <v>1250</v>
      </c>
      <c r="DV7" s="11">
        <f t="shared" ref="DV7:EM7" si="16">DV6</f>
        <v>1250</v>
      </c>
      <c r="DW7" s="11">
        <f t="shared" si="16"/>
        <v>1250</v>
      </c>
      <c r="DX7" s="11">
        <f t="shared" si="16"/>
        <v>1250</v>
      </c>
      <c r="DY7" s="11">
        <f t="shared" si="16"/>
        <v>1250</v>
      </c>
      <c r="DZ7" s="11">
        <f t="shared" si="16"/>
        <v>1250</v>
      </c>
      <c r="EA7" s="11">
        <f t="shared" si="16"/>
        <v>1250</v>
      </c>
      <c r="EB7" s="11">
        <f t="shared" si="16"/>
        <v>1250</v>
      </c>
      <c r="EC7" s="11">
        <f t="shared" si="16"/>
        <v>1250</v>
      </c>
      <c r="ED7" s="11">
        <f t="shared" si="16"/>
        <v>1250</v>
      </c>
      <c r="EE7" s="11">
        <f t="shared" si="16"/>
        <v>1250</v>
      </c>
      <c r="EF7" s="11">
        <f t="shared" si="16"/>
        <v>1250</v>
      </c>
      <c r="EG7" s="11">
        <f t="shared" si="16"/>
        <v>1250</v>
      </c>
      <c r="EH7" s="11">
        <f t="shared" si="16"/>
        <v>1250</v>
      </c>
      <c r="EI7" s="11">
        <f t="shared" si="16"/>
        <v>1250</v>
      </c>
      <c r="EJ7" s="11">
        <f t="shared" si="16"/>
        <v>1250</v>
      </c>
      <c r="EK7" s="11">
        <f t="shared" si="16"/>
        <v>1250</v>
      </c>
      <c r="EL7" s="11">
        <f t="shared" si="16"/>
        <v>1250</v>
      </c>
      <c r="EM7" s="11">
        <f t="shared" si="16"/>
        <v>1250</v>
      </c>
      <c r="EN7" s="11">
        <v>1250</v>
      </c>
      <c r="EO7" s="11">
        <v>1250</v>
      </c>
      <c r="EP7" s="11">
        <v>1250</v>
      </c>
      <c r="EQ7" s="11">
        <v>1250</v>
      </c>
      <c r="ER7" s="11">
        <v>1250</v>
      </c>
      <c r="ES7" s="11">
        <v>1250</v>
      </c>
      <c r="ET7" s="11">
        <v>1250</v>
      </c>
      <c r="EU7" s="11">
        <v>1250</v>
      </c>
      <c r="EV7" s="11">
        <v>1250</v>
      </c>
      <c r="EW7" s="11">
        <v>1250</v>
      </c>
      <c r="EX7" s="11">
        <v>1250</v>
      </c>
      <c r="EY7" s="11">
        <v>1250</v>
      </c>
      <c r="EZ7" s="11">
        <v>1250</v>
      </c>
      <c r="FA7" s="11">
        <v>1250</v>
      </c>
      <c r="FB7" s="11">
        <v>1250</v>
      </c>
      <c r="FC7" s="11">
        <v>1250</v>
      </c>
      <c r="FD7" s="11">
        <v>1250</v>
      </c>
      <c r="FE7" s="11">
        <v>1250</v>
      </c>
      <c r="FF7" s="11">
        <v>1250</v>
      </c>
      <c r="FG7" s="11">
        <v>1250</v>
      </c>
      <c r="FH7" s="11">
        <v>1250</v>
      </c>
      <c r="FI7" s="11">
        <v>1250</v>
      </c>
      <c r="FJ7" s="11">
        <v>1250</v>
      </c>
      <c r="FK7" s="11">
        <v>1250</v>
      </c>
      <c r="FL7" s="11">
        <v>1250</v>
      </c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</row>
    <row r="8" spans="1:215" ht="14" hidden="1" x14ac:dyDescent="0.35">
      <c r="A8" s="8">
        <v>7</v>
      </c>
      <c r="B8" s="10" t="s">
        <v>17</v>
      </c>
      <c r="C8" s="10" t="s">
        <v>18</v>
      </c>
      <c r="D8" s="8" t="s">
        <v>19</v>
      </c>
      <c r="E8" s="10" t="s">
        <v>20</v>
      </c>
      <c r="F8" s="10" t="s">
        <v>37</v>
      </c>
      <c r="G8" s="8" t="s">
        <v>10</v>
      </c>
      <c r="H8" s="10" t="s">
        <v>40</v>
      </c>
      <c r="I8" s="11" t="e">
        <f>#REF!/I4*1000+20</f>
        <v>#REF!</v>
      </c>
      <c r="J8" s="11">
        <f>+SUM(CT8:CW8)/4</f>
        <v>1397.5</v>
      </c>
      <c r="K8" s="11">
        <f>+SUM(CX8:CZ8)/COUNT(CX8:CZ8)</f>
        <v>1410</v>
      </c>
      <c r="L8" s="11">
        <f>+SUM(DB8:DE8)/COUNT(DB8:DE8)</f>
        <v>1410</v>
      </c>
      <c r="M8" s="11">
        <f>+SUM(DF8:DJ8)/COUNT(DF8:DJ8)</f>
        <v>1410</v>
      </c>
      <c r="N8" s="11">
        <f>+SUM(DK8:DN8)/COUNT(DK8:DN8)</f>
        <v>1355</v>
      </c>
      <c r="O8" s="11">
        <f>+SUM(DO8:DR8)/COUNT(DO8:DR8)</f>
        <v>1305</v>
      </c>
      <c r="P8" s="34">
        <f>+SUM(DS8:DW8)/COUNT(DS8:DW8)</f>
        <v>1280</v>
      </c>
      <c r="Q8" s="34">
        <f t="shared" si="13"/>
        <v>1280</v>
      </c>
      <c r="R8" s="34">
        <f t="shared" si="13"/>
        <v>1280</v>
      </c>
      <c r="S8" s="34">
        <f t="shared" si="13"/>
        <v>1280</v>
      </c>
      <c r="T8" s="34">
        <f t="shared" si="13"/>
        <v>1280</v>
      </c>
      <c r="U8" s="34">
        <f t="shared" si="13"/>
        <v>1280</v>
      </c>
      <c r="V8" s="34">
        <f t="shared" si="13"/>
        <v>1280</v>
      </c>
      <c r="W8" s="34">
        <f t="shared" si="13"/>
        <v>1280</v>
      </c>
      <c r="X8" s="34">
        <f t="shared" si="13"/>
        <v>1280</v>
      </c>
      <c r="Y8" s="34">
        <f t="shared" si="13"/>
        <v>1280</v>
      </c>
      <c r="Z8" s="34">
        <f t="shared" si="13"/>
        <v>1280</v>
      </c>
      <c r="AA8" s="34">
        <f t="shared" si="13"/>
        <v>1280</v>
      </c>
      <c r="AB8" s="34">
        <f t="shared" si="13"/>
        <v>1280</v>
      </c>
      <c r="AC8" s="34">
        <f t="shared" si="13"/>
        <v>1280</v>
      </c>
      <c r="AD8" s="34">
        <f t="shared" si="13"/>
        <v>1280</v>
      </c>
      <c r="AE8" s="34">
        <f t="shared" si="13"/>
        <v>1280</v>
      </c>
      <c r="AF8" s="34">
        <f t="shared" si="13"/>
        <v>1280</v>
      </c>
      <c r="AG8" s="34">
        <f t="shared" si="13"/>
        <v>1280</v>
      </c>
      <c r="AH8" s="34">
        <f t="shared" si="13"/>
        <v>1280</v>
      </c>
      <c r="AI8" s="34">
        <f t="shared" si="13"/>
        <v>1280</v>
      </c>
      <c r="AJ8" s="34">
        <f t="shared" si="13"/>
        <v>1280</v>
      </c>
      <c r="AK8" s="34">
        <f t="shared" si="13"/>
        <v>1280</v>
      </c>
      <c r="AM8" s="8" t="s">
        <v>19</v>
      </c>
      <c r="AN8" s="10" t="s">
        <v>20</v>
      </c>
      <c r="AO8" s="10" t="s">
        <v>40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1">
        <v>1650</v>
      </c>
      <c r="BN8" s="11">
        <v>1650</v>
      </c>
      <c r="BO8" s="11">
        <v>1650</v>
      </c>
      <c r="BP8" s="11">
        <v>1650</v>
      </c>
      <c r="BQ8" s="11">
        <v>1650</v>
      </c>
      <c r="BR8" s="11">
        <v>1650</v>
      </c>
      <c r="BS8" s="11">
        <v>1650</v>
      </c>
      <c r="BT8" s="11">
        <v>1530</v>
      </c>
      <c r="BU8" s="11">
        <v>1530</v>
      </c>
      <c r="BV8" s="11">
        <v>1530</v>
      </c>
      <c r="BW8" s="11">
        <v>1530</v>
      </c>
      <c r="BX8" s="11">
        <v>1530</v>
      </c>
      <c r="BY8" s="11">
        <v>1460</v>
      </c>
      <c r="BZ8" s="11">
        <v>1460</v>
      </c>
      <c r="CA8" s="11">
        <v>1460</v>
      </c>
      <c r="CB8" s="11">
        <v>1460</v>
      </c>
      <c r="CC8" s="11" t="e">
        <f>#REF!/CC4*1000+20</f>
        <v>#REF!</v>
      </c>
      <c r="CD8" s="34" t="e">
        <f>#REF!/CD4*1000+20</f>
        <v>#REF!</v>
      </c>
      <c r="CE8" s="11" t="e">
        <f>#REF!/CE4*1000+20</f>
        <v>#REF!</v>
      </c>
      <c r="CF8" s="11" t="e">
        <f>#REF!/CF4*1000+20</f>
        <v>#REF!</v>
      </c>
      <c r="CG8" s="11">
        <v>1410</v>
      </c>
      <c r="CH8" s="11">
        <v>1410</v>
      </c>
      <c r="CI8" s="11">
        <v>1410</v>
      </c>
      <c r="CJ8" s="11">
        <v>1410</v>
      </c>
      <c r="CK8" s="11">
        <v>1410</v>
      </c>
      <c r="CL8" s="11">
        <v>1410</v>
      </c>
      <c r="CM8" s="11">
        <v>1410</v>
      </c>
      <c r="CN8" s="11">
        <v>1410</v>
      </c>
      <c r="CO8" s="11">
        <v>1410</v>
      </c>
      <c r="CP8" s="11">
        <v>1410</v>
      </c>
      <c r="CQ8" s="11">
        <v>1410</v>
      </c>
      <c r="CR8" s="11">
        <v>1410</v>
      </c>
      <c r="CS8" s="11">
        <v>1410</v>
      </c>
      <c r="CT8" s="11">
        <v>1410</v>
      </c>
      <c r="CU8" s="11">
        <v>1410</v>
      </c>
      <c r="CV8" s="11">
        <v>1410</v>
      </c>
      <c r="CW8" s="11">
        <f t="shared" ref="CW8:EB8" si="17">+CW7+30</f>
        <v>1360</v>
      </c>
      <c r="CX8" s="11">
        <f t="shared" si="17"/>
        <v>1410</v>
      </c>
      <c r="CY8" s="11">
        <f t="shared" si="17"/>
        <v>1410</v>
      </c>
      <c r="CZ8" s="11">
        <f t="shared" si="17"/>
        <v>1410</v>
      </c>
      <c r="DA8" s="11">
        <f t="shared" si="17"/>
        <v>1410</v>
      </c>
      <c r="DB8" s="11">
        <f t="shared" si="17"/>
        <v>1410</v>
      </c>
      <c r="DC8" s="11">
        <f t="shared" si="17"/>
        <v>1410</v>
      </c>
      <c r="DD8" s="11">
        <f t="shared" si="17"/>
        <v>1410</v>
      </c>
      <c r="DE8" s="11">
        <f t="shared" si="17"/>
        <v>1410</v>
      </c>
      <c r="DF8" s="11">
        <f t="shared" si="17"/>
        <v>1410</v>
      </c>
      <c r="DG8" s="11">
        <f t="shared" si="17"/>
        <v>1410</v>
      </c>
      <c r="DH8" s="11">
        <f t="shared" si="17"/>
        <v>1410</v>
      </c>
      <c r="DI8" s="11">
        <f t="shared" si="17"/>
        <v>1410</v>
      </c>
      <c r="DJ8" s="11">
        <f t="shared" si="17"/>
        <v>1410</v>
      </c>
      <c r="DK8" s="11">
        <f t="shared" si="17"/>
        <v>1380</v>
      </c>
      <c r="DL8" s="11">
        <f t="shared" si="17"/>
        <v>1380</v>
      </c>
      <c r="DM8" s="11">
        <f t="shared" si="17"/>
        <v>1330</v>
      </c>
      <c r="DN8" s="11">
        <f t="shared" si="17"/>
        <v>1330</v>
      </c>
      <c r="DO8" s="11">
        <f t="shared" si="17"/>
        <v>1330</v>
      </c>
      <c r="DP8" s="11">
        <f t="shared" si="17"/>
        <v>1330</v>
      </c>
      <c r="DQ8" s="11">
        <f t="shared" si="17"/>
        <v>1280</v>
      </c>
      <c r="DR8" s="11">
        <f t="shared" si="17"/>
        <v>1280</v>
      </c>
      <c r="DS8" s="11">
        <f t="shared" si="17"/>
        <v>1280</v>
      </c>
      <c r="DT8" s="11">
        <f t="shared" si="17"/>
        <v>1280</v>
      </c>
      <c r="DU8" s="11">
        <f t="shared" si="17"/>
        <v>1280</v>
      </c>
      <c r="DV8" s="11">
        <f t="shared" si="17"/>
        <v>1280</v>
      </c>
      <c r="DW8" s="11">
        <f t="shared" si="17"/>
        <v>1280</v>
      </c>
      <c r="DX8" s="11">
        <f t="shared" si="17"/>
        <v>1280</v>
      </c>
      <c r="DY8" s="11">
        <f t="shared" si="17"/>
        <v>1280</v>
      </c>
      <c r="DZ8" s="11">
        <f t="shared" si="17"/>
        <v>1280</v>
      </c>
      <c r="EA8" s="11">
        <f t="shared" si="17"/>
        <v>1280</v>
      </c>
      <c r="EB8" s="11">
        <f t="shared" si="17"/>
        <v>1280</v>
      </c>
      <c r="EC8" s="11">
        <f t="shared" ref="EC8:FG8" si="18">+EC7+30</f>
        <v>1280</v>
      </c>
      <c r="ED8" s="11">
        <f t="shared" si="18"/>
        <v>1280</v>
      </c>
      <c r="EE8" s="11">
        <f t="shared" si="18"/>
        <v>1280</v>
      </c>
      <c r="EF8" s="11">
        <f t="shared" si="18"/>
        <v>1280</v>
      </c>
      <c r="EG8" s="11">
        <f t="shared" si="18"/>
        <v>1280</v>
      </c>
      <c r="EH8" s="11">
        <f t="shared" si="18"/>
        <v>1280</v>
      </c>
      <c r="EI8" s="11">
        <f t="shared" si="18"/>
        <v>1280</v>
      </c>
      <c r="EJ8" s="11">
        <f t="shared" si="18"/>
        <v>1280</v>
      </c>
      <c r="EK8" s="11">
        <f t="shared" si="18"/>
        <v>1280</v>
      </c>
      <c r="EL8" s="11">
        <f t="shared" si="18"/>
        <v>1280</v>
      </c>
      <c r="EM8" s="11">
        <f t="shared" si="18"/>
        <v>1280</v>
      </c>
      <c r="EN8" s="11">
        <f t="shared" si="18"/>
        <v>1280</v>
      </c>
      <c r="EO8" s="11">
        <f t="shared" si="18"/>
        <v>1280</v>
      </c>
      <c r="EP8" s="11">
        <f t="shared" si="18"/>
        <v>1280</v>
      </c>
      <c r="EQ8" s="11">
        <f t="shared" si="18"/>
        <v>1280</v>
      </c>
      <c r="ER8" s="11">
        <f t="shared" si="18"/>
        <v>1280</v>
      </c>
      <c r="ES8" s="11">
        <f t="shared" si="18"/>
        <v>1280</v>
      </c>
      <c r="ET8" s="11">
        <f t="shared" si="18"/>
        <v>1280</v>
      </c>
      <c r="EU8" s="11">
        <f t="shared" si="18"/>
        <v>1280</v>
      </c>
      <c r="EV8" s="11">
        <f t="shared" si="18"/>
        <v>1280</v>
      </c>
      <c r="EW8" s="11">
        <f t="shared" si="18"/>
        <v>1280</v>
      </c>
      <c r="EX8" s="11">
        <f t="shared" si="18"/>
        <v>1280</v>
      </c>
      <c r="EY8" s="11">
        <f t="shared" si="18"/>
        <v>1280</v>
      </c>
      <c r="EZ8" s="11">
        <f t="shared" si="18"/>
        <v>1280</v>
      </c>
      <c r="FA8" s="11">
        <f t="shared" si="18"/>
        <v>1280</v>
      </c>
      <c r="FB8" s="11">
        <f t="shared" si="18"/>
        <v>1280</v>
      </c>
      <c r="FC8" s="11">
        <f t="shared" si="18"/>
        <v>1280</v>
      </c>
      <c r="FD8" s="11">
        <f t="shared" si="18"/>
        <v>1280</v>
      </c>
      <c r="FE8" s="11">
        <f t="shared" si="18"/>
        <v>1280</v>
      </c>
      <c r="FF8" s="11">
        <f t="shared" si="18"/>
        <v>1280</v>
      </c>
      <c r="FG8" s="11">
        <f t="shared" si="18"/>
        <v>1280</v>
      </c>
      <c r="FH8" s="11">
        <f t="shared" ref="FH8:FI8" si="19">+FH7+30</f>
        <v>1280</v>
      </c>
      <c r="FI8" s="11">
        <f t="shared" si="19"/>
        <v>1280</v>
      </c>
      <c r="FJ8" s="11">
        <f t="shared" ref="FJ8:FK8" si="20">+FJ7+30</f>
        <v>1280</v>
      </c>
      <c r="FK8" s="11">
        <f t="shared" si="20"/>
        <v>1280</v>
      </c>
      <c r="FL8" s="11">
        <f t="shared" ref="FL8" si="21">+FL7+30</f>
        <v>1280</v>
      </c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</row>
    <row r="9" spans="1:215" ht="14" hidden="1" x14ac:dyDescent="0.35">
      <c r="A9" s="16"/>
      <c r="B9" s="17"/>
      <c r="C9" s="17"/>
      <c r="D9" s="25" t="s">
        <v>16</v>
      </c>
      <c r="E9" s="24"/>
      <c r="F9" s="24" t="s">
        <v>21</v>
      </c>
      <c r="G9" s="26" t="s">
        <v>9</v>
      </c>
      <c r="H9" s="24" t="s">
        <v>21</v>
      </c>
      <c r="I9" s="27" t="e">
        <f t="shared" ref="I9:J9" si="22">I8*I4/1000</f>
        <v>#REF!</v>
      </c>
      <c r="J9" s="27">
        <f t="shared" si="22"/>
        <v>0</v>
      </c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M9" s="25" t="s">
        <v>16</v>
      </c>
      <c r="AN9" s="24"/>
      <c r="AO9" s="24" t="s">
        <v>21</v>
      </c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 t="e">
        <f>CC8*CC4/1000</f>
        <v>#REF!</v>
      </c>
      <c r="CD9" s="27" t="e">
        <f>CD8*CD4/1000</f>
        <v>#REF!</v>
      </c>
      <c r="CE9" s="27" t="e">
        <f>CE8*CE4/1000</f>
        <v>#REF!</v>
      </c>
      <c r="CF9" s="27" t="e">
        <f>CF8*CF4/1000</f>
        <v>#REF!</v>
      </c>
      <c r="CG9" s="27">
        <v>33135</v>
      </c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11" t="e">
        <f>+#REF!+30</f>
        <v>#REF!</v>
      </c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</row>
    <row r="10" spans="1:215" ht="8.15" hidden="1" customHeight="1" x14ac:dyDescent="0.35">
      <c r="A10" s="16"/>
      <c r="B10" s="17"/>
      <c r="C10" s="17"/>
      <c r="D10" s="18"/>
      <c r="E10" s="36"/>
      <c r="F10" s="36"/>
      <c r="G10" s="18"/>
      <c r="H10" s="36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M10" s="18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67"/>
      <c r="BN10" s="67"/>
      <c r="BO10" s="67"/>
      <c r="BP10" s="67"/>
      <c r="BQ10" s="67"/>
      <c r="BR10" s="67"/>
      <c r="BS10" s="67"/>
      <c r="BT10" s="67"/>
      <c r="BU10" s="67"/>
      <c r="BV10" s="67"/>
      <c r="BW10" s="67"/>
      <c r="BX10" s="67"/>
      <c r="BY10" s="67"/>
      <c r="BZ10" s="67"/>
      <c r="CA10" s="67"/>
      <c r="CB10" s="67"/>
      <c r="CC10" s="6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  <c r="EY10" s="37"/>
      <c r="EZ10" s="37"/>
      <c r="FA10" s="37"/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</row>
    <row r="11" spans="1:215" s="12" customFormat="1" ht="14" hidden="1" x14ac:dyDescent="0.35">
      <c r="A11" s="38">
        <v>9</v>
      </c>
      <c r="B11" s="39"/>
      <c r="C11" s="39"/>
      <c r="D11" s="77" t="s">
        <v>22</v>
      </c>
      <c r="E11" s="39" t="s">
        <v>23</v>
      </c>
      <c r="F11" s="39" t="s">
        <v>24</v>
      </c>
      <c r="G11" s="38" t="s">
        <v>10</v>
      </c>
      <c r="H11" s="80" t="s">
        <v>22</v>
      </c>
      <c r="I11" s="41">
        <f>+SUM(CP11:CS11)/4</f>
        <v>1287.5</v>
      </c>
      <c r="J11" s="41">
        <f>+SUM(CT11:CW11)/4</f>
        <v>1313.75</v>
      </c>
      <c r="K11" s="41">
        <f>+SUM(CX11:CZ11)/COUNT(CX11:CZ11)</f>
        <v>1440</v>
      </c>
      <c r="L11" s="41">
        <f>+SUM(DB11:DE11)/COUNT(DB11:DE11)</f>
        <v>1440</v>
      </c>
      <c r="M11" s="41">
        <f>+SUM(DF11:DJ11)/COUNT(DF11:DJ11)</f>
        <v>1433</v>
      </c>
      <c r="N11" s="41">
        <f>+SUM(DK11:DN11)/COUNT(DK11:DN11)</f>
        <v>1337.5</v>
      </c>
      <c r="O11" s="41">
        <f>+SUM(DO11:DR11)/COUNT(DO11:DR11)</f>
        <v>1317.5</v>
      </c>
      <c r="P11" s="41">
        <f>+SUM(DS11:DW11)/COUNT(DS11:DW11)</f>
        <v>1274</v>
      </c>
      <c r="Q11" s="41">
        <f>+SUM(DX11:EA11)/COUNT(DX11:EA11)</f>
        <v>1288.75</v>
      </c>
      <c r="R11" s="41">
        <f>+SUM(EB11:EE11)/COUNT(EB11:EE11)</f>
        <v>1288.125</v>
      </c>
      <c r="S11" s="75">
        <f>+SUM(EF11:EI11)/COUNT(EF11:EI11)</f>
        <v>1300</v>
      </c>
      <c r="T11" s="75">
        <f>+SUM(EJ11:EN11)/COUNT(EJ11:EN11)</f>
        <v>1300</v>
      </c>
      <c r="U11" s="75">
        <f>+SUM(EO11:ER11)/COUNT(EO11:ER11)</f>
        <v>1312.5</v>
      </c>
      <c r="V11" s="75">
        <f>+SUM(ES11:EU11)/COUNT(ES11:EU11)</f>
        <v>1325</v>
      </c>
      <c r="W11" s="75">
        <f>+SUM(EV11:EY11)/COUNT(EV11:EY11)</f>
        <v>1320</v>
      </c>
      <c r="X11" s="75">
        <f>+SUM(EZ11:FC11)/COUNT(EZ11:FC11)</f>
        <v>1323.75</v>
      </c>
      <c r="Y11" s="75">
        <f>+SUM(FD11:FH11)/COUNT(FD11:FH11)</f>
        <v>1346.6</v>
      </c>
      <c r="Z11" s="75">
        <f t="shared" ref="Z11:Z12" si="23">+SUM(FI11:FL11)/COUNT(FI11:FL11)</f>
        <v>1365</v>
      </c>
      <c r="AA11" s="75">
        <f t="shared" ref="AA11:AA12" si="24">+SUM(FM11:FP11)/COUNT(FM11:FP11)</f>
        <v>1365</v>
      </c>
      <c r="AB11" s="75">
        <f>+SUM(FQ11:FU11)/COUNT(FQ11:FU11)</f>
        <v>1404</v>
      </c>
      <c r="AC11" s="75">
        <f t="shared" ref="AC11:AC12" si="25">+SUM(FV11:FY11)/COUNT(FV11:FY11)</f>
        <v>1427.5</v>
      </c>
      <c r="AD11" s="75">
        <f t="shared" ref="AD11:AD12" si="26">+SUM(FZ11:GC11)/COUNT(FZ11:GC11)</f>
        <v>1440</v>
      </c>
      <c r="AE11" s="75">
        <f>+SUM(GD11:GH11)/COUNT(GD11:GH11)</f>
        <v>1440</v>
      </c>
      <c r="AF11" s="75">
        <f t="shared" ref="AF11:AF12" si="27">+SUM(GI11:GL11)/COUNT(GI11:GL11)</f>
        <v>1421.25</v>
      </c>
      <c r="AG11" s="75">
        <f>+SUM(GM11:GP11)/COUNT(GM11:GP11)</f>
        <v>1368.75</v>
      </c>
      <c r="AH11" s="75">
        <f>+SUM(GQ11:GT11)/COUNT(GQ11:GT11)</f>
        <v>1350</v>
      </c>
      <c r="AI11" s="75">
        <f>+SUM(GU11:GX11)/COUNT(GU11:GX11)</f>
        <v>1360</v>
      </c>
      <c r="AJ11" s="75">
        <f>+SUM(GY11:HB11)/COUNT(GY11:HB11)</f>
        <v>1360</v>
      </c>
      <c r="AK11" s="75">
        <f>+SUM(HC11:HG11)/COUNT(HC11:HG11)</f>
        <v>1360</v>
      </c>
      <c r="AM11" s="38" t="s">
        <v>22</v>
      </c>
      <c r="AN11" s="39" t="s">
        <v>23</v>
      </c>
      <c r="AO11" s="88" t="s">
        <v>22</v>
      </c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40">
        <f>+(1550+1670)/2</f>
        <v>1610</v>
      </c>
      <c r="BN11" s="40">
        <f>+(1550+1700)/2</f>
        <v>1625</v>
      </c>
      <c r="BO11" s="40">
        <f>+(1550+1650)/2</f>
        <v>1600</v>
      </c>
      <c r="BP11" s="40">
        <f>+(1550+1620)/2</f>
        <v>1585</v>
      </c>
      <c r="BQ11" s="40">
        <f>+(1550+1650)/2</f>
        <v>1600</v>
      </c>
      <c r="BR11" s="40">
        <f>+(1550+1650)/2</f>
        <v>1600</v>
      </c>
      <c r="BS11" s="40">
        <f>+(1550+1650)/2</f>
        <v>1600</v>
      </c>
      <c r="BT11" s="40">
        <f>+(1550+1680)/2</f>
        <v>1615</v>
      </c>
      <c r="BU11" s="40">
        <f>+(1550+1680)/2</f>
        <v>1615</v>
      </c>
      <c r="BV11" s="40">
        <f>+(1550+1620)/2</f>
        <v>1585</v>
      </c>
      <c r="BW11" s="40">
        <f>+(1550+1620)/2</f>
        <v>1585</v>
      </c>
      <c r="BX11" s="40">
        <f>+(1450+1520)/2</f>
        <v>1485</v>
      </c>
      <c r="BY11" s="40">
        <f>+(1350+1550)/2</f>
        <v>1450</v>
      </c>
      <c r="BZ11" s="40">
        <f>+(1350+1550)/2</f>
        <v>1450</v>
      </c>
      <c r="CA11" s="40">
        <f>+(1350+1550)/2</f>
        <v>1450</v>
      </c>
      <c r="CB11" s="40">
        <f>+(1350+1550)/2</f>
        <v>1450</v>
      </c>
      <c r="CC11" s="40">
        <v>1425</v>
      </c>
      <c r="CD11" s="41">
        <v>1425</v>
      </c>
      <c r="CE11" s="41">
        <v>1425</v>
      </c>
      <c r="CF11" s="41">
        <f>(1350+1500)/2</f>
        <v>1425</v>
      </c>
      <c r="CG11" s="41">
        <v>1350</v>
      </c>
      <c r="CH11" s="41">
        <v>1350</v>
      </c>
      <c r="CI11" s="73">
        <f>+(1250+1450)/2</f>
        <v>1350</v>
      </c>
      <c r="CJ11" s="40">
        <f>+(1250+1450)/2</f>
        <v>1350</v>
      </c>
      <c r="CK11" s="82">
        <f>+(1250+1450)/2</f>
        <v>1350</v>
      </c>
      <c r="CL11" s="82">
        <f>+(1250+1450)/2</f>
        <v>1350</v>
      </c>
      <c r="CM11" s="82">
        <f>+(1250+1450)/2</f>
        <v>1350</v>
      </c>
      <c r="CN11" s="82">
        <f>+(1250+1350)/2</f>
        <v>1300</v>
      </c>
      <c r="CO11" s="82">
        <f>+(1250+1350)/2</f>
        <v>1300</v>
      </c>
      <c r="CP11" s="40">
        <f>+(1250+1350)/2</f>
        <v>1300</v>
      </c>
      <c r="CQ11" s="40">
        <f>+(1250+1350)/2</f>
        <v>1300</v>
      </c>
      <c r="CR11" s="40">
        <f>+(1250+1300)/2</f>
        <v>1275</v>
      </c>
      <c r="CS11" s="40">
        <f>+(1250+1300)/2</f>
        <v>1275</v>
      </c>
      <c r="CT11" s="40">
        <f>+(1250+1300)/2</f>
        <v>1275</v>
      </c>
      <c r="CU11" s="40">
        <f>+(1250+1300)/2</f>
        <v>1275</v>
      </c>
      <c r="CV11" s="40">
        <f>+(1280+1350)/2</f>
        <v>1315</v>
      </c>
      <c r="CW11" s="40">
        <f>+(1350+1430)/2</f>
        <v>1390</v>
      </c>
      <c r="CX11" s="40">
        <f t="shared" ref="CX11:DG11" si="28">+(1350+1530)/2</f>
        <v>1440</v>
      </c>
      <c r="CY11" s="40">
        <f t="shared" si="28"/>
        <v>1440</v>
      </c>
      <c r="CZ11" s="40">
        <f t="shared" si="28"/>
        <v>1440</v>
      </c>
      <c r="DA11" s="40">
        <f t="shared" si="28"/>
        <v>1440</v>
      </c>
      <c r="DB11" s="40">
        <f t="shared" si="28"/>
        <v>1440</v>
      </c>
      <c r="DC11" s="40">
        <f t="shared" si="28"/>
        <v>1440</v>
      </c>
      <c r="DD11" s="40">
        <f t="shared" si="28"/>
        <v>1440</v>
      </c>
      <c r="DE11" s="40">
        <f t="shared" si="28"/>
        <v>1440</v>
      </c>
      <c r="DF11" s="40">
        <f t="shared" si="28"/>
        <v>1440</v>
      </c>
      <c r="DG11" s="40">
        <f t="shared" si="28"/>
        <v>1440</v>
      </c>
      <c r="DH11" s="73">
        <f>+(1350+1530)/2</f>
        <v>1440</v>
      </c>
      <c r="DI11" s="73">
        <f>+(1350+1530)/2</f>
        <v>1440</v>
      </c>
      <c r="DJ11" s="73">
        <f>+(1350+1460)/2</f>
        <v>1405</v>
      </c>
      <c r="DK11" s="73">
        <f>+(1350+1400)/2</f>
        <v>1375</v>
      </c>
      <c r="DL11" s="73">
        <f>+(1300+1350)/2</f>
        <v>1325</v>
      </c>
      <c r="DM11" s="73">
        <f>+(1300+1350)/2</f>
        <v>1325</v>
      </c>
      <c r="DN11" s="41">
        <f>+(1300+1350)/2</f>
        <v>1325</v>
      </c>
      <c r="DO11" s="41">
        <f>+(1300+1350)/2</f>
        <v>1325</v>
      </c>
      <c r="DP11" s="41">
        <f>+(1300+1350)/2</f>
        <v>1325</v>
      </c>
      <c r="DQ11" s="41">
        <f>+(1270+1350)/2</f>
        <v>1310</v>
      </c>
      <c r="DR11" s="41">
        <f>+(1270+1350)/2</f>
        <v>1310</v>
      </c>
      <c r="DS11" s="41">
        <f>+(1200+1300)/2</f>
        <v>1250</v>
      </c>
      <c r="DT11" s="41">
        <f>+(1200+1320)/2</f>
        <v>1260</v>
      </c>
      <c r="DU11" s="41">
        <f>+(1200+1320)/2</f>
        <v>1260</v>
      </c>
      <c r="DV11" s="75">
        <f>+(1250+1350)/2</f>
        <v>1300</v>
      </c>
      <c r="DW11" s="75">
        <f>+(1250+1350)/2</f>
        <v>1300</v>
      </c>
      <c r="DX11" s="75">
        <f>+(1250+1330)/2</f>
        <v>1290</v>
      </c>
      <c r="DY11" s="75">
        <f>+(1250+1330)/2</f>
        <v>1290</v>
      </c>
      <c r="DZ11" s="75">
        <f>+(1250+1330)/2</f>
        <v>1290</v>
      </c>
      <c r="EA11" s="75">
        <v>1285</v>
      </c>
      <c r="EB11" s="75">
        <v>1285</v>
      </c>
      <c r="EC11" s="75">
        <v>1287.5</v>
      </c>
      <c r="ED11" s="75">
        <v>1280</v>
      </c>
      <c r="EE11" s="75">
        <v>1300</v>
      </c>
      <c r="EF11" s="75">
        <v>1300</v>
      </c>
      <c r="EG11" s="75">
        <v>1300</v>
      </c>
      <c r="EH11" s="75">
        <v>1300</v>
      </c>
      <c r="EI11" s="75">
        <v>1300</v>
      </c>
      <c r="EJ11" s="75">
        <v>1300</v>
      </c>
      <c r="EK11" s="75">
        <v>1300</v>
      </c>
      <c r="EL11" s="75">
        <v>1300</v>
      </c>
      <c r="EM11" s="75">
        <v>1300</v>
      </c>
      <c r="EN11" s="75">
        <v>1300</v>
      </c>
      <c r="EO11" s="75">
        <v>1300</v>
      </c>
      <c r="EP11" s="75">
        <v>1300</v>
      </c>
      <c r="EQ11" s="75">
        <v>1325</v>
      </c>
      <c r="ER11" s="75">
        <v>1325</v>
      </c>
      <c r="ES11" s="75">
        <v>1325</v>
      </c>
      <c r="ET11" s="75">
        <v>1325</v>
      </c>
      <c r="EU11" s="75">
        <v>1325</v>
      </c>
      <c r="EV11" s="75">
        <v>1325</v>
      </c>
      <c r="EW11" s="75">
        <v>1325</v>
      </c>
      <c r="EX11" s="75">
        <v>1315</v>
      </c>
      <c r="EY11" s="75">
        <v>1315</v>
      </c>
      <c r="EZ11" s="75">
        <v>1325</v>
      </c>
      <c r="FA11" s="75">
        <v>1325</v>
      </c>
      <c r="FB11" s="75">
        <v>1325</v>
      </c>
      <c r="FC11" s="75">
        <v>1320</v>
      </c>
      <c r="FD11" s="75">
        <v>1333</v>
      </c>
      <c r="FE11" s="75">
        <v>1350</v>
      </c>
      <c r="FF11" s="75">
        <v>1350</v>
      </c>
      <c r="FG11" s="75">
        <v>1350</v>
      </c>
      <c r="FH11" s="75">
        <v>1350</v>
      </c>
      <c r="FI11" s="75">
        <v>1365</v>
      </c>
      <c r="FJ11" s="75">
        <v>1365</v>
      </c>
      <c r="FK11" s="75">
        <v>1365</v>
      </c>
      <c r="FL11" s="75">
        <v>1365</v>
      </c>
      <c r="FM11" s="75">
        <v>1365</v>
      </c>
      <c r="FN11" s="75">
        <v>1365</v>
      </c>
      <c r="FO11" s="75">
        <v>1365</v>
      </c>
      <c r="FP11" s="75">
        <v>1365</v>
      </c>
      <c r="FQ11" s="75">
        <v>1400</v>
      </c>
      <c r="FR11" s="75">
        <v>1400</v>
      </c>
      <c r="FS11" s="75">
        <v>1400</v>
      </c>
      <c r="FT11" s="75">
        <v>1410</v>
      </c>
      <c r="FU11" s="75">
        <v>1410</v>
      </c>
      <c r="FV11" s="75">
        <v>1430</v>
      </c>
      <c r="FW11" s="75">
        <v>1430</v>
      </c>
      <c r="FX11" s="75">
        <v>1425</v>
      </c>
      <c r="FY11" s="75">
        <v>1425</v>
      </c>
      <c r="FZ11" s="75">
        <v>1440</v>
      </c>
      <c r="GA11" s="75">
        <v>1440</v>
      </c>
      <c r="GB11" s="75">
        <v>1440</v>
      </c>
      <c r="GC11" s="75">
        <v>1440</v>
      </c>
      <c r="GD11" s="75">
        <v>1440</v>
      </c>
      <c r="GE11" s="75">
        <v>1440</v>
      </c>
      <c r="GF11" s="75">
        <v>1440</v>
      </c>
      <c r="GG11" s="75">
        <v>1440</v>
      </c>
      <c r="GH11" s="75">
        <v>1440</v>
      </c>
      <c r="GI11" s="75">
        <v>1430</v>
      </c>
      <c r="GJ11" s="75">
        <v>1430</v>
      </c>
      <c r="GK11" s="75">
        <v>1425</v>
      </c>
      <c r="GL11" s="75">
        <v>1400</v>
      </c>
      <c r="GM11" s="75">
        <v>1400</v>
      </c>
      <c r="GN11" s="75">
        <v>1375</v>
      </c>
      <c r="GO11" s="75">
        <v>1350</v>
      </c>
      <c r="GP11" s="75">
        <v>1350</v>
      </c>
      <c r="GQ11" s="75">
        <v>1350</v>
      </c>
      <c r="GR11" s="75">
        <v>1350</v>
      </c>
      <c r="GS11" s="75">
        <v>1350</v>
      </c>
      <c r="GT11" s="75">
        <v>1350</v>
      </c>
      <c r="GU11" s="75">
        <v>1360</v>
      </c>
      <c r="GV11" s="75">
        <v>1360</v>
      </c>
      <c r="GW11" s="75">
        <v>1360</v>
      </c>
      <c r="GX11" s="75">
        <v>1360</v>
      </c>
      <c r="GY11" s="75">
        <v>1360</v>
      </c>
      <c r="GZ11" s="75">
        <v>1360</v>
      </c>
      <c r="HA11" s="75">
        <v>1360</v>
      </c>
      <c r="HB11" s="75">
        <v>1360</v>
      </c>
      <c r="HC11" s="75">
        <v>1360</v>
      </c>
      <c r="HD11" s="75">
        <v>1360</v>
      </c>
      <c r="HE11" s="75">
        <v>1360</v>
      </c>
      <c r="HF11" s="75"/>
      <c r="HG11" s="75"/>
    </row>
    <row r="12" spans="1:215" s="12" customFormat="1" ht="14" hidden="1" x14ac:dyDescent="0.35">
      <c r="A12" s="38">
        <v>9</v>
      </c>
      <c r="B12" s="39"/>
      <c r="C12" s="39"/>
      <c r="D12" s="38" t="s">
        <v>22</v>
      </c>
      <c r="E12" s="39" t="s">
        <v>23</v>
      </c>
      <c r="F12" s="39" t="s">
        <v>25</v>
      </c>
      <c r="G12" s="38" t="s">
        <v>10</v>
      </c>
      <c r="H12" s="39" t="s">
        <v>25</v>
      </c>
      <c r="I12" s="41">
        <f>+SUM(CP12:CS12)/4</f>
        <v>1325</v>
      </c>
      <c r="J12" s="41">
        <f>+SUM(CT12:CW12)/4</f>
        <v>1345</v>
      </c>
      <c r="K12" s="41">
        <f>+SUM(CX12:CZ12)/COUNT(CX12:CZ12)</f>
        <v>1530</v>
      </c>
      <c r="L12" s="41">
        <f>+SUM(DB12:DE12)/COUNT(DB12:DE12)</f>
        <v>1530</v>
      </c>
      <c r="M12" s="41">
        <f>+SUM(DF12:DJ12)/COUNT(DF12:DJ12)</f>
        <v>1516</v>
      </c>
      <c r="N12" s="41">
        <f>+SUM(DK12:DN12)/COUNT(DK12:DN12)</f>
        <v>1362.5</v>
      </c>
      <c r="O12" s="41">
        <f>+SUM(DO12:DR12)/COUNT(DO12:DR12)</f>
        <v>1350</v>
      </c>
      <c r="P12" s="41">
        <f>+SUM(DS12:DW12)/COUNT(DS12:DW12)</f>
        <v>1328</v>
      </c>
      <c r="Q12" s="41">
        <f>+SUM(DX12:EA12)/COUNT(DX12:EA12)</f>
        <v>1327.5</v>
      </c>
      <c r="R12" s="41">
        <f>+SUM(EB12:EE12)/COUNT(EB12:EE12)</f>
        <v>1326.25</v>
      </c>
      <c r="S12" s="75">
        <f>+SUM(EF12:EI12)/COUNT(EF12:EI12)</f>
        <v>1350</v>
      </c>
      <c r="T12" s="75">
        <f>+SUM(EJ12:EN12)/COUNT(EJ12:EN12)</f>
        <v>1350</v>
      </c>
      <c r="U12" s="75">
        <f>+SUM(EO12:ER12)/COUNT(EO12:ER12)</f>
        <v>1375</v>
      </c>
      <c r="V12" s="75">
        <f>+SUM(ES12:EU12)/COUNT(ES12:EU12)</f>
        <v>1400</v>
      </c>
      <c r="W12" s="75">
        <f>+SUM(EV12:EY12)/COUNT(EV12:EY12)</f>
        <v>1390</v>
      </c>
      <c r="X12" s="75">
        <f>+SUM(EZ12:FC12)/COUNT(EZ12:FC12)</f>
        <v>1397.5</v>
      </c>
      <c r="Y12" s="75">
        <f>+SUM(FD12:FH12)/COUNT(FD12:FH12)</f>
        <v>1399.2</v>
      </c>
      <c r="Z12" s="75">
        <f t="shared" si="23"/>
        <v>1455</v>
      </c>
      <c r="AA12" s="75">
        <f t="shared" si="24"/>
        <v>1455</v>
      </c>
      <c r="AB12" s="75">
        <f>+SUM(FQ12:FU12)/COUNT(FQ12:FU12)</f>
        <v>1504</v>
      </c>
      <c r="AC12" s="75">
        <f t="shared" si="25"/>
        <v>1550</v>
      </c>
      <c r="AD12" s="75">
        <f t="shared" si="26"/>
        <v>1580</v>
      </c>
      <c r="AE12" s="75">
        <f>+SUM(GD12:GH12)/COUNT(GD12:GH12)</f>
        <v>1580</v>
      </c>
      <c r="AF12" s="75">
        <f t="shared" si="27"/>
        <v>1555</v>
      </c>
      <c r="AG12" s="75">
        <f>+SUM(GM12:GP12)/COUNT(GM12:GP12)</f>
        <v>1512.5</v>
      </c>
      <c r="AH12" s="75">
        <f>+SUM(GQ12:GT12)/COUNT(GQ12:GT12)</f>
        <v>1500</v>
      </c>
      <c r="AI12" s="75">
        <f>+SUM(GU12:GX12)/COUNT(GU12:GX12)</f>
        <v>1500</v>
      </c>
      <c r="AJ12" s="75">
        <f>+SUM(GY12:HB12)/COUNT(GY12:HB12)</f>
        <v>1500</v>
      </c>
      <c r="AK12" s="75">
        <f>+SUM(HC12:HG12)/COUNT(HC12:HG12)</f>
        <v>1500</v>
      </c>
      <c r="AM12" s="38" t="s">
        <v>22</v>
      </c>
      <c r="AN12" s="39" t="s">
        <v>23</v>
      </c>
      <c r="AO12" s="88" t="s">
        <v>25</v>
      </c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40">
        <v>1670</v>
      </c>
      <c r="BN12" s="40">
        <v>1700</v>
      </c>
      <c r="BO12" s="40">
        <v>1650</v>
      </c>
      <c r="BP12" s="40">
        <v>1620</v>
      </c>
      <c r="BQ12" s="40">
        <v>1650</v>
      </c>
      <c r="BR12" s="40">
        <v>1650</v>
      </c>
      <c r="BS12" s="40">
        <v>1650</v>
      </c>
      <c r="BT12" s="40">
        <v>1680</v>
      </c>
      <c r="BU12" s="40">
        <v>1680</v>
      </c>
      <c r="BV12" s="40">
        <v>1620</v>
      </c>
      <c r="BW12" s="40">
        <v>1620</v>
      </c>
      <c r="BX12" s="40">
        <v>1520</v>
      </c>
      <c r="BY12" s="40">
        <v>1550</v>
      </c>
      <c r="BZ12" s="40">
        <v>1550</v>
      </c>
      <c r="CA12" s="40">
        <v>1550</v>
      </c>
      <c r="CB12" s="40">
        <v>1550</v>
      </c>
      <c r="CC12" s="40">
        <v>1500</v>
      </c>
      <c r="CD12" s="41">
        <v>1500</v>
      </c>
      <c r="CE12" s="41">
        <v>1500</v>
      </c>
      <c r="CF12" s="41">
        <v>1500</v>
      </c>
      <c r="CG12" s="41">
        <v>1450</v>
      </c>
      <c r="CH12" s="41">
        <v>1450</v>
      </c>
      <c r="CI12" s="41">
        <v>1450</v>
      </c>
      <c r="CJ12" s="41">
        <v>1450</v>
      </c>
      <c r="CK12" s="83">
        <v>1450</v>
      </c>
      <c r="CL12" s="83">
        <v>1450</v>
      </c>
      <c r="CM12" s="83">
        <v>1450</v>
      </c>
      <c r="CN12" s="83">
        <v>1350</v>
      </c>
      <c r="CO12" s="83">
        <v>1350</v>
      </c>
      <c r="CP12" s="41">
        <v>1350</v>
      </c>
      <c r="CQ12" s="41">
        <v>1350</v>
      </c>
      <c r="CR12" s="41">
        <v>1300</v>
      </c>
      <c r="CS12" s="41">
        <v>1300</v>
      </c>
      <c r="CT12" s="41">
        <v>1300</v>
      </c>
      <c r="CU12" s="41">
        <v>1300</v>
      </c>
      <c r="CV12" s="41">
        <v>1350</v>
      </c>
      <c r="CW12" s="41">
        <v>1430</v>
      </c>
      <c r="CX12" s="41">
        <v>1530</v>
      </c>
      <c r="CY12" s="41">
        <v>1530</v>
      </c>
      <c r="CZ12" s="41">
        <v>1530</v>
      </c>
      <c r="DA12" s="41">
        <v>1530</v>
      </c>
      <c r="DB12" s="41">
        <v>1530</v>
      </c>
      <c r="DC12" s="41">
        <v>1530</v>
      </c>
      <c r="DD12" s="41">
        <v>1530</v>
      </c>
      <c r="DE12" s="41">
        <v>1530</v>
      </c>
      <c r="DF12" s="41">
        <v>1530</v>
      </c>
      <c r="DG12" s="41">
        <v>1530</v>
      </c>
      <c r="DH12" s="41">
        <v>1530</v>
      </c>
      <c r="DI12" s="41">
        <v>1530</v>
      </c>
      <c r="DJ12" s="41">
        <v>1460</v>
      </c>
      <c r="DK12" s="41">
        <v>1400</v>
      </c>
      <c r="DL12" s="41">
        <v>1350</v>
      </c>
      <c r="DM12" s="41">
        <v>1350</v>
      </c>
      <c r="DN12" s="41">
        <v>1350</v>
      </c>
      <c r="DO12" s="41">
        <v>1350</v>
      </c>
      <c r="DP12" s="41">
        <v>1350</v>
      </c>
      <c r="DQ12" s="41">
        <v>1350</v>
      </c>
      <c r="DR12" s="41">
        <v>1350</v>
      </c>
      <c r="DS12" s="41">
        <v>1300</v>
      </c>
      <c r="DT12" s="41">
        <v>1320</v>
      </c>
      <c r="DU12" s="41">
        <v>1320</v>
      </c>
      <c r="DV12" s="75">
        <v>1350</v>
      </c>
      <c r="DW12" s="75">
        <v>1350</v>
      </c>
      <c r="DX12" s="75">
        <v>1330</v>
      </c>
      <c r="DY12" s="75">
        <v>1330</v>
      </c>
      <c r="DZ12" s="75">
        <v>1330</v>
      </c>
      <c r="EA12" s="75">
        <v>1320</v>
      </c>
      <c r="EB12" s="75">
        <v>1320</v>
      </c>
      <c r="EC12" s="75">
        <v>1325</v>
      </c>
      <c r="ED12" s="75">
        <v>1310</v>
      </c>
      <c r="EE12" s="75">
        <v>1350</v>
      </c>
      <c r="EF12" s="75">
        <v>1350</v>
      </c>
      <c r="EG12" s="75">
        <v>1350</v>
      </c>
      <c r="EH12" s="75">
        <v>1350</v>
      </c>
      <c r="EI12" s="75">
        <v>1350</v>
      </c>
      <c r="EJ12" s="75">
        <v>1350</v>
      </c>
      <c r="EK12" s="75">
        <v>1350</v>
      </c>
      <c r="EL12" s="75">
        <v>1350</v>
      </c>
      <c r="EM12" s="75">
        <v>1350</v>
      </c>
      <c r="EN12" s="75">
        <v>1350</v>
      </c>
      <c r="EO12" s="75">
        <v>1350</v>
      </c>
      <c r="EP12" s="75">
        <v>1350</v>
      </c>
      <c r="EQ12" s="75">
        <v>1400</v>
      </c>
      <c r="ER12" s="75">
        <v>1400</v>
      </c>
      <c r="ES12" s="75">
        <v>1400</v>
      </c>
      <c r="ET12" s="75">
        <v>1400</v>
      </c>
      <c r="EU12" s="75">
        <v>1400</v>
      </c>
      <c r="EV12" s="75">
        <v>1400</v>
      </c>
      <c r="EW12" s="75">
        <v>1400</v>
      </c>
      <c r="EX12" s="75">
        <v>1380</v>
      </c>
      <c r="EY12" s="75">
        <v>1380</v>
      </c>
      <c r="EZ12" s="75">
        <v>1400</v>
      </c>
      <c r="FA12" s="75">
        <v>1400</v>
      </c>
      <c r="FB12" s="75">
        <v>1400</v>
      </c>
      <c r="FC12" s="75">
        <v>1390</v>
      </c>
      <c r="FD12" s="75">
        <v>1396</v>
      </c>
      <c r="FE12" s="75">
        <v>1400</v>
      </c>
      <c r="FF12" s="75">
        <v>1400</v>
      </c>
      <c r="FG12" s="75">
        <v>1400</v>
      </c>
      <c r="FH12" s="75">
        <v>1400</v>
      </c>
      <c r="FI12" s="75">
        <v>1455</v>
      </c>
      <c r="FJ12" s="75">
        <v>1455</v>
      </c>
      <c r="FK12" s="75">
        <v>1455</v>
      </c>
      <c r="FL12" s="75">
        <v>1455</v>
      </c>
      <c r="FM12" s="75">
        <v>1455</v>
      </c>
      <c r="FN12" s="75">
        <v>1455</v>
      </c>
      <c r="FO12" s="75">
        <v>1455</v>
      </c>
      <c r="FP12" s="75">
        <v>1455</v>
      </c>
      <c r="FQ12" s="75">
        <v>1500</v>
      </c>
      <c r="FR12" s="75">
        <v>1500</v>
      </c>
      <c r="FS12" s="75">
        <v>1500</v>
      </c>
      <c r="FT12" s="75">
        <v>1510</v>
      </c>
      <c r="FU12" s="75">
        <v>1510</v>
      </c>
      <c r="FV12" s="75">
        <v>1550</v>
      </c>
      <c r="FW12" s="75">
        <v>1550</v>
      </c>
      <c r="FX12" s="75">
        <v>1550</v>
      </c>
      <c r="FY12" s="75">
        <v>1550</v>
      </c>
      <c r="FZ12" s="75">
        <v>1580</v>
      </c>
      <c r="GA12" s="75">
        <v>1580</v>
      </c>
      <c r="GB12" s="75">
        <v>1580</v>
      </c>
      <c r="GC12" s="75">
        <v>1580</v>
      </c>
      <c r="GD12" s="75">
        <v>1580</v>
      </c>
      <c r="GE12" s="75">
        <v>1580</v>
      </c>
      <c r="GF12" s="75">
        <v>1580</v>
      </c>
      <c r="GG12" s="75">
        <v>1580</v>
      </c>
      <c r="GH12" s="75">
        <v>1580</v>
      </c>
      <c r="GI12" s="75">
        <v>1560</v>
      </c>
      <c r="GJ12" s="75">
        <v>1560</v>
      </c>
      <c r="GK12" s="75">
        <v>1550</v>
      </c>
      <c r="GL12" s="75">
        <v>1550</v>
      </c>
      <c r="GM12" s="75">
        <v>1550</v>
      </c>
      <c r="GN12" s="75">
        <v>1500</v>
      </c>
      <c r="GO12" s="75">
        <v>1500</v>
      </c>
      <c r="GP12" s="75">
        <v>1500</v>
      </c>
      <c r="GQ12" s="75">
        <v>1500</v>
      </c>
      <c r="GR12" s="75">
        <v>1500</v>
      </c>
      <c r="GS12" s="75">
        <v>1500</v>
      </c>
      <c r="GT12" s="75">
        <v>1500</v>
      </c>
      <c r="GU12" s="75">
        <v>1500</v>
      </c>
      <c r="GV12" s="75">
        <v>1500</v>
      </c>
      <c r="GW12" s="75">
        <v>1500</v>
      </c>
      <c r="GX12" s="75">
        <v>1500</v>
      </c>
      <c r="GY12" s="75">
        <v>1500</v>
      </c>
      <c r="GZ12" s="75">
        <v>1500</v>
      </c>
      <c r="HA12" s="75">
        <v>1500</v>
      </c>
      <c r="HB12" s="75">
        <v>1500</v>
      </c>
      <c r="HC12" s="75">
        <v>1500</v>
      </c>
      <c r="HD12" s="75">
        <v>1500</v>
      </c>
      <c r="HE12" s="75">
        <v>1500</v>
      </c>
      <c r="HF12" s="75"/>
      <c r="HG12" s="75"/>
    </row>
    <row r="13" spans="1:215" ht="14" hidden="1" x14ac:dyDescent="0.35">
      <c r="D13" s="38" t="s">
        <v>26</v>
      </c>
      <c r="E13" s="19"/>
      <c r="F13" s="42" t="s">
        <v>27</v>
      </c>
      <c r="G13" s="38" t="s">
        <v>10</v>
      </c>
      <c r="H13" s="79" t="s">
        <v>39</v>
      </c>
      <c r="I13" s="41">
        <f>+SUM(CP13:CS13)/4</f>
        <v>1640.75</v>
      </c>
      <c r="J13" s="41">
        <f>+SUM(CT13:CW13)/4</f>
        <v>1615</v>
      </c>
      <c r="K13" s="41">
        <f>+SUM(CX13:CZ13)/COUNT(CX13:CZ13)</f>
        <v>1615</v>
      </c>
      <c r="L13" s="41"/>
      <c r="M13" s="41"/>
      <c r="N13" s="41"/>
      <c r="O13" s="41"/>
      <c r="P13" s="41"/>
      <c r="Q13" s="41"/>
      <c r="R13" s="41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M13" s="38" t="s">
        <v>26</v>
      </c>
      <c r="AN13" s="19"/>
      <c r="AO13" s="79" t="s">
        <v>39</v>
      </c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0">
        <v>1755</v>
      </c>
      <c r="BN13" s="40">
        <v>1755</v>
      </c>
      <c r="BO13" s="40">
        <v>1755</v>
      </c>
      <c r="BP13" s="40">
        <v>1755</v>
      </c>
      <c r="BQ13" s="40">
        <v>1755</v>
      </c>
      <c r="BR13" s="40">
        <v>1755</v>
      </c>
      <c r="BS13" s="40">
        <v>1755</v>
      </c>
      <c r="BT13" s="40">
        <v>1755</v>
      </c>
      <c r="BU13" s="40">
        <v>1755</v>
      </c>
      <c r="BV13" s="40">
        <v>1755</v>
      </c>
      <c r="BW13" s="40">
        <v>1755</v>
      </c>
      <c r="BX13" s="40">
        <v>1718</v>
      </c>
      <c r="BY13" s="40">
        <v>1718</v>
      </c>
      <c r="BZ13" s="40">
        <v>1718</v>
      </c>
      <c r="CA13" s="40">
        <v>1718</v>
      </c>
      <c r="CB13" s="40">
        <v>1718</v>
      </c>
      <c r="CC13" s="40">
        <v>1718</v>
      </c>
      <c r="CD13" s="41">
        <v>1718</v>
      </c>
      <c r="CE13" s="41">
        <v>1718</v>
      </c>
      <c r="CF13" s="41">
        <v>1718</v>
      </c>
      <c r="CG13" s="41">
        <v>1718</v>
      </c>
      <c r="CH13" s="41">
        <v>1718</v>
      </c>
      <c r="CI13" s="41">
        <v>1718</v>
      </c>
      <c r="CJ13" s="41">
        <v>1718</v>
      </c>
      <c r="CK13" s="41">
        <v>1718</v>
      </c>
      <c r="CL13" s="41">
        <v>1718</v>
      </c>
      <c r="CM13" s="41">
        <v>1718</v>
      </c>
      <c r="CN13" s="41">
        <v>1718</v>
      </c>
      <c r="CO13" s="41">
        <v>1718</v>
      </c>
      <c r="CP13" s="41">
        <v>1718</v>
      </c>
      <c r="CQ13" s="41">
        <v>1615</v>
      </c>
      <c r="CR13" s="41">
        <v>1615</v>
      </c>
      <c r="CS13" s="41">
        <v>1615</v>
      </c>
      <c r="CT13" s="41">
        <v>1615</v>
      </c>
      <c r="CU13" s="41">
        <v>1615</v>
      </c>
      <c r="CV13" s="41">
        <v>1615</v>
      </c>
      <c r="CW13" s="41">
        <v>1615</v>
      </c>
      <c r="CX13" s="41">
        <v>1615</v>
      </c>
      <c r="CY13" s="41">
        <v>1615</v>
      </c>
      <c r="CZ13" s="41">
        <v>1615</v>
      </c>
      <c r="DA13" s="41">
        <v>1615</v>
      </c>
      <c r="DB13" s="41"/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  <c r="DV13" s="75"/>
      <c r="DW13" s="75"/>
      <c r="DX13" s="75"/>
      <c r="DY13" s="75"/>
      <c r="DZ13" s="75"/>
      <c r="EA13" s="75"/>
      <c r="EB13" s="75"/>
      <c r="EC13" s="75"/>
      <c r="ED13" s="75"/>
      <c r="EE13" s="75"/>
      <c r="EF13" s="75"/>
      <c r="EG13" s="75"/>
      <c r="EH13" s="75"/>
      <c r="EI13" s="75"/>
      <c r="EJ13" s="75"/>
      <c r="EK13" s="75"/>
      <c r="EL13" s="75"/>
      <c r="EM13" s="75"/>
      <c r="EN13" s="75"/>
      <c r="EO13" s="75"/>
      <c r="EP13" s="75"/>
      <c r="EQ13" s="75"/>
      <c r="ER13" s="75"/>
      <c r="ES13" s="75"/>
      <c r="ET13" s="75"/>
      <c r="EU13" s="75"/>
      <c r="EV13" s="75"/>
      <c r="EW13" s="75"/>
      <c r="EX13" s="75"/>
      <c r="EY13" s="75"/>
      <c r="EZ13" s="75"/>
      <c r="FA13" s="75"/>
      <c r="FB13" s="75"/>
      <c r="FC13" s="75"/>
      <c r="FD13" s="75"/>
      <c r="FE13" s="75"/>
      <c r="FF13" s="75"/>
      <c r="FG13" s="75"/>
      <c r="FH13" s="75"/>
      <c r="FI13" s="75"/>
      <c r="FJ13" s="75"/>
      <c r="FK13" s="75"/>
      <c r="FL13" s="75"/>
      <c r="FM13" s="75"/>
      <c r="FN13" s="75"/>
      <c r="FO13" s="75"/>
      <c r="FP13" s="75"/>
      <c r="FQ13" s="75"/>
      <c r="FR13" s="75"/>
      <c r="FS13" s="75"/>
      <c r="FT13" s="75"/>
      <c r="FU13" s="75"/>
      <c r="FV13" s="75"/>
      <c r="FW13" s="75"/>
      <c r="FX13" s="75"/>
      <c r="FY13" s="75"/>
      <c r="FZ13" s="75"/>
      <c r="GA13" s="75"/>
      <c r="GB13" s="75"/>
      <c r="GC13" s="75"/>
      <c r="GD13" s="75"/>
      <c r="GE13" s="75"/>
      <c r="GF13" s="75"/>
      <c r="GG13" s="75"/>
      <c r="GH13" s="75"/>
      <c r="GI13" s="75"/>
      <c r="GJ13" s="75"/>
      <c r="GK13" s="75"/>
      <c r="GL13" s="75"/>
      <c r="GM13" s="75"/>
      <c r="GN13" s="75"/>
      <c r="GO13" s="75"/>
      <c r="GP13" s="75"/>
      <c r="GQ13" s="75"/>
      <c r="GR13" s="75"/>
      <c r="GS13" s="75"/>
      <c r="GT13" s="75"/>
      <c r="GU13" s="75"/>
      <c r="GV13" s="75"/>
      <c r="GW13" s="75"/>
      <c r="GX13" s="75"/>
      <c r="GY13" s="75"/>
      <c r="GZ13" s="75"/>
      <c r="HA13" s="75"/>
      <c r="HB13" s="75"/>
      <c r="HC13" s="75"/>
      <c r="HD13" s="75"/>
      <c r="HE13" s="75"/>
      <c r="HF13" s="75"/>
      <c r="HG13" s="75"/>
    </row>
    <row r="14" spans="1:215" ht="14" x14ac:dyDescent="0.35">
      <c r="D14" s="38" t="s">
        <v>26</v>
      </c>
      <c r="E14" s="19"/>
      <c r="F14" s="42" t="s">
        <v>59</v>
      </c>
      <c r="G14" s="38" t="s">
        <v>10</v>
      </c>
      <c r="H14" s="79" t="s">
        <v>59</v>
      </c>
      <c r="I14" s="41">
        <f>+SUM(CP14:CS14)/4</f>
        <v>1000</v>
      </c>
      <c r="J14" s="41">
        <f>+SUM(CT14:CW14)/4</f>
        <v>1045</v>
      </c>
      <c r="K14" s="41">
        <f>+SUM(CX14:CZ14)/COUNT(CX14:CZ14)</f>
        <v>1020</v>
      </c>
      <c r="L14" s="41">
        <f>+SUM(DB14:DE14)/COUNT(DB14:DE14)</f>
        <v>1055</v>
      </c>
      <c r="M14" s="41">
        <f>+SUM(DF14:DJ14)/COUNT(DF14:DJ14)</f>
        <v>974</v>
      </c>
      <c r="N14" s="41">
        <f>+SUM(DK14:DN14)/COUNT(DK14:DN14)</f>
        <v>895</v>
      </c>
      <c r="O14" s="41">
        <f>+SUM(DO14:DR14)/COUNT(DO14:DR14)</f>
        <v>903</v>
      </c>
      <c r="P14" s="41">
        <f>+SUM(DS14:DW14)/COUNT(DS14:DW14)</f>
        <v>918</v>
      </c>
      <c r="Q14" s="41">
        <f>+SUM(DX14:EA14)/COUNT(DX14:EA14)</f>
        <v>930</v>
      </c>
      <c r="R14" s="41">
        <f>+SUM(EB14:EE14)/COUNT(EB14:EE14)</f>
        <v>922.5</v>
      </c>
      <c r="S14" s="75">
        <f>+SUM(EF14:EI14)/COUNT(EF14:EI14)</f>
        <v>900</v>
      </c>
      <c r="T14" s="75">
        <f>+SUM(EJ14:EN14)/COUNT(EJ14:EN14)</f>
        <v>900</v>
      </c>
      <c r="U14" s="75">
        <f>+SUM(EO14:ER14)/COUNT(EO14:ER14)</f>
        <v>930</v>
      </c>
      <c r="V14" s="75">
        <f>+SUM(ES14:EU14)/COUNT(ES14:EU14)</f>
        <v>943.33333333333337</v>
      </c>
      <c r="W14" s="75">
        <f>+SUM(EV14:EY14)/COUNT(EV14:EY14)</f>
        <v>940</v>
      </c>
      <c r="X14" s="75">
        <f>+SUM(EZ14:FC14)/COUNT(EZ14:FC14)</f>
        <v>940</v>
      </c>
      <c r="Y14" s="75">
        <f>+SUM(FD14:FH14)/COUNT(FD14:FH14)</f>
        <v>942</v>
      </c>
      <c r="Z14" s="75">
        <f>+SUM(FI14:FL14)/COUNT(FI14:FL14)</f>
        <v>950</v>
      </c>
      <c r="AA14" s="75">
        <f>+SUM(FM14:FP14)/COUNT(FM14:FP14)</f>
        <v>947.5</v>
      </c>
      <c r="AB14" s="75">
        <f>+SUM(FQ14:FU14)/COUNT(FQ14:FU14)</f>
        <v>930</v>
      </c>
      <c r="AC14" s="75">
        <f>+SUM(FV14:FY14)/COUNT(FV14:FY14)</f>
        <v>880</v>
      </c>
      <c r="AD14" s="75">
        <f>+SUM(FZ14:GC14)/COUNT(FZ14:GC14)</f>
        <v>862.5</v>
      </c>
      <c r="AE14" s="75">
        <f>+SUM(GD14:GH14)/COUNT(GD14:GH14)</f>
        <v>852</v>
      </c>
      <c r="AF14" s="75">
        <f>+SUM(GI14:GL14)/COUNT(GI14:GL14)</f>
        <v>830</v>
      </c>
      <c r="AG14" s="75">
        <f>+SUM(GM14:GP14)/COUNT(GM14:GP14)</f>
        <v>827.5</v>
      </c>
      <c r="AH14" s="75">
        <f>+SUM(GQ14:GT14)/COUNT(GQ14:GT14)</f>
        <v>840</v>
      </c>
      <c r="AI14" s="75">
        <f>+SUM(GU14:GX14)/COUNT(GU14:GX14)</f>
        <v>822.5</v>
      </c>
      <c r="AJ14" s="75">
        <f>+SUM(GY14:HB14)/COUNT(GY14:HB14)</f>
        <v>765</v>
      </c>
      <c r="AK14" s="75">
        <f>+SUM(HC14:HG14)/COUNT(HC14:HG14)</f>
        <v>773.33333333333337</v>
      </c>
      <c r="AL14" s="35"/>
      <c r="AM14" s="38" t="s">
        <v>26</v>
      </c>
      <c r="AN14" s="19"/>
      <c r="AO14" s="89" t="s">
        <v>59</v>
      </c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0">
        <f>+(1400+1430)/2</f>
        <v>1415</v>
      </c>
      <c r="BN14" s="40">
        <f>+(1380+1410)/2</f>
        <v>1395</v>
      </c>
      <c r="BO14" s="40">
        <f>+(1360+1390)/2</f>
        <v>1375</v>
      </c>
      <c r="BP14" s="40">
        <f>+(1320+1350)/2</f>
        <v>1335</v>
      </c>
      <c r="BQ14" s="40">
        <f>+(1230+1270)/2</f>
        <v>1250</v>
      </c>
      <c r="BR14" s="40">
        <f>+(1210+1250)/2</f>
        <v>1230</v>
      </c>
      <c r="BS14" s="40">
        <f>+(1200+1240)/2</f>
        <v>1220</v>
      </c>
      <c r="BT14" s="40">
        <f>+(1230+1270)/2</f>
        <v>1250</v>
      </c>
      <c r="BU14" s="40">
        <f>+(1230+1270)/2</f>
        <v>1250</v>
      </c>
      <c r="BV14" s="40">
        <f>+(1200+1240)/2</f>
        <v>1220</v>
      </c>
      <c r="BW14" s="40">
        <f>+(1170+1210)/2</f>
        <v>1190</v>
      </c>
      <c r="BX14" s="40">
        <f>+(1140+1180)/2</f>
        <v>1160</v>
      </c>
      <c r="BY14" s="40">
        <f>+(1140+1180)/2</f>
        <v>1160</v>
      </c>
      <c r="BZ14" s="40">
        <f>+(1140+1180)/2</f>
        <v>1160</v>
      </c>
      <c r="CA14" s="40">
        <f>+(1110+1150)/2</f>
        <v>1130</v>
      </c>
      <c r="CB14" s="40">
        <f>+(1110+1150)/2</f>
        <v>1130</v>
      </c>
      <c r="CC14" s="40">
        <v>1100</v>
      </c>
      <c r="CD14" s="40">
        <v>1100</v>
      </c>
      <c r="CE14" s="40">
        <v>1070</v>
      </c>
      <c r="CF14" s="40">
        <v>1040</v>
      </c>
      <c r="CG14" s="40">
        <v>995</v>
      </c>
      <c r="CH14" s="40">
        <v>980</v>
      </c>
      <c r="CI14" s="40">
        <f>+(960+1000)/2</f>
        <v>980</v>
      </c>
      <c r="CJ14" s="40">
        <f>+(960+1000)/2</f>
        <v>980</v>
      </c>
      <c r="CK14" s="40">
        <f>+(940+1000)/2</f>
        <v>970</v>
      </c>
      <c r="CL14" s="40">
        <f>+(940+1000)/2</f>
        <v>970</v>
      </c>
      <c r="CM14" s="40">
        <f>+(940+1000)/2</f>
        <v>970</v>
      </c>
      <c r="CN14" s="40">
        <f>+(960+1000)/2</f>
        <v>980</v>
      </c>
      <c r="CO14" s="40">
        <f>+(970+1010)/2</f>
        <v>990</v>
      </c>
      <c r="CP14" s="40">
        <v>970</v>
      </c>
      <c r="CQ14" s="40">
        <v>980</v>
      </c>
      <c r="CR14" s="82">
        <v>990</v>
      </c>
      <c r="CS14" s="82">
        <v>1060</v>
      </c>
      <c r="CT14" s="82">
        <v>1070</v>
      </c>
      <c r="CU14" s="82">
        <v>1070</v>
      </c>
      <c r="CV14" s="86">
        <v>1020</v>
      </c>
      <c r="CW14" s="86">
        <v>1020</v>
      </c>
      <c r="CX14" s="86">
        <v>1020</v>
      </c>
      <c r="CY14" s="86">
        <v>1020</v>
      </c>
      <c r="CZ14" s="86">
        <v>1020</v>
      </c>
      <c r="DA14" s="86">
        <v>1020</v>
      </c>
      <c r="DB14" s="86">
        <v>1050</v>
      </c>
      <c r="DC14" s="86">
        <v>1070</v>
      </c>
      <c r="DD14" s="86">
        <v>1050</v>
      </c>
      <c r="DE14" s="86">
        <v>1050</v>
      </c>
      <c r="DF14" s="86">
        <v>1020</v>
      </c>
      <c r="DG14" s="86">
        <v>1000</v>
      </c>
      <c r="DH14" s="86">
        <v>980</v>
      </c>
      <c r="DI14" s="86">
        <v>960</v>
      </c>
      <c r="DJ14" s="86">
        <v>910</v>
      </c>
      <c r="DK14" s="86">
        <v>910</v>
      </c>
      <c r="DL14" s="86">
        <v>890</v>
      </c>
      <c r="DM14" s="86">
        <v>890</v>
      </c>
      <c r="DN14" s="86">
        <v>890</v>
      </c>
      <c r="DO14" s="86">
        <v>890</v>
      </c>
      <c r="DP14" s="86">
        <v>882</v>
      </c>
      <c r="DQ14" s="86">
        <v>920</v>
      </c>
      <c r="DR14" s="86">
        <v>920</v>
      </c>
      <c r="DS14" s="86">
        <v>940</v>
      </c>
      <c r="DT14" s="86">
        <v>920</v>
      </c>
      <c r="DU14" s="86">
        <v>910</v>
      </c>
      <c r="DV14" s="86">
        <v>910</v>
      </c>
      <c r="DW14" s="86">
        <v>910</v>
      </c>
      <c r="DX14" s="86">
        <v>910</v>
      </c>
      <c r="DY14" s="86">
        <v>930</v>
      </c>
      <c r="DZ14" s="86">
        <v>940</v>
      </c>
      <c r="EA14" s="86">
        <v>940</v>
      </c>
      <c r="EB14" s="86">
        <v>940</v>
      </c>
      <c r="EC14" s="86">
        <v>930</v>
      </c>
      <c r="ED14" s="86">
        <v>920</v>
      </c>
      <c r="EE14" s="86">
        <v>900</v>
      </c>
      <c r="EF14" s="86">
        <v>900</v>
      </c>
      <c r="EG14" s="86">
        <v>900</v>
      </c>
      <c r="EH14" s="86">
        <v>900</v>
      </c>
      <c r="EI14" s="86">
        <v>900</v>
      </c>
      <c r="EJ14" s="86">
        <v>900</v>
      </c>
      <c r="EK14" s="86">
        <v>900</v>
      </c>
      <c r="EL14" s="86">
        <v>900</v>
      </c>
      <c r="EM14" s="86">
        <v>900</v>
      </c>
      <c r="EN14" s="86">
        <v>900</v>
      </c>
      <c r="EO14" s="86">
        <v>900</v>
      </c>
      <c r="EP14" s="86">
        <v>940</v>
      </c>
      <c r="EQ14" s="86">
        <v>940</v>
      </c>
      <c r="ER14" s="86">
        <v>940</v>
      </c>
      <c r="ES14" s="86">
        <v>950</v>
      </c>
      <c r="ET14" s="86">
        <v>940</v>
      </c>
      <c r="EU14" s="86">
        <v>940</v>
      </c>
      <c r="EV14" s="86">
        <v>940</v>
      </c>
      <c r="EW14" s="86">
        <v>940</v>
      </c>
      <c r="EX14" s="86">
        <v>940</v>
      </c>
      <c r="EY14" s="86">
        <v>940</v>
      </c>
      <c r="EZ14" s="86">
        <v>940</v>
      </c>
      <c r="FA14" s="86">
        <v>940</v>
      </c>
      <c r="FB14" s="86">
        <v>940</v>
      </c>
      <c r="FC14" s="86">
        <v>940</v>
      </c>
      <c r="FD14" s="86">
        <v>940</v>
      </c>
      <c r="FE14" s="86">
        <v>940</v>
      </c>
      <c r="FF14" s="86">
        <v>940</v>
      </c>
      <c r="FG14" s="86">
        <v>940</v>
      </c>
      <c r="FH14" s="86">
        <v>950</v>
      </c>
      <c r="FI14" s="86">
        <v>950</v>
      </c>
      <c r="FJ14" s="86">
        <v>950</v>
      </c>
      <c r="FK14" s="86">
        <v>950</v>
      </c>
      <c r="FL14" s="86">
        <v>950</v>
      </c>
      <c r="FM14" s="86">
        <v>950</v>
      </c>
      <c r="FN14" s="86">
        <v>950</v>
      </c>
      <c r="FO14" s="86">
        <v>950</v>
      </c>
      <c r="FP14" s="86">
        <v>940</v>
      </c>
      <c r="FQ14" s="86">
        <v>940</v>
      </c>
      <c r="FR14" s="86">
        <v>940</v>
      </c>
      <c r="FS14" s="86">
        <v>940</v>
      </c>
      <c r="FT14" s="86">
        <v>930</v>
      </c>
      <c r="FU14" s="86">
        <v>900</v>
      </c>
      <c r="FV14" s="86">
        <v>900</v>
      </c>
      <c r="FW14" s="86">
        <v>890</v>
      </c>
      <c r="FX14" s="86">
        <v>870</v>
      </c>
      <c r="FY14" s="86">
        <v>860</v>
      </c>
      <c r="FZ14" s="86">
        <v>860</v>
      </c>
      <c r="GA14" s="86">
        <v>860</v>
      </c>
      <c r="GB14" s="86">
        <v>870</v>
      </c>
      <c r="GC14" s="86">
        <v>860</v>
      </c>
      <c r="GD14" s="86">
        <v>860</v>
      </c>
      <c r="GE14" s="86">
        <v>860</v>
      </c>
      <c r="GF14" s="86">
        <v>860</v>
      </c>
      <c r="GG14" s="86">
        <v>840</v>
      </c>
      <c r="GH14" s="86">
        <v>840</v>
      </c>
      <c r="GI14" s="86">
        <v>840</v>
      </c>
      <c r="GJ14" s="86">
        <v>830</v>
      </c>
      <c r="GK14" s="86">
        <v>830</v>
      </c>
      <c r="GL14" s="86">
        <v>820</v>
      </c>
      <c r="GM14" s="86">
        <v>820</v>
      </c>
      <c r="GN14" s="86">
        <v>820</v>
      </c>
      <c r="GO14" s="86">
        <v>820</v>
      </c>
      <c r="GP14" s="86">
        <v>850</v>
      </c>
      <c r="GQ14" s="86">
        <v>840</v>
      </c>
      <c r="GR14" s="86">
        <v>840</v>
      </c>
      <c r="GS14" s="86">
        <v>840</v>
      </c>
      <c r="GT14" s="86">
        <v>840</v>
      </c>
      <c r="GU14" s="86">
        <v>840</v>
      </c>
      <c r="GV14" s="86">
        <v>830</v>
      </c>
      <c r="GW14" s="86">
        <v>810</v>
      </c>
      <c r="GX14" s="86">
        <v>810</v>
      </c>
      <c r="GY14" s="86">
        <v>800</v>
      </c>
      <c r="GZ14" s="86">
        <v>750</v>
      </c>
      <c r="HA14" s="86">
        <v>750</v>
      </c>
      <c r="HB14" s="86">
        <v>760</v>
      </c>
      <c r="HC14" s="86">
        <v>760</v>
      </c>
      <c r="HD14" s="86">
        <v>760</v>
      </c>
      <c r="HE14" s="86">
        <v>800</v>
      </c>
      <c r="HF14" s="86"/>
      <c r="HG14" s="86"/>
    </row>
    <row r="15" spans="1:215" ht="14" x14ac:dyDescent="0.35">
      <c r="H15" s="85" t="s">
        <v>45</v>
      </c>
      <c r="I15" s="28">
        <f t="shared" ref="I15:AK15" si="29">I14</f>
        <v>1000</v>
      </c>
      <c r="J15" s="28">
        <f t="shared" si="29"/>
        <v>1045</v>
      </c>
      <c r="K15" s="28">
        <f t="shared" si="29"/>
        <v>1020</v>
      </c>
      <c r="L15" s="28">
        <f t="shared" si="29"/>
        <v>1055</v>
      </c>
      <c r="M15" s="28">
        <f t="shared" si="29"/>
        <v>974</v>
      </c>
      <c r="N15" s="28">
        <f t="shared" si="29"/>
        <v>895</v>
      </c>
      <c r="O15" s="28">
        <f t="shared" si="29"/>
        <v>903</v>
      </c>
      <c r="P15" s="28">
        <f t="shared" si="29"/>
        <v>918</v>
      </c>
      <c r="Q15" s="28">
        <f t="shared" si="29"/>
        <v>930</v>
      </c>
      <c r="R15" s="28">
        <f t="shared" si="29"/>
        <v>922.5</v>
      </c>
      <c r="S15" s="28">
        <f t="shared" si="29"/>
        <v>900</v>
      </c>
      <c r="T15" s="28">
        <f t="shared" si="29"/>
        <v>900</v>
      </c>
      <c r="U15" s="28">
        <f t="shared" si="29"/>
        <v>930</v>
      </c>
      <c r="V15" s="28">
        <f t="shared" si="29"/>
        <v>943.33333333333337</v>
      </c>
      <c r="W15" s="28">
        <f t="shared" si="29"/>
        <v>940</v>
      </c>
      <c r="X15" s="28">
        <f t="shared" si="29"/>
        <v>940</v>
      </c>
      <c r="Y15" s="28">
        <f t="shared" si="29"/>
        <v>942</v>
      </c>
      <c r="Z15" s="28">
        <f t="shared" si="29"/>
        <v>950</v>
      </c>
      <c r="AA15" s="28">
        <f t="shared" si="29"/>
        <v>947.5</v>
      </c>
      <c r="AB15" s="28">
        <f t="shared" si="29"/>
        <v>930</v>
      </c>
      <c r="AC15" s="28">
        <f t="shared" si="29"/>
        <v>880</v>
      </c>
      <c r="AD15" s="28">
        <f t="shared" si="29"/>
        <v>862.5</v>
      </c>
      <c r="AE15" s="28">
        <f t="shared" si="29"/>
        <v>852</v>
      </c>
      <c r="AF15" s="28">
        <f t="shared" si="29"/>
        <v>830</v>
      </c>
      <c r="AG15" s="28">
        <f t="shared" si="29"/>
        <v>827.5</v>
      </c>
      <c r="AH15" s="28">
        <f t="shared" si="29"/>
        <v>840</v>
      </c>
      <c r="AI15" s="28">
        <f t="shared" si="29"/>
        <v>822.5</v>
      </c>
      <c r="AJ15" s="28">
        <f t="shared" si="29"/>
        <v>765</v>
      </c>
      <c r="AK15" s="28">
        <f t="shared" si="29"/>
        <v>773.33333333333337</v>
      </c>
      <c r="AO15" s="85" t="s">
        <v>45</v>
      </c>
      <c r="CC15" s="28">
        <f t="shared" ref="CC15:DH15" si="30">CC14</f>
        <v>1100</v>
      </c>
      <c r="CD15" s="28">
        <f t="shared" si="30"/>
        <v>1100</v>
      </c>
      <c r="CE15" s="28">
        <f t="shared" si="30"/>
        <v>1070</v>
      </c>
      <c r="CF15" s="28">
        <f t="shared" si="30"/>
        <v>1040</v>
      </c>
      <c r="CG15" s="28">
        <f t="shared" si="30"/>
        <v>995</v>
      </c>
      <c r="CH15" s="28">
        <f t="shared" si="30"/>
        <v>980</v>
      </c>
      <c r="CI15" s="28">
        <f t="shared" si="30"/>
        <v>980</v>
      </c>
      <c r="CJ15" s="28">
        <f t="shared" si="30"/>
        <v>980</v>
      </c>
      <c r="CK15" s="28">
        <f t="shared" si="30"/>
        <v>970</v>
      </c>
      <c r="CL15" s="28">
        <f t="shared" si="30"/>
        <v>970</v>
      </c>
      <c r="CM15" s="28">
        <f t="shared" si="30"/>
        <v>970</v>
      </c>
      <c r="CN15" s="28">
        <f t="shared" si="30"/>
        <v>980</v>
      </c>
      <c r="CO15" s="28">
        <f t="shared" si="30"/>
        <v>990</v>
      </c>
      <c r="CP15" s="28">
        <f t="shared" si="30"/>
        <v>970</v>
      </c>
      <c r="CQ15" s="28">
        <f t="shared" si="30"/>
        <v>980</v>
      </c>
      <c r="CR15" s="28">
        <f t="shared" si="30"/>
        <v>990</v>
      </c>
      <c r="CS15" s="28">
        <f t="shared" si="30"/>
        <v>1060</v>
      </c>
      <c r="CT15" s="28">
        <f t="shared" si="30"/>
        <v>1070</v>
      </c>
      <c r="CU15" s="28">
        <f t="shared" si="30"/>
        <v>1070</v>
      </c>
      <c r="CV15" s="28">
        <f t="shared" si="30"/>
        <v>1020</v>
      </c>
      <c r="CW15" s="28">
        <f t="shared" si="30"/>
        <v>1020</v>
      </c>
      <c r="CX15" s="28">
        <f t="shared" si="30"/>
        <v>1020</v>
      </c>
      <c r="CY15" s="28">
        <f t="shared" si="30"/>
        <v>1020</v>
      </c>
      <c r="CZ15" s="28">
        <f t="shared" si="30"/>
        <v>1020</v>
      </c>
      <c r="DA15" s="28">
        <f t="shared" si="30"/>
        <v>1020</v>
      </c>
      <c r="DB15" s="28">
        <f t="shared" si="30"/>
        <v>1050</v>
      </c>
      <c r="DC15" s="28">
        <f t="shared" si="30"/>
        <v>1070</v>
      </c>
      <c r="DD15" s="28">
        <f t="shared" si="30"/>
        <v>1050</v>
      </c>
      <c r="DE15" s="28">
        <f t="shared" si="30"/>
        <v>1050</v>
      </c>
      <c r="DF15" s="28">
        <f t="shared" si="30"/>
        <v>1020</v>
      </c>
      <c r="DG15" s="28">
        <f t="shared" si="30"/>
        <v>1000</v>
      </c>
      <c r="DH15" s="28">
        <f t="shared" si="30"/>
        <v>980</v>
      </c>
      <c r="DI15" s="28">
        <f t="shared" ref="DI15:EN15" si="31">DI14</f>
        <v>960</v>
      </c>
      <c r="DJ15" s="28">
        <f t="shared" si="31"/>
        <v>910</v>
      </c>
      <c r="DK15" s="28">
        <f t="shared" si="31"/>
        <v>910</v>
      </c>
      <c r="DL15" s="28">
        <f t="shared" si="31"/>
        <v>890</v>
      </c>
      <c r="DM15" s="28">
        <f t="shared" si="31"/>
        <v>890</v>
      </c>
      <c r="DN15" s="28">
        <f t="shared" si="31"/>
        <v>890</v>
      </c>
      <c r="DO15" s="28">
        <f t="shared" si="31"/>
        <v>890</v>
      </c>
      <c r="DP15" s="28">
        <f t="shared" si="31"/>
        <v>882</v>
      </c>
      <c r="DQ15" s="28">
        <f t="shared" si="31"/>
        <v>920</v>
      </c>
      <c r="DR15" s="28">
        <f t="shared" si="31"/>
        <v>920</v>
      </c>
      <c r="DS15" s="28">
        <f t="shared" si="31"/>
        <v>940</v>
      </c>
      <c r="DT15" s="28">
        <f t="shared" si="31"/>
        <v>920</v>
      </c>
      <c r="DU15" s="28">
        <f t="shared" si="31"/>
        <v>910</v>
      </c>
      <c r="DV15" s="28">
        <f t="shared" si="31"/>
        <v>910</v>
      </c>
      <c r="DW15" s="28">
        <f t="shared" si="31"/>
        <v>910</v>
      </c>
      <c r="DX15" s="28">
        <f t="shared" si="31"/>
        <v>910</v>
      </c>
      <c r="DY15" s="28">
        <f t="shared" si="31"/>
        <v>930</v>
      </c>
      <c r="DZ15" s="28">
        <f t="shared" si="31"/>
        <v>940</v>
      </c>
      <c r="EA15" s="28">
        <f t="shared" si="31"/>
        <v>940</v>
      </c>
      <c r="EB15" s="28">
        <f t="shared" si="31"/>
        <v>940</v>
      </c>
      <c r="EC15" s="28">
        <f t="shared" si="31"/>
        <v>930</v>
      </c>
      <c r="ED15" s="28">
        <f t="shared" si="31"/>
        <v>920</v>
      </c>
      <c r="EE15" s="28">
        <f t="shared" si="31"/>
        <v>900</v>
      </c>
      <c r="EF15" s="28">
        <f t="shared" si="31"/>
        <v>900</v>
      </c>
      <c r="EG15" s="28">
        <f t="shared" si="31"/>
        <v>900</v>
      </c>
      <c r="EH15" s="28">
        <f t="shared" si="31"/>
        <v>900</v>
      </c>
      <c r="EI15" s="28">
        <f t="shared" si="31"/>
        <v>900</v>
      </c>
      <c r="EJ15" s="28">
        <f t="shared" si="31"/>
        <v>900</v>
      </c>
      <c r="EK15" s="28">
        <f t="shared" si="31"/>
        <v>900</v>
      </c>
      <c r="EL15" s="28">
        <f t="shared" si="31"/>
        <v>900</v>
      </c>
      <c r="EM15" s="28">
        <f t="shared" si="31"/>
        <v>900</v>
      </c>
      <c r="EN15" s="28">
        <f t="shared" si="31"/>
        <v>900</v>
      </c>
      <c r="EO15" s="28">
        <f t="shared" ref="EO15:FT15" si="32">EO14</f>
        <v>900</v>
      </c>
      <c r="EP15" s="28">
        <f t="shared" si="32"/>
        <v>940</v>
      </c>
      <c r="EQ15" s="28">
        <f t="shared" si="32"/>
        <v>940</v>
      </c>
      <c r="ER15" s="28">
        <f t="shared" si="32"/>
        <v>940</v>
      </c>
      <c r="ES15" s="28">
        <f t="shared" si="32"/>
        <v>950</v>
      </c>
      <c r="ET15" s="28">
        <f t="shared" si="32"/>
        <v>940</v>
      </c>
      <c r="EU15" s="28">
        <f t="shared" si="32"/>
        <v>940</v>
      </c>
      <c r="EV15" s="28">
        <f t="shared" si="32"/>
        <v>940</v>
      </c>
      <c r="EW15" s="28">
        <f t="shared" si="32"/>
        <v>940</v>
      </c>
      <c r="EX15" s="28">
        <f t="shared" si="32"/>
        <v>940</v>
      </c>
      <c r="EY15" s="28">
        <f t="shared" si="32"/>
        <v>940</v>
      </c>
      <c r="EZ15" s="28">
        <f t="shared" si="32"/>
        <v>940</v>
      </c>
      <c r="FA15" s="28">
        <f t="shared" si="32"/>
        <v>940</v>
      </c>
      <c r="FB15" s="28">
        <f t="shared" si="32"/>
        <v>940</v>
      </c>
      <c r="FC15" s="28">
        <f t="shared" si="32"/>
        <v>940</v>
      </c>
      <c r="FD15" s="28">
        <f t="shared" si="32"/>
        <v>940</v>
      </c>
      <c r="FE15" s="28">
        <f t="shared" si="32"/>
        <v>940</v>
      </c>
      <c r="FF15" s="28">
        <f t="shared" si="32"/>
        <v>940</v>
      </c>
      <c r="FG15" s="28">
        <f t="shared" si="32"/>
        <v>940</v>
      </c>
      <c r="FH15" s="28">
        <f t="shared" si="32"/>
        <v>950</v>
      </c>
      <c r="FI15" s="28">
        <f t="shared" si="32"/>
        <v>950</v>
      </c>
      <c r="FJ15" s="28">
        <f t="shared" si="32"/>
        <v>950</v>
      </c>
      <c r="FK15" s="28">
        <f t="shared" si="32"/>
        <v>950</v>
      </c>
      <c r="FL15" s="28">
        <f t="shared" si="32"/>
        <v>950</v>
      </c>
      <c r="FM15" s="28">
        <f t="shared" si="32"/>
        <v>950</v>
      </c>
      <c r="FN15" s="28">
        <f t="shared" si="32"/>
        <v>950</v>
      </c>
      <c r="FO15" s="28">
        <f t="shared" si="32"/>
        <v>950</v>
      </c>
      <c r="FP15" s="28">
        <f t="shared" si="32"/>
        <v>940</v>
      </c>
      <c r="FQ15" s="28">
        <f t="shared" si="32"/>
        <v>940</v>
      </c>
      <c r="FR15" s="28">
        <f t="shared" si="32"/>
        <v>940</v>
      </c>
      <c r="FS15" s="28">
        <f t="shared" si="32"/>
        <v>940</v>
      </c>
      <c r="FT15" s="28">
        <f t="shared" si="32"/>
        <v>930</v>
      </c>
      <c r="FU15" s="28">
        <f t="shared" ref="FU15:GZ15" si="33">FU14</f>
        <v>900</v>
      </c>
      <c r="FV15" s="28">
        <f t="shared" si="33"/>
        <v>900</v>
      </c>
      <c r="FW15" s="28">
        <f t="shared" si="33"/>
        <v>890</v>
      </c>
      <c r="FX15" s="28">
        <f t="shared" si="33"/>
        <v>870</v>
      </c>
      <c r="FY15" s="28">
        <f t="shared" si="33"/>
        <v>860</v>
      </c>
      <c r="FZ15" s="28">
        <f t="shared" si="33"/>
        <v>860</v>
      </c>
      <c r="GA15" s="28">
        <f t="shared" si="33"/>
        <v>860</v>
      </c>
      <c r="GB15" s="28">
        <f t="shared" si="33"/>
        <v>870</v>
      </c>
      <c r="GC15" s="28">
        <f t="shared" si="33"/>
        <v>860</v>
      </c>
      <c r="GD15" s="28">
        <f t="shared" si="33"/>
        <v>860</v>
      </c>
      <c r="GE15" s="28">
        <f t="shared" si="33"/>
        <v>860</v>
      </c>
      <c r="GF15" s="28">
        <f t="shared" si="33"/>
        <v>860</v>
      </c>
      <c r="GG15" s="28">
        <f t="shared" si="33"/>
        <v>840</v>
      </c>
      <c r="GH15" s="28">
        <f t="shared" si="33"/>
        <v>840</v>
      </c>
      <c r="GI15" s="28">
        <f t="shared" si="33"/>
        <v>840</v>
      </c>
      <c r="GJ15" s="28">
        <f t="shared" si="33"/>
        <v>830</v>
      </c>
      <c r="GK15" s="28">
        <f t="shared" si="33"/>
        <v>830</v>
      </c>
      <c r="GL15" s="28">
        <f t="shared" si="33"/>
        <v>820</v>
      </c>
      <c r="GM15" s="28">
        <f t="shared" si="33"/>
        <v>820</v>
      </c>
      <c r="GN15" s="28">
        <f t="shared" si="33"/>
        <v>820</v>
      </c>
      <c r="GO15" s="28">
        <f t="shared" si="33"/>
        <v>820</v>
      </c>
      <c r="GP15" s="28">
        <f t="shared" si="33"/>
        <v>850</v>
      </c>
      <c r="GQ15" s="28">
        <f t="shared" si="33"/>
        <v>840</v>
      </c>
      <c r="GR15" s="28">
        <f t="shared" si="33"/>
        <v>840</v>
      </c>
      <c r="GS15" s="28">
        <f t="shared" si="33"/>
        <v>840</v>
      </c>
      <c r="GT15" s="28">
        <f t="shared" si="33"/>
        <v>840</v>
      </c>
      <c r="GU15" s="28">
        <f t="shared" si="33"/>
        <v>840</v>
      </c>
      <c r="GV15" s="28">
        <f t="shared" si="33"/>
        <v>830</v>
      </c>
      <c r="GW15" s="28">
        <f t="shared" si="33"/>
        <v>810</v>
      </c>
      <c r="GX15" s="28">
        <f t="shared" si="33"/>
        <v>810</v>
      </c>
      <c r="GY15" s="28">
        <f t="shared" si="33"/>
        <v>800</v>
      </c>
      <c r="GZ15" s="28">
        <f t="shared" si="33"/>
        <v>750</v>
      </c>
      <c r="HA15" s="28">
        <f t="shared" ref="HA15:HG15" si="34">HA14</f>
        <v>750</v>
      </c>
      <c r="HB15" s="28">
        <f t="shared" si="34"/>
        <v>760</v>
      </c>
      <c r="HC15" s="28">
        <f t="shared" si="34"/>
        <v>760</v>
      </c>
      <c r="HD15" s="28">
        <f t="shared" si="34"/>
        <v>760</v>
      </c>
      <c r="HE15" s="28">
        <f t="shared" si="34"/>
        <v>800</v>
      </c>
      <c r="HF15" s="28">
        <f t="shared" si="34"/>
        <v>0</v>
      </c>
      <c r="HG15" s="28">
        <f t="shared" si="34"/>
        <v>0</v>
      </c>
    </row>
    <row r="16" spans="1:215" ht="15" x14ac:dyDescent="0.35">
      <c r="F16" s="44"/>
      <c r="H16" s="85" t="s">
        <v>46</v>
      </c>
      <c r="I16" s="28">
        <f t="shared" ref="I16:AK16" si="35">I6-I15</f>
        <v>330</v>
      </c>
      <c r="J16" s="28">
        <f t="shared" si="35"/>
        <v>285</v>
      </c>
      <c r="K16" s="28">
        <f t="shared" si="35"/>
        <v>360</v>
      </c>
      <c r="L16" s="28">
        <f t="shared" si="35"/>
        <v>325</v>
      </c>
      <c r="M16" s="28">
        <f t="shared" si="35"/>
        <v>406</v>
      </c>
      <c r="N16" s="28">
        <f t="shared" si="35"/>
        <v>485</v>
      </c>
      <c r="O16" s="28">
        <f t="shared" si="35"/>
        <v>397</v>
      </c>
      <c r="P16" s="28">
        <f t="shared" si="35"/>
        <v>332</v>
      </c>
      <c r="Q16" s="28">
        <f t="shared" si="35"/>
        <v>320</v>
      </c>
      <c r="R16" s="28">
        <f t="shared" si="35"/>
        <v>327.5</v>
      </c>
      <c r="S16" s="28">
        <f t="shared" si="35"/>
        <v>350</v>
      </c>
      <c r="T16" s="28">
        <f t="shared" si="35"/>
        <v>350</v>
      </c>
      <c r="U16" s="28">
        <f t="shared" si="35"/>
        <v>320</v>
      </c>
      <c r="V16" s="28">
        <f t="shared" si="35"/>
        <v>306.66666666666663</v>
      </c>
      <c r="W16" s="28">
        <f t="shared" si="35"/>
        <v>310</v>
      </c>
      <c r="X16" s="28">
        <f t="shared" si="35"/>
        <v>310</v>
      </c>
      <c r="Y16" s="28">
        <f t="shared" si="35"/>
        <v>358</v>
      </c>
      <c r="Z16" s="28">
        <f t="shared" si="35"/>
        <v>350</v>
      </c>
      <c r="AA16" s="28">
        <f t="shared" si="35"/>
        <v>352.5</v>
      </c>
      <c r="AB16" s="28">
        <f t="shared" si="35"/>
        <v>370</v>
      </c>
      <c r="AC16" s="28">
        <f t="shared" si="35"/>
        <v>430</v>
      </c>
      <c r="AD16" s="28">
        <f t="shared" si="35"/>
        <v>462.5</v>
      </c>
      <c r="AE16" s="28">
        <f t="shared" si="35"/>
        <v>473</v>
      </c>
      <c r="AF16" s="28">
        <f t="shared" si="35"/>
        <v>445</v>
      </c>
      <c r="AG16" s="28">
        <f t="shared" si="35"/>
        <v>402.5</v>
      </c>
      <c r="AH16" s="28">
        <f t="shared" si="35"/>
        <v>390</v>
      </c>
      <c r="AI16" s="28">
        <f t="shared" si="35"/>
        <v>407.5</v>
      </c>
      <c r="AJ16" s="28">
        <f t="shared" si="35"/>
        <v>485</v>
      </c>
      <c r="AK16" s="28">
        <f t="shared" si="35"/>
        <v>476.66666666666663</v>
      </c>
      <c r="AO16" s="85" t="s">
        <v>46</v>
      </c>
      <c r="CC16" s="28" t="e">
        <f t="shared" ref="CC16:DH16" si="36">+CC7-CC15</f>
        <v>#REF!</v>
      </c>
      <c r="CD16" s="28" t="e">
        <f t="shared" si="36"/>
        <v>#REF!</v>
      </c>
      <c r="CE16" s="28" t="e">
        <f t="shared" si="36"/>
        <v>#REF!</v>
      </c>
      <c r="CF16" s="28" t="e">
        <f t="shared" si="36"/>
        <v>#REF!</v>
      </c>
      <c r="CG16" s="28">
        <f t="shared" si="36"/>
        <v>405</v>
      </c>
      <c r="CH16" s="28">
        <f t="shared" si="36"/>
        <v>420</v>
      </c>
      <c r="CI16" s="28">
        <f t="shared" si="36"/>
        <v>420</v>
      </c>
      <c r="CJ16" s="28">
        <f t="shared" si="36"/>
        <v>420</v>
      </c>
      <c r="CK16" s="28">
        <f t="shared" si="36"/>
        <v>430</v>
      </c>
      <c r="CL16" s="28">
        <f t="shared" si="36"/>
        <v>430</v>
      </c>
      <c r="CM16" s="28">
        <f t="shared" si="36"/>
        <v>430</v>
      </c>
      <c r="CN16" s="28">
        <f t="shared" si="36"/>
        <v>370</v>
      </c>
      <c r="CO16" s="28">
        <f t="shared" si="36"/>
        <v>360</v>
      </c>
      <c r="CP16" s="28">
        <f t="shared" si="36"/>
        <v>360</v>
      </c>
      <c r="CQ16" s="28">
        <f t="shared" si="36"/>
        <v>350</v>
      </c>
      <c r="CR16" s="28">
        <f t="shared" si="36"/>
        <v>340</v>
      </c>
      <c r="CS16" s="28">
        <f t="shared" si="36"/>
        <v>270</v>
      </c>
      <c r="CT16" s="28">
        <f t="shared" si="36"/>
        <v>260</v>
      </c>
      <c r="CU16" s="28">
        <f t="shared" si="36"/>
        <v>260</v>
      </c>
      <c r="CV16" s="28">
        <f t="shared" si="36"/>
        <v>310</v>
      </c>
      <c r="CW16" s="28">
        <f t="shared" si="36"/>
        <v>310</v>
      </c>
      <c r="CX16" s="28">
        <f t="shared" si="36"/>
        <v>360</v>
      </c>
      <c r="CY16" s="28">
        <f t="shared" si="36"/>
        <v>360</v>
      </c>
      <c r="CZ16" s="28">
        <f t="shared" si="36"/>
        <v>360</v>
      </c>
      <c r="DA16" s="28">
        <f t="shared" si="36"/>
        <v>360</v>
      </c>
      <c r="DB16" s="28">
        <f t="shared" si="36"/>
        <v>330</v>
      </c>
      <c r="DC16" s="28">
        <f t="shared" si="36"/>
        <v>310</v>
      </c>
      <c r="DD16" s="28">
        <f t="shared" si="36"/>
        <v>330</v>
      </c>
      <c r="DE16" s="28">
        <f t="shared" si="36"/>
        <v>330</v>
      </c>
      <c r="DF16" s="28">
        <f t="shared" si="36"/>
        <v>360</v>
      </c>
      <c r="DG16" s="28">
        <f t="shared" si="36"/>
        <v>380</v>
      </c>
      <c r="DH16" s="28">
        <f t="shared" si="36"/>
        <v>400</v>
      </c>
      <c r="DI16" s="28">
        <f t="shared" ref="DI16:EN16" si="37">+DI7-DI15</f>
        <v>420</v>
      </c>
      <c r="DJ16" s="28">
        <f t="shared" si="37"/>
        <v>470</v>
      </c>
      <c r="DK16" s="28">
        <f t="shared" si="37"/>
        <v>440</v>
      </c>
      <c r="DL16" s="28">
        <f t="shared" si="37"/>
        <v>460</v>
      </c>
      <c r="DM16" s="28">
        <f t="shared" si="37"/>
        <v>410</v>
      </c>
      <c r="DN16" s="28">
        <f t="shared" si="37"/>
        <v>410</v>
      </c>
      <c r="DO16" s="28">
        <f t="shared" si="37"/>
        <v>410</v>
      </c>
      <c r="DP16" s="28">
        <f t="shared" si="37"/>
        <v>418</v>
      </c>
      <c r="DQ16" s="28">
        <f t="shared" si="37"/>
        <v>330</v>
      </c>
      <c r="DR16" s="28">
        <f t="shared" si="37"/>
        <v>330</v>
      </c>
      <c r="DS16" s="28">
        <f t="shared" si="37"/>
        <v>310</v>
      </c>
      <c r="DT16" s="28">
        <f t="shared" si="37"/>
        <v>330</v>
      </c>
      <c r="DU16" s="28">
        <f t="shared" si="37"/>
        <v>340</v>
      </c>
      <c r="DV16" s="28">
        <f t="shared" si="37"/>
        <v>340</v>
      </c>
      <c r="DW16" s="28">
        <f t="shared" si="37"/>
        <v>340</v>
      </c>
      <c r="DX16" s="28">
        <f t="shared" si="37"/>
        <v>340</v>
      </c>
      <c r="DY16" s="28">
        <f t="shared" si="37"/>
        <v>320</v>
      </c>
      <c r="DZ16" s="28">
        <f t="shared" si="37"/>
        <v>310</v>
      </c>
      <c r="EA16" s="28">
        <f t="shared" si="37"/>
        <v>310</v>
      </c>
      <c r="EB16" s="28">
        <f t="shared" si="37"/>
        <v>310</v>
      </c>
      <c r="EC16" s="28">
        <f t="shared" si="37"/>
        <v>320</v>
      </c>
      <c r="ED16" s="28">
        <f t="shared" si="37"/>
        <v>330</v>
      </c>
      <c r="EE16" s="28">
        <f t="shared" si="37"/>
        <v>350</v>
      </c>
      <c r="EF16" s="28">
        <f t="shared" si="37"/>
        <v>350</v>
      </c>
      <c r="EG16" s="28">
        <f t="shared" si="37"/>
        <v>350</v>
      </c>
      <c r="EH16" s="28">
        <f t="shared" si="37"/>
        <v>350</v>
      </c>
      <c r="EI16" s="28">
        <f t="shared" si="37"/>
        <v>350</v>
      </c>
      <c r="EJ16" s="28">
        <f t="shared" si="37"/>
        <v>350</v>
      </c>
      <c r="EK16" s="28">
        <f t="shared" si="37"/>
        <v>350</v>
      </c>
      <c r="EL16" s="28">
        <f t="shared" si="37"/>
        <v>350</v>
      </c>
      <c r="EM16" s="28">
        <f t="shared" si="37"/>
        <v>350</v>
      </c>
      <c r="EN16" s="28">
        <f t="shared" si="37"/>
        <v>350</v>
      </c>
      <c r="EO16" s="28">
        <f t="shared" ref="EO16:FT16" si="38">+EO6-EO15</f>
        <v>350</v>
      </c>
      <c r="EP16" s="28">
        <f t="shared" si="38"/>
        <v>310</v>
      </c>
      <c r="EQ16" s="28">
        <f t="shared" si="38"/>
        <v>310</v>
      </c>
      <c r="ER16" s="28">
        <f t="shared" si="38"/>
        <v>310</v>
      </c>
      <c r="ES16" s="28">
        <f t="shared" si="38"/>
        <v>300</v>
      </c>
      <c r="ET16" s="28">
        <f t="shared" si="38"/>
        <v>310</v>
      </c>
      <c r="EU16" s="28">
        <f t="shared" si="38"/>
        <v>310</v>
      </c>
      <c r="EV16" s="28">
        <f t="shared" si="38"/>
        <v>310</v>
      </c>
      <c r="EW16" s="28">
        <f t="shared" si="38"/>
        <v>310</v>
      </c>
      <c r="EX16" s="28">
        <f t="shared" si="38"/>
        <v>310</v>
      </c>
      <c r="EY16" s="28">
        <f t="shared" si="38"/>
        <v>310</v>
      </c>
      <c r="EZ16" s="28">
        <f t="shared" si="38"/>
        <v>310</v>
      </c>
      <c r="FA16" s="28">
        <f t="shared" si="38"/>
        <v>310</v>
      </c>
      <c r="FB16" s="28">
        <f t="shared" si="38"/>
        <v>310</v>
      </c>
      <c r="FC16" s="28">
        <f t="shared" si="38"/>
        <v>310</v>
      </c>
      <c r="FD16" s="28">
        <f t="shared" si="38"/>
        <v>360</v>
      </c>
      <c r="FE16" s="28">
        <f t="shared" si="38"/>
        <v>360</v>
      </c>
      <c r="FF16" s="28">
        <f t="shared" si="38"/>
        <v>360</v>
      </c>
      <c r="FG16" s="28">
        <f t="shared" si="38"/>
        <v>360</v>
      </c>
      <c r="FH16" s="28">
        <f t="shared" si="38"/>
        <v>350</v>
      </c>
      <c r="FI16" s="28">
        <f t="shared" si="38"/>
        <v>350</v>
      </c>
      <c r="FJ16" s="28">
        <f t="shared" si="38"/>
        <v>350</v>
      </c>
      <c r="FK16" s="28">
        <f t="shared" si="38"/>
        <v>350</v>
      </c>
      <c r="FL16" s="28">
        <f t="shared" si="38"/>
        <v>350</v>
      </c>
      <c r="FM16" s="28">
        <f t="shared" si="38"/>
        <v>350</v>
      </c>
      <c r="FN16" s="28">
        <f t="shared" si="38"/>
        <v>350</v>
      </c>
      <c r="FO16" s="28">
        <f t="shared" si="38"/>
        <v>350</v>
      </c>
      <c r="FP16" s="28">
        <f t="shared" si="38"/>
        <v>360</v>
      </c>
      <c r="FQ16" s="28">
        <f t="shared" si="38"/>
        <v>360</v>
      </c>
      <c r="FR16" s="28">
        <f t="shared" si="38"/>
        <v>360</v>
      </c>
      <c r="FS16" s="28">
        <f t="shared" si="38"/>
        <v>360</v>
      </c>
      <c r="FT16" s="28">
        <f t="shared" si="38"/>
        <v>370</v>
      </c>
      <c r="FU16" s="28">
        <f t="shared" ref="FU16:GZ16" si="39">+FU6-FU15</f>
        <v>400</v>
      </c>
      <c r="FV16" s="28">
        <f t="shared" si="39"/>
        <v>410</v>
      </c>
      <c r="FW16" s="28">
        <f t="shared" si="39"/>
        <v>420</v>
      </c>
      <c r="FX16" s="28">
        <f t="shared" si="39"/>
        <v>440</v>
      </c>
      <c r="FY16" s="28">
        <f t="shared" si="39"/>
        <v>450</v>
      </c>
      <c r="FZ16" s="28">
        <f t="shared" si="39"/>
        <v>465</v>
      </c>
      <c r="GA16" s="28">
        <f t="shared" si="39"/>
        <v>465</v>
      </c>
      <c r="GB16" s="28">
        <f t="shared" si="39"/>
        <v>455</v>
      </c>
      <c r="GC16" s="28">
        <f t="shared" si="39"/>
        <v>465</v>
      </c>
      <c r="GD16" s="28">
        <f t="shared" si="39"/>
        <v>465</v>
      </c>
      <c r="GE16" s="28">
        <f t="shared" si="39"/>
        <v>465</v>
      </c>
      <c r="GF16" s="28">
        <f t="shared" si="39"/>
        <v>465</v>
      </c>
      <c r="GG16" s="28">
        <f t="shared" si="39"/>
        <v>485</v>
      </c>
      <c r="GH16" s="28">
        <f t="shared" si="39"/>
        <v>485</v>
      </c>
      <c r="GI16" s="28">
        <f t="shared" si="39"/>
        <v>435</v>
      </c>
      <c r="GJ16" s="28">
        <f t="shared" si="39"/>
        <v>445</v>
      </c>
      <c r="GK16" s="28">
        <f t="shared" si="39"/>
        <v>445</v>
      </c>
      <c r="GL16" s="28">
        <f t="shared" si="39"/>
        <v>455</v>
      </c>
      <c r="GM16" s="28">
        <f t="shared" si="39"/>
        <v>410</v>
      </c>
      <c r="GN16" s="28">
        <f t="shared" si="39"/>
        <v>410</v>
      </c>
      <c r="GO16" s="28">
        <f t="shared" si="39"/>
        <v>410</v>
      </c>
      <c r="GP16" s="28">
        <f t="shared" si="39"/>
        <v>380</v>
      </c>
      <c r="GQ16" s="28">
        <f t="shared" si="39"/>
        <v>390</v>
      </c>
      <c r="GR16" s="28">
        <f t="shared" si="39"/>
        <v>390</v>
      </c>
      <c r="GS16" s="28">
        <f t="shared" si="39"/>
        <v>390</v>
      </c>
      <c r="GT16" s="28">
        <f t="shared" si="39"/>
        <v>390</v>
      </c>
      <c r="GU16" s="28">
        <f t="shared" si="39"/>
        <v>390</v>
      </c>
      <c r="GV16" s="28">
        <f t="shared" si="39"/>
        <v>400</v>
      </c>
      <c r="GW16" s="28">
        <f t="shared" si="39"/>
        <v>420</v>
      </c>
      <c r="GX16" s="28">
        <f t="shared" si="39"/>
        <v>420</v>
      </c>
      <c r="GY16" s="28">
        <f t="shared" si="39"/>
        <v>450</v>
      </c>
      <c r="GZ16" s="28">
        <f t="shared" si="39"/>
        <v>500</v>
      </c>
      <c r="HA16" s="28">
        <f t="shared" ref="HA16:HG16" si="40">+HA6-HA15</f>
        <v>500</v>
      </c>
      <c r="HB16" s="28">
        <f t="shared" si="40"/>
        <v>490</v>
      </c>
      <c r="HC16" s="28">
        <f t="shared" si="40"/>
        <v>490</v>
      </c>
      <c r="HD16" s="28">
        <f t="shared" si="40"/>
        <v>490</v>
      </c>
      <c r="HE16" s="28">
        <f t="shared" si="40"/>
        <v>450</v>
      </c>
      <c r="HF16" s="28">
        <f t="shared" si="40"/>
        <v>1250</v>
      </c>
      <c r="HG16" s="28">
        <f t="shared" si="40"/>
        <v>1250</v>
      </c>
    </row>
    <row r="17" spans="6:215" ht="15" x14ac:dyDescent="0.35">
      <c r="F17" s="44"/>
      <c r="H17" s="1" t="s">
        <v>44</v>
      </c>
      <c r="I17" s="35">
        <f>I16/I15</f>
        <v>0.33</v>
      </c>
      <c r="J17" s="35">
        <f t="shared" ref="J17:N17" si="41">J16/J15</f>
        <v>0.27272727272727271</v>
      </c>
      <c r="K17" s="35">
        <f t="shared" si="41"/>
        <v>0.35294117647058826</v>
      </c>
      <c r="L17" s="35">
        <f t="shared" si="41"/>
        <v>0.30805687203791471</v>
      </c>
      <c r="M17" s="35">
        <f t="shared" si="41"/>
        <v>0.41683778234086244</v>
      </c>
      <c r="N17" s="35">
        <f t="shared" si="41"/>
        <v>0.54189944134078216</v>
      </c>
      <c r="O17" s="35">
        <f t="shared" ref="O17:T17" si="42">O16/O15</f>
        <v>0.43964562569213733</v>
      </c>
      <c r="P17" s="35">
        <f t="shared" si="42"/>
        <v>0.36165577342047928</v>
      </c>
      <c r="Q17" s="35">
        <f t="shared" si="42"/>
        <v>0.34408602150537637</v>
      </c>
      <c r="R17" s="35">
        <f t="shared" si="42"/>
        <v>0.35501355013550134</v>
      </c>
      <c r="S17" s="35">
        <f t="shared" si="42"/>
        <v>0.3888888888888889</v>
      </c>
      <c r="T17" s="35">
        <f t="shared" si="42"/>
        <v>0.3888888888888889</v>
      </c>
      <c r="U17" s="35">
        <f t="shared" ref="U17:V17" si="43">U16/U15</f>
        <v>0.34408602150537637</v>
      </c>
      <c r="V17" s="35">
        <f t="shared" si="43"/>
        <v>0.32508833922261476</v>
      </c>
      <c r="W17" s="35">
        <f t="shared" ref="W17:X17" si="44">W16/W15</f>
        <v>0.32978723404255317</v>
      </c>
      <c r="X17" s="35">
        <f t="shared" si="44"/>
        <v>0.32978723404255317</v>
      </c>
      <c r="Y17" s="35">
        <f t="shared" ref="Y17:Z17" si="45">Y16/Y15</f>
        <v>0.38004246284501064</v>
      </c>
      <c r="Z17" s="35">
        <f t="shared" si="45"/>
        <v>0.36842105263157893</v>
      </c>
      <c r="AA17" s="35">
        <f t="shared" ref="AA17:AB17" si="46">AA16/AA15</f>
        <v>0.37203166226912932</v>
      </c>
      <c r="AB17" s="35">
        <f t="shared" si="46"/>
        <v>0.39784946236559138</v>
      </c>
      <c r="AC17" s="35">
        <f t="shared" ref="AC17:AD17" si="47">AC16/AC15</f>
        <v>0.48863636363636365</v>
      </c>
      <c r="AD17" s="35">
        <f t="shared" si="47"/>
        <v>0.53623188405797106</v>
      </c>
      <c r="AE17" s="35">
        <f t="shared" ref="AE17:AF17" si="48">AE16/AE15</f>
        <v>0.55516431924882625</v>
      </c>
      <c r="AF17" s="35">
        <f t="shared" si="48"/>
        <v>0.53614457831325302</v>
      </c>
      <c r="AG17" s="35">
        <f t="shared" ref="AG17:AH17" si="49">AG16/AG15</f>
        <v>0.48640483383685801</v>
      </c>
      <c r="AH17" s="35">
        <f t="shared" si="49"/>
        <v>0.4642857142857143</v>
      </c>
      <c r="AI17" s="35">
        <f t="shared" ref="AI17:AJ17" si="50">AI16/AI15</f>
        <v>0.49544072948328266</v>
      </c>
      <c r="AJ17" s="35">
        <f t="shared" si="50"/>
        <v>0.63398692810457513</v>
      </c>
      <c r="AK17" s="35">
        <f t="shared" ref="AK17" si="51">AK16/AK15</f>
        <v>0.61637931034482751</v>
      </c>
      <c r="AO17" s="1" t="s">
        <v>44</v>
      </c>
      <c r="BV17" s="78"/>
      <c r="CC17" s="35" t="e">
        <f t="shared" ref="CC17:CU17" si="52">+CC16/CC15</f>
        <v>#REF!</v>
      </c>
      <c r="CD17" s="35" t="e">
        <f t="shared" si="52"/>
        <v>#REF!</v>
      </c>
      <c r="CE17" s="35" t="e">
        <f t="shared" si="52"/>
        <v>#REF!</v>
      </c>
      <c r="CF17" s="35" t="e">
        <f t="shared" si="52"/>
        <v>#REF!</v>
      </c>
      <c r="CG17" s="35">
        <f t="shared" si="52"/>
        <v>0.40703517587939697</v>
      </c>
      <c r="CH17" s="35">
        <f t="shared" si="52"/>
        <v>0.42857142857142855</v>
      </c>
      <c r="CI17" s="35">
        <f t="shared" si="52"/>
        <v>0.42857142857142855</v>
      </c>
      <c r="CJ17" s="35">
        <f t="shared" si="52"/>
        <v>0.42857142857142855</v>
      </c>
      <c r="CK17" s="35">
        <f t="shared" si="52"/>
        <v>0.44329896907216493</v>
      </c>
      <c r="CL17" s="35">
        <f t="shared" si="52"/>
        <v>0.44329896907216493</v>
      </c>
      <c r="CM17" s="35">
        <f t="shared" si="52"/>
        <v>0.44329896907216493</v>
      </c>
      <c r="CN17" s="35">
        <f t="shared" si="52"/>
        <v>0.37755102040816324</v>
      </c>
      <c r="CO17" s="35">
        <f t="shared" si="52"/>
        <v>0.36363636363636365</v>
      </c>
      <c r="CP17" s="35">
        <f>+CP16/CP15</f>
        <v>0.37113402061855671</v>
      </c>
      <c r="CQ17" s="35">
        <f t="shared" si="52"/>
        <v>0.35714285714285715</v>
      </c>
      <c r="CR17" s="35">
        <f t="shared" si="52"/>
        <v>0.34343434343434343</v>
      </c>
      <c r="CS17" s="35">
        <f t="shared" si="52"/>
        <v>0.25471698113207547</v>
      </c>
      <c r="CT17" s="35">
        <f t="shared" si="52"/>
        <v>0.24299065420560748</v>
      </c>
      <c r="CU17" s="35">
        <f t="shared" si="52"/>
        <v>0.24299065420560748</v>
      </c>
      <c r="CV17" s="35">
        <f t="shared" ref="CV17:DF17" si="53">+CV16/CV15</f>
        <v>0.30392156862745096</v>
      </c>
      <c r="CW17" s="35">
        <f t="shared" si="53"/>
        <v>0.30392156862745096</v>
      </c>
      <c r="CX17" s="35">
        <f t="shared" si="53"/>
        <v>0.35294117647058826</v>
      </c>
      <c r="CY17" s="35">
        <f t="shared" si="53"/>
        <v>0.35294117647058826</v>
      </c>
      <c r="CZ17" s="35">
        <f t="shared" si="53"/>
        <v>0.35294117647058826</v>
      </c>
      <c r="DA17" s="35">
        <f t="shared" si="53"/>
        <v>0.35294117647058826</v>
      </c>
      <c r="DB17" s="35">
        <f t="shared" si="53"/>
        <v>0.31428571428571428</v>
      </c>
      <c r="DC17" s="35">
        <f t="shared" si="53"/>
        <v>0.28971962616822428</v>
      </c>
      <c r="DD17" s="35">
        <f t="shared" si="53"/>
        <v>0.31428571428571428</v>
      </c>
      <c r="DE17" s="35">
        <f t="shared" si="53"/>
        <v>0.31428571428571428</v>
      </c>
      <c r="DF17" s="35">
        <f t="shared" si="53"/>
        <v>0.35294117647058826</v>
      </c>
      <c r="DG17" s="35">
        <f t="shared" ref="DG17:DL17" si="54">+DG16/DG15</f>
        <v>0.38</v>
      </c>
      <c r="DH17" s="35">
        <f t="shared" si="54"/>
        <v>0.40816326530612246</v>
      </c>
      <c r="DI17" s="35">
        <f t="shared" si="54"/>
        <v>0.4375</v>
      </c>
      <c r="DJ17" s="35">
        <f t="shared" si="54"/>
        <v>0.51648351648351654</v>
      </c>
      <c r="DK17" s="35">
        <f t="shared" si="54"/>
        <v>0.48351648351648352</v>
      </c>
      <c r="DL17" s="35">
        <f t="shared" si="54"/>
        <v>0.5168539325842697</v>
      </c>
      <c r="DM17" s="35">
        <f t="shared" ref="DM17:DR17" si="55">+DM16/DM15</f>
        <v>0.4606741573033708</v>
      </c>
      <c r="DN17" s="35">
        <f t="shared" si="55"/>
        <v>0.4606741573033708</v>
      </c>
      <c r="DO17" s="35">
        <f t="shared" si="55"/>
        <v>0.4606741573033708</v>
      </c>
      <c r="DP17" s="35">
        <f t="shared" si="55"/>
        <v>0.47392290249433106</v>
      </c>
      <c r="DQ17" s="35">
        <f t="shared" si="55"/>
        <v>0.35869565217391303</v>
      </c>
      <c r="DR17" s="35">
        <f t="shared" si="55"/>
        <v>0.35869565217391303</v>
      </c>
      <c r="DS17" s="35">
        <f>+DS16/DS15</f>
        <v>0.32978723404255317</v>
      </c>
      <c r="DT17" s="35">
        <f>+DT16/DT15</f>
        <v>0.35869565217391303</v>
      </c>
      <c r="DU17" s="35">
        <f>+DU16/DU15</f>
        <v>0.37362637362637363</v>
      </c>
      <c r="DV17" s="35">
        <f t="shared" ref="DV17:EA17" si="56">+DV16/DV15</f>
        <v>0.37362637362637363</v>
      </c>
      <c r="DW17" s="35">
        <f t="shared" si="56"/>
        <v>0.37362637362637363</v>
      </c>
      <c r="DX17" s="35">
        <f t="shared" si="56"/>
        <v>0.37362637362637363</v>
      </c>
      <c r="DY17" s="35">
        <f t="shared" si="56"/>
        <v>0.34408602150537637</v>
      </c>
      <c r="DZ17" s="35">
        <f t="shared" si="56"/>
        <v>0.32978723404255317</v>
      </c>
      <c r="EA17" s="35">
        <f t="shared" si="56"/>
        <v>0.32978723404255317</v>
      </c>
      <c r="EB17" s="35">
        <f t="shared" ref="EB17:EG17" si="57">+EB16/EB15</f>
        <v>0.32978723404255317</v>
      </c>
      <c r="EC17" s="35">
        <f t="shared" si="57"/>
        <v>0.34408602150537637</v>
      </c>
      <c r="ED17" s="35">
        <f t="shared" si="57"/>
        <v>0.35869565217391303</v>
      </c>
      <c r="EE17" s="35">
        <f t="shared" si="57"/>
        <v>0.3888888888888889</v>
      </c>
      <c r="EF17" s="35">
        <f t="shared" si="57"/>
        <v>0.3888888888888889</v>
      </c>
      <c r="EG17" s="35">
        <f t="shared" si="57"/>
        <v>0.3888888888888889</v>
      </c>
      <c r="EH17" s="35">
        <f t="shared" ref="EH17:EI17" si="58">+EH16/EH15</f>
        <v>0.3888888888888889</v>
      </c>
      <c r="EI17" s="35">
        <f t="shared" si="58"/>
        <v>0.3888888888888889</v>
      </c>
      <c r="EJ17" s="35">
        <f t="shared" ref="EJ17:EK17" si="59">+EJ16/EJ15</f>
        <v>0.3888888888888889</v>
      </c>
      <c r="EK17" s="35">
        <f t="shared" si="59"/>
        <v>0.3888888888888889</v>
      </c>
      <c r="EL17" s="35">
        <f t="shared" ref="EL17:EM17" si="60">+EL16/EL15</f>
        <v>0.3888888888888889</v>
      </c>
      <c r="EM17" s="35">
        <f t="shared" si="60"/>
        <v>0.3888888888888889</v>
      </c>
      <c r="EN17" s="35">
        <f t="shared" ref="EN17:EO17" si="61">+EN16/EN15</f>
        <v>0.3888888888888889</v>
      </c>
      <c r="EO17" s="35">
        <f t="shared" si="61"/>
        <v>0.3888888888888889</v>
      </c>
      <c r="EP17" s="35">
        <f t="shared" ref="EP17:EQ17" si="62">+EP16/EP15</f>
        <v>0.32978723404255317</v>
      </c>
      <c r="EQ17" s="35">
        <f t="shared" si="62"/>
        <v>0.32978723404255317</v>
      </c>
      <c r="ER17" s="35">
        <f t="shared" ref="ER17:ES17" si="63">+ER16/ER15</f>
        <v>0.32978723404255317</v>
      </c>
      <c r="ES17" s="35">
        <f t="shared" si="63"/>
        <v>0.31578947368421051</v>
      </c>
      <c r="ET17" s="35">
        <f t="shared" ref="ET17:EV17" si="64">+ET16/ET15</f>
        <v>0.32978723404255317</v>
      </c>
      <c r="EU17" s="35">
        <f t="shared" si="64"/>
        <v>0.32978723404255317</v>
      </c>
      <c r="EV17" s="35">
        <f t="shared" si="64"/>
        <v>0.32978723404255317</v>
      </c>
      <c r="EW17" s="35">
        <f t="shared" ref="EW17:EX17" si="65">+EW16/EW15</f>
        <v>0.32978723404255317</v>
      </c>
      <c r="EX17" s="35">
        <f t="shared" si="65"/>
        <v>0.32978723404255317</v>
      </c>
      <c r="EY17" s="35">
        <f t="shared" ref="EY17:EZ17" si="66">+EY16/EY15</f>
        <v>0.32978723404255317</v>
      </c>
      <c r="EZ17" s="35">
        <f t="shared" si="66"/>
        <v>0.32978723404255317</v>
      </c>
      <c r="FA17" s="35">
        <f t="shared" ref="FA17:FC17" si="67">+FA16/FA15</f>
        <v>0.32978723404255317</v>
      </c>
      <c r="FB17" s="35">
        <f t="shared" si="67"/>
        <v>0.32978723404255317</v>
      </c>
      <c r="FC17" s="35">
        <f t="shared" si="67"/>
        <v>0.32978723404255317</v>
      </c>
      <c r="FD17" s="35">
        <f t="shared" ref="FD17:FE17" si="68">+FD16/FD15</f>
        <v>0.38297872340425532</v>
      </c>
      <c r="FE17" s="35">
        <f t="shared" si="68"/>
        <v>0.38297872340425532</v>
      </c>
      <c r="FF17" s="35">
        <f t="shared" ref="FF17:FG17" si="69">+FF16/FF15</f>
        <v>0.38297872340425532</v>
      </c>
      <c r="FG17" s="35">
        <f t="shared" si="69"/>
        <v>0.38297872340425532</v>
      </c>
      <c r="FH17" s="35">
        <f t="shared" ref="FH17:FI17" si="70">+FH16/FH15</f>
        <v>0.36842105263157893</v>
      </c>
      <c r="FI17" s="35">
        <f t="shared" si="70"/>
        <v>0.36842105263157893</v>
      </c>
      <c r="FJ17" s="35">
        <f t="shared" ref="FJ17:FK17" si="71">+FJ16/FJ15</f>
        <v>0.36842105263157893</v>
      </c>
      <c r="FK17" s="35">
        <f t="shared" si="71"/>
        <v>0.36842105263157893</v>
      </c>
      <c r="FL17" s="35">
        <f t="shared" ref="FL17:FM17" si="72">+FL16/FL15</f>
        <v>0.36842105263157893</v>
      </c>
      <c r="FM17" s="35">
        <f t="shared" si="72"/>
        <v>0.36842105263157893</v>
      </c>
      <c r="FN17" s="35">
        <f t="shared" ref="FN17:FO17" si="73">+FN16/FN15</f>
        <v>0.36842105263157893</v>
      </c>
      <c r="FO17" s="35">
        <f t="shared" si="73"/>
        <v>0.36842105263157893</v>
      </c>
      <c r="FP17" s="35">
        <f t="shared" ref="FP17:FQ17" si="74">+FP16/FP15</f>
        <v>0.38297872340425532</v>
      </c>
      <c r="FQ17" s="35">
        <f t="shared" si="74"/>
        <v>0.38297872340425532</v>
      </c>
      <c r="FR17" s="35">
        <f t="shared" ref="FR17:FS17" si="75">+FR16/FR15</f>
        <v>0.38297872340425532</v>
      </c>
      <c r="FS17" s="35">
        <f t="shared" si="75"/>
        <v>0.38297872340425532</v>
      </c>
      <c r="FT17" s="35">
        <f t="shared" ref="FT17:FU17" si="76">+FT16/FT15</f>
        <v>0.39784946236559138</v>
      </c>
      <c r="FU17" s="35">
        <f t="shared" si="76"/>
        <v>0.44444444444444442</v>
      </c>
      <c r="FV17" s="35">
        <f t="shared" ref="FV17:FW17" si="77">+FV16/FV15</f>
        <v>0.45555555555555555</v>
      </c>
      <c r="FW17" s="35">
        <f t="shared" si="77"/>
        <v>0.47191011235955055</v>
      </c>
      <c r="FX17" s="35">
        <f t="shared" ref="FX17:FY17" si="78">+FX16/FX15</f>
        <v>0.50574712643678166</v>
      </c>
      <c r="FY17" s="35">
        <f t="shared" si="78"/>
        <v>0.52325581395348841</v>
      </c>
      <c r="FZ17" s="35">
        <f t="shared" ref="FZ17:GA17" si="79">+FZ16/FZ15</f>
        <v>0.54069767441860461</v>
      </c>
      <c r="GA17" s="35">
        <f t="shared" si="79"/>
        <v>0.54069767441860461</v>
      </c>
      <c r="GB17" s="35">
        <f t="shared" ref="GB17:GC17" si="80">+GB16/GB15</f>
        <v>0.52298850574712641</v>
      </c>
      <c r="GC17" s="35">
        <f t="shared" si="80"/>
        <v>0.54069767441860461</v>
      </c>
      <c r="GD17" s="35">
        <f t="shared" ref="GD17:GH17" si="81">+GD16/GD15</f>
        <v>0.54069767441860461</v>
      </c>
      <c r="GE17" s="35">
        <f t="shared" si="81"/>
        <v>0.54069767441860461</v>
      </c>
      <c r="GF17" s="35">
        <f t="shared" si="81"/>
        <v>0.54069767441860461</v>
      </c>
      <c r="GG17" s="35">
        <f t="shared" si="81"/>
        <v>0.57738095238095233</v>
      </c>
      <c r="GH17" s="35">
        <f t="shared" si="81"/>
        <v>0.57738095238095233</v>
      </c>
      <c r="GI17" s="35">
        <f t="shared" ref="GI17:GL17" si="82">+GI16/GI15</f>
        <v>0.5178571428571429</v>
      </c>
      <c r="GJ17" s="35">
        <f t="shared" si="82"/>
        <v>0.53614457831325302</v>
      </c>
      <c r="GK17" s="35">
        <f t="shared" si="82"/>
        <v>0.53614457831325302</v>
      </c>
      <c r="GL17" s="35">
        <f t="shared" si="82"/>
        <v>0.55487804878048785</v>
      </c>
      <c r="GM17" s="35">
        <f t="shared" ref="GM17:GN17" si="83">+GM16/GM15</f>
        <v>0.5</v>
      </c>
      <c r="GN17" s="35">
        <f t="shared" si="83"/>
        <v>0.5</v>
      </c>
      <c r="GO17" s="35">
        <f t="shared" ref="GO17:GP17" si="84">+GO16/GO15</f>
        <v>0.5</v>
      </c>
      <c r="GP17" s="35">
        <f t="shared" si="84"/>
        <v>0.44705882352941179</v>
      </c>
      <c r="GQ17" s="35">
        <f t="shared" ref="GQ17:GS17" si="85">+GQ16/GQ15</f>
        <v>0.4642857142857143</v>
      </c>
      <c r="GR17" s="35">
        <f t="shared" si="85"/>
        <v>0.4642857142857143</v>
      </c>
      <c r="GS17" s="35">
        <f t="shared" si="85"/>
        <v>0.4642857142857143</v>
      </c>
      <c r="GT17" s="35">
        <f t="shared" ref="GT17:GU17" si="86">+GT16/GT15</f>
        <v>0.4642857142857143</v>
      </c>
      <c r="GU17" s="35">
        <f t="shared" si="86"/>
        <v>0.4642857142857143</v>
      </c>
      <c r="GV17" s="35">
        <f t="shared" ref="GV17:GX17" si="87">+GV16/GV15</f>
        <v>0.48192771084337349</v>
      </c>
      <c r="GW17" s="35">
        <f t="shared" si="87"/>
        <v>0.51851851851851849</v>
      </c>
      <c r="GX17" s="35">
        <f t="shared" si="87"/>
        <v>0.51851851851851849</v>
      </c>
      <c r="GY17" s="35">
        <f t="shared" ref="GY17:HB17" si="88">+GY16/GY15</f>
        <v>0.5625</v>
      </c>
      <c r="GZ17" s="35">
        <f t="shared" si="88"/>
        <v>0.66666666666666663</v>
      </c>
      <c r="HA17" s="35">
        <f t="shared" si="88"/>
        <v>0.66666666666666663</v>
      </c>
      <c r="HB17" s="35">
        <f t="shared" si="88"/>
        <v>0.64473684210526316</v>
      </c>
      <c r="HC17" s="35">
        <f t="shared" ref="HC17:HG17" si="89">+HC16/HC15</f>
        <v>0.64473684210526316</v>
      </c>
      <c r="HD17" s="35">
        <f t="shared" si="89"/>
        <v>0.64473684210526316</v>
      </c>
      <c r="HE17" s="35">
        <f t="shared" si="89"/>
        <v>0.5625</v>
      </c>
      <c r="HF17" s="35" t="e">
        <f t="shared" si="89"/>
        <v>#DIV/0!</v>
      </c>
      <c r="HG17" s="35" t="e">
        <f t="shared" si="89"/>
        <v>#DIV/0!</v>
      </c>
    </row>
    <row r="18" spans="6:215" ht="15.5" x14ac:dyDescent="0.35">
      <c r="F18" s="45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107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</row>
    <row r="19" spans="6:215" ht="15.5" x14ac:dyDescent="0.35">
      <c r="F19" s="46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  <c r="FS19" s="28"/>
      <c r="FT19" s="28"/>
      <c r="FU19" s="28"/>
      <c r="FV19" s="28"/>
      <c r="FW19" s="28"/>
      <c r="FX19" s="28"/>
      <c r="FY19" s="28"/>
      <c r="FZ19" s="28"/>
      <c r="GA19" s="28"/>
      <c r="GB19" s="28"/>
      <c r="GC19" s="28"/>
      <c r="GD19" s="28"/>
      <c r="GE19" s="28"/>
      <c r="GF19" s="28"/>
      <c r="GG19" s="28"/>
      <c r="GH19" s="28"/>
      <c r="GI19" s="28"/>
      <c r="GJ19" s="28"/>
      <c r="GK19" s="28"/>
      <c r="GL19" s="28"/>
      <c r="GM19" s="28"/>
      <c r="GN19" s="28"/>
      <c r="GO19" s="28"/>
      <c r="GP19" s="28"/>
      <c r="GQ19" s="28"/>
      <c r="GR19" s="28"/>
      <c r="GS19" s="28"/>
      <c r="GT19" s="28"/>
      <c r="GU19" s="28"/>
      <c r="GV19" s="28"/>
      <c r="GW19" s="28"/>
      <c r="GX19" s="28"/>
      <c r="GY19" s="28"/>
      <c r="GZ19" s="28"/>
      <c r="HA19" s="28"/>
      <c r="HB19" s="28"/>
      <c r="HC19" s="28"/>
      <c r="HD19" s="28"/>
      <c r="HE19" s="28"/>
      <c r="HF19" s="28"/>
      <c r="HG19" s="28"/>
    </row>
    <row r="20" spans="6:215" ht="15.5" x14ac:dyDescent="0.35">
      <c r="F20" s="46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  <c r="FS20" s="28"/>
      <c r="FT20" s="28"/>
      <c r="FU20" s="28"/>
      <c r="FV20" s="28"/>
      <c r="FW20" s="28"/>
      <c r="FX20" s="28"/>
      <c r="FY20" s="28"/>
      <c r="FZ20" s="28"/>
      <c r="GA20" s="28"/>
      <c r="GB20" s="28"/>
      <c r="GC20" s="28"/>
      <c r="GD20" s="28"/>
      <c r="GE20" s="28"/>
      <c r="GF20" s="28"/>
      <c r="GG20" s="28"/>
      <c r="GH20" s="28"/>
      <c r="GI20" s="28"/>
      <c r="GJ20" s="28"/>
      <c r="GK20" s="28"/>
      <c r="GL20" s="28"/>
      <c r="GM20" s="28"/>
      <c r="GN20" s="28"/>
      <c r="GO20" s="28"/>
      <c r="GP20" s="28"/>
      <c r="GQ20" s="28"/>
      <c r="GR20" s="28"/>
      <c r="GS20" s="28"/>
      <c r="GT20" s="28"/>
      <c r="GU20" s="28"/>
      <c r="GV20" s="28"/>
      <c r="GW20" s="28"/>
      <c r="GX20" s="28"/>
      <c r="GY20" s="28"/>
      <c r="GZ20" s="28"/>
      <c r="HA20" s="28"/>
      <c r="HB20" s="28"/>
      <c r="HC20" s="28"/>
      <c r="HD20" s="28"/>
      <c r="HE20" s="28"/>
      <c r="HF20" s="28"/>
      <c r="HG20" s="28"/>
    </row>
    <row r="21" spans="6:215" ht="15" x14ac:dyDescent="0.35">
      <c r="F21" s="44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  <c r="FS21" s="28"/>
      <c r="FT21" s="28"/>
      <c r="FU21" s="28"/>
      <c r="FV21" s="28"/>
      <c r="FW21" s="28"/>
      <c r="FX21" s="28"/>
      <c r="FY21" s="28"/>
      <c r="FZ21" s="28"/>
      <c r="GA21" s="28"/>
      <c r="GB21" s="28"/>
      <c r="GC21" s="28"/>
      <c r="GD21" s="28"/>
      <c r="GE21" s="28"/>
      <c r="GF21" s="28"/>
      <c r="GG21" s="28"/>
      <c r="GH21" s="28"/>
      <c r="GI21" s="28"/>
      <c r="GJ21" s="28"/>
      <c r="GK21" s="28"/>
      <c r="GL21" s="28"/>
      <c r="GM21" s="28"/>
      <c r="GN21" s="28"/>
      <c r="GO21" s="28"/>
      <c r="GP21" s="28"/>
      <c r="GQ21" s="28"/>
      <c r="GR21" s="28"/>
      <c r="GS21" s="28"/>
      <c r="GT21" s="28"/>
      <c r="GU21" s="28"/>
      <c r="GV21" s="28"/>
      <c r="GW21" s="28"/>
      <c r="GX21" s="28"/>
      <c r="GY21" s="28"/>
      <c r="GZ21" s="28"/>
      <c r="HA21" s="28"/>
      <c r="HB21" s="28"/>
      <c r="HC21" s="28"/>
      <c r="HD21" s="28"/>
      <c r="HE21" s="28"/>
      <c r="HF21" s="28"/>
      <c r="HG21" s="28"/>
    </row>
    <row r="22" spans="6:215" x14ac:dyDescent="0.35">
      <c r="I22" s="93"/>
      <c r="J22" s="93"/>
      <c r="K22" s="93"/>
      <c r="L22" s="93"/>
      <c r="M22" s="93"/>
      <c r="N22" s="93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</row>
    <row r="23" spans="6:215" x14ac:dyDescent="0.35">
      <c r="CP23" s="92"/>
      <c r="CQ23" s="92"/>
      <c r="CR23" s="92"/>
      <c r="CS23" s="92"/>
      <c r="CT23" s="92"/>
      <c r="CU23" s="92"/>
      <c r="CV23" s="92"/>
      <c r="CW23" s="92"/>
      <c r="CX23" s="92"/>
      <c r="CY23" s="92"/>
      <c r="CZ23" s="92"/>
      <c r="DA23" s="92"/>
      <c r="DB23" s="92"/>
      <c r="DC23" s="92"/>
      <c r="DD23" s="92"/>
      <c r="DE23" s="92"/>
      <c r="DF23" s="92"/>
      <c r="DG23" s="92"/>
      <c r="DH23" s="92"/>
      <c r="DI23" s="92"/>
      <c r="DJ23" s="92"/>
      <c r="DK23" s="92"/>
      <c r="DL23" s="92"/>
      <c r="DM23" s="92"/>
      <c r="DN23" s="92"/>
      <c r="DO23" s="92"/>
      <c r="DP23" s="92"/>
      <c r="DQ23" s="92"/>
      <c r="DR23" s="92"/>
      <c r="DS23" s="92"/>
      <c r="DT23" s="92"/>
      <c r="DU23" s="92"/>
      <c r="DV23" s="92"/>
      <c r="DW23" s="92"/>
      <c r="DX23" s="92"/>
      <c r="DY23" s="92"/>
      <c r="DZ23" s="92"/>
      <c r="EA23" s="92"/>
      <c r="EB23" s="92"/>
      <c r="EC23" s="92"/>
      <c r="ED23" s="92"/>
      <c r="EE23" s="92"/>
      <c r="EF23" s="92"/>
      <c r="EG23" s="92"/>
      <c r="EH23" s="92"/>
      <c r="EI23" s="92"/>
      <c r="EJ23" s="92"/>
      <c r="EK23" s="92"/>
      <c r="EL23" s="92"/>
      <c r="EM23" s="92"/>
      <c r="EN23" s="92"/>
      <c r="EO23" s="92"/>
      <c r="EP23" s="92"/>
      <c r="EQ23" s="92"/>
      <c r="ER23" s="92"/>
      <c r="ES23" s="92"/>
      <c r="ET23" s="92"/>
      <c r="EU23" s="92"/>
      <c r="EV23" s="92"/>
      <c r="EW23" s="92"/>
      <c r="EX23" s="92"/>
      <c r="EY23" s="92"/>
      <c r="EZ23" s="92"/>
      <c r="FA23" s="92"/>
      <c r="FB23" s="92"/>
      <c r="FC23" s="92"/>
      <c r="FD23" s="92"/>
      <c r="FE23" s="92"/>
      <c r="FF23" s="92"/>
      <c r="FG23" s="92"/>
      <c r="FH23" s="92"/>
      <c r="FI23" s="92"/>
      <c r="FJ23" s="92"/>
      <c r="FK23" s="92"/>
      <c r="FL23" s="92"/>
      <c r="FM23" s="92"/>
      <c r="FN23" s="92"/>
      <c r="FO23" s="92"/>
      <c r="FP23" s="92"/>
      <c r="FQ23" s="92"/>
      <c r="FR23" s="92"/>
      <c r="FS23" s="92"/>
      <c r="FT23" s="92"/>
      <c r="FU23" s="92"/>
      <c r="FV23" s="92"/>
      <c r="FW23" s="92"/>
      <c r="FX23" s="92"/>
      <c r="FY23" s="92"/>
      <c r="FZ23" s="92"/>
      <c r="GA23" s="92"/>
      <c r="GB23" s="92"/>
      <c r="GC23" s="92"/>
      <c r="GD23" s="92"/>
      <c r="GE23" s="92"/>
      <c r="GF23" s="92"/>
      <c r="GG23" s="92"/>
      <c r="GH23" s="92"/>
      <c r="GI23" s="92"/>
      <c r="GJ23" s="92"/>
      <c r="GK23" s="92"/>
      <c r="GL23" s="92"/>
      <c r="GM23" s="92"/>
      <c r="GN23" s="92"/>
      <c r="GO23" s="92"/>
      <c r="GP23" s="92"/>
      <c r="GQ23" s="92"/>
      <c r="GR23" s="92"/>
      <c r="GS23" s="92"/>
      <c r="GT23" s="92"/>
      <c r="GU23" s="106"/>
      <c r="GV23" s="106"/>
      <c r="GW23" s="106"/>
      <c r="GX23" s="106"/>
      <c r="GY23" s="106"/>
      <c r="GZ23" s="106"/>
      <c r="HA23" s="106"/>
      <c r="HB23" s="106"/>
      <c r="HC23" s="106"/>
      <c r="HD23" s="106"/>
      <c r="HE23" s="106"/>
      <c r="HF23" s="106"/>
      <c r="HG23" s="106"/>
    </row>
    <row r="26" spans="6:215" x14ac:dyDescent="0.35">
      <c r="EA26" s="28"/>
    </row>
    <row r="29" spans="6:215" x14ac:dyDescent="0.35">
      <c r="EV29" s="28"/>
    </row>
    <row r="30" spans="6:215" x14ac:dyDescent="0.35">
      <c r="EV30" s="35"/>
    </row>
    <row r="39" spans="6:8" x14ac:dyDescent="0.35">
      <c r="F39" s="21"/>
      <c r="G39" s="21"/>
      <c r="H39" s="21"/>
    </row>
    <row r="40" spans="6:8" x14ac:dyDescent="0.35">
      <c r="F40" s="21"/>
      <c r="G40" s="21"/>
      <c r="H40" s="21"/>
    </row>
    <row r="41" spans="6:8" x14ac:dyDescent="0.35">
      <c r="F41" s="21"/>
      <c r="G41" s="21"/>
      <c r="H41" s="21"/>
    </row>
    <row r="42" spans="6:8" x14ac:dyDescent="0.35">
      <c r="F42" s="21"/>
      <c r="G42" s="21"/>
      <c r="H42" s="21"/>
    </row>
    <row r="43" spans="6:8" x14ac:dyDescent="0.35">
      <c r="F43" s="21"/>
      <c r="G43" s="21"/>
      <c r="H43" s="21"/>
    </row>
    <row r="44" spans="6:8" x14ac:dyDescent="0.35">
      <c r="F44" s="20"/>
      <c r="G44" s="21"/>
      <c r="H44" s="20"/>
    </row>
  </sheetData>
  <phoneticPr fontId="18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4229-C545-47EB-ADBA-4A9824DF5E37}">
  <sheetPr>
    <tabColor theme="4"/>
  </sheetPr>
  <dimension ref="B5:AA49"/>
  <sheetViews>
    <sheetView showGridLines="0" tabSelected="1" zoomScale="70" zoomScaleNormal="70" workbookViewId="0">
      <selection activeCell="R1" sqref="R1"/>
    </sheetView>
  </sheetViews>
  <sheetFormatPr defaultColWidth="8.81640625" defaultRowHeight="14.5" x14ac:dyDescent="0.35"/>
  <cols>
    <col min="1" max="1" width="7" customWidth="1"/>
    <col min="2" max="2" width="7.54296875" customWidth="1"/>
    <col min="3" max="3" width="18.1796875" customWidth="1"/>
    <col min="4" max="4" width="13" customWidth="1"/>
    <col min="5" max="5" width="16.81640625" bestFit="1" customWidth="1"/>
    <col min="6" max="6" width="8.81640625" customWidth="1"/>
    <col min="7" max="7" width="14.1796875" bestFit="1" customWidth="1"/>
    <col min="8" max="8" width="17.1796875" bestFit="1" customWidth="1"/>
    <col min="11" max="11" width="10.453125" bestFit="1" customWidth="1"/>
    <col min="17" max="17" width="11.81640625" customWidth="1"/>
    <col min="21" max="21" width="12.81640625" customWidth="1"/>
    <col min="22" max="22" width="14.54296875" customWidth="1"/>
    <col min="23" max="23" width="13" customWidth="1"/>
  </cols>
  <sheetData>
    <row r="5" spans="19:27" ht="15.65" customHeight="1" x14ac:dyDescent="0.35"/>
    <row r="6" spans="19:27" ht="14.75" customHeight="1" x14ac:dyDescent="0.35"/>
    <row r="9" spans="19:27" ht="15.5" x14ac:dyDescent="0.35">
      <c r="S9" s="109"/>
      <c r="T9" s="109"/>
      <c r="AA9" s="48"/>
    </row>
    <row r="10" spans="19:27" x14ac:dyDescent="0.35">
      <c r="S10" s="109"/>
      <c r="T10" s="109"/>
    </row>
    <row r="15" spans="19:27" x14ac:dyDescent="0.35">
      <c r="S15" s="54"/>
    </row>
    <row r="16" spans="19:27" x14ac:dyDescent="0.35">
      <c r="S16" s="54"/>
    </row>
    <row r="17" spans="2:19" x14ac:dyDescent="0.35">
      <c r="S17" s="54"/>
    </row>
    <row r="18" spans="2:19" x14ac:dyDescent="0.35">
      <c r="S18" s="54"/>
    </row>
    <row r="19" spans="2:19" x14ac:dyDescent="0.35">
      <c r="S19" s="54"/>
    </row>
    <row r="28" spans="2:19" s="13" customFormat="1" ht="14" x14ac:dyDescent="0.3"/>
    <row r="29" spans="2:19" s="13" customFormat="1" ht="14" x14ac:dyDescent="0.3"/>
    <row r="30" spans="2:19" s="13" customFormat="1" ht="14" x14ac:dyDescent="0.3"/>
    <row r="31" spans="2:19" s="13" customFormat="1" ht="14" x14ac:dyDescent="0.3"/>
    <row r="32" spans="2:19" s="20" customFormat="1" ht="14" x14ac:dyDescent="0.35">
      <c r="B32" s="55"/>
      <c r="C32" s="55"/>
      <c r="D32" s="56"/>
      <c r="E32" s="56"/>
      <c r="F32" s="56"/>
      <c r="G32" s="56"/>
      <c r="H32" s="57"/>
    </row>
    <row r="33" spans="2:17" s="43" customFormat="1" ht="14" x14ac:dyDescent="0.35">
      <c r="B33" s="58"/>
      <c r="C33" s="59"/>
      <c r="D33" s="60"/>
      <c r="E33" s="60"/>
      <c r="F33" s="60"/>
      <c r="G33" s="60"/>
      <c r="H33" s="61"/>
    </row>
    <row r="34" spans="2:17" s="43" customFormat="1" ht="14" x14ac:dyDescent="0.35">
      <c r="B34" s="58"/>
      <c r="C34" s="59"/>
      <c r="D34" s="60"/>
      <c r="E34" s="60"/>
      <c r="F34" s="60"/>
      <c r="G34" s="60"/>
      <c r="H34" s="61"/>
    </row>
    <row r="35" spans="2:17" s="43" customFormat="1" ht="14" x14ac:dyDescent="0.35">
      <c r="B35" s="58"/>
      <c r="C35" s="59"/>
      <c r="D35" s="60"/>
      <c r="E35" s="60"/>
      <c r="F35" s="60"/>
      <c r="G35" s="60"/>
      <c r="H35" s="61"/>
    </row>
    <row r="36" spans="2:17" s="43" customFormat="1" ht="14" x14ac:dyDescent="0.35">
      <c r="B36" s="58"/>
      <c r="C36" s="59"/>
      <c r="D36" s="60"/>
      <c r="E36" s="60"/>
      <c r="F36" s="60"/>
      <c r="G36" s="60"/>
      <c r="H36" s="61"/>
    </row>
    <row r="43" spans="2:17" ht="15" x14ac:dyDescent="0.35">
      <c r="Q43" s="44"/>
    </row>
    <row r="44" spans="2:17" ht="15.5" x14ac:dyDescent="0.35">
      <c r="Q44" s="45"/>
    </row>
    <row r="45" spans="2:17" ht="15.5" x14ac:dyDescent="0.35">
      <c r="Q45" s="45"/>
    </row>
    <row r="46" spans="2:17" ht="15.5" x14ac:dyDescent="0.35">
      <c r="Q46" s="45"/>
    </row>
    <row r="47" spans="2:17" ht="15.5" x14ac:dyDescent="0.35">
      <c r="Q47" s="46"/>
    </row>
    <row r="49" spans="17:17" ht="15" x14ac:dyDescent="0.35">
      <c r="Q49" s="44"/>
    </row>
  </sheetData>
  <mergeCells count="1">
    <mergeCell ref="S9:T10"/>
  </mergeCells>
  <pageMargins left="0.23622047244094491" right="0.19685039370078741" top="0.74803149606299213" bottom="0.74803149606299213" header="0.31496062992125984" footer="0.31496062992125984"/>
  <pageSetup paperSize="9" scale="6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6257-0C76-4746-B996-71DD67B685A9}">
  <dimension ref="A1:GJ14"/>
  <sheetViews>
    <sheetView showGridLines="0" topLeftCell="H3" zoomScale="81" zoomScaleNormal="81" workbookViewId="0">
      <pane xSplit="1" ySplit="3" topLeftCell="I6" activePane="bottomRight" state="frozen"/>
      <selection activeCell="S23" sqref="S23"/>
      <selection pane="topRight" activeCell="S23" sqref="S23"/>
      <selection pane="bottomLeft" activeCell="S23" sqref="S23"/>
      <selection pane="bottomRight" activeCell="S23" sqref="S23"/>
    </sheetView>
  </sheetViews>
  <sheetFormatPr defaultColWidth="9.1796875" defaultRowHeight="13" x14ac:dyDescent="0.35"/>
  <cols>
    <col min="1" max="1" width="6.1796875" style="1" hidden="1" customWidth="1"/>
    <col min="2" max="2" width="10.1796875" style="1" hidden="1" customWidth="1"/>
    <col min="3" max="3" width="8.81640625" style="1" hidden="1" customWidth="1"/>
    <col min="4" max="4" width="11.453125" style="1" hidden="1" customWidth="1"/>
    <col min="5" max="5" width="33.1796875" style="1" hidden="1" customWidth="1"/>
    <col min="6" max="6" width="39.453125" style="1" hidden="1" customWidth="1"/>
    <col min="7" max="7" width="10.54296875" style="1" hidden="1" customWidth="1"/>
    <col min="8" max="8" width="29" style="1" customWidth="1"/>
    <col min="9" max="9" width="8.1796875" style="1" customWidth="1"/>
    <col min="10" max="10" width="9.1796875" style="1" customWidth="1"/>
    <col min="11" max="37" width="8.1796875" style="1" customWidth="1"/>
    <col min="38" max="38" width="12" style="43" bestFit="1" customWidth="1"/>
    <col min="39" max="39" width="0" style="1" hidden="1" customWidth="1"/>
    <col min="40" max="40" width="9.1796875" style="1" hidden="1" customWidth="1"/>
    <col min="41" max="41" width="22.81640625" style="1" hidden="1" customWidth="1"/>
    <col min="42" max="50" width="9.1796875" style="1" hidden="1" customWidth="1"/>
    <col min="51" max="51" width="9" style="1" hidden="1" customWidth="1"/>
    <col min="52" max="59" width="9.1796875" style="1" hidden="1" customWidth="1"/>
    <col min="60" max="68" width="10.1796875" style="1" hidden="1" customWidth="1"/>
    <col min="69" max="69" width="7.1796875" style="1" hidden="1" customWidth="1"/>
    <col min="70" max="70" width="7" style="1" hidden="1" customWidth="1"/>
    <col min="71" max="71" width="10" style="1" hidden="1" customWidth="1"/>
    <col min="72" max="72" width="9.81640625" style="1" hidden="1" customWidth="1"/>
    <col min="73" max="73" width="10" style="1" hidden="1" customWidth="1"/>
    <col min="74" max="80" width="10.453125" style="1" hidden="1" customWidth="1"/>
    <col min="81" max="82" width="10.1796875" style="1" hidden="1" customWidth="1"/>
    <col min="83" max="92" width="9.453125" style="1" hidden="1" customWidth="1"/>
    <col min="93" max="94" width="9.1796875" style="1" hidden="1" customWidth="1"/>
    <col min="95" max="193" width="0" style="1" hidden="1" customWidth="1"/>
    <col min="194" max="16384" width="9.1796875" style="1"/>
  </cols>
  <sheetData>
    <row r="1" spans="1:192" hidden="1" x14ac:dyDescent="0.35"/>
    <row r="2" spans="1:192" hidden="1" x14ac:dyDescent="0.35"/>
    <row r="3" spans="1:192" ht="19.399999999999999" customHeight="1" x14ac:dyDescent="0.35">
      <c r="F3" s="14" t="s">
        <v>34</v>
      </c>
      <c r="H3" s="14" t="s">
        <v>34</v>
      </c>
      <c r="BS3" s="104">
        <v>2023</v>
      </c>
      <c r="DR3" s="104">
        <v>2024</v>
      </c>
    </row>
    <row r="4" spans="1:192" s="43" customFormat="1" ht="17.5" x14ac:dyDescent="0.35">
      <c r="A4" s="49"/>
      <c r="B4" s="49"/>
      <c r="C4" s="49"/>
      <c r="D4" s="50"/>
      <c r="E4" s="49"/>
      <c r="F4" s="51" t="s">
        <v>3</v>
      </c>
      <c r="G4" s="51"/>
      <c r="H4" s="51"/>
      <c r="I4" s="52">
        <v>24000</v>
      </c>
      <c r="J4" s="52">
        <v>24000</v>
      </c>
      <c r="K4" s="52">
        <v>24000</v>
      </c>
      <c r="L4" s="52">
        <v>24000</v>
      </c>
      <c r="M4" s="52">
        <v>24000</v>
      </c>
      <c r="N4" s="52">
        <v>24000</v>
      </c>
      <c r="O4" s="52">
        <v>24000</v>
      </c>
      <c r="P4" s="52">
        <v>24000</v>
      </c>
      <c r="Q4" s="52">
        <v>24000</v>
      </c>
      <c r="R4" s="52">
        <v>24000</v>
      </c>
      <c r="S4" s="52">
        <v>24000</v>
      </c>
      <c r="T4" s="52">
        <v>24000</v>
      </c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P4" s="52">
        <v>23150</v>
      </c>
      <c r="AQ4" s="52">
        <v>23150</v>
      </c>
      <c r="AR4" s="52">
        <v>23150</v>
      </c>
      <c r="AS4" s="52">
        <v>23150</v>
      </c>
      <c r="AT4" s="52">
        <v>23150</v>
      </c>
      <c r="AU4" s="52">
        <v>23150</v>
      </c>
      <c r="AV4" s="52">
        <v>23150</v>
      </c>
      <c r="AW4" s="52">
        <v>23150</v>
      </c>
      <c r="AX4" s="52">
        <v>23150</v>
      </c>
      <c r="AY4" s="52">
        <v>23150</v>
      </c>
      <c r="AZ4" s="52">
        <v>23150</v>
      </c>
      <c r="BA4" s="52">
        <v>23150</v>
      </c>
      <c r="BB4" s="52">
        <v>23500</v>
      </c>
      <c r="BC4" s="52">
        <v>23500</v>
      </c>
      <c r="BD4" s="52">
        <v>23500</v>
      </c>
      <c r="BE4" s="52">
        <v>23500</v>
      </c>
      <c r="BF4" s="52">
        <v>23500</v>
      </c>
      <c r="BG4" s="52">
        <v>23500</v>
      </c>
      <c r="BH4" s="52">
        <v>23500</v>
      </c>
      <c r="BI4" s="52">
        <v>23500</v>
      </c>
      <c r="BJ4" s="52">
        <v>24600</v>
      </c>
      <c r="BK4" s="52">
        <v>24600</v>
      </c>
      <c r="BL4" s="52">
        <v>24600</v>
      </c>
      <c r="BM4" s="52">
        <v>24600</v>
      </c>
      <c r="BN4" s="52">
        <v>24600</v>
      </c>
      <c r="BO4" s="52">
        <v>24000</v>
      </c>
      <c r="BP4" s="52">
        <v>24000</v>
      </c>
      <c r="BQ4" s="52">
        <v>24000</v>
      </c>
      <c r="BR4" s="52">
        <v>24000</v>
      </c>
      <c r="BS4" s="52">
        <v>24000</v>
      </c>
      <c r="BT4" s="52">
        <v>24000</v>
      </c>
      <c r="BU4" s="52">
        <v>24000</v>
      </c>
      <c r="BV4" s="52">
        <v>24000</v>
      </c>
      <c r="BW4" s="52">
        <v>24000</v>
      </c>
      <c r="BX4" s="52">
        <v>24000</v>
      </c>
      <c r="BY4" s="52">
        <v>24000</v>
      </c>
      <c r="BZ4" s="52">
        <v>24000</v>
      </c>
      <c r="CA4" s="52">
        <v>24000</v>
      </c>
      <c r="CB4" s="52">
        <v>24000</v>
      </c>
      <c r="CC4" s="52">
        <v>24000</v>
      </c>
      <c r="CD4" s="52">
        <v>24000</v>
      </c>
      <c r="CE4" s="52">
        <v>24000</v>
      </c>
      <c r="CF4" s="52">
        <v>24000</v>
      </c>
      <c r="CG4" s="52">
        <v>24000</v>
      </c>
      <c r="CH4" s="52">
        <v>24000</v>
      </c>
      <c r="CI4" s="52">
        <v>24000</v>
      </c>
      <c r="CJ4" s="52">
        <v>24000</v>
      </c>
      <c r="CK4" s="52">
        <v>24000</v>
      </c>
      <c r="CL4" s="52">
        <v>24000</v>
      </c>
      <c r="CM4" s="52">
        <v>24000</v>
      </c>
      <c r="CN4" s="52">
        <v>24000</v>
      </c>
      <c r="CO4" s="52">
        <v>24000</v>
      </c>
      <c r="CP4" s="52">
        <v>24000</v>
      </c>
      <c r="CQ4" s="52">
        <v>24000</v>
      </c>
      <c r="CR4" s="52">
        <v>24000</v>
      </c>
      <c r="CS4" s="52">
        <v>24000</v>
      </c>
      <c r="CT4" s="52">
        <v>24000</v>
      </c>
      <c r="CU4" s="52">
        <v>24000</v>
      </c>
      <c r="CV4" s="52">
        <v>24000</v>
      </c>
      <c r="CW4" s="52">
        <v>24000</v>
      </c>
      <c r="CX4" s="52">
        <v>24000</v>
      </c>
      <c r="CY4" s="52">
        <v>24000</v>
      </c>
      <c r="CZ4" s="52">
        <v>24000</v>
      </c>
      <c r="DA4" s="52">
        <v>24000</v>
      </c>
      <c r="DB4" s="52">
        <v>24000</v>
      </c>
      <c r="DC4" s="52">
        <v>24000</v>
      </c>
      <c r="DD4" s="52">
        <v>24000</v>
      </c>
      <c r="DE4" s="52">
        <v>24000</v>
      </c>
      <c r="DF4" s="52">
        <v>24000</v>
      </c>
      <c r="DG4" s="52">
        <v>24000</v>
      </c>
      <c r="DH4" s="52">
        <v>24000</v>
      </c>
      <c r="DI4" s="52">
        <v>24000</v>
      </c>
      <c r="DJ4" s="52">
        <v>24000</v>
      </c>
      <c r="DK4" s="52">
        <v>24000</v>
      </c>
      <c r="DL4" s="52">
        <v>24000</v>
      </c>
      <c r="DM4" s="52">
        <v>24000</v>
      </c>
      <c r="DN4" s="52">
        <v>24000</v>
      </c>
      <c r="DO4" s="52">
        <v>24000</v>
      </c>
      <c r="DP4" s="52">
        <v>24000</v>
      </c>
      <c r="DQ4" s="52">
        <v>24000</v>
      </c>
      <c r="DR4" s="52">
        <v>24000</v>
      </c>
      <c r="DS4" s="52">
        <v>24000</v>
      </c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FP4" s="108">
        <v>2025</v>
      </c>
    </row>
    <row r="5" spans="1:192" s="21" customFormat="1" ht="19.5" customHeight="1" x14ac:dyDescent="0.35">
      <c r="A5" s="22" t="s">
        <v>0</v>
      </c>
      <c r="B5" s="22" t="s">
        <v>1</v>
      </c>
      <c r="C5" s="22" t="s">
        <v>4</v>
      </c>
      <c r="D5" s="23" t="s">
        <v>5</v>
      </c>
      <c r="E5" s="22" t="s">
        <v>6</v>
      </c>
      <c r="F5" s="22" t="s">
        <v>2</v>
      </c>
      <c r="G5" s="22" t="s">
        <v>7</v>
      </c>
      <c r="H5" s="22" t="s">
        <v>2</v>
      </c>
      <c r="I5" s="72" t="s">
        <v>85</v>
      </c>
      <c r="J5" s="68">
        <v>2</v>
      </c>
      <c r="K5" s="68">
        <v>3</v>
      </c>
      <c r="L5" s="68">
        <v>4</v>
      </c>
      <c r="M5" s="68">
        <v>5</v>
      </c>
      <c r="N5" s="68">
        <v>6</v>
      </c>
      <c r="O5" s="68">
        <v>7</v>
      </c>
      <c r="P5" s="68">
        <v>8</v>
      </c>
      <c r="Q5" s="68">
        <v>9</v>
      </c>
      <c r="R5" s="68">
        <v>10</v>
      </c>
      <c r="S5" s="72">
        <v>11</v>
      </c>
      <c r="T5" s="72">
        <v>12</v>
      </c>
      <c r="U5" s="72" t="s">
        <v>54</v>
      </c>
      <c r="V5" s="72">
        <v>2</v>
      </c>
      <c r="W5" s="72">
        <v>3</v>
      </c>
      <c r="X5" s="72">
        <v>4</v>
      </c>
      <c r="Y5" s="72">
        <v>5</v>
      </c>
      <c r="Z5" s="72">
        <v>6</v>
      </c>
      <c r="AA5" s="72">
        <v>7</v>
      </c>
      <c r="AB5" s="72">
        <v>8</v>
      </c>
      <c r="AC5" s="72">
        <v>9</v>
      </c>
      <c r="AD5" s="72">
        <v>10</v>
      </c>
      <c r="AE5" s="72">
        <v>11</v>
      </c>
      <c r="AF5" s="72">
        <v>12</v>
      </c>
      <c r="AG5" s="72" t="s">
        <v>81</v>
      </c>
      <c r="AH5" s="72">
        <v>2</v>
      </c>
      <c r="AI5" s="72">
        <v>3</v>
      </c>
      <c r="AJ5" s="72">
        <v>4</v>
      </c>
      <c r="AK5" s="72">
        <v>5</v>
      </c>
      <c r="AL5" s="96"/>
      <c r="AM5" s="23" t="s">
        <v>5</v>
      </c>
      <c r="AN5" s="22" t="s">
        <v>6</v>
      </c>
      <c r="AO5" s="22" t="s">
        <v>2</v>
      </c>
      <c r="AP5" s="68">
        <v>24</v>
      </c>
      <c r="AQ5" s="68">
        <v>25</v>
      </c>
      <c r="AR5" s="68">
        <v>26</v>
      </c>
      <c r="AS5" s="68">
        <v>27</v>
      </c>
      <c r="AT5" s="68">
        <v>28</v>
      </c>
      <c r="AU5" s="68">
        <v>29</v>
      </c>
      <c r="AV5" s="68">
        <v>30</v>
      </c>
      <c r="AW5" s="68">
        <v>31</v>
      </c>
      <c r="AX5" s="68">
        <v>32</v>
      </c>
      <c r="AY5" s="68">
        <v>33</v>
      </c>
      <c r="AZ5" s="68">
        <v>34</v>
      </c>
      <c r="BA5" s="68">
        <v>35</v>
      </c>
      <c r="BB5" s="68">
        <v>36</v>
      </c>
      <c r="BC5" s="68">
        <v>37</v>
      </c>
      <c r="BD5" s="68">
        <v>38</v>
      </c>
      <c r="BE5" s="68">
        <v>39</v>
      </c>
      <c r="BF5" s="68">
        <v>40</v>
      </c>
      <c r="BG5" s="68">
        <v>41</v>
      </c>
      <c r="BH5" s="68">
        <v>42</v>
      </c>
      <c r="BI5" s="68">
        <v>43</v>
      </c>
      <c r="BJ5" s="68">
        <v>44</v>
      </c>
      <c r="BK5" s="68">
        <v>45</v>
      </c>
      <c r="BL5" s="72">
        <v>46</v>
      </c>
      <c r="BM5" s="72">
        <v>47</v>
      </c>
      <c r="BN5" s="72">
        <v>48</v>
      </c>
      <c r="BO5" s="72">
        <v>49</v>
      </c>
      <c r="BP5" s="72">
        <v>50</v>
      </c>
      <c r="BQ5" s="72">
        <v>51</v>
      </c>
      <c r="BR5" s="72">
        <v>52</v>
      </c>
      <c r="BS5" s="68" t="s">
        <v>49</v>
      </c>
      <c r="BT5" s="68">
        <v>2</v>
      </c>
      <c r="BU5" s="68">
        <v>3</v>
      </c>
      <c r="BV5" s="68">
        <v>5</v>
      </c>
      <c r="BW5" s="68">
        <v>6</v>
      </c>
      <c r="BX5" s="68">
        <v>7</v>
      </c>
      <c r="BY5" s="68">
        <v>8</v>
      </c>
      <c r="BZ5" s="68">
        <v>9</v>
      </c>
      <c r="CA5" s="68">
        <v>10</v>
      </c>
      <c r="CB5" s="68">
        <v>11</v>
      </c>
      <c r="CC5" s="68">
        <v>12</v>
      </c>
      <c r="CD5" s="68">
        <v>13</v>
      </c>
      <c r="CE5" s="68">
        <v>14</v>
      </c>
      <c r="CF5" s="68">
        <v>15</v>
      </c>
      <c r="CG5" s="68">
        <v>16</v>
      </c>
      <c r="CH5" s="68">
        <v>17</v>
      </c>
      <c r="CI5" s="68">
        <v>18</v>
      </c>
      <c r="CJ5" s="68">
        <v>19</v>
      </c>
      <c r="CK5" s="68">
        <v>20</v>
      </c>
      <c r="CL5" s="68">
        <v>21</v>
      </c>
      <c r="CM5" s="68">
        <v>22</v>
      </c>
      <c r="CN5" s="68">
        <v>23</v>
      </c>
      <c r="CO5" s="68">
        <v>24</v>
      </c>
      <c r="CP5" s="68">
        <v>25</v>
      </c>
      <c r="CQ5" s="68">
        <v>26</v>
      </c>
      <c r="CR5" s="68">
        <v>27</v>
      </c>
      <c r="CS5" s="68">
        <v>28</v>
      </c>
      <c r="CT5" s="68">
        <v>29</v>
      </c>
      <c r="CU5" s="68">
        <v>30</v>
      </c>
      <c r="CV5" s="68">
        <v>31</v>
      </c>
      <c r="CW5" s="68">
        <v>32</v>
      </c>
      <c r="CX5" s="68">
        <v>33</v>
      </c>
      <c r="CY5" s="72">
        <v>34</v>
      </c>
      <c r="CZ5" s="72">
        <v>35</v>
      </c>
      <c r="DA5" s="72">
        <v>36</v>
      </c>
      <c r="DB5" s="72">
        <v>37</v>
      </c>
      <c r="DC5" s="72">
        <v>38</v>
      </c>
      <c r="DD5" s="72">
        <v>39</v>
      </c>
      <c r="DE5" s="72">
        <v>40</v>
      </c>
      <c r="DF5" s="72">
        <v>41</v>
      </c>
      <c r="DG5" s="72">
        <v>42</v>
      </c>
      <c r="DH5" s="72">
        <v>43</v>
      </c>
      <c r="DI5" s="72">
        <v>44</v>
      </c>
      <c r="DJ5" s="72">
        <v>45</v>
      </c>
      <c r="DK5" s="72">
        <v>46</v>
      </c>
      <c r="DL5" s="72">
        <v>47</v>
      </c>
      <c r="DM5" s="72">
        <v>48</v>
      </c>
      <c r="DN5" s="72">
        <v>49</v>
      </c>
      <c r="DO5" s="72">
        <v>50</v>
      </c>
      <c r="DP5" s="72">
        <v>51</v>
      </c>
      <c r="DQ5" s="72">
        <v>52</v>
      </c>
      <c r="DR5" s="72" t="s">
        <v>52</v>
      </c>
      <c r="DS5" s="68" t="s">
        <v>55</v>
      </c>
      <c r="DT5" s="68" t="s">
        <v>56</v>
      </c>
      <c r="DU5" s="68" t="s">
        <v>57</v>
      </c>
      <c r="DV5" s="68" t="s">
        <v>58</v>
      </c>
      <c r="DW5" s="68" t="s">
        <v>63</v>
      </c>
      <c r="DX5" s="68" t="s">
        <v>64</v>
      </c>
      <c r="DY5" s="68" t="s">
        <v>65</v>
      </c>
      <c r="DZ5" s="68" t="s">
        <v>66</v>
      </c>
      <c r="EA5" s="68" t="s">
        <v>67</v>
      </c>
      <c r="EB5" s="68">
        <v>13</v>
      </c>
      <c r="EC5" s="68">
        <v>14</v>
      </c>
      <c r="ED5" s="68">
        <v>15</v>
      </c>
      <c r="EE5" s="68">
        <v>16</v>
      </c>
      <c r="EF5" s="68">
        <v>17</v>
      </c>
      <c r="EG5" s="68">
        <v>18</v>
      </c>
      <c r="EH5" s="68">
        <v>19</v>
      </c>
      <c r="EI5" s="68">
        <v>20</v>
      </c>
      <c r="EJ5" s="68">
        <v>21</v>
      </c>
      <c r="EK5" s="68">
        <v>22</v>
      </c>
      <c r="EL5" s="68">
        <v>23</v>
      </c>
      <c r="EM5" s="68">
        <v>24</v>
      </c>
      <c r="EN5" s="68">
        <v>25</v>
      </c>
      <c r="EO5" s="68">
        <v>26</v>
      </c>
      <c r="EP5" s="68">
        <v>27</v>
      </c>
      <c r="EQ5" s="68">
        <v>28</v>
      </c>
      <c r="ER5" s="68">
        <v>29</v>
      </c>
      <c r="ES5" s="68">
        <v>30</v>
      </c>
      <c r="ET5" s="68">
        <v>31</v>
      </c>
      <c r="EU5" s="68">
        <v>32</v>
      </c>
      <c r="EV5" s="68">
        <v>33</v>
      </c>
      <c r="EW5" s="68">
        <v>34</v>
      </c>
      <c r="EX5" s="68">
        <v>35</v>
      </c>
      <c r="EY5" s="68">
        <v>36</v>
      </c>
      <c r="EZ5" s="68">
        <v>37</v>
      </c>
      <c r="FA5" s="68">
        <v>38</v>
      </c>
      <c r="FB5" s="68">
        <v>39</v>
      </c>
      <c r="FC5" s="68">
        <v>40</v>
      </c>
      <c r="FD5" s="68">
        <v>41</v>
      </c>
      <c r="FE5" s="68">
        <v>42</v>
      </c>
      <c r="FF5" s="68">
        <v>43</v>
      </c>
      <c r="FG5" s="68">
        <v>44</v>
      </c>
      <c r="FH5" s="68">
        <v>45</v>
      </c>
      <c r="FI5" s="68">
        <v>46</v>
      </c>
      <c r="FJ5" s="68">
        <v>47</v>
      </c>
      <c r="FK5" s="68">
        <v>48</v>
      </c>
      <c r="FL5" s="68">
        <v>49</v>
      </c>
      <c r="FM5" s="68">
        <v>50</v>
      </c>
      <c r="FN5" s="68">
        <v>51</v>
      </c>
      <c r="FO5" s="68">
        <v>52</v>
      </c>
      <c r="FP5" s="68" t="s">
        <v>53</v>
      </c>
      <c r="FQ5" s="68" t="s">
        <v>55</v>
      </c>
      <c r="FR5" s="68" t="s">
        <v>56</v>
      </c>
      <c r="FS5" s="68" t="s">
        <v>57</v>
      </c>
      <c r="FT5" s="68" t="s">
        <v>82</v>
      </c>
      <c r="FU5" s="68" t="s">
        <v>84</v>
      </c>
      <c r="FV5" s="68" t="s">
        <v>63</v>
      </c>
      <c r="FW5" s="68" t="s">
        <v>64</v>
      </c>
      <c r="FX5" s="68" t="s">
        <v>65</v>
      </c>
      <c r="FY5" s="68" t="s">
        <v>66</v>
      </c>
      <c r="FZ5" s="68" t="s">
        <v>67</v>
      </c>
      <c r="GA5" s="68" t="s">
        <v>68</v>
      </c>
      <c r="GB5" s="68" t="s">
        <v>69</v>
      </c>
      <c r="GC5" s="68" t="s">
        <v>70</v>
      </c>
      <c r="GD5" s="68" t="s">
        <v>71</v>
      </c>
      <c r="GE5" s="68" t="s">
        <v>72</v>
      </c>
      <c r="GF5" s="68" t="s">
        <v>73</v>
      </c>
      <c r="GG5" s="68" t="s">
        <v>74</v>
      </c>
      <c r="GH5" s="68" t="s">
        <v>75</v>
      </c>
      <c r="GI5" s="68" t="s">
        <v>76</v>
      </c>
      <c r="GJ5" s="68" t="s">
        <v>77</v>
      </c>
    </row>
    <row r="6" spans="1:192" ht="14" hidden="1" x14ac:dyDescent="0.35">
      <c r="A6" s="3">
        <v>3</v>
      </c>
      <c r="B6" s="7">
        <v>150000007</v>
      </c>
      <c r="C6" s="7" t="s">
        <v>8</v>
      </c>
      <c r="D6" s="3" t="s">
        <v>28</v>
      </c>
      <c r="E6" s="4" t="s">
        <v>29</v>
      </c>
      <c r="F6" s="6" t="s">
        <v>30</v>
      </c>
      <c r="G6" s="15" t="s">
        <v>9</v>
      </c>
      <c r="H6" s="6" t="s">
        <v>30</v>
      </c>
      <c r="I6" s="5">
        <v>25000</v>
      </c>
      <c r="J6" s="5">
        <v>25000</v>
      </c>
      <c r="K6" s="5">
        <v>25000</v>
      </c>
      <c r="L6" s="5">
        <v>25000</v>
      </c>
      <c r="M6" s="5">
        <v>25000</v>
      </c>
      <c r="N6" s="5">
        <v>25000</v>
      </c>
      <c r="O6" s="5">
        <v>23000</v>
      </c>
      <c r="P6" s="5">
        <v>22500</v>
      </c>
      <c r="Q6" s="5">
        <v>22500</v>
      </c>
      <c r="R6" s="5">
        <v>22500</v>
      </c>
      <c r="S6" s="66">
        <v>22500</v>
      </c>
      <c r="T6" s="66">
        <v>22500</v>
      </c>
      <c r="U6" s="66">
        <v>22500</v>
      </c>
      <c r="V6" s="66">
        <v>22500</v>
      </c>
      <c r="W6" s="66">
        <v>22000</v>
      </c>
      <c r="X6" s="66">
        <v>22000</v>
      </c>
      <c r="Y6" s="66">
        <v>22000</v>
      </c>
      <c r="Z6" s="66">
        <v>22000</v>
      </c>
      <c r="AA6" s="66">
        <v>22000</v>
      </c>
      <c r="AB6" s="66">
        <v>22000</v>
      </c>
      <c r="AC6" s="66">
        <v>22000</v>
      </c>
      <c r="AD6" s="66">
        <v>22000</v>
      </c>
      <c r="AE6" s="66">
        <v>22000</v>
      </c>
      <c r="AF6" s="66">
        <v>22000</v>
      </c>
      <c r="AG6" s="66">
        <v>22000</v>
      </c>
      <c r="AH6" s="66">
        <v>22000</v>
      </c>
      <c r="AI6" s="66">
        <v>22000</v>
      </c>
      <c r="AJ6" s="66">
        <v>22000</v>
      </c>
      <c r="AK6" s="66">
        <v>22000</v>
      </c>
      <c r="AL6" s="97"/>
      <c r="AM6" s="3" t="s">
        <v>28</v>
      </c>
      <c r="AN6" s="4" t="s">
        <v>29</v>
      </c>
      <c r="AO6" s="6" t="s">
        <v>30</v>
      </c>
      <c r="AP6" s="5">
        <v>22500</v>
      </c>
      <c r="AQ6" s="5">
        <v>22500</v>
      </c>
      <c r="AR6" s="5">
        <v>22500</v>
      </c>
      <c r="AS6" s="5">
        <v>23500</v>
      </c>
      <c r="AT6" s="5">
        <v>23500</v>
      </c>
      <c r="AU6" s="5">
        <v>23500</v>
      </c>
      <c r="AV6" s="5">
        <v>23500</v>
      </c>
      <c r="AW6" s="5">
        <v>23500</v>
      </c>
      <c r="AX6" s="5">
        <v>23500</v>
      </c>
      <c r="AY6" s="5">
        <v>23500</v>
      </c>
      <c r="AZ6" s="5">
        <v>23500</v>
      </c>
      <c r="BA6" s="5">
        <v>23500</v>
      </c>
      <c r="BB6" s="5">
        <v>22500</v>
      </c>
      <c r="BC6" s="5">
        <v>22500</v>
      </c>
      <c r="BD6" s="5">
        <v>22500</v>
      </c>
      <c r="BE6" s="5">
        <v>22500</v>
      </c>
      <c r="BF6" s="5">
        <v>22500</v>
      </c>
      <c r="BG6" s="5">
        <v>22500</v>
      </c>
      <c r="BH6" s="5">
        <v>22500</v>
      </c>
      <c r="BI6" s="5">
        <v>22500</v>
      </c>
      <c r="BJ6" s="5">
        <v>22500</v>
      </c>
      <c r="BK6" s="5">
        <v>22500</v>
      </c>
      <c r="BL6" s="5">
        <v>22500</v>
      </c>
      <c r="BM6" s="5">
        <v>22500</v>
      </c>
      <c r="BN6" s="5">
        <v>22500</v>
      </c>
      <c r="BO6" s="5">
        <v>22500</v>
      </c>
      <c r="BP6" s="5">
        <v>22500</v>
      </c>
      <c r="BQ6" s="5">
        <v>22500</v>
      </c>
      <c r="BR6" s="5">
        <v>22500</v>
      </c>
      <c r="BS6" s="5">
        <v>22500</v>
      </c>
      <c r="BT6" s="5">
        <v>22500</v>
      </c>
      <c r="BU6" s="5">
        <v>22500</v>
      </c>
      <c r="BV6" s="5">
        <v>22500</v>
      </c>
      <c r="BW6" s="5">
        <v>22500</v>
      </c>
      <c r="BX6" s="5">
        <v>22500</v>
      </c>
      <c r="BY6" s="5">
        <v>22500</v>
      </c>
      <c r="BZ6" s="5">
        <v>22500</v>
      </c>
      <c r="CA6" s="5">
        <v>22500</v>
      </c>
      <c r="CB6" s="5">
        <v>22500</v>
      </c>
      <c r="CC6" s="5">
        <v>22500</v>
      </c>
      <c r="CD6" s="5">
        <v>22500</v>
      </c>
      <c r="CE6" s="5">
        <v>22500</v>
      </c>
      <c r="CF6" s="5">
        <v>22500</v>
      </c>
      <c r="CG6" s="5">
        <v>22500</v>
      </c>
      <c r="CH6" s="5">
        <v>22500</v>
      </c>
      <c r="CI6" s="5">
        <v>22500</v>
      </c>
      <c r="CJ6" s="5">
        <v>22500</v>
      </c>
      <c r="CK6" s="5">
        <v>22500</v>
      </c>
      <c r="CL6" s="5">
        <v>22500</v>
      </c>
      <c r="CM6" s="5">
        <v>22500</v>
      </c>
      <c r="CN6" s="5">
        <v>22500</v>
      </c>
      <c r="CO6" s="5">
        <v>22500</v>
      </c>
      <c r="CP6" s="5">
        <v>23000</v>
      </c>
      <c r="CQ6" s="5">
        <v>23000</v>
      </c>
      <c r="CR6" s="5">
        <v>23000</v>
      </c>
      <c r="CS6" s="5">
        <v>23000</v>
      </c>
      <c r="CT6" s="5">
        <v>23000</v>
      </c>
      <c r="CU6" s="5">
        <v>23000</v>
      </c>
      <c r="CV6" s="5">
        <v>22500</v>
      </c>
      <c r="CW6" s="5">
        <v>22500</v>
      </c>
      <c r="CX6" s="5">
        <v>22500</v>
      </c>
      <c r="CY6" s="66">
        <v>22500</v>
      </c>
      <c r="CZ6" s="66">
        <v>22500</v>
      </c>
      <c r="DA6" s="66">
        <v>22500</v>
      </c>
      <c r="DB6" s="66">
        <v>22500</v>
      </c>
      <c r="DC6" s="66">
        <v>22500</v>
      </c>
      <c r="DD6" s="66">
        <v>22500</v>
      </c>
      <c r="DE6" s="66">
        <v>22500</v>
      </c>
      <c r="DF6" s="66">
        <v>22500</v>
      </c>
      <c r="DG6" s="66">
        <v>22500</v>
      </c>
      <c r="DH6" s="66">
        <v>22500</v>
      </c>
      <c r="DI6" s="66">
        <v>22500</v>
      </c>
      <c r="DJ6" s="66">
        <v>22500</v>
      </c>
      <c r="DK6" s="66">
        <v>22500</v>
      </c>
      <c r="DL6" s="66">
        <v>22500</v>
      </c>
      <c r="DM6" s="66">
        <v>22500</v>
      </c>
      <c r="DN6" s="66">
        <v>22500</v>
      </c>
      <c r="DO6" s="66">
        <v>22500</v>
      </c>
      <c r="DP6" s="66">
        <v>22500</v>
      </c>
      <c r="DQ6" s="66">
        <v>22500</v>
      </c>
      <c r="DR6" s="66">
        <v>22500</v>
      </c>
      <c r="DS6" s="66">
        <v>22500</v>
      </c>
      <c r="DT6" s="66">
        <v>22500</v>
      </c>
      <c r="DU6" s="66">
        <v>22500</v>
      </c>
      <c r="DV6" s="66">
        <v>22500</v>
      </c>
      <c r="DW6" s="66">
        <v>22500</v>
      </c>
      <c r="DX6" s="66">
        <v>22500</v>
      </c>
      <c r="DY6" s="66">
        <v>22000</v>
      </c>
      <c r="DZ6" s="66">
        <v>22000</v>
      </c>
      <c r="EA6" s="66">
        <v>22000</v>
      </c>
      <c r="EB6" s="66">
        <v>22000</v>
      </c>
      <c r="EC6" s="66">
        <v>22000</v>
      </c>
      <c r="ED6" s="66">
        <v>22000</v>
      </c>
      <c r="EE6" s="66">
        <v>22000</v>
      </c>
      <c r="EF6" s="66">
        <v>22000</v>
      </c>
      <c r="EG6" s="66">
        <v>22000</v>
      </c>
      <c r="EH6" s="66">
        <v>22000</v>
      </c>
      <c r="EI6" s="66">
        <v>22000</v>
      </c>
      <c r="EJ6" s="66">
        <v>22000</v>
      </c>
      <c r="EK6" s="66">
        <v>22000</v>
      </c>
      <c r="EL6" s="66">
        <v>22000</v>
      </c>
      <c r="EM6" s="66">
        <v>22000</v>
      </c>
      <c r="EN6" s="66">
        <v>22000</v>
      </c>
      <c r="EO6" s="66">
        <v>22000</v>
      </c>
      <c r="EP6" s="66">
        <v>22000</v>
      </c>
      <c r="EQ6" s="66">
        <v>22000</v>
      </c>
      <c r="ER6" s="66">
        <v>22000</v>
      </c>
      <c r="ES6" s="66">
        <v>22000</v>
      </c>
      <c r="ET6" s="66">
        <v>22000</v>
      </c>
      <c r="EU6" s="66">
        <v>22000</v>
      </c>
      <c r="EV6" s="66">
        <v>22000</v>
      </c>
      <c r="EW6" s="66">
        <v>22000</v>
      </c>
      <c r="EX6" s="66">
        <v>22000</v>
      </c>
      <c r="EY6" s="66">
        <v>22000</v>
      </c>
      <c r="EZ6" s="66">
        <v>22000</v>
      </c>
      <c r="FA6" s="66">
        <v>22000</v>
      </c>
      <c r="FB6" s="66">
        <v>22000</v>
      </c>
      <c r="FC6" s="66">
        <v>22000</v>
      </c>
      <c r="FD6" s="66">
        <v>22000</v>
      </c>
      <c r="FE6" s="66">
        <v>22000</v>
      </c>
      <c r="FF6" s="66">
        <v>22000</v>
      </c>
      <c r="FG6" s="66">
        <v>22000</v>
      </c>
      <c r="FH6" s="66">
        <v>22000</v>
      </c>
      <c r="FI6" s="66">
        <v>22000</v>
      </c>
      <c r="FJ6" s="66">
        <v>22000</v>
      </c>
      <c r="FK6" s="66">
        <v>22000</v>
      </c>
      <c r="FL6" s="66">
        <v>22000</v>
      </c>
      <c r="FM6" s="66">
        <v>22000</v>
      </c>
      <c r="FN6" s="66">
        <v>22000</v>
      </c>
      <c r="FO6" s="66">
        <v>22000</v>
      </c>
      <c r="FP6" s="66"/>
      <c r="FQ6" s="66"/>
      <c r="FR6" s="66"/>
      <c r="FS6" s="66"/>
      <c r="FT6" s="66"/>
      <c r="FU6" s="66"/>
      <c r="FV6" s="66"/>
      <c r="FW6" s="66"/>
      <c r="FX6" s="66"/>
      <c r="FY6" s="66"/>
      <c r="FZ6" s="66"/>
      <c r="GA6" s="66"/>
      <c r="GB6" s="66"/>
      <c r="GC6" s="66"/>
      <c r="GD6" s="66"/>
      <c r="GE6" s="66"/>
      <c r="GF6" s="66"/>
      <c r="GG6" s="66"/>
      <c r="GH6" s="66"/>
      <c r="GI6" s="66"/>
      <c r="GJ6" s="66"/>
    </row>
    <row r="7" spans="1:192" ht="18" hidden="1" customHeight="1" x14ac:dyDescent="0.35">
      <c r="A7" s="3">
        <v>3</v>
      </c>
      <c r="B7" s="7">
        <v>150000007</v>
      </c>
      <c r="C7" s="7" t="s">
        <v>8</v>
      </c>
      <c r="D7" s="3" t="s">
        <v>28</v>
      </c>
      <c r="E7" s="4" t="s">
        <v>29</v>
      </c>
      <c r="F7" s="6" t="s">
        <v>30</v>
      </c>
      <c r="G7" s="3" t="s">
        <v>10</v>
      </c>
      <c r="H7" s="6" t="s">
        <v>30</v>
      </c>
      <c r="I7" s="9">
        <f t="shared" ref="I7:N7" si="0">I6/I4*1000</f>
        <v>1041.6666666666667</v>
      </c>
      <c r="J7" s="9">
        <f t="shared" si="0"/>
        <v>1041.6666666666667</v>
      </c>
      <c r="K7" s="9">
        <f t="shared" si="0"/>
        <v>1041.6666666666667</v>
      </c>
      <c r="L7" s="9">
        <f t="shared" si="0"/>
        <v>1041.6666666666667</v>
      </c>
      <c r="M7" s="9">
        <f t="shared" si="0"/>
        <v>1041.6666666666667</v>
      </c>
      <c r="N7" s="9">
        <f t="shared" si="0"/>
        <v>1041.6666666666667</v>
      </c>
      <c r="O7" s="9">
        <f t="shared" ref="O7:T7" si="1">O6/O4*1000</f>
        <v>958.33333333333337</v>
      </c>
      <c r="P7" s="9">
        <f t="shared" si="1"/>
        <v>937.5</v>
      </c>
      <c r="Q7" s="9">
        <f t="shared" si="1"/>
        <v>937.5</v>
      </c>
      <c r="R7" s="9">
        <f t="shared" si="1"/>
        <v>937.5</v>
      </c>
      <c r="S7" s="53">
        <f t="shared" si="1"/>
        <v>937.5</v>
      </c>
      <c r="T7" s="53">
        <f t="shared" si="1"/>
        <v>937.5</v>
      </c>
      <c r="U7" s="53" t="e">
        <f t="shared" ref="U7:V7" si="2">U6/U4*1000</f>
        <v>#DIV/0!</v>
      </c>
      <c r="V7" s="53" t="e">
        <f t="shared" si="2"/>
        <v>#DIV/0!</v>
      </c>
      <c r="W7" s="53" t="e">
        <f t="shared" ref="W7:X7" si="3">W6/W4*1000</f>
        <v>#DIV/0!</v>
      </c>
      <c r="X7" s="53" t="e">
        <f t="shared" si="3"/>
        <v>#DIV/0!</v>
      </c>
      <c r="Y7" s="53" t="e">
        <f t="shared" ref="Y7:Z7" si="4">Y6/Y4*1000</f>
        <v>#DIV/0!</v>
      </c>
      <c r="Z7" s="53" t="e">
        <f t="shared" si="4"/>
        <v>#DIV/0!</v>
      </c>
      <c r="AA7" s="53" t="e">
        <f t="shared" ref="AA7:AB7" si="5">AA6/AA4*1000</f>
        <v>#DIV/0!</v>
      </c>
      <c r="AB7" s="53" t="e">
        <f t="shared" si="5"/>
        <v>#DIV/0!</v>
      </c>
      <c r="AC7" s="53" t="e">
        <f t="shared" ref="AC7:AD7" si="6">AC6/AC4*1000</f>
        <v>#DIV/0!</v>
      </c>
      <c r="AD7" s="53" t="e">
        <f t="shared" si="6"/>
        <v>#DIV/0!</v>
      </c>
      <c r="AE7" s="53" t="e">
        <f t="shared" ref="AE7:AF7" si="7">AE6/AE4*1000</f>
        <v>#DIV/0!</v>
      </c>
      <c r="AF7" s="53" t="e">
        <f t="shared" si="7"/>
        <v>#DIV/0!</v>
      </c>
      <c r="AG7" s="53" t="e">
        <f t="shared" ref="AG7:AH7" si="8">AG6/AG4*1000</f>
        <v>#DIV/0!</v>
      </c>
      <c r="AH7" s="53" t="e">
        <f t="shared" si="8"/>
        <v>#DIV/0!</v>
      </c>
      <c r="AI7" s="53" t="e">
        <f t="shared" ref="AI7:AJ7" si="9">AI6/AI4*1000</f>
        <v>#DIV/0!</v>
      </c>
      <c r="AJ7" s="53" t="e">
        <f t="shared" si="9"/>
        <v>#DIV/0!</v>
      </c>
      <c r="AK7" s="53" t="e">
        <f t="shared" ref="AK7" si="10">AK6/AK4*1000</f>
        <v>#DIV/0!</v>
      </c>
      <c r="AM7" s="3" t="s">
        <v>28</v>
      </c>
      <c r="AN7" s="4" t="s">
        <v>29</v>
      </c>
      <c r="AO7" s="6" t="s">
        <v>30</v>
      </c>
      <c r="AP7" s="9">
        <f>AP6/AP4*1000</f>
        <v>971.92224622030233</v>
      </c>
      <c r="AQ7" s="9">
        <f t="shared" ref="AQ7:BE7" si="11">AQ6/AQ4*1000</f>
        <v>971.92224622030233</v>
      </c>
      <c r="AR7" s="9">
        <f t="shared" si="11"/>
        <v>971.92224622030233</v>
      </c>
      <c r="AS7" s="9">
        <f t="shared" si="11"/>
        <v>1015.1187904967602</v>
      </c>
      <c r="AT7" s="9">
        <f t="shared" si="11"/>
        <v>1015.1187904967602</v>
      </c>
      <c r="AU7" s="9">
        <f t="shared" si="11"/>
        <v>1015.1187904967602</v>
      </c>
      <c r="AV7" s="9">
        <f t="shared" si="11"/>
        <v>1015.1187904967602</v>
      </c>
      <c r="AW7" s="9">
        <f t="shared" si="11"/>
        <v>1015.1187904967602</v>
      </c>
      <c r="AX7" s="9">
        <f t="shared" si="11"/>
        <v>1015.1187904967602</v>
      </c>
      <c r="AY7" s="9">
        <f t="shared" si="11"/>
        <v>1015.1187904967602</v>
      </c>
      <c r="AZ7" s="9">
        <f t="shared" si="11"/>
        <v>1015.1187904967602</v>
      </c>
      <c r="BA7" s="9">
        <f t="shared" si="11"/>
        <v>1015.1187904967602</v>
      </c>
      <c r="BB7" s="9">
        <f t="shared" si="11"/>
        <v>957.44680851063833</v>
      </c>
      <c r="BC7" s="9">
        <f t="shared" si="11"/>
        <v>957.44680851063833</v>
      </c>
      <c r="BD7" s="9">
        <f t="shared" si="11"/>
        <v>957.44680851063833</v>
      </c>
      <c r="BE7" s="9">
        <f t="shared" si="11"/>
        <v>957.44680851063833</v>
      </c>
      <c r="BF7" s="9">
        <f t="shared" ref="BF7:BQ7" si="12">BF6/BF4*1000</f>
        <v>957.44680851063833</v>
      </c>
      <c r="BG7" s="9">
        <f t="shared" si="12"/>
        <v>957.44680851063833</v>
      </c>
      <c r="BH7" s="9">
        <f t="shared" si="12"/>
        <v>957.44680851063833</v>
      </c>
      <c r="BI7" s="9">
        <f t="shared" si="12"/>
        <v>957.44680851063833</v>
      </c>
      <c r="BJ7" s="9">
        <f t="shared" si="12"/>
        <v>914.63414634146341</v>
      </c>
      <c r="BK7" s="9">
        <f t="shared" si="12"/>
        <v>914.63414634146341</v>
      </c>
      <c r="BL7" s="9">
        <f t="shared" si="12"/>
        <v>914.63414634146341</v>
      </c>
      <c r="BM7" s="9">
        <f t="shared" si="12"/>
        <v>914.63414634146341</v>
      </c>
      <c r="BN7" s="9">
        <f t="shared" si="12"/>
        <v>914.63414634146341</v>
      </c>
      <c r="BO7" s="9">
        <f t="shared" si="12"/>
        <v>937.5</v>
      </c>
      <c r="BP7" s="9">
        <f t="shared" si="12"/>
        <v>937.5</v>
      </c>
      <c r="BQ7" s="9">
        <f t="shared" si="12"/>
        <v>937.5</v>
      </c>
      <c r="BR7" s="9">
        <f t="shared" ref="BR7:CA7" si="13">BR6/BR4*1000</f>
        <v>937.5</v>
      </c>
      <c r="BS7" s="9">
        <f t="shared" si="13"/>
        <v>937.5</v>
      </c>
      <c r="BT7" s="9">
        <f t="shared" si="13"/>
        <v>937.5</v>
      </c>
      <c r="BU7" s="9">
        <f t="shared" si="13"/>
        <v>937.5</v>
      </c>
      <c r="BV7" s="9">
        <f t="shared" si="13"/>
        <v>937.5</v>
      </c>
      <c r="BW7" s="9">
        <f t="shared" si="13"/>
        <v>937.5</v>
      </c>
      <c r="BX7" s="9">
        <f t="shared" si="13"/>
        <v>937.5</v>
      </c>
      <c r="BY7" s="9">
        <f t="shared" si="13"/>
        <v>937.5</v>
      </c>
      <c r="BZ7" s="9">
        <f t="shared" si="13"/>
        <v>937.5</v>
      </c>
      <c r="CA7" s="9">
        <f t="shared" si="13"/>
        <v>937.5</v>
      </c>
      <c r="CB7" s="9">
        <f>CB6/CB4*1000</f>
        <v>937.5</v>
      </c>
      <c r="CC7" s="9">
        <f>CC6/CC4*1000</f>
        <v>937.5</v>
      </c>
      <c r="CD7" s="9">
        <f t="shared" ref="CD7:CI7" si="14">CD6/CD4*1000</f>
        <v>937.5</v>
      </c>
      <c r="CE7" s="9">
        <f t="shared" si="14"/>
        <v>937.5</v>
      </c>
      <c r="CF7" s="9">
        <f t="shared" si="14"/>
        <v>937.5</v>
      </c>
      <c r="CG7" s="9">
        <f t="shared" si="14"/>
        <v>937.5</v>
      </c>
      <c r="CH7" s="9">
        <f t="shared" si="14"/>
        <v>937.5</v>
      </c>
      <c r="CI7" s="9">
        <f t="shared" si="14"/>
        <v>937.5</v>
      </c>
      <c r="CJ7" s="9">
        <f>CJ6/CJ4*1000</f>
        <v>937.5</v>
      </c>
      <c r="CK7" s="9">
        <f t="shared" ref="CK7:CQ7" si="15">CK6/CK4*1000</f>
        <v>937.5</v>
      </c>
      <c r="CL7" s="9">
        <f t="shared" si="15"/>
        <v>937.5</v>
      </c>
      <c r="CM7" s="9">
        <f t="shared" si="15"/>
        <v>937.5</v>
      </c>
      <c r="CN7" s="9">
        <f t="shared" si="15"/>
        <v>937.5</v>
      </c>
      <c r="CO7" s="9">
        <f t="shared" si="15"/>
        <v>937.5</v>
      </c>
      <c r="CP7" s="9">
        <f t="shared" si="15"/>
        <v>958.33333333333337</v>
      </c>
      <c r="CQ7" s="9">
        <f t="shared" si="15"/>
        <v>958.33333333333337</v>
      </c>
      <c r="CR7" s="9">
        <f t="shared" ref="CR7:CW7" si="16">CR6/CR4*1000</f>
        <v>958.33333333333337</v>
      </c>
      <c r="CS7" s="9">
        <f t="shared" si="16"/>
        <v>958.33333333333337</v>
      </c>
      <c r="CT7" s="9">
        <f t="shared" si="16"/>
        <v>958.33333333333337</v>
      </c>
      <c r="CU7" s="9">
        <f t="shared" si="16"/>
        <v>958.33333333333337</v>
      </c>
      <c r="CV7" s="9">
        <f t="shared" si="16"/>
        <v>937.5</v>
      </c>
      <c r="CW7" s="9">
        <f t="shared" si="16"/>
        <v>937.5</v>
      </c>
      <c r="CX7" s="9">
        <f>CX6/CX4*1000</f>
        <v>937.5</v>
      </c>
      <c r="CY7" s="53">
        <f t="shared" ref="CY7:DD7" si="17">CY6/CY4*1000</f>
        <v>937.5</v>
      </c>
      <c r="CZ7" s="53">
        <f t="shared" si="17"/>
        <v>937.5</v>
      </c>
      <c r="DA7" s="53">
        <f t="shared" si="17"/>
        <v>937.5</v>
      </c>
      <c r="DB7" s="53">
        <f t="shared" si="17"/>
        <v>937.5</v>
      </c>
      <c r="DC7" s="53">
        <f t="shared" si="17"/>
        <v>937.5</v>
      </c>
      <c r="DD7" s="53">
        <f t="shared" si="17"/>
        <v>937.5</v>
      </c>
      <c r="DE7" s="53">
        <f t="shared" ref="DE7:DK7" si="18">DE6/DE4*1000</f>
        <v>937.5</v>
      </c>
      <c r="DF7" s="53">
        <f t="shared" si="18"/>
        <v>937.5</v>
      </c>
      <c r="DG7" s="53">
        <f t="shared" si="18"/>
        <v>937.5</v>
      </c>
      <c r="DH7" s="53">
        <f t="shared" si="18"/>
        <v>937.5</v>
      </c>
      <c r="DI7" s="53">
        <f t="shared" si="18"/>
        <v>937.5</v>
      </c>
      <c r="DJ7" s="53">
        <f t="shared" si="18"/>
        <v>937.5</v>
      </c>
      <c r="DK7" s="53">
        <f t="shared" si="18"/>
        <v>937.5</v>
      </c>
      <c r="DL7" s="53">
        <f t="shared" ref="DL7:DM7" si="19">DL6/DL4*1000</f>
        <v>937.5</v>
      </c>
      <c r="DM7" s="53">
        <f t="shared" si="19"/>
        <v>937.5</v>
      </c>
      <c r="DN7" s="53">
        <f t="shared" ref="DN7:DO7" si="20">DN6/DN4*1000</f>
        <v>937.5</v>
      </c>
      <c r="DO7" s="53">
        <f t="shared" si="20"/>
        <v>937.5</v>
      </c>
      <c r="DP7" s="53">
        <f t="shared" ref="DP7:DQ7" si="21">DP6/DP4*1000</f>
        <v>937.5</v>
      </c>
      <c r="DQ7" s="53">
        <f t="shared" si="21"/>
        <v>937.5</v>
      </c>
      <c r="DR7" s="53">
        <f t="shared" ref="DR7:DS7" si="22">DR6/DR4*1000</f>
        <v>937.5</v>
      </c>
      <c r="DS7" s="53">
        <f t="shared" si="22"/>
        <v>937.5</v>
      </c>
      <c r="DT7" s="53" t="e">
        <f t="shared" ref="DT7:DU7" si="23">DT6/DT4*1000</f>
        <v>#DIV/0!</v>
      </c>
      <c r="DU7" s="53" t="e">
        <f t="shared" si="23"/>
        <v>#DIV/0!</v>
      </c>
      <c r="DV7" s="53" t="e">
        <f t="shared" ref="DV7:DW7" si="24">DV6/DV4*1000</f>
        <v>#DIV/0!</v>
      </c>
      <c r="DW7" s="53" t="e">
        <f t="shared" si="24"/>
        <v>#DIV/0!</v>
      </c>
      <c r="DX7" s="53" t="e">
        <f t="shared" ref="DX7:DY7" si="25">DX6/DX4*1000</f>
        <v>#DIV/0!</v>
      </c>
      <c r="DY7" s="53" t="e">
        <f t="shared" si="25"/>
        <v>#DIV/0!</v>
      </c>
      <c r="DZ7" s="53" t="e">
        <f t="shared" ref="DZ7:EA7" si="26">DZ6/DZ4*1000</f>
        <v>#DIV/0!</v>
      </c>
      <c r="EA7" s="53" t="e">
        <f t="shared" si="26"/>
        <v>#DIV/0!</v>
      </c>
      <c r="EB7" s="53" t="e">
        <f t="shared" ref="EB7:EC7" si="27">EB6/EB4*1000</f>
        <v>#DIV/0!</v>
      </c>
      <c r="EC7" s="53" t="e">
        <f t="shared" si="27"/>
        <v>#DIV/0!</v>
      </c>
      <c r="ED7" s="53" t="e">
        <f t="shared" ref="ED7:EF7" si="28">ED6/ED4*1000</f>
        <v>#DIV/0!</v>
      </c>
      <c r="EE7" s="53" t="e">
        <f t="shared" si="28"/>
        <v>#DIV/0!</v>
      </c>
      <c r="EF7" s="53" t="e">
        <f t="shared" si="28"/>
        <v>#DIV/0!</v>
      </c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</row>
    <row r="8" spans="1:192" ht="18" hidden="1" customHeight="1" x14ac:dyDescent="0.35">
      <c r="A8" s="3"/>
      <c r="B8" s="7"/>
      <c r="C8" s="7"/>
      <c r="D8" s="76" t="s">
        <v>22</v>
      </c>
      <c r="E8" s="4"/>
      <c r="F8" s="6" t="s">
        <v>38</v>
      </c>
      <c r="G8" s="3" t="s">
        <v>10</v>
      </c>
      <c r="H8" s="6" t="s">
        <v>38</v>
      </c>
      <c r="I8" s="9">
        <v>680</v>
      </c>
      <c r="J8" s="9">
        <v>680</v>
      </c>
      <c r="K8" s="9">
        <v>680</v>
      </c>
      <c r="L8" s="9">
        <v>680</v>
      </c>
      <c r="M8" s="9">
        <v>680</v>
      </c>
      <c r="N8" s="9">
        <v>680</v>
      </c>
      <c r="O8" s="9">
        <v>680</v>
      </c>
      <c r="P8" s="9">
        <v>680</v>
      </c>
      <c r="Q8" s="9">
        <v>680</v>
      </c>
      <c r="R8" s="9">
        <v>680</v>
      </c>
      <c r="S8" s="53">
        <v>680</v>
      </c>
      <c r="T8" s="53">
        <v>680</v>
      </c>
      <c r="U8" s="53">
        <v>680</v>
      </c>
      <c r="V8" s="53">
        <v>680</v>
      </c>
      <c r="W8" s="53">
        <v>680</v>
      </c>
      <c r="X8" s="53">
        <v>680</v>
      </c>
      <c r="Y8" s="53">
        <v>680</v>
      </c>
      <c r="Z8" s="53">
        <v>680</v>
      </c>
      <c r="AA8" s="53">
        <v>680</v>
      </c>
      <c r="AB8" s="53">
        <v>680</v>
      </c>
      <c r="AC8" s="53">
        <v>680</v>
      </c>
      <c r="AD8" s="53">
        <v>680</v>
      </c>
      <c r="AE8" s="53">
        <v>680</v>
      </c>
      <c r="AF8" s="53">
        <v>680</v>
      </c>
      <c r="AG8" s="53">
        <v>680</v>
      </c>
      <c r="AH8" s="53">
        <v>680</v>
      </c>
      <c r="AI8" s="53">
        <v>680</v>
      </c>
      <c r="AJ8" s="53">
        <v>680</v>
      </c>
      <c r="AK8" s="53">
        <v>680</v>
      </c>
      <c r="AM8" s="3" t="s">
        <v>22</v>
      </c>
      <c r="AN8" s="4"/>
      <c r="AO8" s="6" t="s">
        <v>38</v>
      </c>
      <c r="AP8" s="9">
        <v>922.5</v>
      </c>
      <c r="AQ8" s="9">
        <v>922.5</v>
      </c>
      <c r="AR8" s="9">
        <v>922.5</v>
      </c>
      <c r="AS8" s="9">
        <v>922.5</v>
      </c>
      <c r="AT8" s="9">
        <v>922.5</v>
      </c>
      <c r="AU8" s="69">
        <v>880</v>
      </c>
      <c r="AV8" s="69">
        <v>880</v>
      </c>
      <c r="AW8" s="69">
        <v>880</v>
      </c>
      <c r="AX8" s="69">
        <v>880</v>
      </c>
      <c r="AY8" s="69">
        <v>820</v>
      </c>
      <c r="AZ8" s="69">
        <v>820</v>
      </c>
      <c r="BA8" s="69">
        <v>820</v>
      </c>
      <c r="BB8" s="69">
        <v>820</v>
      </c>
      <c r="BC8" s="69">
        <v>820</v>
      </c>
      <c r="BD8" s="69">
        <v>800</v>
      </c>
      <c r="BE8" s="69">
        <v>760</v>
      </c>
      <c r="BF8" s="9">
        <v>760</v>
      </c>
      <c r="BG8" s="9">
        <v>760</v>
      </c>
      <c r="BH8" s="9">
        <v>760</v>
      </c>
      <c r="BI8" s="9">
        <v>760</v>
      </c>
      <c r="BJ8" s="9">
        <v>720</v>
      </c>
      <c r="BK8" s="9">
        <v>720</v>
      </c>
      <c r="BL8" s="9">
        <v>720</v>
      </c>
      <c r="BM8" s="9">
        <v>680</v>
      </c>
      <c r="BN8" s="9">
        <v>680</v>
      </c>
      <c r="BO8" s="9">
        <v>680</v>
      </c>
      <c r="BP8" s="9">
        <v>680</v>
      </c>
      <c r="BQ8" s="9">
        <v>680</v>
      </c>
      <c r="BR8" s="9">
        <v>680</v>
      </c>
      <c r="BS8" s="9">
        <v>680</v>
      </c>
      <c r="BT8" s="9">
        <v>680</v>
      </c>
      <c r="BU8" s="9">
        <v>680</v>
      </c>
      <c r="BV8" s="9">
        <v>680</v>
      </c>
      <c r="BW8" s="9">
        <v>680</v>
      </c>
      <c r="BX8" s="9">
        <v>680</v>
      </c>
      <c r="BY8" s="9">
        <v>680</v>
      </c>
      <c r="BZ8" s="9">
        <v>680</v>
      </c>
      <c r="CA8" s="9">
        <v>680</v>
      </c>
      <c r="CB8" s="9">
        <v>680</v>
      </c>
      <c r="CC8" s="9">
        <v>680</v>
      </c>
      <c r="CD8" s="9">
        <v>680</v>
      </c>
      <c r="CE8" s="9">
        <v>680</v>
      </c>
      <c r="CF8" s="9">
        <v>680</v>
      </c>
      <c r="CG8" s="9">
        <v>680</v>
      </c>
      <c r="CH8" s="9">
        <v>680</v>
      </c>
      <c r="CI8" s="9">
        <v>680</v>
      </c>
      <c r="CJ8" s="9">
        <v>680</v>
      </c>
      <c r="CK8" s="9">
        <v>680</v>
      </c>
      <c r="CL8" s="9">
        <v>680</v>
      </c>
      <c r="CM8" s="9">
        <v>680</v>
      </c>
      <c r="CN8" s="9">
        <v>680</v>
      </c>
      <c r="CO8" s="9">
        <v>680</v>
      </c>
      <c r="CP8" s="9">
        <v>680</v>
      </c>
      <c r="CQ8" s="9">
        <v>680</v>
      </c>
      <c r="CR8" s="9">
        <v>680</v>
      </c>
      <c r="CS8" s="9">
        <v>680</v>
      </c>
      <c r="CT8" s="9">
        <v>680</v>
      </c>
      <c r="CU8" s="9">
        <v>680</v>
      </c>
      <c r="CV8" s="9">
        <v>680</v>
      </c>
      <c r="CW8" s="9">
        <v>680</v>
      </c>
      <c r="CX8" s="9">
        <v>680</v>
      </c>
      <c r="CY8" s="53">
        <v>680</v>
      </c>
      <c r="CZ8" s="53">
        <v>680</v>
      </c>
      <c r="DA8" s="53">
        <v>680</v>
      </c>
      <c r="DB8" s="53">
        <v>680</v>
      </c>
      <c r="DC8" s="53">
        <v>680</v>
      </c>
      <c r="DD8" s="53">
        <v>680</v>
      </c>
      <c r="DE8" s="53">
        <v>680</v>
      </c>
      <c r="DF8" s="53">
        <v>680</v>
      </c>
      <c r="DG8" s="53">
        <v>680</v>
      </c>
      <c r="DH8" s="53">
        <v>680</v>
      </c>
      <c r="DI8" s="53">
        <v>680</v>
      </c>
      <c r="DJ8" s="53">
        <v>680</v>
      </c>
      <c r="DK8" s="53">
        <v>680</v>
      </c>
      <c r="DL8" s="53">
        <v>680</v>
      </c>
      <c r="DM8" s="53">
        <v>680</v>
      </c>
      <c r="DN8" s="53">
        <v>680</v>
      </c>
      <c r="DO8" s="53">
        <v>680</v>
      </c>
      <c r="DP8" s="53">
        <v>680</v>
      </c>
      <c r="DQ8" s="53">
        <v>680</v>
      </c>
      <c r="DR8" s="53">
        <v>680</v>
      </c>
      <c r="DS8" s="53">
        <v>680</v>
      </c>
      <c r="DT8" s="53">
        <v>680</v>
      </c>
      <c r="DU8" s="53">
        <v>680</v>
      </c>
      <c r="DV8" s="53">
        <v>680</v>
      </c>
      <c r="DW8" s="53">
        <v>680</v>
      </c>
      <c r="DX8" s="53">
        <v>680</v>
      </c>
      <c r="DY8" s="53">
        <v>680</v>
      </c>
      <c r="DZ8" s="53">
        <v>680</v>
      </c>
      <c r="EA8" s="53">
        <v>680</v>
      </c>
      <c r="EB8" s="53">
        <v>680</v>
      </c>
      <c r="EC8" s="53">
        <v>680</v>
      </c>
      <c r="ED8" s="53">
        <v>680</v>
      </c>
      <c r="EE8" s="53">
        <v>680</v>
      </c>
      <c r="EF8" s="53">
        <v>680</v>
      </c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</row>
    <row r="9" spans="1:192" s="21" customFormat="1" ht="14" x14ac:dyDescent="0.35">
      <c r="A9" s="30"/>
      <c r="B9" s="31" t="s">
        <v>31</v>
      </c>
      <c r="C9" s="31" t="s">
        <v>32</v>
      </c>
      <c r="D9" s="30" t="s">
        <v>33</v>
      </c>
      <c r="E9" s="31" t="s">
        <v>15</v>
      </c>
      <c r="F9" s="31" t="s">
        <v>50</v>
      </c>
      <c r="G9" s="32" t="s">
        <v>10</v>
      </c>
      <c r="H9" s="70" t="s">
        <v>60</v>
      </c>
      <c r="I9" s="32">
        <v>1400</v>
      </c>
      <c r="J9" s="32">
        <v>1400</v>
      </c>
      <c r="K9" s="32">
        <v>1400</v>
      </c>
      <c r="L9" s="32">
        <v>1530</v>
      </c>
      <c r="M9" s="32">
        <v>1530</v>
      </c>
      <c r="N9" s="32">
        <v>1530</v>
      </c>
      <c r="O9" s="32">
        <v>1450</v>
      </c>
      <c r="P9" s="32">
        <v>1400</v>
      </c>
      <c r="Q9" s="32">
        <v>1400</v>
      </c>
      <c r="R9" s="32">
        <v>1400</v>
      </c>
      <c r="S9" s="32">
        <v>1400</v>
      </c>
      <c r="T9" s="32">
        <v>1400</v>
      </c>
      <c r="U9" s="32">
        <v>1400</v>
      </c>
      <c r="V9" s="32">
        <v>1400</v>
      </c>
      <c r="W9" s="32">
        <v>1400</v>
      </c>
      <c r="X9" s="32">
        <v>1400</v>
      </c>
      <c r="Y9" s="32">
        <v>1400</v>
      </c>
      <c r="Z9" s="32">
        <v>1400</v>
      </c>
      <c r="AA9" s="32">
        <v>1400</v>
      </c>
      <c r="AB9" s="32">
        <v>1400</v>
      </c>
      <c r="AC9" s="32">
        <v>1400</v>
      </c>
      <c r="AD9" s="32">
        <v>1400</v>
      </c>
      <c r="AE9" s="32">
        <v>1400</v>
      </c>
      <c r="AF9" s="32">
        <v>1400</v>
      </c>
      <c r="AG9" s="32">
        <v>1400</v>
      </c>
      <c r="AH9" s="32">
        <v>1400</v>
      </c>
      <c r="AI9" s="32">
        <f>1400-50</f>
        <v>1350</v>
      </c>
      <c r="AJ9" s="32">
        <f>1400-50</f>
        <v>1350</v>
      </c>
      <c r="AK9" s="32">
        <f>1400-50</f>
        <v>1350</v>
      </c>
      <c r="AL9" s="98"/>
      <c r="AM9" s="30" t="s">
        <v>33</v>
      </c>
      <c r="AN9" s="31" t="s">
        <v>15</v>
      </c>
      <c r="AO9" s="70" t="s">
        <v>61</v>
      </c>
      <c r="AP9" s="32">
        <v>1610</v>
      </c>
      <c r="AQ9" s="32">
        <v>1610</v>
      </c>
      <c r="AR9" s="32">
        <v>1610</v>
      </c>
      <c r="AS9" s="32">
        <v>1610</v>
      </c>
      <c r="AT9" s="32">
        <v>1610</v>
      </c>
      <c r="AU9" s="32">
        <v>1610</v>
      </c>
      <c r="AV9" s="32">
        <v>1610</v>
      </c>
      <c r="AW9" s="32">
        <v>1610</v>
      </c>
      <c r="AX9" s="32">
        <v>1610</v>
      </c>
      <c r="AY9" s="32">
        <v>1610</v>
      </c>
      <c r="AZ9" s="32">
        <v>1610</v>
      </c>
      <c r="BA9" s="32">
        <v>1610</v>
      </c>
      <c r="BB9" s="32">
        <v>1530</v>
      </c>
      <c r="BC9" s="32">
        <v>1530</v>
      </c>
      <c r="BD9" s="32">
        <v>1530</v>
      </c>
      <c r="BE9" s="32">
        <v>1530</v>
      </c>
      <c r="BF9" s="32">
        <v>1530</v>
      </c>
      <c r="BG9" s="32">
        <v>1530</v>
      </c>
      <c r="BH9" s="32">
        <v>1530</v>
      </c>
      <c r="BI9" s="32">
        <v>1530</v>
      </c>
      <c r="BJ9" s="32">
        <v>1530</v>
      </c>
      <c r="BK9" s="32">
        <v>1530</v>
      </c>
      <c r="BL9" s="32">
        <v>1530</v>
      </c>
      <c r="BM9" s="32">
        <v>1530</v>
      </c>
      <c r="BN9" s="32">
        <v>1530</v>
      </c>
      <c r="BO9" s="32">
        <v>1530</v>
      </c>
      <c r="BP9" s="32">
        <v>1530</v>
      </c>
      <c r="BQ9" s="32">
        <v>1400</v>
      </c>
      <c r="BR9" s="32">
        <v>1400</v>
      </c>
      <c r="BS9" s="90">
        <v>1400</v>
      </c>
      <c r="BT9" s="90">
        <v>1400</v>
      </c>
      <c r="BU9" s="90">
        <v>1400</v>
      </c>
      <c r="BV9" s="90">
        <v>1400</v>
      </c>
      <c r="BW9" s="90">
        <v>1400</v>
      </c>
      <c r="BX9" s="90">
        <v>1400</v>
      </c>
      <c r="BY9" s="90">
        <v>1400</v>
      </c>
      <c r="BZ9" s="90">
        <v>1400</v>
      </c>
      <c r="CA9" s="90">
        <v>1400</v>
      </c>
      <c r="CB9" s="90">
        <v>1400</v>
      </c>
      <c r="CC9" s="90">
        <v>1400</v>
      </c>
      <c r="CD9" s="90">
        <v>1400</v>
      </c>
      <c r="CE9" s="90">
        <v>1530</v>
      </c>
      <c r="CF9" s="90">
        <v>1530</v>
      </c>
      <c r="CG9" s="90">
        <v>1530</v>
      </c>
      <c r="CH9" s="90">
        <v>1530</v>
      </c>
      <c r="CI9" s="90">
        <v>1530</v>
      </c>
      <c r="CJ9" s="90">
        <v>1530</v>
      </c>
      <c r="CK9" s="90">
        <v>1530</v>
      </c>
      <c r="CL9" s="90">
        <v>1530</v>
      </c>
      <c r="CM9" s="90">
        <v>1530</v>
      </c>
      <c r="CN9" s="90">
        <v>1530</v>
      </c>
      <c r="CO9" s="90">
        <v>1450</v>
      </c>
      <c r="CP9" s="90">
        <v>1450</v>
      </c>
      <c r="CQ9" s="90">
        <v>1450</v>
      </c>
      <c r="CR9" s="90">
        <v>1450</v>
      </c>
      <c r="CS9" s="90">
        <v>1450</v>
      </c>
      <c r="CT9" s="90">
        <v>1400</v>
      </c>
      <c r="CU9" s="90">
        <v>1400</v>
      </c>
      <c r="CV9" s="90">
        <v>1400</v>
      </c>
      <c r="CW9" s="90">
        <v>1400</v>
      </c>
      <c r="CX9" s="90">
        <v>1400</v>
      </c>
      <c r="CY9" s="90">
        <v>1400</v>
      </c>
      <c r="CZ9" s="90">
        <v>1400</v>
      </c>
      <c r="DA9" s="90">
        <v>1400</v>
      </c>
      <c r="DB9" s="90">
        <v>1400</v>
      </c>
      <c r="DC9" s="90">
        <v>1400</v>
      </c>
      <c r="DD9" s="90">
        <v>1400</v>
      </c>
      <c r="DE9" s="90">
        <v>1400</v>
      </c>
      <c r="DF9" s="90">
        <v>1400</v>
      </c>
      <c r="DG9" s="90">
        <v>1400</v>
      </c>
      <c r="DH9" s="90">
        <v>1400</v>
      </c>
      <c r="DI9" s="90">
        <v>1400</v>
      </c>
      <c r="DJ9" s="90">
        <v>1400</v>
      </c>
      <c r="DK9" s="90">
        <v>1400</v>
      </c>
      <c r="DL9" s="90">
        <v>1400</v>
      </c>
      <c r="DM9" s="90">
        <v>1400</v>
      </c>
      <c r="DN9" s="90">
        <v>1400</v>
      </c>
      <c r="DO9" s="90">
        <v>1400</v>
      </c>
      <c r="DP9" s="90">
        <v>1400</v>
      </c>
      <c r="DQ9" s="90">
        <v>1400</v>
      </c>
      <c r="DR9" s="90">
        <v>1400</v>
      </c>
      <c r="DS9" s="90">
        <v>1400</v>
      </c>
      <c r="DT9" s="90">
        <v>1400</v>
      </c>
      <c r="DU9" s="90">
        <v>1400</v>
      </c>
      <c r="DV9" s="90">
        <v>1400</v>
      </c>
      <c r="DW9" s="90">
        <v>1400</v>
      </c>
      <c r="DX9" s="90">
        <v>1400</v>
      </c>
      <c r="DY9" s="90">
        <v>1400</v>
      </c>
      <c r="DZ9" s="90">
        <v>1400</v>
      </c>
      <c r="EA9" s="90">
        <v>1400</v>
      </c>
      <c r="EB9" s="90">
        <v>1400</v>
      </c>
      <c r="EC9" s="90">
        <v>1400</v>
      </c>
      <c r="ED9" s="90">
        <v>1400</v>
      </c>
      <c r="EE9" s="90">
        <v>1400</v>
      </c>
      <c r="EF9" s="90">
        <v>1400</v>
      </c>
      <c r="EG9" s="90">
        <v>1400</v>
      </c>
      <c r="EH9" s="90">
        <v>1400</v>
      </c>
      <c r="EI9" s="90">
        <v>1400</v>
      </c>
      <c r="EJ9" s="90">
        <v>1400</v>
      </c>
      <c r="EK9" s="90">
        <v>1400</v>
      </c>
      <c r="EL9" s="90">
        <v>1400</v>
      </c>
      <c r="EM9" s="90">
        <v>1400</v>
      </c>
      <c r="EN9" s="90">
        <v>1400</v>
      </c>
      <c r="EO9" s="90">
        <v>1400</v>
      </c>
      <c r="EP9" s="90">
        <v>1400</v>
      </c>
      <c r="EQ9" s="90">
        <v>1400</v>
      </c>
      <c r="ER9" s="90">
        <v>1400</v>
      </c>
      <c r="ES9" s="90">
        <v>1400</v>
      </c>
      <c r="ET9" s="90">
        <v>1400</v>
      </c>
      <c r="EU9" s="90">
        <v>1400</v>
      </c>
      <c r="EV9" s="90">
        <v>1400</v>
      </c>
      <c r="EW9" s="90">
        <v>1400</v>
      </c>
      <c r="EX9" s="90">
        <v>1400</v>
      </c>
      <c r="EY9" s="90">
        <v>1400</v>
      </c>
      <c r="EZ9" s="90">
        <v>1400</v>
      </c>
      <c r="FA9" s="90">
        <v>1400</v>
      </c>
      <c r="FB9" s="90">
        <v>1400</v>
      </c>
      <c r="FC9" s="90">
        <v>1400</v>
      </c>
      <c r="FD9" s="90">
        <v>1400</v>
      </c>
      <c r="FE9" s="90">
        <v>1400</v>
      </c>
      <c r="FF9" s="90">
        <v>1400</v>
      </c>
      <c r="FG9" s="90">
        <v>1400</v>
      </c>
      <c r="FH9" s="90">
        <v>1400</v>
      </c>
      <c r="FI9" s="90">
        <v>1400</v>
      </c>
      <c r="FJ9" s="90">
        <v>1400</v>
      </c>
      <c r="FK9" s="90">
        <v>1400</v>
      </c>
      <c r="FL9" s="90">
        <v>1400</v>
      </c>
      <c r="FM9" s="90">
        <v>1400</v>
      </c>
      <c r="FN9" s="90">
        <v>1400</v>
      </c>
      <c r="FO9" s="90">
        <v>1400</v>
      </c>
      <c r="FP9" s="90">
        <v>1400</v>
      </c>
      <c r="FQ9" s="90">
        <v>1400</v>
      </c>
      <c r="FR9" s="90">
        <v>1400</v>
      </c>
      <c r="FS9" s="90">
        <v>1400</v>
      </c>
      <c r="FT9" s="90">
        <v>1400</v>
      </c>
      <c r="FU9" s="90">
        <v>1400</v>
      </c>
      <c r="FV9" s="90">
        <v>1400</v>
      </c>
      <c r="FW9" s="90">
        <v>1400</v>
      </c>
      <c r="FX9" s="90">
        <f>1400-50</f>
        <v>1350</v>
      </c>
      <c r="FY9" s="90">
        <f t="shared" ref="FY9:GJ9" si="29">1400-50</f>
        <v>1350</v>
      </c>
      <c r="FZ9" s="90">
        <f t="shared" si="29"/>
        <v>1350</v>
      </c>
      <c r="GA9" s="90">
        <f t="shared" si="29"/>
        <v>1350</v>
      </c>
      <c r="GB9" s="90">
        <f t="shared" si="29"/>
        <v>1350</v>
      </c>
      <c r="GC9" s="90">
        <f t="shared" si="29"/>
        <v>1350</v>
      </c>
      <c r="GD9" s="90">
        <f t="shared" si="29"/>
        <v>1350</v>
      </c>
      <c r="GE9" s="90">
        <f t="shared" si="29"/>
        <v>1350</v>
      </c>
      <c r="GF9" s="90">
        <f t="shared" si="29"/>
        <v>1350</v>
      </c>
      <c r="GG9" s="90">
        <f t="shared" si="29"/>
        <v>1350</v>
      </c>
      <c r="GH9" s="90">
        <f t="shared" si="29"/>
        <v>1350</v>
      </c>
      <c r="GI9" s="90">
        <f t="shared" si="29"/>
        <v>1350</v>
      </c>
      <c r="GJ9" s="90">
        <f t="shared" si="29"/>
        <v>1350</v>
      </c>
    </row>
    <row r="10" spans="1:192" s="21" customFormat="1" ht="14" x14ac:dyDescent="0.35">
      <c r="A10" s="102"/>
      <c r="B10" s="103"/>
      <c r="C10" s="103"/>
      <c r="D10" s="30"/>
      <c r="E10" s="103"/>
      <c r="F10" s="103"/>
      <c r="G10" s="32"/>
      <c r="H10" s="70" t="s">
        <v>62</v>
      </c>
      <c r="I10" s="100">
        <f>I9-50</f>
        <v>1350</v>
      </c>
      <c r="J10" s="100">
        <f t="shared" ref="J10:V10" si="30">J9-50</f>
        <v>1350</v>
      </c>
      <c r="K10" s="100">
        <f t="shared" si="30"/>
        <v>1350</v>
      </c>
      <c r="L10" s="100">
        <f t="shared" si="30"/>
        <v>1480</v>
      </c>
      <c r="M10" s="100">
        <f t="shared" si="30"/>
        <v>1480</v>
      </c>
      <c r="N10" s="100">
        <f t="shared" si="30"/>
        <v>1480</v>
      </c>
      <c r="O10" s="100">
        <f t="shared" si="30"/>
        <v>1400</v>
      </c>
      <c r="P10" s="100">
        <f t="shared" si="30"/>
        <v>1350</v>
      </c>
      <c r="Q10" s="100">
        <f t="shared" si="30"/>
        <v>1350</v>
      </c>
      <c r="R10" s="100">
        <f t="shared" si="30"/>
        <v>1350</v>
      </c>
      <c r="S10" s="100">
        <f t="shared" si="30"/>
        <v>1350</v>
      </c>
      <c r="T10" s="100">
        <f t="shared" si="30"/>
        <v>1350</v>
      </c>
      <c r="U10" s="100">
        <f t="shared" si="30"/>
        <v>1350</v>
      </c>
      <c r="V10" s="100">
        <f t="shared" si="30"/>
        <v>1350</v>
      </c>
      <c r="W10" s="100">
        <f t="shared" ref="W10:X10" si="31">W9-50</f>
        <v>1350</v>
      </c>
      <c r="X10" s="100">
        <f t="shared" si="31"/>
        <v>1350</v>
      </c>
      <c r="Y10" s="100">
        <f t="shared" ref="Y10:Z10" si="32">Y9-50</f>
        <v>1350</v>
      </c>
      <c r="Z10" s="100">
        <f t="shared" si="32"/>
        <v>1350</v>
      </c>
      <c r="AA10" s="100">
        <f t="shared" ref="AA10:AB10" si="33">AA9-50</f>
        <v>1350</v>
      </c>
      <c r="AB10" s="100">
        <f t="shared" si="33"/>
        <v>1350</v>
      </c>
      <c r="AC10" s="100">
        <f t="shared" ref="AC10:AD10" si="34">AC9-50</f>
        <v>1350</v>
      </c>
      <c r="AD10" s="100">
        <f t="shared" si="34"/>
        <v>1350</v>
      </c>
      <c r="AE10" s="100">
        <f t="shared" ref="AE10:AF10" si="35">AE9-50</f>
        <v>1350</v>
      </c>
      <c r="AF10" s="100">
        <f t="shared" si="35"/>
        <v>1350</v>
      </c>
      <c r="AG10" s="100">
        <f t="shared" ref="AG10:AH10" si="36">AG9-50</f>
        <v>1350</v>
      </c>
      <c r="AH10" s="100">
        <f t="shared" si="36"/>
        <v>1350</v>
      </c>
      <c r="AI10" s="100">
        <f t="shared" ref="AI10:AJ10" si="37">AI9-50</f>
        <v>1300</v>
      </c>
      <c r="AJ10" s="100">
        <f t="shared" si="37"/>
        <v>1300</v>
      </c>
      <c r="AK10" s="100">
        <f t="shared" ref="AK10" si="38">AK9-50</f>
        <v>1300</v>
      </c>
      <c r="AL10" s="98"/>
      <c r="AM10" s="30"/>
      <c r="AN10" s="103"/>
      <c r="AO10" s="70" t="s">
        <v>62</v>
      </c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1">
        <f>BS9-50</f>
        <v>1350</v>
      </c>
      <c r="BT10" s="101">
        <f t="shared" ref="BT10:DV10" si="39">BT9-50</f>
        <v>1350</v>
      </c>
      <c r="BU10" s="101">
        <f t="shared" si="39"/>
        <v>1350</v>
      </c>
      <c r="BV10" s="101">
        <f t="shared" si="39"/>
        <v>1350</v>
      </c>
      <c r="BW10" s="101">
        <f t="shared" si="39"/>
        <v>1350</v>
      </c>
      <c r="BX10" s="101">
        <f t="shared" si="39"/>
        <v>1350</v>
      </c>
      <c r="BY10" s="101">
        <f t="shared" si="39"/>
        <v>1350</v>
      </c>
      <c r="BZ10" s="101">
        <f t="shared" si="39"/>
        <v>1350</v>
      </c>
      <c r="CA10" s="101">
        <f t="shared" si="39"/>
        <v>1350</v>
      </c>
      <c r="CB10" s="101">
        <f t="shared" si="39"/>
        <v>1350</v>
      </c>
      <c r="CC10" s="101">
        <f t="shared" si="39"/>
        <v>1350</v>
      </c>
      <c r="CD10" s="101">
        <f t="shared" si="39"/>
        <v>1350</v>
      </c>
      <c r="CE10" s="101">
        <f t="shared" si="39"/>
        <v>1480</v>
      </c>
      <c r="CF10" s="101">
        <f t="shared" si="39"/>
        <v>1480</v>
      </c>
      <c r="CG10" s="101">
        <f t="shared" si="39"/>
        <v>1480</v>
      </c>
      <c r="CH10" s="101">
        <f t="shared" si="39"/>
        <v>1480</v>
      </c>
      <c r="CI10" s="101">
        <f t="shared" si="39"/>
        <v>1480</v>
      </c>
      <c r="CJ10" s="101">
        <f t="shared" si="39"/>
        <v>1480</v>
      </c>
      <c r="CK10" s="101">
        <f t="shared" si="39"/>
        <v>1480</v>
      </c>
      <c r="CL10" s="101">
        <f t="shared" si="39"/>
        <v>1480</v>
      </c>
      <c r="CM10" s="101">
        <f t="shared" si="39"/>
        <v>1480</v>
      </c>
      <c r="CN10" s="101">
        <f t="shared" si="39"/>
        <v>1480</v>
      </c>
      <c r="CO10" s="101">
        <f t="shared" si="39"/>
        <v>1400</v>
      </c>
      <c r="CP10" s="101">
        <f t="shared" si="39"/>
        <v>1400</v>
      </c>
      <c r="CQ10" s="101">
        <f t="shared" si="39"/>
        <v>1400</v>
      </c>
      <c r="CR10" s="101">
        <f t="shared" si="39"/>
        <v>1400</v>
      </c>
      <c r="CS10" s="101">
        <f t="shared" si="39"/>
        <v>1400</v>
      </c>
      <c r="CT10" s="101">
        <f t="shared" si="39"/>
        <v>1350</v>
      </c>
      <c r="CU10" s="101">
        <f t="shared" si="39"/>
        <v>1350</v>
      </c>
      <c r="CV10" s="101">
        <f t="shared" si="39"/>
        <v>1350</v>
      </c>
      <c r="CW10" s="101">
        <f t="shared" si="39"/>
        <v>1350</v>
      </c>
      <c r="CX10" s="101">
        <f t="shared" si="39"/>
        <v>1350</v>
      </c>
      <c r="CY10" s="101">
        <f t="shared" si="39"/>
        <v>1350</v>
      </c>
      <c r="CZ10" s="101">
        <f t="shared" si="39"/>
        <v>1350</v>
      </c>
      <c r="DA10" s="101">
        <f t="shared" si="39"/>
        <v>1350</v>
      </c>
      <c r="DB10" s="101">
        <f t="shared" si="39"/>
        <v>1350</v>
      </c>
      <c r="DC10" s="101">
        <f t="shared" si="39"/>
        <v>1350</v>
      </c>
      <c r="DD10" s="101">
        <f t="shared" si="39"/>
        <v>1350</v>
      </c>
      <c r="DE10" s="101">
        <f t="shared" si="39"/>
        <v>1350</v>
      </c>
      <c r="DF10" s="101">
        <f t="shared" si="39"/>
        <v>1350</v>
      </c>
      <c r="DG10" s="101">
        <f t="shared" si="39"/>
        <v>1350</v>
      </c>
      <c r="DH10" s="101">
        <f t="shared" si="39"/>
        <v>1350</v>
      </c>
      <c r="DI10" s="101">
        <f t="shared" si="39"/>
        <v>1350</v>
      </c>
      <c r="DJ10" s="101">
        <f t="shared" si="39"/>
        <v>1350</v>
      </c>
      <c r="DK10" s="101">
        <f t="shared" si="39"/>
        <v>1350</v>
      </c>
      <c r="DL10" s="101">
        <f t="shared" si="39"/>
        <v>1350</v>
      </c>
      <c r="DM10" s="101">
        <f t="shared" si="39"/>
        <v>1350</v>
      </c>
      <c r="DN10" s="101">
        <f t="shared" si="39"/>
        <v>1350</v>
      </c>
      <c r="DO10" s="101">
        <f t="shared" si="39"/>
        <v>1350</v>
      </c>
      <c r="DP10" s="101">
        <f t="shared" si="39"/>
        <v>1350</v>
      </c>
      <c r="DQ10" s="101">
        <f t="shared" si="39"/>
        <v>1350</v>
      </c>
      <c r="DR10" s="101">
        <f t="shared" si="39"/>
        <v>1350</v>
      </c>
      <c r="DS10" s="101">
        <f t="shared" si="39"/>
        <v>1350</v>
      </c>
      <c r="DT10" s="101">
        <f t="shared" si="39"/>
        <v>1350</v>
      </c>
      <c r="DU10" s="101">
        <f t="shared" si="39"/>
        <v>1350</v>
      </c>
      <c r="DV10" s="101">
        <f t="shared" si="39"/>
        <v>1350</v>
      </c>
      <c r="DW10" s="101">
        <f t="shared" ref="DW10:DY10" si="40">DW9-50</f>
        <v>1350</v>
      </c>
      <c r="DX10" s="101">
        <f t="shared" si="40"/>
        <v>1350</v>
      </c>
      <c r="DY10" s="101">
        <f t="shared" si="40"/>
        <v>1350</v>
      </c>
      <c r="DZ10" s="101">
        <f t="shared" ref="DZ10:EA10" si="41">DZ9-50</f>
        <v>1350</v>
      </c>
      <c r="EA10" s="101">
        <f t="shared" si="41"/>
        <v>1350</v>
      </c>
      <c r="EB10" s="101">
        <f t="shared" ref="EB10:EC10" si="42">EB9-50</f>
        <v>1350</v>
      </c>
      <c r="EC10" s="101">
        <f t="shared" si="42"/>
        <v>1350</v>
      </c>
      <c r="ED10" s="101">
        <f t="shared" ref="ED10:EF10" si="43">ED9-50</f>
        <v>1350</v>
      </c>
      <c r="EE10" s="101">
        <f t="shared" si="43"/>
        <v>1350</v>
      </c>
      <c r="EF10" s="101">
        <f t="shared" si="43"/>
        <v>1350</v>
      </c>
      <c r="EG10" s="101">
        <f t="shared" ref="EG10:EH10" si="44">EG9-50</f>
        <v>1350</v>
      </c>
      <c r="EH10" s="101">
        <f t="shared" si="44"/>
        <v>1350</v>
      </c>
      <c r="EI10" s="101">
        <f t="shared" ref="EI10:EJ10" si="45">EI9-50</f>
        <v>1350</v>
      </c>
      <c r="EJ10" s="101">
        <f t="shared" si="45"/>
        <v>1350</v>
      </c>
      <c r="EK10" s="101">
        <f t="shared" ref="EK10:EL10" si="46">EK9-50</f>
        <v>1350</v>
      </c>
      <c r="EL10" s="101">
        <f t="shared" si="46"/>
        <v>1350</v>
      </c>
      <c r="EM10" s="101">
        <f t="shared" ref="EM10:EN10" si="47">EM9-50</f>
        <v>1350</v>
      </c>
      <c r="EN10" s="101">
        <f t="shared" si="47"/>
        <v>1350</v>
      </c>
      <c r="EO10" s="101">
        <f t="shared" ref="EO10:EP10" si="48">EO9-50</f>
        <v>1350</v>
      </c>
      <c r="EP10" s="101">
        <f t="shared" si="48"/>
        <v>1350</v>
      </c>
      <c r="EQ10" s="101">
        <f t="shared" ref="EQ10:ER10" si="49">EQ9-50</f>
        <v>1350</v>
      </c>
      <c r="ER10" s="101">
        <f t="shared" si="49"/>
        <v>1350</v>
      </c>
      <c r="ES10" s="101">
        <f t="shared" ref="ES10:ET10" si="50">ES9-50</f>
        <v>1350</v>
      </c>
      <c r="ET10" s="101">
        <f t="shared" si="50"/>
        <v>1350</v>
      </c>
      <c r="EU10" s="101">
        <f t="shared" ref="EU10:EV10" si="51">EU9-50</f>
        <v>1350</v>
      </c>
      <c r="EV10" s="101">
        <f t="shared" si="51"/>
        <v>1350</v>
      </c>
      <c r="EW10" s="101">
        <f t="shared" ref="EW10:EX10" si="52">EW9-50</f>
        <v>1350</v>
      </c>
      <c r="EX10" s="101">
        <f t="shared" si="52"/>
        <v>1350</v>
      </c>
      <c r="EY10" s="101">
        <f t="shared" ref="EY10:EZ10" si="53">EY9-50</f>
        <v>1350</v>
      </c>
      <c r="EZ10" s="101">
        <f t="shared" si="53"/>
        <v>1350</v>
      </c>
      <c r="FA10" s="101">
        <f t="shared" ref="FA10:FB10" si="54">FA9-50</f>
        <v>1350</v>
      </c>
      <c r="FB10" s="101">
        <f t="shared" si="54"/>
        <v>1350</v>
      </c>
      <c r="FC10" s="101">
        <f t="shared" ref="FC10:FD10" si="55">FC9-50</f>
        <v>1350</v>
      </c>
      <c r="FD10" s="101">
        <f t="shared" si="55"/>
        <v>1350</v>
      </c>
      <c r="FE10" s="101">
        <f t="shared" ref="FE10:FF10" si="56">FE9-50</f>
        <v>1350</v>
      </c>
      <c r="FF10" s="101">
        <f t="shared" si="56"/>
        <v>1350</v>
      </c>
      <c r="FG10" s="101">
        <f t="shared" ref="FG10:FK10" si="57">FG9-50</f>
        <v>1350</v>
      </c>
      <c r="FH10" s="101">
        <f t="shared" si="57"/>
        <v>1350</v>
      </c>
      <c r="FI10" s="101">
        <f t="shared" si="57"/>
        <v>1350</v>
      </c>
      <c r="FJ10" s="101">
        <f t="shared" si="57"/>
        <v>1350</v>
      </c>
      <c r="FK10" s="101">
        <f t="shared" si="57"/>
        <v>1350</v>
      </c>
      <c r="FL10" s="101">
        <f t="shared" ref="FL10:FO10" si="58">FL9-50</f>
        <v>1350</v>
      </c>
      <c r="FM10" s="101">
        <f t="shared" si="58"/>
        <v>1350</v>
      </c>
      <c r="FN10" s="101">
        <f t="shared" si="58"/>
        <v>1350</v>
      </c>
      <c r="FO10" s="101">
        <f t="shared" si="58"/>
        <v>1350</v>
      </c>
      <c r="FP10" s="101">
        <f t="shared" ref="FP10:FQ10" si="59">FP9-50</f>
        <v>1350</v>
      </c>
      <c r="FQ10" s="101">
        <f t="shared" si="59"/>
        <v>1350</v>
      </c>
      <c r="FR10" s="101">
        <f t="shared" ref="FR10:FS10" si="60">FR9-50</f>
        <v>1350</v>
      </c>
      <c r="FS10" s="101">
        <f t="shared" si="60"/>
        <v>1350</v>
      </c>
      <c r="FT10" s="101">
        <f t="shared" ref="FT10:FU10" si="61">FT9-50</f>
        <v>1350</v>
      </c>
      <c r="FU10" s="101">
        <f t="shared" si="61"/>
        <v>1350</v>
      </c>
      <c r="FV10" s="101">
        <f t="shared" ref="FV10" si="62">FV9-50</f>
        <v>1350</v>
      </c>
      <c r="FW10" s="101">
        <f t="shared" ref="FW10" si="63">FW9-50</f>
        <v>1350</v>
      </c>
      <c r="FX10" s="101">
        <f t="shared" ref="FX10:GA10" si="64">FX9-50</f>
        <v>1300</v>
      </c>
      <c r="FY10" s="101">
        <f t="shared" si="64"/>
        <v>1300</v>
      </c>
      <c r="FZ10" s="101">
        <f t="shared" si="64"/>
        <v>1300</v>
      </c>
      <c r="GA10" s="101">
        <f t="shared" si="64"/>
        <v>1300</v>
      </c>
      <c r="GB10" s="101">
        <f t="shared" ref="GB10:GE10" si="65">GB9-50</f>
        <v>1300</v>
      </c>
      <c r="GC10" s="101">
        <f t="shared" si="65"/>
        <v>1300</v>
      </c>
      <c r="GD10" s="101">
        <f t="shared" si="65"/>
        <v>1300</v>
      </c>
      <c r="GE10" s="101">
        <f t="shared" si="65"/>
        <v>1300</v>
      </c>
      <c r="GF10" s="101">
        <f t="shared" ref="GF10:GJ10" si="66">GF9-50</f>
        <v>1300</v>
      </c>
      <c r="GG10" s="101">
        <f t="shared" si="66"/>
        <v>1300</v>
      </c>
      <c r="GH10" s="101">
        <f t="shared" si="66"/>
        <v>1300</v>
      </c>
      <c r="GI10" s="101">
        <f t="shared" si="66"/>
        <v>1300</v>
      </c>
      <c r="GJ10" s="101">
        <f t="shared" si="66"/>
        <v>1300</v>
      </c>
    </row>
    <row r="11" spans="1:192" s="47" customFormat="1" ht="14" x14ac:dyDescent="0.35">
      <c r="D11" s="38" t="s">
        <v>26</v>
      </c>
      <c r="F11" s="39" t="s">
        <v>59</v>
      </c>
      <c r="G11" s="40" t="s">
        <v>10</v>
      </c>
      <c r="H11" s="71" t="s">
        <v>59</v>
      </c>
      <c r="I11" s="40">
        <f>+SUM(BS11:BV11)/4</f>
        <v>1017.5</v>
      </c>
      <c r="J11" s="40">
        <f>+SUM(BW11:BZ11)/4</f>
        <v>1092.5</v>
      </c>
      <c r="K11" s="40">
        <f>+SUM(CA11:CD11)/COUNT(CA11:CD11)</f>
        <v>1072.5</v>
      </c>
      <c r="L11" s="40">
        <f>+SUM(CE11:CH11)/COUNT(CE11:CH11)</f>
        <v>1050</v>
      </c>
      <c r="M11" s="40">
        <f>+SUM(CI11:CM11)/COUNT(CI11:CM11)</f>
        <v>1044</v>
      </c>
      <c r="N11" s="40">
        <f>+SUM(CN11:CQ11)/COUNT(CN11:CQ11)</f>
        <v>970</v>
      </c>
      <c r="O11" s="40">
        <f>+SUM(CR11:CU11)/COUNT(CR11:CU11)</f>
        <v>960</v>
      </c>
      <c r="P11" s="40">
        <f>+SUM(CV11:CZ11)/COUNT(CV11:CZ11)</f>
        <v>1008</v>
      </c>
      <c r="Q11" s="40">
        <f>+SUM(DA11:DD11)/COUNT(DA11:DD11)</f>
        <v>1027.5</v>
      </c>
      <c r="R11" s="40">
        <f>+SUM(DE11:DH11)/COUNT(DE11:DH11)</f>
        <v>1020</v>
      </c>
      <c r="S11" s="73">
        <f>+SUM(DI11:DL11)/COUNT(DI11:DL11)</f>
        <v>955</v>
      </c>
      <c r="T11" s="73">
        <f>+SUM(DM11:DQ11)/COUNT(DM11:DQ11)</f>
        <v>928</v>
      </c>
      <c r="U11" s="73">
        <f>+SUM(DR11:DT11)/COUNT(DR11:DT11)</f>
        <v>940</v>
      </c>
      <c r="V11" s="73">
        <f>+SUM(DV11:DX11)/COUNT(DV11:DX11)</f>
        <v>993.33333333333337</v>
      </c>
      <c r="W11" s="73">
        <f>+SUM(DY11:EB11)/COUNT(DY11:EB11)</f>
        <v>985</v>
      </c>
      <c r="X11" s="73">
        <f>+SUM(EC11:EF11)/COUNT(EC11:EF11)</f>
        <v>962.5</v>
      </c>
      <c r="Y11" s="73">
        <f>+SUM(EG11:EK11)/COUNT(EG11:EK11)</f>
        <v>982</v>
      </c>
      <c r="Z11" s="73">
        <f>+SUM(EL11:EO11)/COUNT(EL11:EO11)</f>
        <v>1000</v>
      </c>
      <c r="AA11" s="73">
        <f>+SUM(EP11:ES11)/COUNT(EP11:ES11)</f>
        <v>1000</v>
      </c>
      <c r="AB11" s="73">
        <f>+SUM(ET11:EX11)/COUNT(ET11:EX11)</f>
        <v>984</v>
      </c>
      <c r="AC11" s="73">
        <f>+SUM(EY11:FB11)/COUNT(EY11:FB11)</f>
        <v>967.5</v>
      </c>
      <c r="AD11" s="73">
        <f>+SUM(FC11:FF11)/COUNT(FC11:FF11)</f>
        <v>965</v>
      </c>
      <c r="AE11" s="73">
        <f>+SUM(FG11:FK11)/COUNT(FG11:FK11)</f>
        <v>974</v>
      </c>
      <c r="AF11" s="73">
        <f>+SUM(FK11:FO11)/COUNT(FK11:FO11)</f>
        <v>956</v>
      </c>
      <c r="AG11" s="73">
        <f>+SUM(FP11:FS11)/COUNT(FP11:FS11)</f>
        <v>940</v>
      </c>
      <c r="AH11" s="73">
        <f>+SUM(FT11:FW11)/COUNT(FT11:FW11)</f>
        <v>918</v>
      </c>
      <c r="AI11" s="73">
        <f>+SUM(FX11:GA11)/COUNT(FX11:GA11)</f>
        <v>896</v>
      </c>
      <c r="AJ11" s="73">
        <f>+SUM(GB11:GE11)/COUNT(GB11:GE11)</f>
        <v>891.5</v>
      </c>
      <c r="AK11" s="73">
        <f>+SUM(GF11:GJ11)/COUNT(GF11:GJ11)</f>
        <v>866.66666666666663</v>
      </c>
      <c r="AL11" s="95"/>
      <c r="AM11" s="38" t="s">
        <v>26</v>
      </c>
      <c r="AO11" s="71" t="s">
        <v>59</v>
      </c>
      <c r="AP11" s="40">
        <f>+(1240+1400)/2</f>
        <v>1320</v>
      </c>
      <c r="AQ11" s="40">
        <f>+(1240+1400)/2</f>
        <v>1320</v>
      </c>
      <c r="AR11" s="40">
        <f>+(1240+1400)/2</f>
        <v>1320</v>
      </c>
      <c r="AS11" s="40">
        <f>+(1200+1370)/2</f>
        <v>1285</v>
      </c>
      <c r="AT11" s="40">
        <f>+(1180+1350)/2</f>
        <v>1265</v>
      </c>
      <c r="AU11" s="40">
        <f>+(1140+1320)/2</f>
        <v>1230</v>
      </c>
      <c r="AV11" s="40">
        <f>+(1120+1300)/2</f>
        <v>1210</v>
      </c>
      <c r="AW11" s="40">
        <f>+(1120+1300)/2</f>
        <v>1210</v>
      </c>
      <c r="AX11" s="40">
        <f>+(1020+1200)/2</f>
        <v>1110</v>
      </c>
      <c r="AY11" s="40">
        <f>+(1020+1200)/2</f>
        <v>1110</v>
      </c>
      <c r="AZ11" s="40">
        <f>+(1040+1220)/2</f>
        <v>1130</v>
      </c>
      <c r="BA11" s="40">
        <f>+(1040+1220)/2</f>
        <v>1130</v>
      </c>
      <c r="BB11" s="40">
        <f>+(1020+1150)/2</f>
        <v>1085</v>
      </c>
      <c r="BC11" s="40">
        <f>+(1040+1170)/2</f>
        <v>1105</v>
      </c>
      <c r="BD11" s="40">
        <f>+(1040+1170)/2</f>
        <v>1105</v>
      </c>
      <c r="BE11" s="40">
        <f>+(1040+1170)/2</f>
        <v>1105</v>
      </c>
      <c r="BF11" s="40">
        <v>1105</v>
      </c>
      <c r="BG11" s="40">
        <v>1105</v>
      </c>
      <c r="BH11" s="40">
        <v>1105</v>
      </c>
      <c r="BI11" s="40">
        <v>1065</v>
      </c>
      <c r="BJ11" s="40">
        <v>1065</v>
      </c>
      <c r="BK11" s="40">
        <f>+(950+1110)/2</f>
        <v>1030</v>
      </c>
      <c r="BL11" s="40">
        <f>+(950+1110)/2</f>
        <v>1030</v>
      </c>
      <c r="BM11" s="40">
        <f>+(950+1110)/2</f>
        <v>1030</v>
      </c>
      <c r="BN11" s="82">
        <f>+(920+1110)/2</f>
        <v>1015</v>
      </c>
      <c r="BO11" s="82">
        <f>+(920+1070)/2</f>
        <v>995</v>
      </c>
      <c r="BP11" s="82">
        <f>+(920+1070)/2</f>
        <v>995</v>
      </c>
      <c r="BQ11" s="82">
        <f>+(920+1070)/2</f>
        <v>995</v>
      </c>
      <c r="BR11" s="82">
        <f>+(940+1080)/2</f>
        <v>1010</v>
      </c>
      <c r="BS11" s="40">
        <v>940</v>
      </c>
      <c r="BT11" s="40">
        <v>1020</v>
      </c>
      <c r="BU11" s="40">
        <v>1030</v>
      </c>
      <c r="BV11" s="40">
        <v>1080</v>
      </c>
      <c r="BW11" s="40">
        <v>1100</v>
      </c>
      <c r="BX11" s="40">
        <v>1100</v>
      </c>
      <c r="BY11" s="40">
        <v>1090</v>
      </c>
      <c r="BZ11" s="40">
        <v>1080</v>
      </c>
      <c r="CA11" s="40">
        <v>1080</v>
      </c>
      <c r="CB11" s="40">
        <v>1070</v>
      </c>
      <c r="CC11" s="40">
        <v>1070</v>
      </c>
      <c r="CD11" s="40">
        <v>1070</v>
      </c>
      <c r="CE11" s="40">
        <v>1050</v>
      </c>
      <c r="CF11" s="40">
        <v>1050</v>
      </c>
      <c r="CG11" s="40">
        <v>1050</v>
      </c>
      <c r="CH11" s="40">
        <v>1050</v>
      </c>
      <c r="CI11" s="40">
        <v>1050</v>
      </c>
      <c r="CJ11" s="40">
        <v>1050</v>
      </c>
      <c r="CK11" s="40">
        <v>1050</v>
      </c>
      <c r="CL11" s="40">
        <v>1040</v>
      </c>
      <c r="CM11" s="40">
        <v>1030</v>
      </c>
      <c r="CN11" s="40">
        <v>1030</v>
      </c>
      <c r="CO11" s="40">
        <v>950</v>
      </c>
      <c r="CP11" s="40">
        <v>950</v>
      </c>
      <c r="CQ11" s="40">
        <v>950</v>
      </c>
      <c r="CR11" s="40">
        <v>950</v>
      </c>
      <c r="CS11" s="40">
        <v>950</v>
      </c>
      <c r="CT11" s="40">
        <v>970</v>
      </c>
      <c r="CU11" s="40">
        <v>970</v>
      </c>
      <c r="CV11" s="40">
        <v>1000</v>
      </c>
      <c r="CW11" s="40">
        <v>1000</v>
      </c>
      <c r="CX11" s="40">
        <v>1000</v>
      </c>
      <c r="CY11" s="73">
        <v>1020</v>
      </c>
      <c r="CZ11" s="73">
        <v>1020</v>
      </c>
      <c r="DA11" s="73">
        <v>1020</v>
      </c>
      <c r="DB11" s="73">
        <v>1030</v>
      </c>
      <c r="DC11" s="73">
        <v>1030</v>
      </c>
      <c r="DD11" s="73">
        <v>1030</v>
      </c>
      <c r="DE11" s="73">
        <v>1030</v>
      </c>
      <c r="DF11" s="73">
        <v>1030</v>
      </c>
      <c r="DG11" s="73">
        <v>1020</v>
      </c>
      <c r="DH11" s="73">
        <v>1000</v>
      </c>
      <c r="DI11" s="73">
        <v>980</v>
      </c>
      <c r="DJ11" s="73">
        <v>960</v>
      </c>
      <c r="DK11" s="73">
        <v>940</v>
      </c>
      <c r="DL11" s="73">
        <v>940</v>
      </c>
      <c r="DM11" s="73">
        <v>940</v>
      </c>
      <c r="DN11" s="73">
        <v>940</v>
      </c>
      <c r="DO11" s="73">
        <v>920</v>
      </c>
      <c r="DP11" s="73">
        <v>920</v>
      </c>
      <c r="DQ11" s="73">
        <v>920</v>
      </c>
      <c r="DR11" s="73">
        <v>920</v>
      </c>
      <c r="DS11" s="73">
        <v>950</v>
      </c>
      <c r="DT11" s="73">
        <v>950</v>
      </c>
      <c r="DU11" s="73">
        <v>970</v>
      </c>
      <c r="DV11" s="73">
        <v>980</v>
      </c>
      <c r="DW11" s="73">
        <v>1000</v>
      </c>
      <c r="DX11" s="73">
        <v>1000</v>
      </c>
      <c r="DY11" s="73">
        <v>1000</v>
      </c>
      <c r="DZ11" s="73">
        <v>980</v>
      </c>
      <c r="EA11" s="73">
        <v>980</v>
      </c>
      <c r="EB11" s="73">
        <v>980</v>
      </c>
      <c r="EC11" s="73">
        <v>960</v>
      </c>
      <c r="ED11" s="73">
        <v>960</v>
      </c>
      <c r="EE11" s="73">
        <v>960</v>
      </c>
      <c r="EF11" s="73">
        <v>970</v>
      </c>
      <c r="EG11" s="73">
        <v>970</v>
      </c>
      <c r="EH11" s="73">
        <v>980</v>
      </c>
      <c r="EI11" s="73">
        <v>980</v>
      </c>
      <c r="EJ11" s="73">
        <v>980</v>
      </c>
      <c r="EK11" s="73">
        <v>1000</v>
      </c>
      <c r="EL11" s="73">
        <v>1000</v>
      </c>
      <c r="EM11" s="73">
        <v>1000</v>
      </c>
      <c r="EN11" s="73">
        <v>1000</v>
      </c>
      <c r="EO11" s="73">
        <v>1000</v>
      </c>
      <c r="EP11" s="73">
        <v>1000</v>
      </c>
      <c r="EQ11" s="73">
        <v>1000</v>
      </c>
      <c r="ER11" s="73">
        <v>1000</v>
      </c>
      <c r="ES11" s="73">
        <v>1000</v>
      </c>
      <c r="ET11" s="73">
        <v>1000</v>
      </c>
      <c r="EU11" s="73">
        <v>1000</v>
      </c>
      <c r="EV11" s="73">
        <v>980</v>
      </c>
      <c r="EW11" s="73">
        <v>970</v>
      </c>
      <c r="EX11" s="73">
        <v>970</v>
      </c>
      <c r="EY11" s="73">
        <v>970</v>
      </c>
      <c r="EZ11" s="73">
        <v>970</v>
      </c>
      <c r="FA11" s="73">
        <v>970</v>
      </c>
      <c r="FB11" s="73">
        <v>960</v>
      </c>
      <c r="FC11" s="73">
        <v>960</v>
      </c>
      <c r="FD11" s="73">
        <v>960</v>
      </c>
      <c r="FE11" s="73">
        <v>960</v>
      </c>
      <c r="FF11" s="73">
        <v>980</v>
      </c>
      <c r="FG11" s="73">
        <v>980</v>
      </c>
      <c r="FH11" s="73">
        <v>980</v>
      </c>
      <c r="FI11" s="73">
        <v>970</v>
      </c>
      <c r="FJ11" s="73">
        <v>970</v>
      </c>
      <c r="FK11" s="73">
        <v>970</v>
      </c>
      <c r="FL11" s="73">
        <v>970</v>
      </c>
      <c r="FM11" s="73">
        <v>950</v>
      </c>
      <c r="FN11" s="73">
        <v>950</v>
      </c>
      <c r="FO11" s="73">
        <v>940</v>
      </c>
      <c r="FP11" s="73">
        <v>940</v>
      </c>
      <c r="FQ11" s="73">
        <v>940</v>
      </c>
      <c r="FR11" s="73">
        <v>940</v>
      </c>
      <c r="FS11" s="73">
        <v>940</v>
      </c>
      <c r="FT11" s="73">
        <v>940</v>
      </c>
      <c r="FU11" s="73">
        <v>940</v>
      </c>
      <c r="FV11" s="73">
        <v>896</v>
      </c>
      <c r="FW11" s="73">
        <v>896</v>
      </c>
      <c r="FX11" s="73">
        <v>896</v>
      </c>
      <c r="FY11" s="73">
        <v>896</v>
      </c>
      <c r="FZ11" s="73">
        <v>896</v>
      </c>
      <c r="GA11" s="73">
        <v>896</v>
      </c>
      <c r="GB11" s="73">
        <v>896</v>
      </c>
      <c r="GC11" s="73">
        <v>900</v>
      </c>
      <c r="GD11" s="73">
        <v>890</v>
      </c>
      <c r="GE11" s="73">
        <v>880</v>
      </c>
      <c r="GF11" s="73">
        <v>870</v>
      </c>
      <c r="GG11" s="73">
        <v>870</v>
      </c>
      <c r="GH11" s="73">
        <v>860</v>
      </c>
      <c r="GI11" s="73"/>
      <c r="GJ11" s="73"/>
    </row>
    <row r="12" spans="1:192" ht="14" x14ac:dyDescent="0.35">
      <c r="F12" s="85"/>
      <c r="H12" s="87" t="s">
        <v>45</v>
      </c>
      <c r="I12" s="28">
        <f>I11</f>
        <v>1017.5</v>
      </c>
      <c r="J12" s="28">
        <f t="shared" ref="J12:AK12" si="67">J11</f>
        <v>1092.5</v>
      </c>
      <c r="K12" s="28">
        <f t="shared" si="67"/>
        <v>1072.5</v>
      </c>
      <c r="L12" s="28">
        <f t="shared" si="67"/>
        <v>1050</v>
      </c>
      <c r="M12" s="28">
        <f t="shared" si="67"/>
        <v>1044</v>
      </c>
      <c r="N12" s="28">
        <f t="shared" si="67"/>
        <v>970</v>
      </c>
      <c r="O12" s="28">
        <f t="shared" si="67"/>
        <v>960</v>
      </c>
      <c r="P12" s="28">
        <f t="shared" si="67"/>
        <v>1008</v>
      </c>
      <c r="Q12" s="28">
        <f t="shared" si="67"/>
        <v>1027.5</v>
      </c>
      <c r="R12" s="28">
        <f t="shared" si="67"/>
        <v>1020</v>
      </c>
      <c r="S12" s="28">
        <f t="shared" si="67"/>
        <v>955</v>
      </c>
      <c r="T12" s="28">
        <f t="shared" si="67"/>
        <v>928</v>
      </c>
      <c r="U12" s="28">
        <f t="shared" si="67"/>
        <v>940</v>
      </c>
      <c r="V12" s="28">
        <f t="shared" si="67"/>
        <v>993.33333333333337</v>
      </c>
      <c r="W12" s="28">
        <f t="shared" si="67"/>
        <v>985</v>
      </c>
      <c r="X12" s="28">
        <f t="shared" si="67"/>
        <v>962.5</v>
      </c>
      <c r="Y12" s="28">
        <f t="shared" si="67"/>
        <v>982</v>
      </c>
      <c r="Z12" s="28">
        <f t="shared" si="67"/>
        <v>1000</v>
      </c>
      <c r="AA12" s="28">
        <f t="shared" si="67"/>
        <v>1000</v>
      </c>
      <c r="AB12" s="28">
        <f t="shared" si="67"/>
        <v>984</v>
      </c>
      <c r="AC12" s="28">
        <f t="shared" si="67"/>
        <v>967.5</v>
      </c>
      <c r="AD12" s="28">
        <f t="shared" si="67"/>
        <v>965</v>
      </c>
      <c r="AE12" s="28">
        <f t="shared" si="67"/>
        <v>974</v>
      </c>
      <c r="AF12" s="28">
        <f t="shared" si="67"/>
        <v>956</v>
      </c>
      <c r="AG12" s="28">
        <f t="shared" si="67"/>
        <v>940</v>
      </c>
      <c r="AH12" s="28">
        <f t="shared" si="67"/>
        <v>918</v>
      </c>
      <c r="AI12" s="28">
        <f t="shared" si="67"/>
        <v>896</v>
      </c>
      <c r="AJ12" s="28">
        <f t="shared" si="67"/>
        <v>891.5</v>
      </c>
      <c r="AK12" s="28">
        <f t="shared" si="67"/>
        <v>866.66666666666663</v>
      </c>
      <c r="AL12" s="95"/>
      <c r="AO12" s="85" t="s">
        <v>46</v>
      </c>
      <c r="BH12" s="28" t="e">
        <f>+BH9-#REF!</f>
        <v>#REF!</v>
      </c>
      <c r="BI12" s="28" t="e">
        <f>+BI9-#REF!</f>
        <v>#REF!</v>
      </c>
      <c r="BJ12" s="28" t="e">
        <f>+BJ9-#REF!</f>
        <v>#REF!</v>
      </c>
      <c r="BK12" s="28" t="e">
        <f>+BK9-#REF!</f>
        <v>#REF!</v>
      </c>
      <c r="BL12" s="28" t="e">
        <f>+BL9-#REF!</f>
        <v>#REF!</v>
      </c>
      <c r="BM12" s="28" t="e">
        <f>+BM9-#REF!</f>
        <v>#REF!</v>
      </c>
      <c r="BN12" s="28" t="e">
        <f>+BN9-#REF!</f>
        <v>#REF!</v>
      </c>
      <c r="BO12" s="28" t="e">
        <f>+BO9-#REF!</f>
        <v>#REF!</v>
      </c>
      <c r="BP12" s="28" t="e">
        <f>+BP9-#REF!</f>
        <v>#REF!</v>
      </c>
      <c r="BQ12" s="28" t="e">
        <f>+BQ9-#REF!</f>
        <v>#REF!</v>
      </c>
      <c r="BR12" s="28" t="e">
        <f>+BR9-#REF!</f>
        <v>#REF!</v>
      </c>
      <c r="BS12" s="28" t="e">
        <f>+BS9-#REF!</f>
        <v>#REF!</v>
      </c>
      <c r="BT12" s="28" t="e">
        <f>+BT9-#REF!</f>
        <v>#REF!</v>
      </c>
      <c r="BU12" s="28" t="e">
        <f>+BU9-#REF!</f>
        <v>#REF!</v>
      </c>
      <c r="BV12" s="28" t="e">
        <f>+BV9-#REF!</f>
        <v>#REF!</v>
      </c>
      <c r="BW12" s="28" t="e">
        <f>+BW9-#REF!</f>
        <v>#REF!</v>
      </c>
      <c r="BX12" s="28" t="e">
        <f>+BX9-#REF!</f>
        <v>#REF!</v>
      </c>
      <c r="BY12" s="28" t="e">
        <f>+BY9-#REF!</f>
        <v>#REF!</v>
      </c>
      <c r="BZ12" s="28" t="e">
        <f>+BZ9-#REF!</f>
        <v>#REF!</v>
      </c>
      <c r="CA12" s="28" t="e">
        <f>+CA9-#REF!</f>
        <v>#REF!</v>
      </c>
      <c r="CB12" s="28" t="e">
        <f>+CB9-#REF!</f>
        <v>#REF!</v>
      </c>
      <c r="CC12" s="28" t="e">
        <f>+CC9-#REF!</f>
        <v>#REF!</v>
      </c>
      <c r="CD12" s="28" t="e">
        <f>+CD9-#REF!</f>
        <v>#REF!</v>
      </c>
      <c r="CE12" s="28" t="e">
        <f>+CE9-#REF!</f>
        <v>#REF!</v>
      </c>
      <c r="CF12" s="28" t="e">
        <f>+CF9-#REF!</f>
        <v>#REF!</v>
      </c>
      <c r="CG12" s="28" t="e">
        <f>+CG9-#REF!</f>
        <v>#REF!</v>
      </c>
      <c r="CH12" s="28" t="e">
        <f>+CH9-#REF!</f>
        <v>#REF!</v>
      </c>
      <c r="CI12" s="28" t="e">
        <f>+CI9-#REF!</f>
        <v>#REF!</v>
      </c>
      <c r="CJ12" s="28" t="e">
        <f>+CJ9-#REF!</f>
        <v>#REF!</v>
      </c>
      <c r="CK12" s="28" t="e">
        <f>+CK9-#REF!</f>
        <v>#REF!</v>
      </c>
      <c r="CL12" s="28" t="e">
        <f>+CL9-#REF!</f>
        <v>#REF!</v>
      </c>
      <c r="CM12" s="28" t="e">
        <f>+CM9-#REF!</f>
        <v>#REF!</v>
      </c>
      <c r="CN12" s="28" t="e">
        <f>+CN9-#REF!</f>
        <v>#REF!</v>
      </c>
      <c r="CO12" s="28" t="e">
        <f>+CO9-#REF!</f>
        <v>#REF!</v>
      </c>
      <c r="CP12" s="28" t="e">
        <f>+CP9-#REF!</f>
        <v>#REF!</v>
      </c>
      <c r="CQ12" s="28" t="e">
        <f>+CQ9-#REF!</f>
        <v>#REF!</v>
      </c>
      <c r="CR12" s="28" t="e">
        <f>+CR9-#REF!</f>
        <v>#REF!</v>
      </c>
      <c r="CS12" s="28" t="e">
        <f>+CS9-#REF!</f>
        <v>#REF!</v>
      </c>
      <c r="CT12" s="28" t="e">
        <f>+CT9-#REF!</f>
        <v>#REF!</v>
      </c>
      <c r="CU12" s="28" t="e">
        <f>+CU9-#REF!</f>
        <v>#REF!</v>
      </c>
      <c r="CV12" s="28" t="e">
        <f>+CV9-#REF!</f>
        <v>#REF!</v>
      </c>
      <c r="CW12" s="28" t="e">
        <f>+CW9-#REF!</f>
        <v>#REF!</v>
      </c>
      <c r="CX12" s="28" t="e">
        <f>+CX9-#REF!</f>
        <v>#REF!</v>
      </c>
      <c r="CY12" s="28" t="e">
        <f>+CY9-#REF!</f>
        <v>#REF!</v>
      </c>
      <c r="CZ12" s="28" t="e">
        <f>+CZ9-#REF!</f>
        <v>#REF!</v>
      </c>
      <c r="DA12" s="28" t="e">
        <f>+DA9-#REF!</f>
        <v>#REF!</v>
      </c>
      <c r="DB12" s="28" t="e">
        <f>+DB9-#REF!</f>
        <v>#REF!</v>
      </c>
      <c r="DC12" s="28" t="e">
        <f>+DC9-#REF!</f>
        <v>#REF!</v>
      </c>
      <c r="DD12" s="28" t="e">
        <f>+DD9-#REF!</f>
        <v>#REF!</v>
      </c>
      <c r="DE12" s="28" t="e">
        <f>+DE9-#REF!</f>
        <v>#REF!</v>
      </c>
      <c r="DF12" s="28" t="e">
        <f>+DF9-#REF!</f>
        <v>#REF!</v>
      </c>
      <c r="DG12" s="28" t="e">
        <f>+DG9-#REF!</f>
        <v>#REF!</v>
      </c>
      <c r="DH12" s="28" t="e">
        <f>+DH9-#REF!</f>
        <v>#REF!</v>
      </c>
      <c r="DI12" s="28" t="e">
        <f>+DI9-#REF!</f>
        <v>#REF!</v>
      </c>
      <c r="DJ12" s="28" t="e">
        <f>+DJ9-#REF!</f>
        <v>#REF!</v>
      </c>
      <c r="DK12" s="28" t="e">
        <f>+DK9-#REF!</f>
        <v>#REF!</v>
      </c>
      <c r="DL12" s="28" t="e">
        <f>+DL9-#REF!</f>
        <v>#REF!</v>
      </c>
      <c r="DM12" s="28" t="e">
        <f>+DM9-#REF!</f>
        <v>#REF!</v>
      </c>
      <c r="DN12" s="28" t="e">
        <f>+DN9-#REF!</f>
        <v>#REF!</v>
      </c>
      <c r="DO12" s="28" t="e">
        <f>+DO9-#REF!</f>
        <v>#REF!</v>
      </c>
      <c r="DP12" s="28" t="e">
        <f>+DP9-#REF!</f>
        <v>#REF!</v>
      </c>
      <c r="DQ12" s="28" t="e">
        <f>+DQ9-#REF!</f>
        <v>#REF!</v>
      </c>
      <c r="DR12" s="28" t="e">
        <f>+DR9-#REF!</f>
        <v>#REF!</v>
      </c>
      <c r="DS12" s="28" t="e">
        <f>+DS9-#REF!</f>
        <v>#REF!</v>
      </c>
      <c r="DT12" s="28" t="e">
        <f>+DT9-#REF!</f>
        <v>#REF!</v>
      </c>
      <c r="DU12" s="28" t="e">
        <f>+DU9-#REF!</f>
        <v>#REF!</v>
      </c>
      <c r="DV12" s="28" t="e">
        <f>+DV9-#REF!</f>
        <v>#REF!</v>
      </c>
      <c r="DW12" s="28" t="e">
        <f>+DW9-#REF!</f>
        <v>#REF!</v>
      </c>
      <c r="DX12" s="28" t="e">
        <f>+DX9-#REF!</f>
        <v>#REF!</v>
      </c>
      <c r="DY12" s="28" t="e">
        <f>+DY9-#REF!</f>
        <v>#REF!</v>
      </c>
      <c r="DZ12" s="28" t="e">
        <f>+DZ9-#REF!</f>
        <v>#REF!</v>
      </c>
      <c r="EA12" s="28" t="e">
        <f>+EA9-#REF!</f>
        <v>#REF!</v>
      </c>
      <c r="EB12" s="28" t="e">
        <f>+EB9-#REF!</f>
        <v>#REF!</v>
      </c>
      <c r="EC12" s="28" t="e">
        <f>+EC9-#REF!</f>
        <v>#REF!</v>
      </c>
      <c r="ED12" s="28" t="e">
        <f>+ED9-#REF!</f>
        <v>#REF!</v>
      </c>
      <c r="EE12" s="28" t="e">
        <f>+EE9-#REF!</f>
        <v>#REF!</v>
      </c>
      <c r="EF12" s="28" t="e">
        <f>+EF9-#REF!</f>
        <v>#REF!</v>
      </c>
      <c r="EG12" s="28" t="e">
        <f>+EG9-#REF!</f>
        <v>#REF!</v>
      </c>
      <c r="EH12" s="28" t="e">
        <f>+EH9-#REF!</f>
        <v>#REF!</v>
      </c>
      <c r="EI12" s="28" t="e">
        <f>+EI9-#REF!</f>
        <v>#REF!</v>
      </c>
      <c r="EJ12" s="28" t="e">
        <f>+EJ9-#REF!</f>
        <v>#REF!</v>
      </c>
      <c r="EK12" s="28" t="e">
        <f>+EK9-#REF!</f>
        <v>#REF!</v>
      </c>
      <c r="EL12" s="28" t="e">
        <f>+EL9-#REF!</f>
        <v>#REF!</v>
      </c>
      <c r="EM12" s="28" t="e">
        <f>+EM9-#REF!</f>
        <v>#REF!</v>
      </c>
      <c r="EN12" s="28" t="e">
        <f>+EN9-#REF!</f>
        <v>#REF!</v>
      </c>
      <c r="EO12" s="28" t="e">
        <f>+EO9-#REF!</f>
        <v>#REF!</v>
      </c>
      <c r="EP12" s="28" t="e">
        <f>+EP9-#REF!</f>
        <v>#REF!</v>
      </c>
      <c r="EQ12" s="28" t="e">
        <f>+EQ9-#REF!</f>
        <v>#REF!</v>
      </c>
      <c r="ER12" s="28" t="e">
        <f>+ER9-#REF!</f>
        <v>#REF!</v>
      </c>
      <c r="ES12" s="28" t="e">
        <f>+ES9-#REF!</f>
        <v>#REF!</v>
      </c>
      <c r="ET12" s="28" t="e">
        <f>+ET9-#REF!</f>
        <v>#REF!</v>
      </c>
      <c r="EU12" s="28" t="e">
        <f>+EU9-#REF!</f>
        <v>#REF!</v>
      </c>
      <c r="EV12" s="28" t="e">
        <f>+EV9-#REF!</f>
        <v>#REF!</v>
      </c>
      <c r="EW12" s="28" t="e">
        <f>+EW9-#REF!</f>
        <v>#REF!</v>
      </c>
      <c r="EX12" s="28" t="e">
        <f>+EX9-#REF!</f>
        <v>#REF!</v>
      </c>
      <c r="EY12" s="28" t="e">
        <f>+EY9-#REF!</f>
        <v>#REF!</v>
      </c>
      <c r="EZ12" s="28" t="e">
        <f>+EZ9-#REF!</f>
        <v>#REF!</v>
      </c>
      <c r="FA12" s="28" t="e">
        <f>+FA9-#REF!</f>
        <v>#REF!</v>
      </c>
      <c r="FB12" s="28" t="e">
        <f>+FB9-#REF!</f>
        <v>#REF!</v>
      </c>
      <c r="FC12" s="28" t="e">
        <f>+FC9-#REF!</f>
        <v>#REF!</v>
      </c>
      <c r="FD12" s="28" t="e">
        <f>+FD9-#REF!</f>
        <v>#REF!</v>
      </c>
      <c r="FE12" s="28" t="e">
        <f>+FE9-#REF!</f>
        <v>#REF!</v>
      </c>
      <c r="FF12" s="28" t="e">
        <f>+FF9-#REF!</f>
        <v>#REF!</v>
      </c>
      <c r="FG12" s="28" t="e">
        <f>+FG9-#REF!</f>
        <v>#REF!</v>
      </c>
      <c r="FH12" s="28" t="e">
        <f>+FH9-#REF!</f>
        <v>#REF!</v>
      </c>
      <c r="FI12" s="28" t="e">
        <f>+FI9-#REF!</f>
        <v>#REF!</v>
      </c>
      <c r="FJ12" s="28" t="e">
        <f>+FJ9-#REF!</f>
        <v>#REF!</v>
      </c>
      <c r="FK12" s="28" t="e">
        <f>+FK9-#REF!</f>
        <v>#REF!</v>
      </c>
      <c r="FL12" s="28" t="e">
        <f>+FL9-#REF!</f>
        <v>#REF!</v>
      </c>
      <c r="FM12" s="28" t="e">
        <f>+FM9-#REF!</f>
        <v>#REF!</v>
      </c>
      <c r="FN12" s="28" t="e">
        <f>+FN9-#REF!</f>
        <v>#REF!</v>
      </c>
      <c r="FO12" s="28" t="e">
        <f>+FO9-#REF!</f>
        <v>#REF!</v>
      </c>
      <c r="FP12" s="28" t="e">
        <f>+FP9-#REF!</f>
        <v>#REF!</v>
      </c>
      <c r="FQ12" s="28" t="e">
        <f>+FQ9-#REF!</f>
        <v>#REF!</v>
      </c>
      <c r="FR12" s="28" t="e">
        <f>+FR9-#REF!</f>
        <v>#REF!</v>
      </c>
      <c r="FS12" s="28" t="e">
        <f>+FS9-#REF!</f>
        <v>#REF!</v>
      </c>
      <c r="FT12" s="28" t="e">
        <f>+FT9-#REF!</f>
        <v>#REF!</v>
      </c>
      <c r="FU12" s="28" t="e">
        <f>+FU9-#REF!</f>
        <v>#REF!</v>
      </c>
      <c r="FV12" s="28" t="e">
        <f>+FV9-#REF!</f>
        <v>#REF!</v>
      </c>
      <c r="FW12" s="28" t="e">
        <f>+FW9-#REF!</f>
        <v>#REF!</v>
      </c>
      <c r="FX12" s="28" t="e">
        <f>+FX9-#REF!</f>
        <v>#REF!</v>
      </c>
      <c r="FY12" s="28" t="e">
        <f>+FY9-#REF!</f>
        <v>#REF!</v>
      </c>
      <c r="FZ12" s="28" t="e">
        <f>+FZ9-#REF!</f>
        <v>#REF!</v>
      </c>
      <c r="GA12" s="28" t="e">
        <f>+GA9-#REF!</f>
        <v>#REF!</v>
      </c>
      <c r="GB12" s="28" t="e">
        <f>+GB9-#REF!</f>
        <v>#REF!</v>
      </c>
      <c r="GC12" s="28" t="e">
        <f>+GC9-#REF!</f>
        <v>#REF!</v>
      </c>
      <c r="GD12" s="28" t="e">
        <f>+GD9-#REF!</f>
        <v>#REF!</v>
      </c>
      <c r="GE12" s="28" t="e">
        <f>+GE9-#REF!</f>
        <v>#REF!</v>
      </c>
      <c r="GF12" s="28" t="e">
        <f>+GF9-#REF!</f>
        <v>#REF!</v>
      </c>
      <c r="GG12" s="28" t="e">
        <f>+GG9-#REF!</f>
        <v>#REF!</v>
      </c>
      <c r="GH12" s="28" t="e">
        <f>+GH9-#REF!</f>
        <v>#REF!</v>
      </c>
      <c r="GI12" s="28" t="e">
        <f>+GI9-#REF!</f>
        <v>#REF!</v>
      </c>
      <c r="GJ12" s="28" t="e">
        <f>+GJ9-#REF!</f>
        <v>#REF!</v>
      </c>
    </row>
    <row r="13" spans="1:192" ht="14" x14ac:dyDescent="0.35">
      <c r="H13" s="85" t="s">
        <v>46</v>
      </c>
      <c r="I13" s="28">
        <f t="shared" ref="I13:AK13" si="68">I9-I12</f>
        <v>382.5</v>
      </c>
      <c r="J13" s="28">
        <f t="shared" si="68"/>
        <v>307.5</v>
      </c>
      <c r="K13" s="28">
        <f t="shared" si="68"/>
        <v>327.5</v>
      </c>
      <c r="L13" s="28">
        <f t="shared" si="68"/>
        <v>480</v>
      </c>
      <c r="M13" s="28">
        <f t="shared" si="68"/>
        <v>486</v>
      </c>
      <c r="N13" s="28">
        <f t="shared" si="68"/>
        <v>560</v>
      </c>
      <c r="O13" s="28">
        <f t="shared" si="68"/>
        <v>490</v>
      </c>
      <c r="P13" s="28">
        <f t="shared" si="68"/>
        <v>392</v>
      </c>
      <c r="Q13" s="28">
        <f t="shared" si="68"/>
        <v>372.5</v>
      </c>
      <c r="R13" s="28">
        <f t="shared" si="68"/>
        <v>380</v>
      </c>
      <c r="S13" s="28">
        <f t="shared" si="68"/>
        <v>445</v>
      </c>
      <c r="T13" s="28">
        <f t="shared" si="68"/>
        <v>472</v>
      </c>
      <c r="U13" s="28">
        <f t="shared" si="68"/>
        <v>460</v>
      </c>
      <c r="V13" s="28">
        <f t="shared" si="68"/>
        <v>406.66666666666663</v>
      </c>
      <c r="W13" s="28">
        <f t="shared" si="68"/>
        <v>415</v>
      </c>
      <c r="X13" s="28">
        <f t="shared" si="68"/>
        <v>437.5</v>
      </c>
      <c r="Y13" s="28">
        <f t="shared" si="68"/>
        <v>418</v>
      </c>
      <c r="Z13" s="28">
        <f t="shared" si="68"/>
        <v>400</v>
      </c>
      <c r="AA13" s="28">
        <f t="shared" si="68"/>
        <v>400</v>
      </c>
      <c r="AB13" s="28">
        <f t="shared" si="68"/>
        <v>416</v>
      </c>
      <c r="AC13" s="28">
        <f t="shared" si="68"/>
        <v>432.5</v>
      </c>
      <c r="AD13" s="28">
        <f t="shared" si="68"/>
        <v>435</v>
      </c>
      <c r="AE13" s="28">
        <f t="shared" si="68"/>
        <v>426</v>
      </c>
      <c r="AF13" s="28">
        <f t="shared" si="68"/>
        <v>444</v>
      </c>
      <c r="AG13" s="28">
        <f t="shared" si="68"/>
        <v>460</v>
      </c>
      <c r="AH13" s="28">
        <f t="shared" si="68"/>
        <v>482</v>
      </c>
      <c r="AI13" s="28">
        <f t="shared" si="68"/>
        <v>454</v>
      </c>
      <c r="AJ13" s="28">
        <f t="shared" si="68"/>
        <v>458.5</v>
      </c>
      <c r="AK13" s="28">
        <f t="shared" si="68"/>
        <v>483.33333333333337</v>
      </c>
      <c r="AO13" s="1" t="s">
        <v>44</v>
      </c>
      <c r="BH13" s="35" t="e">
        <f>+BH12/#REF!</f>
        <v>#REF!</v>
      </c>
      <c r="BI13" s="35" t="e">
        <f>+BI12/#REF!</f>
        <v>#REF!</v>
      </c>
      <c r="BJ13" s="35" t="e">
        <f>+BJ12/#REF!</f>
        <v>#REF!</v>
      </c>
      <c r="BK13" s="35" t="e">
        <f>+BK12/#REF!</f>
        <v>#REF!</v>
      </c>
      <c r="BL13" s="35" t="e">
        <f>+BL12/#REF!</f>
        <v>#REF!</v>
      </c>
      <c r="BM13" s="35" t="e">
        <f>+BM12/#REF!</f>
        <v>#REF!</v>
      </c>
      <c r="BN13" s="35" t="e">
        <f>+BN12/#REF!</f>
        <v>#REF!</v>
      </c>
      <c r="BO13" s="35" t="e">
        <f>+BO12/#REF!</f>
        <v>#REF!</v>
      </c>
      <c r="BP13" s="35" t="e">
        <f>+BP12/#REF!</f>
        <v>#REF!</v>
      </c>
      <c r="BQ13" s="35" t="e">
        <f>+BQ12/#REF!</f>
        <v>#REF!</v>
      </c>
      <c r="BR13" s="35" t="e">
        <f>+BR12/#REF!</f>
        <v>#REF!</v>
      </c>
      <c r="BS13" s="35" t="e">
        <f>+BS12/#REF!</f>
        <v>#REF!</v>
      </c>
      <c r="BT13" s="35" t="e">
        <f>+BT12/#REF!</f>
        <v>#REF!</v>
      </c>
      <c r="BU13" s="35" t="e">
        <f>+BU12/#REF!</f>
        <v>#REF!</v>
      </c>
      <c r="BV13" s="35" t="e">
        <f>+BV12/#REF!</f>
        <v>#REF!</v>
      </c>
      <c r="BW13" s="35" t="e">
        <f>+BW12/#REF!</f>
        <v>#REF!</v>
      </c>
      <c r="BX13" s="35" t="e">
        <f>+BX12/#REF!</f>
        <v>#REF!</v>
      </c>
      <c r="BY13" s="35" t="e">
        <f>+BY12/#REF!</f>
        <v>#REF!</v>
      </c>
      <c r="BZ13" s="35" t="e">
        <f>+BZ12/#REF!</f>
        <v>#REF!</v>
      </c>
      <c r="CA13" s="35" t="e">
        <f>+CA12/#REF!</f>
        <v>#REF!</v>
      </c>
      <c r="CB13" s="35" t="e">
        <f>+CB12/#REF!</f>
        <v>#REF!</v>
      </c>
      <c r="CC13" s="35" t="e">
        <f>+CC12/#REF!</f>
        <v>#REF!</v>
      </c>
      <c r="CD13" s="35" t="e">
        <f>+CD12/#REF!</f>
        <v>#REF!</v>
      </c>
      <c r="CE13" s="35" t="e">
        <f>+CE12/#REF!</f>
        <v>#REF!</v>
      </c>
      <c r="CF13" s="35" t="e">
        <f>+CF12/#REF!</f>
        <v>#REF!</v>
      </c>
      <c r="CG13" s="35" t="e">
        <f>+CG12/#REF!</f>
        <v>#REF!</v>
      </c>
      <c r="CH13" s="35" t="e">
        <f>+CH12/#REF!</f>
        <v>#REF!</v>
      </c>
      <c r="CI13" s="35" t="e">
        <f>+CI12/#REF!</f>
        <v>#REF!</v>
      </c>
      <c r="CJ13" s="35" t="e">
        <f>+CJ12/#REF!</f>
        <v>#REF!</v>
      </c>
      <c r="CK13" s="35" t="e">
        <f>+CK12/#REF!</f>
        <v>#REF!</v>
      </c>
      <c r="CL13" s="35" t="e">
        <f>+CL12/#REF!</f>
        <v>#REF!</v>
      </c>
      <c r="CM13" s="35" t="e">
        <f>+CM12/#REF!</f>
        <v>#REF!</v>
      </c>
      <c r="CN13" s="35" t="e">
        <f>+CN12/#REF!</f>
        <v>#REF!</v>
      </c>
      <c r="CO13" s="35" t="e">
        <f>+CO12/#REF!</f>
        <v>#REF!</v>
      </c>
      <c r="CP13" s="35" t="e">
        <f>+CP12/#REF!</f>
        <v>#REF!</v>
      </c>
      <c r="CQ13" s="35" t="e">
        <f>+CQ12/#REF!</f>
        <v>#REF!</v>
      </c>
      <c r="CR13" s="35" t="e">
        <f>+CR12/#REF!</f>
        <v>#REF!</v>
      </c>
      <c r="CS13" s="35" t="e">
        <f>+CS12/#REF!</f>
        <v>#REF!</v>
      </c>
      <c r="CT13" s="35" t="e">
        <f>+CT12/#REF!</f>
        <v>#REF!</v>
      </c>
      <c r="CU13" s="35" t="e">
        <f>+CU12/#REF!</f>
        <v>#REF!</v>
      </c>
      <c r="CV13" s="35" t="e">
        <f>+CV12/#REF!</f>
        <v>#REF!</v>
      </c>
      <c r="CW13" s="35" t="e">
        <f>+CW12/#REF!</f>
        <v>#REF!</v>
      </c>
      <c r="CX13" s="35" t="e">
        <f>+CX12/#REF!</f>
        <v>#REF!</v>
      </c>
      <c r="CY13" s="35" t="e">
        <f>+CY12/#REF!</f>
        <v>#REF!</v>
      </c>
      <c r="CZ13" s="35" t="e">
        <f>+CZ12/#REF!</f>
        <v>#REF!</v>
      </c>
      <c r="DA13" s="35" t="e">
        <f>+DA12/#REF!</f>
        <v>#REF!</v>
      </c>
      <c r="DB13" s="35" t="e">
        <f>+DB12/#REF!</f>
        <v>#REF!</v>
      </c>
      <c r="DC13" s="35" t="e">
        <f>+DC12/#REF!</f>
        <v>#REF!</v>
      </c>
      <c r="DD13" s="35" t="e">
        <f>+DD12/#REF!</f>
        <v>#REF!</v>
      </c>
      <c r="DE13" s="35" t="e">
        <f>+DE12/#REF!</f>
        <v>#REF!</v>
      </c>
      <c r="DF13" s="35" t="e">
        <f>+DF12/#REF!</f>
        <v>#REF!</v>
      </c>
      <c r="DG13" s="35" t="e">
        <f>+DG12/#REF!</f>
        <v>#REF!</v>
      </c>
      <c r="DH13" s="35" t="e">
        <f>+DH12/#REF!</f>
        <v>#REF!</v>
      </c>
      <c r="DI13" s="35" t="e">
        <f>+DI12/#REF!</f>
        <v>#REF!</v>
      </c>
      <c r="DJ13" s="35" t="e">
        <f>+DJ12/#REF!</f>
        <v>#REF!</v>
      </c>
      <c r="DK13" s="35" t="e">
        <f>+DK12/#REF!</f>
        <v>#REF!</v>
      </c>
      <c r="DL13" s="35" t="e">
        <f>+DL12/#REF!</f>
        <v>#REF!</v>
      </c>
      <c r="DM13" s="35" t="e">
        <f>+DM12/#REF!</f>
        <v>#REF!</v>
      </c>
      <c r="DN13" s="35" t="e">
        <f>+DN12/#REF!</f>
        <v>#REF!</v>
      </c>
      <c r="DO13" s="35" t="e">
        <f>+DO12/#REF!</f>
        <v>#REF!</v>
      </c>
      <c r="DP13" s="35" t="e">
        <f>+DP12/#REF!</f>
        <v>#REF!</v>
      </c>
      <c r="DQ13" s="35" t="e">
        <f>+DQ12/#REF!</f>
        <v>#REF!</v>
      </c>
      <c r="DR13" s="35" t="e">
        <f>+DR12/#REF!</f>
        <v>#REF!</v>
      </c>
      <c r="DS13" s="35" t="e">
        <f>+DS12/#REF!</f>
        <v>#REF!</v>
      </c>
      <c r="DT13" s="35" t="e">
        <f>+DT12/#REF!</f>
        <v>#REF!</v>
      </c>
      <c r="DU13" s="35" t="e">
        <f>+DU12/#REF!</f>
        <v>#REF!</v>
      </c>
      <c r="DV13" s="35" t="e">
        <f>+DV12/#REF!</f>
        <v>#REF!</v>
      </c>
      <c r="DW13" s="35" t="e">
        <f>+DW12/#REF!</f>
        <v>#REF!</v>
      </c>
      <c r="DX13" s="35" t="e">
        <f>+DX12/#REF!</f>
        <v>#REF!</v>
      </c>
      <c r="DY13" s="35" t="e">
        <f>+DY12/#REF!</f>
        <v>#REF!</v>
      </c>
      <c r="DZ13" s="35" t="e">
        <f>+DZ12/#REF!</f>
        <v>#REF!</v>
      </c>
      <c r="EA13" s="35" t="e">
        <f>+EA12/#REF!</f>
        <v>#REF!</v>
      </c>
      <c r="EB13" s="35" t="e">
        <f>+EB12/#REF!</f>
        <v>#REF!</v>
      </c>
      <c r="EC13" s="35" t="e">
        <f>+EC12/#REF!</f>
        <v>#REF!</v>
      </c>
      <c r="ED13" s="35" t="e">
        <f>+ED12/#REF!</f>
        <v>#REF!</v>
      </c>
      <c r="EE13" s="35" t="e">
        <f>+EE12/#REF!</f>
        <v>#REF!</v>
      </c>
      <c r="EF13" s="35" t="e">
        <f>+EF12/#REF!</f>
        <v>#REF!</v>
      </c>
      <c r="EG13" s="35" t="e">
        <f>+EG12/#REF!</f>
        <v>#REF!</v>
      </c>
      <c r="EH13" s="35" t="e">
        <f>+EH12/#REF!</f>
        <v>#REF!</v>
      </c>
      <c r="EI13" s="35" t="e">
        <f>+EI12/#REF!</f>
        <v>#REF!</v>
      </c>
      <c r="EJ13" s="35" t="e">
        <f>+EJ12/#REF!</f>
        <v>#REF!</v>
      </c>
      <c r="EK13" s="35" t="e">
        <f>+EK12/#REF!</f>
        <v>#REF!</v>
      </c>
      <c r="EL13" s="35" t="e">
        <f>+EL12/#REF!</f>
        <v>#REF!</v>
      </c>
      <c r="EM13" s="35" t="e">
        <f>+EM12/#REF!</f>
        <v>#REF!</v>
      </c>
      <c r="EN13" s="35" t="e">
        <f>+EN12/#REF!</f>
        <v>#REF!</v>
      </c>
      <c r="EO13" s="35" t="e">
        <f>+EO12/#REF!</f>
        <v>#REF!</v>
      </c>
      <c r="EP13" s="35" t="e">
        <f>+EP12/#REF!</f>
        <v>#REF!</v>
      </c>
      <c r="EQ13" s="35" t="e">
        <f>+EQ12/#REF!</f>
        <v>#REF!</v>
      </c>
      <c r="ER13" s="35" t="e">
        <f>+ER12/#REF!</f>
        <v>#REF!</v>
      </c>
      <c r="ES13" s="35" t="e">
        <f>+ES12/#REF!</f>
        <v>#REF!</v>
      </c>
      <c r="ET13" s="35" t="e">
        <f>+ET12/#REF!</f>
        <v>#REF!</v>
      </c>
      <c r="EU13" s="35" t="e">
        <f>+EU12/#REF!</f>
        <v>#REF!</v>
      </c>
      <c r="EV13" s="35" t="e">
        <f>+EV12/#REF!</f>
        <v>#REF!</v>
      </c>
      <c r="EW13" s="35" t="e">
        <f>+EW12/#REF!</f>
        <v>#REF!</v>
      </c>
      <c r="EX13" s="35" t="e">
        <f>+EX12/#REF!</f>
        <v>#REF!</v>
      </c>
      <c r="EY13" s="35" t="e">
        <f>+EY12/#REF!</f>
        <v>#REF!</v>
      </c>
      <c r="EZ13" s="35" t="e">
        <f>+EZ12/#REF!</f>
        <v>#REF!</v>
      </c>
      <c r="FA13" s="35" t="e">
        <f>+FA12/#REF!</f>
        <v>#REF!</v>
      </c>
      <c r="FB13" s="35" t="e">
        <f>+FB12/#REF!</f>
        <v>#REF!</v>
      </c>
      <c r="FC13" s="35" t="e">
        <f>+FC12/#REF!</f>
        <v>#REF!</v>
      </c>
      <c r="FD13" s="35" t="e">
        <f>+FD12/#REF!</f>
        <v>#REF!</v>
      </c>
      <c r="FE13" s="35" t="e">
        <f>+FE12/#REF!</f>
        <v>#REF!</v>
      </c>
      <c r="FF13" s="35" t="e">
        <f>+FF12/#REF!</f>
        <v>#REF!</v>
      </c>
      <c r="FG13" s="35" t="e">
        <f>+FG12/#REF!</f>
        <v>#REF!</v>
      </c>
      <c r="FH13" s="35" t="e">
        <f>+FH12/#REF!</f>
        <v>#REF!</v>
      </c>
      <c r="FI13" s="35" t="e">
        <f>+FI12/#REF!</f>
        <v>#REF!</v>
      </c>
      <c r="FJ13" s="35" t="e">
        <f>+FJ12/#REF!</f>
        <v>#REF!</v>
      </c>
      <c r="FK13" s="35" t="e">
        <f>+FK12/#REF!</f>
        <v>#REF!</v>
      </c>
      <c r="FL13" s="35" t="e">
        <f>+FL12/#REF!</f>
        <v>#REF!</v>
      </c>
      <c r="FM13" s="35" t="e">
        <f>+FM12/#REF!</f>
        <v>#REF!</v>
      </c>
      <c r="FN13" s="35" t="e">
        <f>+FN12/#REF!</f>
        <v>#REF!</v>
      </c>
      <c r="FO13" s="35" t="e">
        <f>+FO12/#REF!</f>
        <v>#REF!</v>
      </c>
      <c r="FP13" s="35" t="e">
        <f>+FP12/#REF!</f>
        <v>#REF!</v>
      </c>
      <c r="FQ13" s="35" t="e">
        <f>+FQ12/#REF!</f>
        <v>#REF!</v>
      </c>
      <c r="FR13" s="35" t="e">
        <f>+FR12/#REF!</f>
        <v>#REF!</v>
      </c>
      <c r="FS13" s="35" t="e">
        <f>+FS12/#REF!</f>
        <v>#REF!</v>
      </c>
      <c r="FT13" s="35" t="e">
        <f>+FT12/#REF!</f>
        <v>#REF!</v>
      </c>
      <c r="FU13" s="35" t="e">
        <f>+FU12/#REF!</f>
        <v>#REF!</v>
      </c>
      <c r="FV13" s="35" t="e">
        <f>+FV12/#REF!</f>
        <v>#REF!</v>
      </c>
      <c r="FW13" s="35" t="e">
        <f>+FW12/#REF!</f>
        <v>#REF!</v>
      </c>
      <c r="FX13" s="35" t="e">
        <f>+FX12/#REF!</f>
        <v>#REF!</v>
      </c>
      <c r="FY13" s="35" t="e">
        <f>+FY12/#REF!</f>
        <v>#REF!</v>
      </c>
      <c r="FZ13" s="35" t="e">
        <f>+FZ12/#REF!</f>
        <v>#REF!</v>
      </c>
      <c r="GA13" s="35" t="e">
        <f>+GA12/#REF!</f>
        <v>#REF!</v>
      </c>
      <c r="GB13" s="35" t="e">
        <f>+GB12/#REF!</f>
        <v>#REF!</v>
      </c>
      <c r="GC13" s="35" t="e">
        <f>+GC12/#REF!</f>
        <v>#REF!</v>
      </c>
      <c r="GD13" s="35" t="e">
        <f>+GD12/#REF!</f>
        <v>#REF!</v>
      </c>
      <c r="GE13" s="35" t="e">
        <f>+GE12/#REF!</f>
        <v>#REF!</v>
      </c>
      <c r="GF13" s="35" t="e">
        <f>+GF12/#REF!</f>
        <v>#REF!</v>
      </c>
      <c r="GG13" s="35" t="e">
        <f>+GG12/#REF!</f>
        <v>#REF!</v>
      </c>
      <c r="GH13" s="35" t="e">
        <f>+GH12/#REF!</f>
        <v>#REF!</v>
      </c>
      <c r="GI13" s="35" t="e">
        <f>+GI12/#REF!</f>
        <v>#REF!</v>
      </c>
      <c r="GJ13" s="35" t="e">
        <f>+GJ12/#REF!</f>
        <v>#REF!</v>
      </c>
    </row>
    <row r="14" spans="1:192" ht="14" x14ac:dyDescent="0.35">
      <c r="H14" s="1" t="s">
        <v>44</v>
      </c>
      <c r="I14" s="35">
        <f t="shared" ref="I14:N14" si="69">I13/I12</f>
        <v>0.37592137592137592</v>
      </c>
      <c r="J14" s="35">
        <f t="shared" si="69"/>
        <v>0.28146453089244849</v>
      </c>
      <c r="K14" s="35">
        <f t="shared" si="69"/>
        <v>0.30536130536130535</v>
      </c>
      <c r="L14" s="35">
        <f t="shared" si="69"/>
        <v>0.45714285714285713</v>
      </c>
      <c r="M14" s="35">
        <f t="shared" si="69"/>
        <v>0.46551724137931033</v>
      </c>
      <c r="N14" s="35">
        <f t="shared" si="69"/>
        <v>0.57731958762886593</v>
      </c>
      <c r="O14" s="35">
        <f t="shared" ref="O14:T14" si="70">O13/O12</f>
        <v>0.51041666666666663</v>
      </c>
      <c r="P14" s="35">
        <f t="shared" si="70"/>
        <v>0.3888888888888889</v>
      </c>
      <c r="Q14" s="35">
        <f t="shared" si="70"/>
        <v>0.36253041362530414</v>
      </c>
      <c r="R14" s="35">
        <f t="shared" si="70"/>
        <v>0.37254901960784315</v>
      </c>
      <c r="S14" s="35">
        <f t="shared" si="70"/>
        <v>0.46596858638743455</v>
      </c>
      <c r="T14" s="35">
        <f t="shared" si="70"/>
        <v>0.50862068965517238</v>
      </c>
      <c r="U14" s="35">
        <f t="shared" ref="U14:V14" si="71">U13/U12</f>
        <v>0.48936170212765956</v>
      </c>
      <c r="V14" s="35">
        <f t="shared" si="71"/>
        <v>0.40939597315436238</v>
      </c>
      <c r="W14" s="35">
        <f t="shared" ref="W14:X14" si="72">W13/W12</f>
        <v>0.42131979695431471</v>
      </c>
      <c r="X14" s="35">
        <f t="shared" si="72"/>
        <v>0.45454545454545453</v>
      </c>
      <c r="Y14" s="35">
        <f t="shared" ref="Y14:Z14" si="73">Y13/Y12</f>
        <v>0.42566191446028512</v>
      </c>
      <c r="Z14" s="35">
        <f t="shared" si="73"/>
        <v>0.4</v>
      </c>
      <c r="AA14" s="35">
        <f t="shared" ref="AA14:AB14" si="74">AA13/AA12</f>
        <v>0.4</v>
      </c>
      <c r="AB14" s="35">
        <f t="shared" si="74"/>
        <v>0.42276422764227645</v>
      </c>
      <c r="AC14" s="35">
        <f t="shared" ref="AC14:AD14" si="75">AC13/AC12</f>
        <v>0.44702842377260982</v>
      </c>
      <c r="AD14" s="35">
        <f t="shared" si="75"/>
        <v>0.45077720207253885</v>
      </c>
      <c r="AE14" s="35">
        <f t="shared" ref="AE14:AF14" si="76">AE13/AE12</f>
        <v>0.43737166324435317</v>
      </c>
      <c r="AF14" s="35">
        <f t="shared" si="76"/>
        <v>0.46443514644351463</v>
      </c>
      <c r="AG14" s="35">
        <f t="shared" ref="AG14:AH14" si="77">AG13/AG12</f>
        <v>0.48936170212765956</v>
      </c>
      <c r="AH14" s="35">
        <f t="shared" si="77"/>
        <v>0.52505446623093677</v>
      </c>
      <c r="AI14" s="35">
        <f t="shared" ref="AI14:AJ14" si="78">AI13/AI12</f>
        <v>0.5066964285714286</v>
      </c>
      <c r="AJ14" s="35">
        <f t="shared" si="78"/>
        <v>0.51430173864273698</v>
      </c>
      <c r="AK14" s="35">
        <f t="shared" ref="AK14" si="79">AK13/AK12</f>
        <v>0.55769230769230771</v>
      </c>
      <c r="AL14" s="95"/>
      <c r="AO14" s="1" t="s">
        <v>48</v>
      </c>
      <c r="BH14" s="28">
        <v>1264</v>
      </c>
      <c r="BI14" s="28">
        <v>1390</v>
      </c>
      <c r="BJ14" s="28">
        <v>1374</v>
      </c>
      <c r="BK14" s="28">
        <v>1374</v>
      </c>
      <c r="BL14" s="28">
        <v>1374</v>
      </c>
      <c r="BM14" s="28">
        <v>1374</v>
      </c>
      <c r="BN14" s="28">
        <v>1374</v>
      </c>
      <c r="BO14" s="28">
        <v>1374</v>
      </c>
      <c r="BP14" s="28">
        <v>1374</v>
      </c>
      <c r="BQ14" s="28">
        <v>1374</v>
      </c>
      <c r="BR14" s="28">
        <v>1374</v>
      </c>
      <c r="BS14" s="29">
        <v>1377</v>
      </c>
      <c r="BT14" s="29">
        <v>1377</v>
      </c>
      <c r="BU14" s="29">
        <v>1377</v>
      </c>
      <c r="BV14" s="29">
        <v>1377</v>
      </c>
      <c r="BW14" s="29">
        <v>1377</v>
      </c>
      <c r="BX14" s="29">
        <v>1377</v>
      </c>
      <c r="BY14" s="29">
        <v>1377</v>
      </c>
      <c r="BZ14" s="29">
        <v>1377</v>
      </c>
      <c r="CA14" s="29">
        <v>1377</v>
      </c>
      <c r="CB14" s="29">
        <v>1377</v>
      </c>
      <c r="CC14" s="29">
        <v>1377</v>
      </c>
      <c r="CD14" s="29">
        <v>1377</v>
      </c>
      <c r="CE14" s="29">
        <v>1377</v>
      </c>
      <c r="CF14" s="29">
        <v>1377</v>
      </c>
      <c r="CG14" s="29">
        <v>1377</v>
      </c>
      <c r="CH14" s="29">
        <v>1377</v>
      </c>
      <c r="CI14" s="29">
        <v>1377</v>
      </c>
      <c r="CJ14" s="29">
        <v>1377</v>
      </c>
      <c r="CK14" s="29">
        <v>1377</v>
      </c>
      <c r="CL14" s="29">
        <v>1377</v>
      </c>
      <c r="CM14" s="29">
        <v>1377</v>
      </c>
      <c r="CN14" s="29">
        <v>1377</v>
      </c>
      <c r="CO14" s="29">
        <v>1310</v>
      </c>
      <c r="CP14" s="29">
        <v>1310</v>
      </c>
      <c r="CQ14" s="29">
        <v>1310</v>
      </c>
      <c r="CR14" s="29">
        <v>1310</v>
      </c>
      <c r="CS14" s="29">
        <v>1310</v>
      </c>
      <c r="CT14" s="29">
        <v>1310</v>
      </c>
      <c r="CU14" s="29">
        <v>1310</v>
      </c>
      <c r="CV14" s="29">
        <v>1310</v>
      </c>
      <c r="CW14" s="29">
        <v>1310</v>
      </c>
      <c r="CX14" s="29">
        <v>1310</v>
      </c>
      <c r="CY14" s="91">
        <v>1310</v>
      </c>
      <c r="CZ14" s="91">
        <v>1310</v>
      </c>
      <c r="DA14" s="91">
        <v>1310</v>
      </c>
      <c r="DB14" s="91">
        <v>1310</v>
      </c>
      <c r="DC14" s="91">
        <v>1310</v>
      </c>
      <c r="DD14" s="91">
        <v>1310</v>
      </c>
      <c r="DE14" s="91">
        <v>1310</v>
      </c>
      <c r="DF14" s="91">
        <v>1310</v>
      </c>
      <c r="DG14" s="91">
        <v>1310</v>
      </c>
      <c r="DH14" s="91">
        <v>1310</v>
      </c>
      <c r="DI14" s="91">
        <v>1268</v>
      </c>
      <c r="DJ14" s="91">
        <v>1268</v>
      </c>
      <c r="DK14" s="91">
        <v>1268</v>
      </c>
      <c r="DL14" s="91">
        <v>1268</v>
      </c>
      <c r="DM14" s="91">
        <v>1261</v>
      </c>
      <c r="DN14" s="91">
        <v>1261</v>
      </c>
      <c r="DO14" s="91">
        <v>1261</v>
      </c>
      <c r="DP14" s="91">
        <v>1261</v>
      </c>
      <c r="DQ14" s="91">
        <v>1261</v>
      </c>
      <c r="DR14" s="91">
        <v>1323</v>
      </c>
      <c r="DS14" s="91">
        <v>1323</v>
      </c>
      <c r="DT14" s="91">
        <v>1323</v>
      </c>
      <c r="DU14" s="91">
        <v>1323</v>
      </c>
      <c r="DV14" s="99">
        <v>1323</v>
      </c>
      <c r="DW14" s="99">
        <v>1323</v>
      </c>
      <c r="DX14" s="99">
        <v>1323</v>
      </c>
      <c r="DY14" s="99">
        <v>1306</v>
      </c>
      <c r="DZ14" s="99">
        <v>1306</v>
      </c>
      <c r="EA14" s="99">
        <v>1306</v>
      </c>
      <c r="EB14" s="99">
        <v>1306</v>
      </c>
      <c r="EC14" s="99">
        <v>1306</v>
      </c>
      <c r="ED14" s="99">
        <v>1291</v>
      </c>
      <c r="EE14" s="99">
        <v>1291</v>
      </c>
      <c r="EF14" s="99">
        <v>1291</v>
      </c>
      <c r="EG14" s="99">
        <v>1282</v>
      </c>
      <c r="EH14" s="99">
        <v>1282</v>
      </c>
      <c r="EI14" s="99">
        <v>1282</v>
      </c>
      <c r="EJ14" s="99">
        <v>1282</v>
      </c>
      <c r="EK14" s="99">
        <v>1282</v>
      </c>
      <c r="EL14" s="99">
        <v>1282</v>
      </c>
      <c r="EM14" s="99">
        <v>1282</v>
      </c>
      <c r="EN14" s="99">
        <v>1282</v>
      </c>
      <c r="EO14" s="99">
        <v>1282</v>
      </c>
      <c r="EP14" s="99">
        <v>1219</v>
      </c>
      <c r="EQ14" s="99">
        <v>1219</v>
      </c>
      <c r="ER14" s="99">
        <v>1219</v>
      </c>
      <c r="ES14" s="99">
        <v>1219</v>
      </c>
      <c r="ET14" s="99">
        <v>1251</v>
      </c>
      <c r="EU14" s="99">
        <v>1251</v>
      </c>
      <c r="EV14" s="99">
        <v>1251</v>
      </c>
      <c r="EW14" s="99">
        <v>1251</v>
      </c>
      <c r="EX14" s="99">
        <v>1251</v>
      </c>
      <c r="EY14" s="99">
        <v>1251</v>
      </c>
      <c r="EZ14" s="99">
        <v>1251</v>
      </c>
      <c r="FA14" s="99">
        <v>1251</v>
      </c>
      <c r="FB14" s="99">
        <v>1251</v>
      </c>
      <c r="FC14" s="99">
        <v>1260.3186476770372</v>
      </c>
      <c r="FD14" s="99">
        <v>1260.3186476770372</v>
      </c>
      <c r="FE14" s="99">
        <v>1260.3186476770372</v>
      </c>
      <c r="FF14" s="99">
        <v>1260.3186476770372</v>
      </c>
      <c r="FG14" s="99">
        <v>1260.9721935296795</v>
      </c>
      <c r="FH14" s="99">
        <v>1260.9721935296795</v>
      </c>
      <c r="FI14" s="99">
        <v>1260.9721935296795</v>
      </c>
      <c r="FJ14" s="99">
        <v>1260.9721935296795</v>
      </c>
      <c r="FK14" s="99">
        <v>1260.9721935296795</v>
      </c>
      <c r="FL14" s="99">
        <v>1214.0815770933086</v>
      </c>
      <c r="FM14" s="99">
        <v>1214.0815770933086</v>
      </c>
      <c r="FN14" s="99">
        <v>1214.0815770933086</v>
      </c>
      <c r="FO14" s="99">
        <v>1214.0815770933086</v>
      </c>
      <c r="FP14" s="99">
        <v>1224.4122855454673</v>
      </c>
      <c r="FQ14" s="99">
        <v>1224.4122855454673</v>
      </c>
      <c r="FR14" s="99">
        <v>1224.4122855454673</v>
      </c>
      <c r="FS14" s="99">
        <v>1224.4122855454673</v>
      </c>
      <c r="FT14" s="99">
        <v>1224.8943631432089</v>
      </c>
      <c r="FU14" s="99">
        <v>1224.8943631432089</v>
      </c>
      <c r="FV14" s="99">
        <v>1224.8943631432089</v>
      </c>
      <c r="FW14" s="99">
        <v>1224.8943631432089</v>
      </c>
      <c r="FX14" s="99">
        <v>1220.8389764175517</v>
      </c>
      <c r="FY14" s="99">
        <v>1220.8389764175517</v>
      </c>
      <c r="FZ14" s="99">
        <v>1220.8389764175517</v>
      </c>
      <c r="GA14" s="99">
        <v>1220.8389764175517</v>
      </c>
      <c r="GB14" s="99">
        <v>1201.5512157788862</v>
      </c>
      <c r="GC14" s="99">
        <v>1201.5512157788862</v>
      </c>
      <c r="GD14" s="99">
        <v>1201.5512157788862</v>
      </c>
      <c r="GE14" s="99">
        <v>1201.5512157788862</v>
      </c>
      <c r="GF14" s="99">
        <v>1215.0616168681211</v>
      </c>
      <c r="GG14" s="99">
        <v>1215.0616168681211</v>
      </c>
      <c r="GH14" s="99">
        <v>1215.0616168681211</v>
      </c>
      <c r="GI14" s="99">
        <v>1215.0616168681211</v>
      </c>
      <c r="GJ14" s="99">
        <v>1215.0616168681211</v>
      </c>
    </row>
  </sheetData>
  <phoneticPr fontId="18" type="noConversion"/>
  <pageMargins left="0.70866141732283472" right="0.70866141732283472" top="0.74803149606299213" bottom="0.74803149606299213" header="0.31496062992125984" footer="0.31496062992125984"/>
  <pageSetup orientation="landscape" horizontalDpi="200" verticalDpi="2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C2769C8AE284F9DAC65BEDB330D63" ma:contentTypeVersion="4" ma:contentTypeDescription="Create a new document." ma:contentTypeScope="" ma:versionID="095d6c2ea6848ba9e164ea17708efb51">
  <xsd:schema xmlns:xsd="http://www.w3.org/2001/XMLSchema" xmlns:xs="http://www.w3.org/2001/XMLSchema" xmlns:p="http://schemas.microsoft.com/office/2006/metadata/properties" xmlns:ns2="863d5f0e-535b-4062-8420-5718c99a0d13" xmlns:ns3="33b3170c-b016-4803-b803-d23387b71821" targetNamespace="http://schemas.microsoft.com/office/2006/metadata/properties" ma:root="true" ma:fieldsID="1edd4b4c3ed772ae2c095c327f158120" ns2:_="" ns3:_="">
    <xsd:import namespace="863d5f0e-535b-4062-8420-5718c99a0d13"/>
    <xsd:import namespace="33b3170c-b016-4803-b803-d23387b718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d5f0e-535b-4062-8420-5718c99a0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b3170c-b016-4803-b803-d23387b718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AC1225-46F0-49FF-9BA6-7DCE45CEBD9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6981143-7863-4893-A891-B5FB6C8DF5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3D79F7-FFDA-4565-A713-C7CA461A9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d5f0e-535b-4062-8420-5718c99a0d13"/>
    <ds:schemaRef ds:uri="33b3170c-b016-4803-b803-d23387b71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PET</vt:lpstr>
      <vt:lpstr>Ma trận PET</vt:lpstr>
      <vt:lpstr>HD thổi</vt:lpstr>
      <vt:lpstr>Ma trận HDPE thổi</vt:lpstr>
      <vt:lpstr>'HD thổi'!Print_Area</vt:lpstr>
      <vt:lpstr>PET!Print_Area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Thạch, Huỳnh Ngọc</dc:creator>
  <cp:keywords/>
  <dc:description/>
  <cp:lastModifiedBy>Lộc, Giang Văn</cp:lastModifiedBy>
  <cp:revision/>
  <cp:lastPrinted>2025-05-16T06:01:32Z</cp:lastPrinted>
  <dcterms:created xsi:type="dcterms:W3CDTF">2015-06-05T18:17:20Z</dcterms:created>
  <dcterms:modified xsi:type="dcterms:W3CDTF">2025-05-16T06:01:32Z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0x0101004AFC2769C8AE284F9DAC65BEDB330D63</vt:lpwstr>
  </property>
</Properties>
</file>