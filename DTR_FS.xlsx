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namedSheetViews/namedSheetView2.xml" ContentType="application/vnd.ms-excel.namedsheetview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ata\GĐ Tài chính\Báo cáo Consolidate\Dữ liệu Thọ Share\"/>
    </mc:Choice>
  </mc:AlternateContent>
  <xr:revisionPtr revIDLastSave="0" documentId="13_ncr:1_{A8373B64-618C-4823-8D53-D7FCD1DA56D0}" xr6:coauthVersionLast="47" xr6:coauthVersionMax="47" xr10:uidLastSave="{00000000-0000-0000-0000-000000000000}"/>
  <bookViews>
    <workbookView xWindow="-110" yWindow="-110" windowWidth="19420" windowHeight="10300" activeTab="2" xr2:uid="{57C0DD48-F6B0-427F-905B-D613AEA9B8FD}"/>
  </bookViews>
  <sheets>
    <sheet name="Performance" sheetId="1" r:id="rId1"/>
    <sheet name="Data" sheetId="2" r:id="rId2"/>
    <sheet name="FS matrix" sheetId="3" r:id="rId3"/>
    <sheet name="DTR" sheetId="4" r:id="rId4"/>
  </sheets>
  <definedNames>
    <definedName name="\0">#REF!</definedName>
    <definedName name="\a">#REF!</definedName>
    <definedName name="\b">#REF!</definedName>
    <definedName name="\c">#REF!</definedName>
    <definedName name="\C_">#REF!</definedName>
    <definedName name="\e">#REF!</definedName>
    <definedName name="\f">#REF!</definedName>
    <definedName name="\k">#REF!</definedName>
    <definedName name="\m">#REF!</definedName>
    <definedName name="\o">#REF!</definedName>
    <definedName name="\p">#REF!</definedName>
    <definedName name="\q">#N/A</definedName>
    <definedName name="\r">#REF!</definedName>
    <definedName name="\s">#REF!</definedName>
    <definedName name="\t">#REF!</definedName>
    <definedName name="\x">#REF!</definedName>
    <definedName name="\z">#REF!</definedName>
    <definedName name="_" hidden="1">#N/A</definedName>
    <definedName name="_?" hidden="1">{"revable",#N/A,FALSE,"REVABLE"}</definedName>
    <definedName name="_??" hidden="1">{"sales",#N/A,FALSE,"SALES"}</definedName>
    <definedName name="_???">#REF!</definedName>
    <definedName name="_????" hidden="1">{"hilight1",#N/A,FALSE,"HILIGHT1"}</definedName>
    <definedName name="_?????" hidden="1">{"PRINT_EST",#N/A,FALSE,"ESTMON"}</definedName>
    <definedName name="_??????" hidden="1">{"lev1bt",#N/A,FALSE,"1_LEVB-T"}</definedName>
    <definedName name="_????????">#REF!</definedName>
    <definedName name="_??????????" hidden="1">{"revsale",#N/A,FALSE,"REV-?????"}</definedName>
    <definedName name="_????????????">#REF!</definedName>
    <definedName name="_?????????????">#N/A</definedName>
    <definedName name="_????????????????????_0904" hidden="1">{"balance",#N/A,FALSE,"BALANCE"}</definedName>
    <definedName name="_?_??????">#REF!</definedName>
    <definedName name="_?1_HP_A">#REF!</definedName>
    <definedName name="_?1_HP_B">#REF!</definedName>
    <definedName name="_?2_HP_A">#REF!</definedName>
    <definedName name="_?2_HP_B">#REF!</definedName>
    <definedName name="_?3_HP_A">#REF!</definedName>
    <definedName name="_?3_HP_B">#REF!</definedName>
    <definedName name="_?5_HP">#REF!</definedName>
    <definedName name="_?7" hidden="1">{"PRINT_EST",#N/A,FALSE,"ESTMON"}</definedName>
    <definedName name="__" hidden="1">#N/A</definedName>
    <definedName name="__?" hidden="1">{"revable",#N/A,FALSE,"REVABLE"}</definedName>
    <definedName name="__??" hidden="1">{"sales",#N/A,FALSE,"SALES"}</definedName>
    <definedName name="__???">#N/A</definedName>
    <definedName name="__????" hidden="1">{"hilight1",#N/A,FALSE,"HILIGHT1"}</definedName>
    <definedName name="__?????" hidden="1">{"PRINT_EST",#N/A,FALSE,"ESTMON"}</definedName>
    <definedName name="__??????" hidden="1">{"lev1bt",#N/A,FALSE,"1_LEVB-T"}</definedName>
    <definedName name="__??????????" hidden="1">{"revsale",#N/A,FALSE,"REV-?????"}</definedName>
    <definedName name="__????????????">#REF!</definedName>
    <definedName name="__?????????????">#REF!</definedName>
    <definedName name="__????????????????????_0904" hidden="1">{"balance",#N/A,FALSE,"BALANCE"}</definedName>
    <definedName name="__?7" hidden="1">{"PRINT_EST",#N/A,FALSE,"ESTMON"}</definedName>
    <definedName name="___???" hidden="1">{"revable",#N/A,FALSE,"REVABLE"}</definedName>
    <definedName name="____???" hidden="1">{"revable",#N/A,FALSE,"REVABLE"}</definedName>
    <definedName name="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TAX2">#REF!</definedName>
    <definedName name="_____06">#REF!</definedName>
    <definedName name="_____a10" hidden="1">{"sales",#N/A,FALSE,"SALES"}</definedName>
    <definedName name="_____CWF1">#REF!</definedName>
    <definedName name="_____CWF2">#REF!</definedName>
    <definedName name="_____DAT1">#REF!</definedName>
    <definedName name="_____DAT10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UWF1">#REF!</definedName>
    <definedName name="_____UWF2">#REF!</definedName>
    <definedName name="____06">#REF!</definedName>
    <definedName name="____a1" hidden="1">{"cashflow",#N/A,FALSE,"CASHFLOW "}</definedName>
    <definedName name="____a10" hidden="1">{"sales",#N/A,FALSE,"SALES"}</definedName>
    <definedName name="____a2" hidden="1">{"hilight1",#N/A,FALSE,"HILIGHT1"}</definedName>
    <definedName name="____a3" hidden="1">{"hilight2",#N/A,FALSE,"HILIGHT2"}</definedName>
    <definedName name="____a4" hidden="1">{"hilight3",#N/A,FALSE,"HILIGHT3"}</definedName>
    <definedName name="____a5" hidden="1">{"income",#N/A,FALSE,"INCOME"}</definedName>
    <definedName name="____a6" hidden="1">{"index",#N/A,FALSE,"INDEX"}</definedName>
    <definedName name="____a7" hidden="1">{"PRINT_EST",#N/A,FALSE,"ESTMON"}</definedName>
    <definedName name="____a8" hidden="1">{"revsale",#N/A,FALSE,"REV-?????"}</definedName>
    <definedName name="____a9" hidden="1">{"revable",#N/A,FALSE,"REVABLE"}</definedName>
    <definedName name="____CWF1">#REF!</definedName>
    <definedName name="____CWF2">#REF!</definedName>
    <definedName name="____DAT1">#REF!</definedName>
    <definedName name="____DAT10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NSO2" localSheetId="3" hidden="1">{"'Sheet1'!$L$16"}</definedName>
    <definedName name="____NSO2" hidden="1">{"'Sheet1'!$L$16"}</definedName>
    <definedName name="____TAX2">#REF!</definedName>
    <definedName name="____UWF1">#REF!</definedName>
    <definedName name="____UWF2">#REF!</definedName>
    <definedName name="___06">#REF!</definedName>
    <definedName name="___a1" hidden="1">{"cashflow",#N/A,FALSE,"CASHFLOW "}</definedName>
    <definedName name="___a10" hidden="1">{"sales",#N/A,FALSE,"SALES"}</definedName>
    <definedName name="___a2" hidden="1">{"hilight1",#N/A,FALSE,"HILIGHT1"}</definedName>
    <definedName name="___a3" hidden="1">{"hilight2",#N/A,FALSE,"HILIGHT2"}</definedName>
    <definedName name="___a4" hidden="1">{"hilight3",#N/A,FALSE,"HILIGHT3"}</definedName>
    <definedName name="___a5" hidden="1">{"income",#N/A,FALSE,"INCOME"}</definedName>
    <definedName name="___a6" hidden="1">{"index",#N/A,FALSE,"INDEX"}</definedName>
    <definedName name="___a7" hidden="1">{"PRINT_EST",#N/A,FALSE,"ESTMON"}</definedName>
    <definedName name="___a8" hidden="1">{"revsale",#N/A,FALSE,"REV-?????"}</definedName>
    <definedName name="___a9" hidden="1">{"revable",#N/A,FALSE,"REVABLE"}</definedName>
    <definedName name="___CWF1">#REF!</definedName>
    <definedName name="___CWF2">#REF!</definedName>
    <definedName name="___DAT1">#REF!</definedName>
    <definedName name="___DAT10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h2" localSheetId="3" hidden="1">{"'Sheet1'!$L$16"}</definedName>
    <definedName name="___h2" hidden="1">{"'Sheet1'!$L$16"}</definedName>
    <definedName name="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NSO2" localSheetId="3" hidden="1">{"'Sheet1'!$L$16"}</definedName>
    <definedName name="___NSO2" hidden="1">{"'Sheet1'!$L$16"}</definedName>
    <definedName name="___TAX2">#REF!</definedName>
    <definedName name="___tm2" localSheetId="3" hidden="1">{#N/A,#N/A,FALSE,"Chi tiÆt"}</definedName>
    <definedName name="___tm2" hidden="1">{#N/A,#N/A,FALSE,"Chi tiÆt"}</definedName>
    <definedName name="___UWF1">#REF!</definedName>
    <definedName name="___UWF2">#REF!</definedName>
    <definedName name="__06">#REF!</definedName>
    <definedName name="__13_._Print_Titles">#REF!,#REF!</definedName>
    <definedName name="__16_???" hidden="1">{"revable",#N/A,FALSE,"REVABLE"}</definedName>
    <definedName name="__17_????" hidden="1">{"hilight1",#N/A,FALSE,"HILIGHT1"}</definedName>
    <definedName name="__18_?????" hidden="1">{"PRINT_EST",#N/A,FALSE,"ESTMON"}</definedName>
    <definedName name="__19_??????" hidden="1">{"lev1bt",#N/A,FALSE,"1_LEVB-T"}</definedName>
    <definedName name="__20_??????????" hidden="1">{"revsale",#N/A,FALSE,"REV-?????"}</definedName>
    <definedName name="__22_?????????????">#REF!</definedName>
    <definedName name="__23_????????????????????_0904" hidden="1">{"balance",#N/A,FALSE,"BALANCE"}</definedName>
    <definedName name="__32_?7" hidden="1">{"PRINT_EST",#N/A,FALSE,"ESTMON"}</definedName>
    <definedName name="__a1" hidden="1">{"cashflow",#N/A,FALSE,"CASHFLOW "}</definedName>
    <definedName name="__a10" hidden="1">{"sales",#N/A,FALSE,"SALES"}</definedName>
    <definedName name="__A123" hidden="1">#REF!</definedName>
    <definedName name="__a2" hidden="1">{"hilight1",#N/A,FALSE,"HILIGHT1"}</definedName>
    <definedName name="__a3" hidden="1">{"hilight2",#N/A,FALSE,"HILIGHT2"}</definedName>
    <definedName name="__a4" hidden="1">{"hilight3",#N/A,FALSE,"HILIGHT3"}</definedName>
    <definedName name="__a5" hidden="1">{"income",#N/A,FALSE,"INCOME"}</definedName>
    <definedName name="__a6" hidden="1">{"index",#N/A,FALSE,"INDEX"}</definedName>
    <definedName name="__a7" hidden="1">{"PRINT_EST",#N/A,FALSE,"ESTMON"}</definedName>
    <definedName name="__a8" hidden="1">{"revsale",#N/A,FALSE,"REV-ยุพดี"}</definedName>
    <definedName name="__a9" hidden="1">{"revable",#N/A,FALSE,"REVABLE"}</definedName>
    <definedName name="__cad2" localSheetId="3" hidden="1">{#N/A,#N/A,TRUE,"BT M200 da 10x20"}</definedName>
    <definedName name="__cad2" hidden="1">{#N/A,#N/A,TRUE,"BT M200 da 10x20"}</definedName>
    <definedName name="__CWF1">#REF!</definedName>
    <definedName name="__CWF2">#REF!</definedName>
    <definedName name="__DAT1">#REF!</definedName>
    <definedName name="__DAT10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5" localSheetId="3" hidden="1">{"'Sheet1'!$L$16"}</definedName>
    <definedName name="__f5" hidden="1">{"'Sheet1'!$L$16"}</definedName>
    <definedName name="__FDS_HYPERLINK_TOGGLE_STATE__" hidden="1">"ON"</definedName>
    <definedName name="__GROUP">#REF!</definedName>
    <definedName name="__GROUP_BAL">#REF!</definedName>
    <definedName name="__GROUP_INC">#REF!</definedName>
    <definedName name="__h2" localSheetId="3" hidden="1">{"'Sheet1'!$L$16"}</definedName>
    <definedName name="__h2" hidden="1">{"'Sheet1'!$L$16"}</definedName>
    <definedName name="__huy1" localSheetId="3" hidden="1">{"'Sheet1'!$L$16"}</definedName>
    <definedName name="__huy1" hidden="1">{"'Sheet1'!$L$16"}</definedName>
    <definedName name="__IntlFixup" hidden="1">TRUE</definedName>
    <definedName name="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NS03" localSheetId="3" hidden="1">{"'Sheet1'!$L$16"}</definedName>
    <definedName name="__NS03" hidden="1">{"'Sheet1'!$L$16"}</definedName>
    <definedName name="__NSO2" localSheetId="3" hidden="1">{"'Sheet1'!$L$16"}</definedName>
    <definedName name="__NSO2" hidden="1">{"'Sheet1'!$L$16"}</definedName>
    <definedName name="__T01" hidden="1">#REF!</definedName>
    <definedName name="__TAX2">#REF!</definedName>
    <definedName name="__tm2" localSheetId="3" hidden="1">{#N/A,#N/A,FALSE,"Chi tiÆt"}</definedName>
    <definedName name="__tm2" hidden="1">{#N/A,#N/A,FALSE,"Chi tiÆt"}</definedName>
    <definedName name="__UWF1">#REF!</definedName>
    <definedName name="__UWF2">#REF!</definedName>
    <definedName name="__xlfn.BAHTTEXT" hidden="1">#NAME?</definedName>
    <definedName name="_06">#REF!</definedName>
    <definedName name="_1_" hidden="1">#REF!</definedName>
    <definedName name="_1_CREDIT_MASTER">#REF!</definedName>
    <definedName name="_10_._Print_Titles">#REF!,#REF!</definedName>
    <definedName name="_10_.0Print_Titles">#REF!,#REF!</definedName>
    <definedName name="_10_0_0_F" hidden="1">#REF!</definedName>
    <definedName name="_100_????????????????????_0904" hidden="1">{"balance",#N/A,FALSE,"BALANCE"}</definedName>
    <definedName name="_101_?_??????">#REF!</definedName>
    <definedName name="_102">#REF!</definedName>
    <definedName name="_102_?1_HP_A">#REF!</definedName>
    <definedName name="_103_?1_HP_B">#REF!</definedName>
    <definedName name="_104_?2_HP_A">#REF!</definedName>
    <definedName name="_105_?2_HP_B">#REF!</definedName>
    <definedName name="_106_?3_HP_A">#REF!</definedName>
    <definedName name="_107_?3_HP_B">#REF!</definedName>
    <definedName name="_108_?5_HP">#REF!</definedName>
    <definedName name="_10F" hidden="1">#REF!</definedName>
    <definedName name="_11_?" hidden="1">{"revable",#N/A,FALSE,"REVABLE"}</definedName>
    <definedName name="_11_0_0_F" hidden="1">#REF!</definedName>
    <definedName name="_115_?7" hidden="1">{"PRINT_EST",#N/A,FALSE,"ESTMON"}</definedName>
    <definedName name="_119_?7" hidden="1">{"PRINT_EST",#N/A,FALSE,"ESTMON"}</definedName>
    <definedName name="_119F" hidden="1">#REF!</definedName>
    <definedName name="_12_??" hidden="1">{"sales",#N/A,FALSE,"SALES"}</definedName>
    <definedName name="_12_0_0_F" hidden="1">#REF!</definedName>
    <definedName name="_13_._Print_Titles">#REF!,#REF!</definedName>
    <definedName name="_13_???">#REF!</definedName>
    <definedName name="_132_0_0_F" hidden="1">#REF!</definedName>
    <definedName name="_133_0_0_F" hidden="1">#REF!</definedName>
    <definedName name="_135_06">#REF!</definedName>
    <definedName name="_139____0_0_F" hidden="1">#REF!</definedName>
    <definedName name="_14_?" hidden="1">{"revable",#N/A,FALSE,"REVABLE"}</definedName>
    <definedName name="_14_???">#REF!</definedName>
    <definedName name="_143___0_0_F" hidden="1">#REF!</definedName>
    <definedName name="_14F" hidden="1">#REF!</definedName>
    <definedName name="_15_??" hidden="1">{"sales",#N/A,FALSE,"SALES"}</definedName>
    <definedName name="_15_???">#REF!</definedName>
    <definedName name="_15_0_0_F" hidden="1">#REF!</definedName>
    <definedName name="_16_???" hidden="1">{"revable",#N/A,FALSE,"REVABLE"}</definedName>
    <definedName name="_17_????" hidden="1">{"hilight1",#N/A,FALSE,"HILIGHT1"}</definedName>
    <definedName name="_18_?????" hidden="1">{"PRINT_EST",#N/A,FALSE,"ESTMON"}</definedName>
    <definedName name="_19_??????" hidden="1">{"lev1bt",#N/A,FALSE,"1_LEVB-T"}</definedName>
    <definedName name="_2">#REF!</definedName>
    <definedName name="_2__.0Print_Titles">#REF!,#REF!</definedName>
    <definedName name="_2_0_0_F" hidden="1">#REF!</definedName>
    <definedName name="_2_06">#REF!</definedName>
    <definedName name="_20_???" hidden="1">{"revable",#N/A,FALSE,"REVABLE"}</definedName>
    <definedName name="_20_??????????" hidden="1">{"revsale",#N/A,FALSE,"REV-?????"}</definedName>
    <definedName name="_22_?????????????">#REF!</definedName>
    <definedName name="_23_????????????????????_0904" hidden="1">{"balance",#N/A,FALSE,"BALANCE"}</definedName>
    <definedName name="_26_????" hidden="1">{"hilight1",#N/A,FALSE,"HILIGHT1"}</definedName>
    <definedName name="_3__._Print_Titles">#REF!,#REF!</definedName>
    <definedName name="_31_.0Print_Titles">#REF!,#REF!</definedName>
    <definedName name="_32_.0Print_Titles">#REF!,#REF!</definedName>
    <definedName name="_32_?????" hidden="1">{"PRINT_EST",#N/A,FALSE,"ESTMON"}</definedName>
    <definedName name="_32_?7" hidden="1">{"PRINT_EST",#N/A,FALSE,"ESTMON"}</definedName>
    <definedName name="_35____._Print_Titles">#REF!,#REF!</definedName>
    <definedName name="_35F" hidden="1">#REF!</definedName>
    <definedName name="_36_._Print_Titles">#REF!,#REF!</definedName>
    <definedName name="_38_??????" hidden="1">{"lev1bt",#N/A,FALSE,"1_LEVB-T"}</definedName>
    <definedName name="_38_0_0_F" hidden="1">#REF!</definedName>
    <definedName name="_4_.">#REF!,#REF!</definedName>
    <definedName name="_4_.0Print_Titles">#REF!,#REF!</definedName>
    <definedName name="_4___.0Print_Titles">#REF!,#REF!</definedName>
    <definedName name="_40_0_0_F" hidden="1">#REF!</definedName>
    <definedName name="_41_____.0Print_Titles">#REF!,#REF!</definedName>
    <definedName name="_41_0_0_F" hidden="1">#REF!</definedName>
    <definedName name="_43_?" hidden="1">{"revable",#N/A,FALSE,"REVABLE"}</definedName>
    <definedName name="_44_??????????" hidden="1">{"revsale",#N/A,FALSE,"REV-?????"}</definedName>
    <definedName name="_44_______F" hidden="1">#REF!</definedName>
    <definedName name="_47___0_0_F" hidden="1">#REF!</definedName>
    <definedName name="_5">#REF!</definedName>
    <definedName name="_5_.">#REF!,#REF!</definedName>
    <definedName name="_5__0_0_F" hidden="1">#REF!</definedName>
    <definedName name="_50_??" hidden="1">{"sales",#N/A,FALSE,"SALES"}</definedName>
    <definedName name="_50F" hidden="1">#REF!</definedName>
    <definedName name="_53_0_0_F" hidden="1">#REF!</definedName>
    <definedName name="_57_???" hidden="1">{"revable",#N/A,FALSE,"REVABLE"}</definedName>
    <definedName name="_6_._Print_Titles">#REF!,#REF!</definedName>
    <definedName name="_6_?" hidden="1">{"revable",#N/A,FALSE,"REVABLE"}</definedName>
    <definedName name="_6_____F" hidden="1">#REF!</definedName>
    <definedName name="_60">#REF!</definedName>
    <definedName name="_64_????" hidden="1">{"hilight1",#N/A,FALSE,"HILIGHT1"}</definedName>
    <definedName name="_65_????????????????????_0904" hidden="1">{"balance",#N/A,FALSE,"BALANCE"}</definedName>
    <definedName name="_7_">#REF!</definedName>
    <definedName name="_7_.0Print_Titles">#REF!,#REF!</definedName>
    <definedName name="_7_0_0_F" hidden="1">#REF!</definedName>
    <definedName name="_71_?????" hidden="1">{"PRINT_EST",#N/A,FALSE,"ESTMON"}</definedName>
    <definedName name="_78_??????" hidden="1">{"lev1bt",#N/A,FALSE,"1_LEVB-T"}</definedName>
    <definedName name="_85_??????????" hidden="1">{"revsale",#N/A,FALSE,"REV-?????"}</definedName>
    <definedName name="_86_????????????">#REF!</definedName>
    <definedName name="_8F" hidden="1">#REF!</definedName>
    <definedName name="_9_._Print_Titles">#REF!,#REF!</definedName>
    <definedName name="_9_.0Print_Titles">#REF!,#REF!</definedName>
    <definedName name="_90_?????????????">#REF!</definedName>
    <definedName name="_92_?????????????">#REF!</definedName>
    <definedName name="_93_?????????????">#REF!</definedName>
    <definedName name="_a1" localSheetId="3" hidden="1">{"'Sheet1'!$L$16"}</definedName>
    <definedName name="_a1" hidden="1">{"'Sheet1'!$L$16"}</definedName>
    <definedName name="_a10" hidden="1">{"sales",#N/A,FALSE,"SALES"}</definedName>
    <definedName name="_A123" hidden="1">#REF!</definedName>
    <definedName name="_a2" localSheetId="3" hidden="1">{"'Sheet1'!$L$16"}</definedName>
    <definedName name="_a2" hidden="1">{"'Sheet1'!$L$16"}</definedName>
    <definedName name="_a3" hidden="1">{"hilight2",#N/A,FALSE,"HILIGHT2"}</definedName>
    <definedName name="_a4" hidden="1">{"hilight3",#N/A,FALSE,"HILIGHT3"}</definedName>
    <definedName name="_a5" hidden="1">{"income",#N/A,FALSE,"INCOME"}</definedName>
    <definedName name="_a6" hidden="1">{"index",#N/A,FALSE,"INDEX"}</definedName>
    <definedName name="_a7" hidden="1">{"PRINT_EST",#N/A,FALSE,"ESTMON"}</definedName>
    <definedName name="_a8" hidden="1">{"revsale",#N/A,FALSE,"REV-ยุพดี"}</definedName>
    <definedName name="_a9" hidden="1">{"revable",#N/A,FALSE,"REVABLE"}</definedName>
    <definedName name="_Asset">#REF!</definedName>
    <definedName name="_AUX16">#REF!</definedName>
    <definedName name="_BLC16">#REF!</definedName>
    <definedName name="_BLC26">#REF!</definedName>
    <definedName name="_Builtin155" hidden="1">#N/A</definedName>
    <definedName name="_cad2" localSheetId="3" hidden="1">{#N/A,#N/A,TRUE,"BT M200 da 10x20"}</definedName>
    <definedName name="_cad2" hidden="1">{#N/A,#N/A,TRUE,"BT M200 da 10x20"}</definedName>
    <definedName name="_CAS16">#REF!</definedName>
    <definedName name="_CAS26">#REF!</definedName>
    <definedName name="_CD2" localSheetId="3" hidden="1">{"'Sheet1'!$L$16"}</definedName>
    <definedName name="_CD2" hidden="1">{"'Sheet1'!$L$16"}</definedName>
    <definedName name="_CDC6">#REF!</definedName>
    <definedName name="_CE1">#N/A</definedName>
    <definedName name="_CHE26">#REF!</definedName>
    <definedName name="_CUL6">#REF!</definedName>
    <definedName name="_CWF1">#REF!</definedName>
    <definedName name="_CWF2">#REF!</definedName>
    <definedName name="_DAT1">#REF!</definedName>
    <definedName name="_DAT10">#REF!</definedName>
    <definedName name="_DAT11">#REF!</definedName>
    <definedName name="_DAT12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G16">#REF!</definedName>
    <definedName name="_DIG26">#REF!</definedName>
    <definedName name="_DMP26">#REF!</definedName>
    <definedName name="_DSP6">#REF!</definedName>
    <definedName name="_E">#REF!</definedName>
    <definedName name="_EFT1">#REF!</definedName>
    <definedName name="_EFT2">#REF!</definedName>
    <definedName name="_EFT3">#REF!</definedName>
    <definedName name="_EFT4">#REF!</definedName>
    <definedName name="_EFT5">#REF!</definedName>
    <definedName name="_EFT6">#REF!</definedName>
    <definedName name="_ELE6">#REF!</definedName>
    <definedName name="_ENV1">#REF!</definedName>
    <definedName name="_ENV2">#REF!</definedName>
    <definedName name="_ENV3">#REF!</definedName>
    <definedName name="_ENV4">#REF!</definedName>
    <definedName name="_ENV5">#REF!</definedName>
    <definedName name="_ENV6">#REF!</definedName>
    <definedName name="_EVA16">#REF!</definedName>
    <definedName name="_EVA26">#REF!</definedName>
    <definedName name="_f5" localSheetId="3" hidden="1">{"'Sheet1'!$L$16"}</definedName>
    <definedName name="_f5" hidden="1">{"'Sheet1'!$L$16"}</definedName>
    <definedName name="_Fill" localSheetId="3" hidden="1">#REF!</definedName>
    <definedName name="_Fill" hidden="1">#REF!</definedName>
    <definedName name="_xlnm._FilterDatabase" localSheetId="1" hidden="1">Data!$A$28:$AR$209</definedName>
    <definedName name="_xlnm._FilterDatabase" localSheetId="3" hidden="1">DTR!$A$5:$N$232</definedName>
    <definedName name="_xlnm._FilterDatabase" hidden="1">#REF!</definedName>
    <definedName name="_FS1610">#REF!</definedName>
    <definedName name="_Goi8" localSheetId="3" hidden="1">{"'Sheet1'!$L$16"}</definedName>
    <definedName name="_Goi8" hidden="1">{"'Sheet1'!$L$16"}</definedName>
    <definedName name="_h2" localSheetId="3" hidden="1">{"'Sheet1'!$L$16"}</definedName>
    <definedName name="_h2" hidden="1">{"'Sheet1'!$L$16"}</definedName>
    <definedName name="_huy1" localSheetId="3" hidden="1">{"'Sheet1'!$L$16"}</definedName>
    <definedName name="_huy1" hidden="1">{"'Sheet1'!$L$16"}</definedName>
    <definedName name="_ISO6">#REF!</definedName>
    <definedName name="_ITD6">#REF!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key3" hidden="1">#REF!</definedName>
    <definedName name="_key4" hidden="1">#REF!</definedName>
    <definedName name="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Mat">#REF!</definedName>
    <definedName name="_MD1">#REF!</definedName>
    <definedName name="_MD2">#REF!</definedName>
    <definedName name="_MD3">#REF!</definedName>
    <definedName name="_MD4">#REF!</definedName>
    <definedName name="_MD5">#REF!</definedName>
    <definedName name="_MD6">#REF!</definedName>
    <definedName name="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NS03" localSheetId="3" hidden="1">{"'Sheet1'!$L$16"}</definedName>
    <definedName name="_NS03" hidden="1">{"'Sheet1'!$L$16"}</definedName>
    <definedName name="_NSO2" localSheetId="3" hidden="1">{"'Sheet1'!$L$16"}</definedName>
    <definedName name="_NSO2" hidden="1">{"'Sheet1'!$L$16"}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D6">#REF!</definedName>
    <definedName name="_PG1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L3" localSheetId="3" hidden="1">{"'Sheet1'!$L$16"}</definedName>
    <definedName name="_PL3" hidden="1">{"'Sheet1'!$L$16"}</definedName>
    <definedName name="_PM6">#REF!</definedName>
    <definedName name="_PMD1">#REF!</definedName>
    <definedName name="_PR6">#REF!</definedName>
    <definedName name="_PRG1">#REF!</definedName>
    <definedName name="_PRG2">#REF!</definedName>
    <definedName name="_PRG3">#REF!</definedName>
    <definedName name="_PRG4">#REF!</definedName>
    <definedName name="_PRG5">#REF!</definedName>
    <definedName name="_PRG6">#REF!</definedName>
    <definedName name="_PRM6">#REF!</definedName>
    <definedName name="_QA1">#REF!</definedName>
    <definedName name="_QA2">#REF!</definedName>
    <definedName name="_QA3">#REF!</definedName>
    <definedName name="_QA4">#REF!</definedName>
    <definedName name="_QA5">#REF!</definedName>
    <definedName name="_QA6">#REF!</definedName>
    <definedName name="_REB16">#REF!</definedName>
    <definedName name="_REB26">#REF!</definedName>
    <definedName name="_REC02">#REF!</definedName>
    <definedName name="_REC2">#REF!</definedName>
    <definedName name="_Regression_Out" hidden="1">#REF!</definedName>
    <definedName name="_Regression_X" hidden="1">#REF!</definedName>
    <definedName name="_Regression_Y" hidden="1">#REF!</definedName>
    <definedName name="_RMD2">#REF!</definedName>
    <definedName name="_RMD3">#REF!</definedName>
    <definedName name="_RMD4">#REF!</definedName>
    <definedName name="_RMD5">#REF!</definedName>
    <definedName name="_RMD6">#REF!</definedName>
    <definedName name="_RMP1">#REF!</definedName>
    <definedName name="_RMP2">#REF!</definedName>
    <definedName name="_RMP3">#REF!</definedName>
    <definedName name="_RMP4">#REF!</definedName>
    <definedName name="_RMP5">#REF!</definedName>
    <definedName name="_RMP6">#REF!</definedName>
    <definedName name="_RMZ1">#REF!</definedName>
    <definedName name="_RMZ2">#REF!</definedName>
    <definedName name="_RMZ3">#REF!</definedName>
    <definedName name="_RMZ4">#REF!</definedName>
    <definedName name="_RMZ5">#REF!</definedName>
    <definedName name="_RMZ6">#REF!</definedName>
    <definedName name="_SEC6">#REF!</definedName>
    <definedName name="_SH26">#REF!</definedName>
    <definedName name="_SHD6">#REF!</definedName>
    <definedName name="_SHI16">#REF!</definedName>
    <definedName name="_SOD6">#REF!</definedName>
    <definedName name="_Sort" localSheetId="3" hidden="1">#REF!</definedName>
    <definedName name="_Sort" hidden="1">#REF!</definedName>
    <definedName name="_T01" hidden="1">#REF!</definedName>
    <definedName name="_Table1_In1" localSheetId="3" hidden="1">#REF!</definedName>
    <definedName name="_Table1_In1" hidden="1">#REF!</definedName>
    <definedName name="_Table1_Out" localSheetId="3" hidden="1">#REF!</definedName>
    <definedName name="_Table1_Out" hidden="1">#REF!</definedName>
    <definedName name="_Table2_In1" localSheetId="3" hidden="1">#REF!</definedName>
    <definedName name="_Table2_In1" hidden="1">#REF!</definedName>
    <definedName name="_Table2_In2" localSheetId="3" hidden="1">#REF!</definedName>
    <definedName name="_Table2_In2" hidden="1">#REF!</definedName>
    <definedName name="_Table2_Out" localSheetId="3" hidden="1">#REF!</definedName>
    <definedName name="_Table2_Out" hidden="1">#REF!</definedName>
    <definedName name="_TAX2">#REF!</definedName>
    <definedName name="_tm2" localSheetId="3" hidden="1">{#N/A,#N/A,FALSE,"Chi tiÆt"}</definedName>
    <definedName name="_tm2" hidden="1">{#N/A,#N/A,FALSE,"Chi tiÆt"}</definedName>
    <definedName name="_tr" hidden="1">#REF!</definedName>
    <definedName name="_UWF1">#REF!</definedName>
    <definedName name="_UWF2">#REF!</definedName>
    <definedName name="_WT1">#REF!</definedName>
    <definedName name="_WT2">#REF!</definedName>
    <definedName name="_WT3">#REF!</definedName>
    <definedName name="_WT4">#REF!</definedName>
    <definedName name="_WT5">#REF!</definedName>
    <definedName name="_WT6">#REF!</definedName>
    <definedName name="_ww2" localSheetId="3" hidden="1">{#N/A,#N/A,FALSE,"Admin";#N/A,#N/A,FALSE,"Other"}</definedName>
    <definedName name="_ww2" hidden="1">{#N/A,#N/A,FALSE,"Admin";#N/A,#N/A,FALSE,"Other"}</definedName>
    <definedName name="_xlchart.v1.0" hidden="1">Performance!$AB$40:$AB$51</definedName>
    <definedName name="_xlchart.v1.1" hidden="1">Performance!$AD$40:$AD$51</definedName>
    <definedName name="_YD6">#REF!</definedName>
    <definedName name="_ขายวัสดุ">#REF!</definedName>
    <definedName name="_ขายสินทรัพย์">#REF!</definedName>
    <definedName name="A">#REF!</definedName>
    <definedName name="â" localSheetId="3" hidden="1">{"'Sheet1'!$L$16"}</definedName>
    <definedName name="â" hidden="1">{"'Sheet1'!$L$16"}</definedName>
    <definedName name="AA" localSheetId="3" hidden="1">{"F3 detail",#N/A,FALSE,"F1";"F3 Presentation",#N/A,FALSE,"F3 "}</definedName>
    <definedName name="AA" hidden="1">{"F3 detail",#N/A,FALSE,"F1";"F3 Presentation",#N/A,FALSE,"F3 "}</definedName>
    <definedName name="AA_Class">#REF!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a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localSheetId="3" hidden="1">{"Profit",#N/A,FALSE,"448k";"Capital",#N/A,FALSE,"448k"}</definedName>
    <definedName name="aaaaa" hidden="1">{"Profit",#N/A,FALSE,"448k";"Capital",#N/A,FALSE,"448k"}</definedName>
    <definedName name="AAAAAAAAAAAAA" hidden="1">#REF!</definedName>
    <definedName name="AADMIN">#REF!</definedName>
    <definedName name="ab">#REF!</definedName>
    <definedName name="AccessOpt" hidden="1">"Yes"</definedName>
    <definedName name="ACELL">#REF!</definedName>
    <definedName name="ACHEMICAL">#REF!</definedName>
    <definedName name="ACHENG">#REF!</definedName>
    <definedName name="Actual">#REF!</definedName>
    <definedName name="ADESP">#REF!</definedName>
    <definedName name="ADMIN6">#REF!</definedName>
    <definedName name="ADMINAA">#REF!</definedName>
    <definedName name="AENV">#REF!</definedName>
    <definedName name="AGREEN">#REF!</definedName>
    <definedName name="AISO">#REF!</definedName>
    <definedName name="All_CCtr">#REF!</definedName>
    <definedName name="All_CCtr_Code">#REF!</definedName>
    <definedName name="All_CCtr_List">#REF!</definedName>
    <definedName name="AMD">#REF!</definedName>
    <definedName name="AmtPlnDP">#REF!</definedName>
    <definedName name="anscount" hidden="1">2</definedName>
    <definedName name="APC">#REF!</definedName>
    <definedName name="APM">#REF!</definedName>
    <definedName name="APR">#REF!</definedName>
    <definedName name="AQA">#REF!</definedName>
    <definedName name="ar">#REF!</definedName>
    <definedName name="ARMP">#REF!</definedName>
    <definedName name="ARMZ">#REF!</definedName>
    <definedName name="AS2DocOpenMode" hidden="1">"AS2DocumentEdit"</definedName>
    <definedName name="asdf" hidden="1">#REF!</definedName>
    <definedName name="ASHEETING">#REF!</definedName>
    <definedName name="ASODA">#REF!</definedName>
    <definedName name="ass" hidden="1">{"revable",#N/A,FALSE,"REVABLE"}</definedName>
    <definedName name="AssetClass">#REF!</definedName>
    <definedName name="AUC_Add">#REF!</definedName>
    <definedName name="AUC_deduct">#REF!</definedName>
    <definedName name="AUG">#REF!</definedName>
    <definedName name="_xlnm.Auto_Open">#REF!</definedName>
    <definedName name="AUX1AA">#REF!</definedName>
    <definedName name="AYARD">#REF!</definedName>
    <definedName name="B">#REF!</definedName>
    <definedName name="b_expen">#REF!</definedName>
    <definedName name="BACKYTD">#REF!</definedName>
    <definedName name="BalAct_CYrApr">#REF!</definedName>
    <definedName name="BalAct_CYrAug">#REF!</definedName>
    <definedName name="BalAct_CYrDec">#REF!</definedName>
    <definedName name="BalAct_CYrFeb">#REF!</definedName>
    <definedName name="BalAct_CYrJan">#REF!</definedName>
    <definedName name="BalAct_CYrJul">#REF!</definedName>
    <definedName name="BalAct_CYrJun">#REF!</definedName>
    <definedName name="BalAct_CYrMar">#REF!</definedName>
    <definedName name="BalAct_CYrMay">#REF!</definedName>
    <definedName name="BalAct_CYrNov">#REF!</definedName>
    <definedName name="BalAct_CYrOct">#REF!</definedName>
    <definedName name="BalAct_CYrSep">#REF!</definedName>
    <definedName name="BalAct_LYrDec">#REF!</definedName>
    <definedName name="BalAct_LYrNov">#REF!</definedName>
    <definedName name="BalAct_LYrOct">#REF!</definedName>
    <definedName name="BalCmm_CYrApr">#REF!</definedName>
    <definedName name="BalCmm_CYrAug">#REF!</definedName>
    <definedName name="BalCmm_CYrDec">#REF!</definedName>
    <definedName name="BalCmm_CYrFeb">#REF!</definedName>
    <definedName name="BalCmm_CYrJan">#REF!</definedName>
    <definedName name="BalCmm_CYrJul">#REF!</definedName>
    <definedName name="BalCmm_CYrJun">#REF!</definedName>
    <definedName name="BalCmm_CYrMar">#REF!</definedName>
    <definedName name="BalCmm_CYrMay">#REF!</definedName>
    <definedName name="BalCmm_CYrNov">#REF!</definedName>
    <definedName name="BalCmm_CYrOct">#REF!</definedName>
    <definedName name="BalCmm_CYrSep">#REF!</definedName>
    <definedName name="BalCmm_LYrDec">#REF!</definedName>
    <definedName name="BalCmm_LYrNov">#REF!</definedName>
    <definedName name="BalCmm_LYrOct">#REF!</definedName>
    <definedName name="bang11">#REF!</definedName>
    <definedName name="banking1" localSheetId="3" hidden="1">{"'Sheet1'!$L$16"}</definedName>
    <definedName name="banking1" hidden="1">{"'Sheet1'!$L$16"}</definedName>
    <definedName name="bb">#REF!</definedName>
    <definedName name="BBB" localSheetId="3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CExport">"$#REF!.$A$1:$V$633"</definedName>
    <definedName name="BhtUSD">#REF!</definedName>
    <definedName name="bi" localSheetId="3" hidden="1">{"HK PR",#N/A,FALSE,"HK";"SUMMARY",#N/A,FALSE,"PAYROLL";"SUMMARY",#N/A,FALSE,"PAYROLL";"HK PR",#N/A,FALSE,"HK"}</definedName>
    <definedName name="bi" hidden="1">{"HK PR",#N/A,FALSE,"HK";"SUMMARY",#N/A,FALSE,"PAYROLL";"SUMMARY",#N/A,FALSE,"PAYROLL";"HK PR",#N/A,FALSE,"HK"}</definedName>
    <definedName name="bieudo" localSheetId="3" hidden="1">{"'Sheet1'!$L$16"}</definedName>
    <definedName name="bieudo" hidden="1">{"'Sheet1'!$L$16"}</definedName>
    <definedName name="bieudo1" localSheetId="3" hidden="1">{"'Sheet1'!$L$16"}</definedName>
    <definedName name="bieudo1" hidden="1">{"'Sheet1'!$L$16"}</definedName>
    <definedName name="binh1" localSheetId="3" hidden="1">{"'Sheet1'!$L$16"}</definedName>
    <definedName name="binh1" hidden="1">{"'Sheet1'!$L$16"}</definedName>
    <definedName name="BLE1AA">#REF!</definedName>
    <definedName name="BLE2AA">#REF!</definedName>
    <definedName name="BO005BDC81E98343A093AADEF94EB59FAF" hidden="1">#REF!</definedName>
    <definedName name="BO00D8F3CF7CD2475BB9B1385DA290D0F5" hidden="1">#REF!</definedName>
    <definedName name="BO01D0E16CBD0C473996504B44510A2B25" localSheetId="3" hidden="1">#REF!</definedName>
    <definedName name="BO01D0E16CBD0C473996504B44510A2B25" hidden="1">#REF!</definedName>
    <definedName name="BO02DC581C85D44A4389CC4C44151E1DB0" hidden="1">#REF!</definedName>
    <definedName name="BO048C4D3FE93F49AA8198D2880A899608" localSheetId="3" hidden="1">#REF!</definedName>
    <definedName name="BO048C4D3FE93F49AA8198D2880A899608" hidden="1">#REF!</definedName>
    <definedName name="BO05995E7AB6704082ADAB4A0B58C5CEEF" hidden="1">#REF!</definedName>
    <definedName name="BO069278A1412F47DE85C43EB68CAF717F" hidden="1">#REF!</definedName>
    <definedName name="BO0789E5305658448CB66B462D6CE4F4BA" hidden="1">#REF!</definedName>
    <definedName name="BO08108BE3901A43B4BB727284F0DE1350" hidden="1">#REF!</definedName>
    <definedName name="BO096CE2A90C4A41B5B366879C41DFCDAA" hidden="1">#REF!</definedName>
    <definedName name="BO099F887F9C5F4068BA6B8F1084394257" localSheetId="3" hidden="1">#REF!</definedName>
    <definedName name="BO099F887F9C5F4068BA6B8F1084394257" hidden="1">#REF!</definedName>
    <definedName name="BO09B01FBE487D42169A0B01DC62FE7DDC" localSheetId="3" hidden="1">#REF!</definedName>
    <definedName name="BO09B01FBE487D42169A0B01DC62FE7DDC" hidden="1">#REF!</definedName>
    <definedName name="BO09C3E790E8D9462BAE7754E47C08E4E9" localSheetId="3" hidden="1">#REF!</definedName>
    <definedName name="BO09C3E790E8D9462BAE7754E47C08E4E9" hidden="1">#REF!</definedName>
    <definedName name="BO0C6EB03FCF5943CFBD625011881D07ED" hidden="1">#REF!</definedName>
    <definedName name="BO0DBD8E3011484F65BB422F97E0DD5E0F" hidden="1">#REF!</definedName>
    <definedName name="BO0E1E2F80FC8D4C0DB3564683D16EEFC1" localSheetId="3" hidden="1">#REF!</definedName>
    <definedName name="BO0E1E2F80FC8D4C0DB3564683D16EEFC1" hidden="1">#REF!</definedName>
    <definedName name="BO0F40139F378C4754978E7B648F5EF76C" hidden="1">#REF!</definedName>
    <definedName name="BO100DAFF26E56419D9A8CFC5AE2565CB4" localSheetId="3" hidden="1">#REF!</definedName>
    <definedName name="BO100DAFF26E56419D9A8CFC5AE2565CB4" hidden="1">#REF!</definedName>
    <definedName name="BO1011EFDB7313475AB25630C77E2CD7FB" hidden="1">#REF!</definedName>
    <definedName name="BO10494918D7FB4CDC81288D2F49DA6940" hidden="1">#REF!</definedName>
    <definedName name="BO107CF8CCC73047BAA48A0F3417125FB3" hidden="1">#REF!</definedName>
    <definedName name="BO113AADB3EE164AB287BD823572C08C85" hidden="1">#REF!</definedName>
    <definedName name="BO113DBA7EFF8042ED8AB3ECF88DF64EDF" hidden="1">#REF!</definedName>
    <definedName name="BO113E1DCC2AFC49139CF1B61A6B72D8D0" hidden="1">#REF!</definedName>
    <definedName name="BO115150121C404B92B8292215FD47A676" hidden="1">#REF!</definedName>
    <definedName name="BO142B466C524B45059DA17FB555951F6C" hidden="1">#REF!</definedName>
    <definedName name="BO195858CCF4FE4B8BB30D59A947338D91" hidden="1">#REF!</definedName>
    <definedName name="BO1B5944B18CAE4F4EA64888896EA98CE3" hidden="1">#REF!</definedName>
    <definedName name="BO1B88135960FA42718BA4F85F97379171" hidden="1">#REF!</definedName>
    <definedName name="BO1BB6877A87E34858B9490BC9C17E86A9" hidden="1">#REF!</definedName>
    <definedName name="BO1BD3FB86C9A0455BB37599C94BB564CE" localSheetId="3" hidden="1">#REF!</definedName>
    <definedName name="BO1BD3FB86C9A0455BB37599C94BB564CE" hidden="1">#REF!</definedName>
    <definedName name="BO1FCF13EA22DA4A34A96BB43C0482914C" hidden="1">#REF!</definedName>
    <definedName name="BO225AD737FABD40FEB1BD400F18DAFD79" hidden="1">#REF!</definedName>
    <definedName name="BO23C787C3A9AF4D63ADA1DC818379D5A3" hidden="1">#REF!</definedName>
    <definedName name="BO24A8918ECB1C4B1EAAC4F1A0663C1145" hidden="1">#REF!</definedName>
    <definedName name="BO24BA25EDB1A44A8E8DBB72F1D4D29577" hidden="1">#REF!</definedName>
    <definedName name="BO260C75EB0FE34E039A2639B39BA79B3D" hidden="1">#REF!</definedName>
    <definedName name="BO2672883EFAC5493481EFB4B31BDD63E6" localSheetId="3" hidden="1">#REF!</definedName>
    <definedName name="BO2672883EFAC5493481EFB4B31BDD63E6" hidden="1">#REF!</definedName>
    <definedName name="BO276A19D8C2B04DC29C9152E8680B3A3A" localSheetId="3" hidden="1">#REF!</definedName>
    <definedName name="BO276A19D8C2B04DC29C9152E8680B3A3A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EA5B2BE6EF4D02A0D124032B2C74A3" hidden="1">#REF!</definedName>
    <definedName name="BO2BA86B254A414DDB8F10CD94B5839C2C" hidden="1">#REF!</definedName>
    <definedName name="BO2C8C60696A424B1EACBBFDDE272D0A50" hidden="1">#REF!</definedName>
    <definedName name="BO2C9B63E184774916BE8749B98B8AE796" localSheetId="3" hidden="1">#REF!</definedName>
    <definedName name="BO2C9B63E184774916BE8749B98B8AE796" hidden="1">#REF!</definedName>
    <definedName name="BO2DDB0BD841F340A8880296264AC1AD09" hidden="1">#REF!</definedName>
    <definedName name="BO2EC6D26CDEB347D78EAE0F11E5C52867" hidden="1">#REF!</definedName>
    <definedName name="BO2FB9B240E0EA492F83769264D9892D15" hidden="1">#REF!</definedName>
    <definedName name="BO3289F49EFC034457B8AB42EB6E44BB67" hidden="1">#REF!</definedName>
    <definedName name="BO33D5D2E635444CE09A98AAF2ADA7433D" hidden="1">#REF!</definedName>
    <definedName name="BO35264F09D5384B21A7EBC93B5F190AEB" hidden="1">#REF!</definedName>
    <definedName name="BO3728122716B1408E8B7F370B9BBFDADD" localSheetId="3" hidden="1">#REF!</definedName>
    <definedName name="BO3728122716B1408E8B7F370B9BBFDADD" hidden="1">#REF!</definedName>
    <definedName name="BO375D335D9054414FAE3AF4C765CD8FED" hidden="1">#REF!</definedName>
    <definedName name="BO37987DC4E7E64BA0A01C92162B351132" hidden="1">#REF!</definedName>
    <definedName name="BO37A8522087C146439B47E95567DA2B00" localSheetId="3" hidden="1">#REF!</definedName>
    <definedName name="BO37A8522087C146439B47E95567DA2B00" hidden="1">#REF!</definedName>
    <definedName name="BO38ACFF41E1054C7884A26494448FE045" hidden="1">#REF!</definedName>
    <definedName name="BO3909BFA3143A4B58B6B8CEB581E9528C" localSheetId="3" hidden="1">#REF!</definedName>
    <definedName name="BO3909BFA3143A4B58B6B8CEB581E9528C" hidden="1">#REF!</definedName>
    <definedName name="BO3B6144B377CE45D39F7399D88759882F" hidden="1">#REF!</definedName>
    <definedName name="BO3C82848169FA4D11A8672F7A9FE72C51" hidden="1">#REF!</definedName>
    <definedName name="BO3CCC9B2BC38C4D488D8B1493A73B781B" hidden="1">#REF!</definedName>
    <definedName name="BO3D4564B23F3B4C9895009145888A42D0" hidden="1">#REF!</definedName>
    <definedName name="BO3E0B648F64D242B6B9E0CABA98A66A26" hidden="1">#REF!</definedName>
    <definedName name="BO4057EC314CEC47798B0627DC202DE337" localSheetId="3" hidden="1">#REF!</definedName>
    <definedName name="BO4057EC314CEC47798B0627DC202DE337" hidden="1">#REF!</definedName>
    <definedName name="BO4325C4CE5A6A40EDB239CE3FEA93D616" localSheetId="3" hidden="1">#REF!</definedName>
    <definedName name="BO4325C4CE5A6A40EDB239CE3FEA93D616" hidden="1">#REF!</definedName>
    <definedName name="BO434317F8DA9741658242E88E107EFF2F" hidden="1">#REF!</definedName>
    <definedName name="BO448A7EE0DCBB4BDF9A056D395A4E5D46" hidden="1">#REF!</definedName>
    <definedName name="BO4654F35AE4A94B88914D5564F493E506" hidden="1">#REF!</definedName>
    <definedName name="BO48158C876A054053A8BF1B1066B5769F" hidden="1">#REF!</definedName>
    <definedName name="BO481EEF2746434CA3955011739E810936" hidden="1">#REF!</definedName>
    <definedName name="BO492FF71352564A0B906D969350494321" hidden="1">#REF!</definedName>
    <definedName name="BO4989BD6C49D9472F9577212E5508BA42" hidden="1">#REF!</definedName>
    <definedName name="BO4AAF3ED43D1F4BA0A617F05B5FA98022" localSheetId="3" hidden="1">#REF!</definedName>
    <definedName name="BO4AAF3ED43D1F4BA0A617F05B5FA98022" hidden="1">#REF!</definedName>
    <definedName name="BO4B85FA2CA3EB4164B387DE75A013145C" hidden="1">#REF!</definedName>
    <definedName name="BO4CBA748CA1904ABEAC4916C51F3632CD" hidden="1">#REF!</definedName>
    <definedName name="BO4D312C5249F84A419336714CC3247A5D" hidden="1">#REF!</definedName>
    <definedName name="BO4DD3E06B30D0453591537146FB44B655" hidden="1">#REF!</definedName>
    <definedName name="BO5060B8055B22479FB2B032CFBC156B9A" hidden="1">#REF!</definedName>
    <definedName name="BO5124F12717414DAC96ABA4A8269ECB84" hidden="1">#REF!</definedName>
    <definedName name="BO51F608F52D8F4C42869432170B976399" hidden="1">#REF!</definedName>
    <definedName name="BO535460E4AB39414AB1F623062720C048" hidden="1">#REF!</definedName>
    <definedName name="BO53C1AD7020A246D19C492B988C284605" hidden="1">#REF!</definedName>
    <definedName name="BO54DB55663F334C03B8ADD851DEA5C745" hidden="1">#REF!</definedName>
    <definedName name="BO5625EF84032E4129A4F1C26C707CB6A3" hidden="1">#REF!</definedName>
    <definedName name="BO563FCE97DF97426EB7D91F44C76515D6" hidden="1">#REF!</definedName>
    <definedName name="BO58B0760CD8F245CEA3CCE06D7CF1481E" hidden="1">#REF!</definedName>
    <definedName name="BO58C4AC72229D4A05A6B102FC5BA2C9B0" hidden="1">#REF!</definedName>
    <definedName name="BO590F0D7F6F8D46C29B2EED8932DD87BD" hidden="1">#REF!</definedName>
    <definedName name="BO59D768DCFA394415A9FA22D804593B67" hidden="1">#REF!</definedName>
    <definedName name="BO5C902D60CF47456FA169B1087280482B" localSheetId="3" hidden="1">#REF!</definedName>
    <definedName name="BO5C902D60CF47456FA169B1087280482B" hidden="1">#REF!</definedName>
    <definedName name="BO5C93DD374DC2423B967014357CA2D571" hidden="1">#REF!</definedName>
    <definedName name="BO5D05E09EECF5457DA33727FC8D15191F" hidden="1">#REF!</definedName>
    <definedName name="BO5D45774D31BA47B8AE1E174DE6B88DC5" localSheetId="3" hidden="1">#REF!</definedName>
    <definedName name="BO5D45774D31BA47B8AE1E174DE6B88DC5" hidden="1">#REF!</definedName>
    <definedName name="BO5D9DFDE61A224480A6661F17796BBA5F" hidden="1">#REF!</definedName>
    <definedName name="BO5E15162F9C004ABAA5599FEAD7B0B618" localSheetId="3" hidden="1">#REF!</definedName>
    <definedName name="BO5E15162F9C004ABAA5599FEAD7B0B618" hidden="1">#REF!</definedName>
    <definedName name="BO5EB0027199674D819EBA32CE0557D9DA" hidden="1">#REF!</definedName>
    <definedName name="BO627607EF9B44464A878AD3A742DE38FE" hidden="1">#REF!</definedName>
    <definedName name="BO63ED429219D8463DABEF3E421AFA5D2E" hidden="1">#REF!</definedName>
    <definedName name="BO6469F20DC373405B993702B81D5913A5" hidden="1">#REF!</definedName>
    <definedName name="BO650C13AE83C343EBACC8BB1D5111021D" hidden="1">#REF!</definedName>
    <definedName name="BO65A8281E60C44053BCA2C62905C7294C" localSheetId="3" hidden="1">#REF!</definedName>
    <definedName name="BO65A8281E60C44053BCA2C62905C7294C" hidden="1">#REF!</definedName>
    <definedName name="BO67533EA6D04240D48B3A9395CDECDB8D" localSheetId="3" hidden="1">#REF!</definedName>
    <definedName name="BO67533EA6D04240D48B3A9395CDECDB8D" hidden="1">#REF!</definedName>
    <definedName name="BO68983402BEF841C6A14B8790F2BB14F3" hidden="1">#REF!</definedName>
    <definedName name="BO6918ADAA8D3B4DDAB0A5DA0166130D2D" hidden="1">#REF!</definedName>
    <definedName name="BO693FC971D6ED4A55A86888919A9DB0CF" hidden="1">#REF!</definedName>
    <definedName name="BO69BDD9E0EAF141A0AE757EC95ED2148A" hidden="1">#REF!</definedName>
    <definedName name="BO69FC4A14559D4FC7A82396779DCCF87F" hidden="1">#REF!</definedName>
    <definedName name="BO6AD23BDF244147F8AF7DA4DDD31EE46C" hidden="1">#REF!</definedName>
    <definedName name="BO6B2CF716FD1A4BC3928BCB0EC72E3B0D" hidden="1">#REF!</definedName>
    <definedName name="BO6B9770CD5DD64888A71AF866E1317654" hidden="1">#REF!</definedName>
    <definedName name="BO6CAC87F339424FCBA71C90521188D9F3" hidden="1">#REF!</definedName>
    <definedName name="BO6D170E9FBADE4FC38A06EEAB1545E1EA" hidden="1">#REF!</definedName>
    <definedName name="BO6F3A5D1BC4944DBFBC8CE1F552DF33DA" hidden="1">#REF!</definedName>
    <definedName name="BO6F5267EB45D64C5F926243284B69BCA6" hidden="1">#REF!</definedName>
    <definedName name="BO6FC857D8CD534A2BBA93AA618401DDF0" hidden="1">#REF!</definedName>
    <definedName name="BO7061C029DB7E4C3CB5AA4DDE2460392C" hidden="1">#REF!</definedName>
    <definedName name="BO71A1222E47594EE5868DB4CC220999C8" hidden="1">#REF!</definedName>
    <definedName name="BO720382D08E8E4C7CA64CA1B2D5DF0FB5" hidden="1">#REF!</definedName>
    <definedName name="BO7307D59A4B214EAE86562607C85423E4" hidden="1">#REF!</definedName>
    <definedName name="BO733E15FC2902430994339FF32CD32B87" localSheetId="3" hidden="1">#REF!</definedName>
    <definedName name="BO733E15FC2902430994339FF32CD32B87" hidden="1">#REF!</definedName>
    <definedName name="BO760478BC3AC541D48B8B653180858CA8" hidden="1">#REF!</definedName>
    <definedName name="BO7700E20E746149E291ACCD677C9D0766" hidden="1">#REF!</definedName>
    <definedName name="BO7764E7B14F1F4E928E4376007F22ABAF" hidden="1">#REF!</definedName>
    <definedName name="BO78B26688225A431E92C72662FBF21F94" hidden="1">#REF!</definedName>
    <definedName name="BO7A14BDFD5B2841A8BDFFCCE11C18BE90" hidden="1">#REF!</definedName>
    <definedName name="BO7A77E7DD81CB4CC68FEEABE2F3743C94" hidden="1">#REF!</definedName>
    <definedName name="BO7C7DABCD75A7494CA0243D508880E90D" hidden="1">#REF!</definedName>
    <definedName name="BO7CB713453E414A90B10F3550A0F253EC" hidden="1">#REF!</definedName>
    <definedName name="BO7D74CA4352B94CADA69060B858A229A7" hidden="1">#REF!</definedName>
    <definedName name="BO8140CB8CB4934D52A45138EFCF43482F" hidden="1">#REF!</definedName>
    <definedName name="BO81EB4DF8F6194B6D99943B71E32D1F8E" hidden="1">#REF!</definedName>
    <definedName name="BO849DAABD57DE400C976DE83FBD70852D" hidden="1">#REF!</definedName>
    <definedName name="BO86D1438E23664D2B9FCD09512F3A93F8" hidden="1">#REF!</definedName>
    <definedName name="BO8703EEC12706416FB6ED04E179922738" hidden="1">#REF!</definedName>
    <definedName name="BO879CBD59307A43159AF2A4CED84C7472" hidden="1">#REF!</definedName>
    <definedName name="BO8B0E799EB2E747E08CC00A5CB7983720" hidden="1">#REF!</definedName>
    <definedName name="BO8C2C15F699E14EDC94E42D4D15367A0D" hidden="1">#REF!</definedName>
    <definedName name="BO8CC5B39B3E324C918A32819C9A07A727" hidden="1">#REF!</definedName>
    <definedName name="BO8D4A19F885E642D98251152558F518D0" hidden="1">#REF!</definedName>
    <definedName name="BO8E9F198DEB16434A9D0753A88CDF5215" hidden="1">#REF!</definedName>
    <definedName name="BO8F69E36AA533438FB255DE448D2F78C1" localSheetId="3" hidden="1">#REF!</definedName>
    <definedName name="BO8F69E36AA533438FB255DE448D2F78C1" hidden="1">#REF!</definedName>
    <definedName name="BO8FB6EDE92460437DB46269B760A9FF87" hidden="1">#REF!</definedName>
    <definedName name="BO904BCFDAB4C44A96A1BAD24E7B5C4CFB" localSheetId="3" hidden="1">#REF!</definedName>
    <definedName name="BO904BCFDAB4C44A96A1BAD24E7B5C4CFB" hidden="1">#REF!</definedName>
    <definedName name="BO91B1C71622B84DC09FCF82790CCC6703" localSheetId="3" hidden="1">#REF!</definedName>
    <definedName name="BO91B1C71622B84DC09FCF82790CCC6703" hidden="1">#REF!</definedName>
    <definedName name="BO9268349F1CCF49DEB0561574CF57C558" localSheetId="3" hidden="1">#REF!</definedName>
    <definedName name="BO9268349F1CCF49DEB0561574CF57C558" hidden="1">#REF!</definedName>
    <definedName name="BO930FD1E9B9EB478BBAD94346BAE68338" hidden="1">#REF!</definedName>
    <definedName name="BO93E74F3970FD46C489BC2A92AE9C7404" hidden="1">#REF!</definedName>
    <definedName name="BO94ACFBA87DCA4A049A7A7B2CF5A0099B" hidden="1">#REF!</definedName>
    <definedName name="BO985BAF614F20419688C24910DA7EDD6A" hidden="1">#REF!</definedName>
    <definedName name="BO99F730DA3CE3438682559D78DBEB1137" hidden="1">#REF!</definedName>
    <definedName name="BO9A2A567F0CC545CC9043BF9A4C5F101F" hidden="1">#REF!</definedName>
    <definedName name="BO9B3B4252A5054C8AA9BB04D57CE43C60" hidden="1">#REF!</definedName>
    <definedName name="BO9B3B6F3CBDDD4CB0B98E9DAC2E6DFBB4" hidden="1">#REF!</definedName>
    <definedName name="BO9B9AF7C9673C48CD8E8EAE4AC4E281CA" hidden="1">#REF!</definedName>
    <definedName name="BO9BCF658BBEEB42C89189AA47132AC73A" hidden="1">#REF!</definedName>
    <definedName name="BO9DBFA7A314A14358A1BDB1236CC63047" hidden="1">#REF!</definedName>
    <definedName name="BO9F8DFCDB096345B68BCF462FC11B9706" hidden="1">#REF!</definedName>
    <definedName name="BO9FDB53228D304274A31FEEB51F85A06C" hidden="1">#REF!</definedName>
    <definedName name="BOA12F3EEDA20B4FD9B8C4F5748C7E15C6" localSheetId="3" hidden="1">#REF!</definedName>
    <definedName name="BOA12F3EEDA20B4FD9B8C4F5748C7E15C6" hidden="1">#REF!</definedName>
    <definedName name="BOA1352C67E57F45F18A3132F095B04042" hidden="1">#REF!</definedName>
    <definedName name="BOA3C4CE09FB0449E9B7E9CA671975ACCF" hidden="1">#REF!</definedName>
    <definedName name="BOA57BAACC082A40159BEF18E4E3DB2ACD" hidden="1">#REF!</definedName>
    <definedName name="BOA71E9E0A6B654860B10DCBA2CFBBCEE1" hidden="1">#REF!</definedName>
    <definedName name="BOA879FFE6ECBE4F8ABCD12D7BCBA427F4" hidden="1">#REF!</definedName>
    <definedName name="BOA8B6E7E580EC46D5A167ECCE259105F9" hidden="1">#REF!</definedName>
    <definedName name="BOA8D1E2E64BB645C680E24AB89AEDFCE3" hidden="1">#REF!</definedName>
    <definedName name="BOAAB11C84339D4299BFC1AA6D04698F2A" localSheetId="3" hidden="1">#REF!</definedName>
    <definedName name="BOAAB11C84339D4299BFC1AA6D04698F2A" hidden="1">#REF!</definedName>
    <definedName name="BOAC589E242BED4D2782DB5354106024F8" hidden="1">#REF!</definedName>
    <definedName name="BOAC99D26F3C3749C0B07E837B64380195" hidden="1">#REF!</definedName>
    <definedName name="BOAD616A0644E843968166BAAF341567A8" hidden="1">#REF!</definedName>
    <definedName name="BOAE62644DF78A4A79879DE7E6C0CC7E80" hidden="1">#REF!</definedName>
    <definedName name="BOAECC4E2710DA49978423665B98EFB884" hidden="1">#REF!</definedName>
    <definedName name="BOAF8E97A633AE4FB7BA6538C295FFDAB0" hidden="1">#REF!</definedName>
    <definedName name="BOB2121768159748418F929263EFA12598" hidden="1">#REF!</definedName>
    <definedName name="BOB49D75FC4F944B8BA43274A1AC9F7C6C" hidden="1">#REF!</definedName>
    <definedName name="BOB596E9268DED478AB9C99865ADF4A688" hidden="1">#REF!</definedName>
    <definedName name="BOB61F1D7767114687812A69756748869E" localSheetId="3" hidden="1">#REF!</definedName>
    <definedName name="BOB61F1D7767114687812A69756748869E" hidden="1">#REF!</definedName>
    <definedName name="BOB6870DB4AF074130A54E1277C2C63A76" hidden="1">#REF!</definedName>
    <definedName name="BOBAE47B872A5345298D6CFC1292FF0229" hidden="1">#REF!</definedName>
    <definedName name="BOBB2CD22C468846029AA7E79B86A82CEF" hidden="1">#REF!</definedName>
    <definedName name="BOBC7C71DE64364CBC9244EA234BE295B4" hidden="1">#REF!</definedName>
    <definedName name="BOBD17ACF591A04BA2A7F3EA73A1F5EFD0" localSheetId="3" hidden="1">#REF!</definedName>
    <definedName name="BOBD17ACF591A04BA2A7F3EA73A1F5EFD0" hidden="1">#REF!</definedName>
    <definedName name="BOBE9E067C7210472B81073CBDC8230580" localSheetId="3" hidden="1">#REF!</definedName>
    <definedName name="BOBE9E067C7210472B81073CBDC8230580" hidden="1">#REF!</definedName>
    <definedName name="BOBEA7B5BBB87048D49DF67B697A931813" hidden="1">#REF!</definedName>
    <definedName name="BOC156AACB264943ED8DE9584787C81FE3" hidden="1">#REF!</definedName>
    <definedName name="BOC2A368458B8C466A8EAB350D814B6553" hidden="1">#REF!</definedName>
    <definedName name="BOC4A6BB89CD2B435293F191D82C0F58C9" hidden="1">#REF!</definedName>
    <definedName name="BOC54204551F1D42B9BD6174DBDD9D741F" hidden="1">#REF!</definedName>
    <definedName name="BOC5B50A3B093A4281A75D4209F6A75893" hidden="1">#REF!</definedName>
    <definedName name="BOC5FB79A4E3E540F8AE42FE861B1410EC" hidden="1">#REF!</definedName>
    <definedName name="BOC96D8191DBAE4D6183DEA37F46B8436D" hidden="1">#REF!</definedName>
    <definedName name="BOCCF334A9BDB64C2697AE9352A937B6E5" localSheetId="3" hidden="1">#REF!</definedName>
    <definedName name="BOCCF334A9BDB64C2697AE9352A937B6E5" hidden="1">#REF!</definedName>
    <definedName name="BOCDED67C8566647ED9C954DE6FCEBFBFF" hidden="1">#REF!</definedName>
    <definedName name="BOD0382903153C4298A06C72FB4C2F82BC" localSheetId="3" hidden="1">#REF!</definedName>
    <definedName name="BOD0382903153C4298A06C72FB4C2F82BC" hidden="1">#REF!</definedName>
    <definedName name="BOD14638B491F746CA808EE455711E2DFA" hidden="1">#REF!</definedName>
    <definedName name="BOD3AC1AE62968479AA5A373821C711DA4" hidden="1">#REF!</definedName>
    <definedName name="BOD4D26CA1C52F43BDBE4F64A3B560F6ED" localSheetId="3" hidden="1">#REF!</definedName>
    <definedName name="BOD4D26CA1C52F43BDBE4F64A3B560F6ED" hidden="1">#REF!</definedName>
    <definedName name="BOD5FBDB6792ED490294B58B91280CB793" hidden="1">#REF!</definedName>
    <definedName name="BOD7619C4CBE234EA9ACB18176025ACAF4" hidden="1">#REF!</definedName>
    <definedName name="BOD789790B96514DC59042719B5805E3D6" localSheetId="3" hidden="1">#REF!</definedName>
    <definedName name="BOD789790B96514DC59042719B5805E3D6" hidden="1">#REF!</definedName>
    <definedName name="BODCACB442AFF147DA8534A6D75C35399F" hidden="1">#REF!</definedName>
    <definedName name="BODEC00C0FE625435EAB16BBF3CF5423FA" hidden="1">#REF!</definedName>
    <definedName name="BODFAFE6B7B5DD494DA46E02F336EB4451" hidden="1">#REF!</definedName>
    <definedName name="BOE026125E78E5458981F88E04737F5FDD" hidden="1">#REF!</definedName>
    <definedName name="BOE51DFD1C9562469194F32690B232F3D3" hidden="1">#REF!</definedName>
    <definedName name="BOE798598350E04FBFAF7A6A194F1568BE" hidden="1">#REF!</definedName>
    <definedName name="BOE84FCC406C184191AFE42CCF04997FEE" localSheetId="3" hidden="1">#REF!</definedName>
    <definedName name="BOE84FCC406C184191AFE42CCF04997FEE" hidden="1">#REF!</definedName>
    <definedName name="BOE8C9C3ED265B48589109A08A9505A1D1" localSheetId="3" hidden="1">#REF!</definedName>
    <definedName name="BOE8C9C3ED265B48589109A08A9505A1D1" hidden="1">#REF!</definedName>
    <definedName name="BOEAFDF322262145CB86BF48DC1DB6B5A2" localSheetId="3" hidden="1">#REF!</definedName>
    <definedName name="BOEAFDF322262145CB86BF48DC1DB6B5A2" hidden="1">#REF!</definedName>
    <definedName name="BOEB217BD039004C72ABA77A436DA8A424" hidden="1">#REF!</definedName>
    <definedName name="BOEF3940E6E677491BAE23FF17364EF17E" hidden="1">#REF!</definedName>
    <definedName name="BOEFFA9E855A8D4352994E68849AF48905" hidden="1">#REF!</definedName>
    <definedName name="BOF02333F78A05422AA5A1F733A8834CD6" hidden="1">#REF!</definedName>
    <definedName name="BOF0CBC11E611C46CAA732EB2558A413AB" hidden="1">#REF!</definedName>
    <definedName name="BOF0DBB60FBA7B487483C6404113C66C6E" hidden="1">#REF!</definedName>
    <definedName name="BOF15E20C21B1C4680B293AE7291F7DD0F" hidden="1">#REF!</definedName>
    <definedName name="BOF28675E81D624568B83E5006EE4DAB41" hidden="1">#REF!</definedName>
    <definedName name="BOF2EBB03F32CB43D982795A06A0CE7F14" localSheetId="3" hidden="1">#REF!</definedName>
    <definedName name="BOF2EBB03F32CB43D982795A06A0CE7F14" hidden="1">#REF!</definedName>
    <definedName name="BOF37F793DBD86486CB8F124C4A5B4790A" hidden="1">#REF!</definedName>
    <definedName name="BOF3F8EC36F0584B21B040E4FAE9B8810F" localSheetId="3" hidden="1">#REF!</definedName>
    <definedName name="BOF3F8EC36F0584B21B040E4FAE9B8810F" hidden="1">#REF!</definedName>
    <definedName name="BOF4F541C0A6C94B61A4CE373A6C565169" hidden="1">#REF!</definedName>
    <definedName name="BOF5497173AE06489E9550275FB325A5AD" hidden="1">#REF!</definedName>
    <definedName name="BOF6AE8BD0902148AA869657E40D971E11" hidden="1">#REF!</definedName>
    <definedName name="BOF6C9B9EED16443ED8CB7FF99A5DBCC26" localSheetId="3" hidden="1">#REF!</definedName>
    <definedName name="BOF6C9B9EED16443ED8CB7FF99A5DBCC26" hidden="1">#REF!</definedName>
    <definedName name="BOF770BE81EB0647A29E9CE4D634384356" hidden="1">#REF!</definedName>
    <definedName name="BOF7C0B15686234EACBE0FB09FC35AFFF4" hidden="1">#REF!</definedName>
    <definedName name="BOF9A745490A1F4A0695067659AAAB07E4" hidden="1">#REF!</definedName>
    <definedName name="BOFA2F87762DFD484D94075FC95CB64240" hidden="1">#REF!</definedName>
    <definedName name="BOFB8FF5299BAC4A3980A0C9D97B2C2A8F" hidden="1">#REF!</definedName>
    <definedName name="BOFC3CE9B777E942BF8427BC366D3B0A70" localSheetId="3" hidden="1">#REF!</definedName>
    <definedName name="BOFC3CE9B777E942BF8427BC366D3B0A70" hidden="1">#REF!</definedName>
    <definedName name="BOFC9287FB937E45768ACB07545CEEA2D9" hidden="1">#REF!</definedName>
    <definedName name="BOFCBD10D75B584C3B8A3E8226942B145A" hidden="1">#REF!</definedName>
    <definedName name="BOFEBB355536364ED8B2C1BF3DA875F9C0" hidden="1">#REF!</definedName>
    <definedName name="BT">#REF!</definedName>
    <definedName name="Bust">#REF!</definedName>
    <definedName name="C_">#REF!</definedName>
    <definedName name="caccccc" localSheetId="3" hidden="1">{"'Sheet1'!$L$16"}</definedName>
    <definedName name="caccccc" hidden="1">{"'Sheet1'!$L$16"}</definedName>
    <definedName name="CAG">#REF!</definedName>
    <definedName name="CAP1B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R_230_01_01__Return_Goods_By_Machine">#REF!</definedName>
    <definedName name="CAR_230_01_02__Return_Goods_By_Section_Name">#REF!</definedName>
    <definedName name="CAR_240_01_01_Return_Goods_F70">#REF!</definedName>
    <definedName name="CAR_240_02_01_Return_Goods_F84">#REF!</definedName>
    <definedName name="CAR_240_03_01_Return_Goods_F85">#REF!</definedName>
    <definedName name="CAR_240_04_01_Return_Goods_F100">#REF!</definedName>
    <definedName name="CAR_240_05_01_Return_Goods_F108">#REF!</definedName>
    <definedName name="CAR_240_06_01_Return_Goods_F116">#REF!</definedName>
    <definedName name="CAR_240_07_01_Return_Goods_F109">#REF!</definedName>
    <definedName name="CAR_240_08_01_Return_Goods_F115">#REF!</definedName>
    <definedName name="CAR_240_09_01_Return_Goods_F140">#REF!</definedName>
    <definedName name="CAR_240_10_01_Return_Goods_F113">#REF!</definedName>
    <definedName name="CAR_240_11_01_Return_Goods_D_C">#REF!</definedName>
    <definedName name="CAUS1AA">#REF!</definedName>
    <definedName name="CAUS2AA">#REF!</definedName>
    <definedName name="cc">#REF!</definedName>
    <definedName name="ccc" hidden="1">{"PRINT_EST",#N/A,FALSE,"ESTMON"}</definedName>
    <definedName name="CCÑCangdung10.2" localSheetId="3" hidden="1">{"'Sheet1'!$L$16"}</definedName>
    <definedName name="CCÑCangdung10.2" hidden="1">{"'Sheet1'!$L$16"}</definedName>
    <definedName name="CDCAA">#REF!</definedName>
    <definedName name="CEData">#REF!</definedName>
    <definedName name="CEData_Cls">#REF!</definedName>
    <definedName name="Changes">#REF!</definedName>
    <definedName name="Chart3" localSheetId="3" hidden="1">{"'Sheet1'!$L$16"}</definedName>
    <definedName name="Chart3" hidden="1">{"'Sheet1'!$L$16"}</definedName>
    <definedName name="CHDI6">#REF!</definedName>
    <definedName name="CHEAA">#REF!</definedName>
    <definedName name="check_sold_to">#REF!</definedName>
    <definedName name="CHIP16">#REF!</definedName>
    <definedName name="CHIP26">#REF!</definedName>
    <definedName name="Chiphi" localSheetId="3" hidden="1">{"'Sheet1'!$L$16"}</definedName>
    <definedName name="Chiphi" hidden="1">{"'Sheet1'!$L$16"}</definedName>
    <definedName name="CHLAA">#REF!</definedName>
    <definedName name="CHLDAA">#REF!</definedName>
    <definedName name="CHLOR6">#REF!</definedName>
    <definedName name="CHOP1AA">#REF!</definedName>
    <definedName name="CHOP2AA">#REF!</definedName>
    <definedName name="CIQWBGuid" hidden="1">"31f98984-787e-48fc-adc8-ee1c3151ce60"</definedName>
    <definedName name="class0xx_1xx">#REF!</definedName>
    <definedName name="class0xx_2xx">#REF!</definedName>
    <definedName name="class0xx_3xx">#REF!</definedName>
    <definedName name="class1xx_1xx">#REF!</definedName>
    <definedName name="class1xx_2xx">#REF!</definedName>
    <definedName name="class1xx_3xx">#REF!</definedName>
    <definedName name="class2xx_1xx">#REF!</definedName>
    <definedName name="class2xx_2xx">#REF!</definedName>
    <definedName name="class2xx_3xx">#REF!</definedName>
    <definedName name="class2xx_AdjDP">#REF!</definedName>
    <definedName name="class3xx_1xx">#REF!</definedName>
    <definedName name="class3xx_2xx">#REF!</definedName>
    <definedName name="class3xx_3xx">#REF!</definedName>
    <definedName name="class4xx_1xx">#REF!</definedName>
    <definedName name="class4xx_2xx">#REF!</definedName>
    <definedName name="class4xx_3xx">#REF!</definedName>
    <definedName name="class6xx_1xx">#REF!</definedName>
    <definedName name="class6xx_2xx">#REF!</definedName>
    <definedName name="class6xx_3xx">#REF!</definedName>
    <definedName name="class6xx_AUC">#REF!</definedName>
    <definedName name="classAUC_1xx">#REF!</definedName>
    <definedName name="classAUC_2xx">#REF!</definedName>
    <definedName name="classAUC_3xx">#REF!</definedName>
    <definedName name="classAUC_adj">#REF!</definedName>
    <definedName name="classAUC_toIntengible">#REF!</definedName>
    <definedName name="classDown_1xx">#REF!</definedName>
    <definedName name="classDown_2xx">#REF!</definedName>
    <definedName name="classDown_3xx">#REF!</definedName>
    <definedName name="ClsBalCrVND">#REF!</definedName>
    <definedName name="ClsBalDrVND">#REF!</definedName>
    <definedName name="COA_SelectAll">#REF!</definedName>
    <definedName name="Code" hidden="1">#REF!</definedName>
    <definedName name="Code_CCtr_Ele_ExAA">#REF!</definedName>
    <definedName name="Code_CCtr_Ele_ExIO">#REF!</definedName>
    <definedName name="Code_CCtr_Ele_License">#REF!</definedName>
    <definedName name="Code_CCtr_Ele_NewCE">#REF!</definedName>
    <definedName name="Com">#REF!</definedName>
    <definedName name="CONTB">#REF!</definedName>
    <definedName name="CONTBT">#REF!</definedName>
    <definedName name="Continue">#REF!</definedName>
    <definedName name="COPY_YTD">#N/A</definedName>
    <definedName name="COTO6">#REF!</definedName>
    <definedName name="CP" localSheetId="3" hidden="1">{"'Sheet1'!$L$16"}</definedName>
    <definedName name="CP" hidden="1">{"'Sheet1'!$L$16"}</definedName>
    <definedName name="cq">#REF!</definedName>
    <definedName name="_xlnm.Criteria">#REF!</definedName>
    <definedName name="CT" localSheetId="3" hidden="1">{#N/A,#N/A,TRUE,"BT M200 da 10x20"}</definedName>
    <definedName name="CT" hidden="1">{#N/A,#N/A,TRUE,"BT M200 da 10x20"}</definedName>
    <definedName name="Ctl_Account">#REF!</definedName>
    <definedName name="CTOWER6">#REF!</definedName>
    <definedName name="CUR">#REF!</definedName>
    <definedName name="CUR_SUM">#REF!</definedName>
    <definedName name="CURA">#REF!</definedName>
    <definedName name="CURI">#REF!</definedName>
    <definedName name="Curr_M">#REF!</definedName>
    <definedName name="Current">#REF!</definedName>
    <definedName name="CurrM">#REF!</definedName>
    <definedName name="CurrM_day">#REF!</definedName>
    <definedName name="CurrY">#REF!</definedName>
    <definedName name="CustList">#REF!</definedName>
    <definedName name="CustomerId">#REF!</definedName>
    <definedName name="CustomerName">#REF!</definedName>
    <definedName name="CWF">#REF!</definedName>
    <definedName name="d" hidden="1">#REF!</definedName>
    <definedName name="da" localSheetId="3" hidden="1">{"'Sheet1'!$L$16"}</definedName>
    <definedName name="da" hidden="1">{"'Sheet1'!$L$16"}</definedName>
    <definedName name="data">#REF!</definedName>
    <definedName name="data_for_credit_limit">#REF!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bo_CustomerSalesData">#REF!</definedName>
    <definedName name="dd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d" localSheetId="3" hidden="1">{"'Sheet1'!$L$16"}</definedName>
    <definedName name="ddd" hidden="1">{"'Sheet1'!$L$16"}</definedName>
    <definedName name="DEBARK26">#REF!</definedName>
    <definedName name="DEBARKAA">#REF!</definedName>
    <definedName name="DEC">#REF!</definedName>
    <definedName name="DenDK" localSheetId="3" hidden="1">{"'Sheet1'!$L$16"}</definedName>
    <definedName name="DenDK" hidden="1">{"'Sheet1'!$L$16"}</definedName>
    <definedName name="Depr._2004">#REF!</definedName>
    <definedName name="Depr._2005">#REF!</definedName>
    <definedName name="Depr._2006">#REF!</definedName>
    <definedName name="Depr._2007">#REF!</definedName>
    <definedName name="Depr._2008">#REF!</definedName>
    <definedName name="Depr._2009">#REF!</definedName>
    <definedName name="DEPSAA">#REF!</definedName>
    <definedName name="deryhrfm" localSheetId="3" hidden="1">{"'Sheet1'!$L$16"}</definedName>
    <definedName name="deryhrfm" hidden="1">{"'Sheet1'!$L$16"}</definedName>
    <definedName name="df" hidden="1">#REF!</definedName>
    <definedName name="dfdsfsdfds" localSheetId="3" hidden="1">{"HK PR",#N/A,FALSE,"HK";"SUMMARY",#N/A,FALSE,"PAYROLL";"SUMMARY",#N/A,FALSE,"PAYROLL";"HK PR",#N/A,FALSE,"HK"}</definedName>
    <definedName name="dfdsfsdfds" hidden="1">{"HK PR",#N/A,FALSE,"HK";"SUMMARY",#N/A,FALSE,"PAYROLL";"SUMMARY",#N/A,FALSE,"PAYROLL";"HK PR",#N/A,FALSE,"HK"}</definedName>
    <definedName name="dfsd" localSheetId="3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sdf" localSheetId="3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localSheetId="3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fsg">#REF!</definedName>
    <definedName name="DGFDGJEROYTMHTRH" localSheetId="3" hidden="1">{#N/A,#N/A,TRUE,"BT M200 da 10x20"}</definedName>
    <definedName name="DGFDGJEROYTMHTRH" hidden="1">{#N/A,#N/A,TRUE,"BT M200 da 10x20"}</definedName>
    <definedName name="DiabanQL">#REF!</definedName>
    <definedName name="DIG1AA">#REF!</definedName>
    <definedName name="DIG2AA">#REF!</definedName>
    <definedName name="Discount" hidden="1">#REF!</definedName>
    <definedName name="display_area_2" hidden="1">#REF!</definedName>
    <definedName name="djt" localSheetId="3" hidden="1">{"'Sheet1'!$L$16"}</definedName>
    <definedName name="djt" hidden="1">{"'Sheet1'!$L$16"}</definedName>
    <definedName name="DM2AA">#REF!</definedName>
    <definedName name="DMD">#REF!</definedName>
    <definedName name="DMKH">#REF!</definedName>
    <definedName name="DN" hidden="1">#REF!</definedName>
    <definedName name="Documents_array">#REF!</definedName>
    <definedName name="down_180">#REF!</definedName>
    <definedName name="down_181">#REF!</definedName>
    <definedName name="DP_CE2005">#REF!</definedName>
    <definedName name="DP_CE2006">#REF!</definedName>
    <definedName name="DP_CE2007">#REF!</definedName>
    <definedName name="DP_CE2008">#REF!</definedName>
    <definedName name="DP_CE2009">#REF!</definedName>
    <definedName name="DP_ExAA_Year">#REF!</definedName>
    <definedName name="DP_ExCE_Year">#REF!</definedName>
    <definedName name="DP_License_Year">#REF!</definedName>
    <definedName name="DP_NewCE_Year">#REF!</definedName>
    <definedName name="DRAWAA">#REF!</definedName>
    <definedName name="DRAWING6">#REF!</definedName>
    <definedName name="ds\" hidden="1">#REF!</definedName>
    <definedName name="dsad" localSheetId="3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ds" localSheetId="3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fdgf">#REF!</definedName>
    <definedName name="dsovd" localSheetId="3" hidden="1">{"'Sheet1'!$L$16"}</definedName>
    <definedName name="dsovd" hidden="1">{"'Sheet1'!$L$16"}</definedName>
    <definedName name="DUST16">#REF!</definedName>
    <definedName name="DUSTAA">#REF!</definedName>
    <definedName name="DWPRICE" localSheetId="3" hidden="1">#REF!</definedName>
    <definedName name="DWPRICE" hidden="1">#REF!</definedName>
    <definedName name="E">#REF!</definedName>
    <definedName name="eee" hidden="1">{"revsale",#N/A,FALSE,"REV-ยุพดี"}</definedName>
    <definedName name="EFFTAA">#REF!</definedName>
    <definedName name="ELECAA">#REF!</definedName>
    <definedName name="ENVAA">#REF!</definedName>
    <definedName name="Escalation">#REF!</definedName>
    <definedName name="Escalation2001">#REF!</definedName>
    <definedName name="ESTATE6">#REF!</definedName>
    <definedName name="ESTATEAA">#REF!</definedName>
    <definedName name="EVAP2AA">#REF!</definedName>
    <definedName name="EVAPAA">#REF!</definedName>
    <definedName name="EVOLUTION_DES_ROI" localSheetId="3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XP????PI_SKIC">#REF!</definedName>
    <definedName name="EXPเกินPI_SKIC">#REF!</definedName>
    <definedName name="f" hidden="1">{"index",#N/A,FALSE,"INDEX"}</definedName>
    <definedName name="FCode" hidden="1">#REF!</definedName>
    <definedName name="fdfdf" localSheetId="3" hidden="1">{"HK PR",#N/A,FALSE,"HK";"SUMMARY",#N/A,FALSE,"PAYROLL";"SUMMARY",#N/A,FALSE,"PAYROLL";"HK PR",#N/A,FALSE,"HK"}</definedName>
    <definedName name="fdfdf" hidden="1">{"HK PR",#N/A,FALSE,"HK";"SUMMARY",#N/A,FALSE,"PAYROLL";"SUMMARY",#N/A,FALSE,"PAYROLL";"HK PR",#N/A,FALSE,"HK"}</definedName>
    <definedName name="fdsf">#REF!</definedName>
    <definedName name="FEB">#REF!</definedName>
    <definedName name="FEED1AA">#REF!</definedName>
    <definedName name="FEED2AA">#REF!</definedName>
    <definedName name="ff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fff" localSheetId="3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G">#REF!</definedName>
    <definedName name="fgafg" hidden="1">#REF!</definedName>
    <definedName name="FGCode">#REF!</definedName>
    <definedName name="fgfgfgfg" hidden="1">#REF!</definedName>
    <definedName name="fggdfg" localSheetId="3" hidden="1">{"HK PR",#N/A,FALSE,"HK";"SUMMARY",#N/A,FALSE,"PAYROLL";"SUMMARY",#N/A,FALSE,"PAYROLL";"HK PR",#N/A,FALSE,"HK"}</definedName>
    <definedName name="fggdfg" hidden="1">{"HK PR",#N/A,FALSE,"HK";"SUMMARY",#N/A,FALSE,"PAYROLL";"SUMMARY",#N/A,FALSE,"PAYROLL";"HK PR",#N/A,FALSE,"HK"}</definedName>
    <definedName name="FiCo" hidden="1">#REF!</definedName>
    <definedName name="FIRE6">#REF!</definedName>
    <definedName name="FIREAA">#REF!</definedName>
    <definedName name="Flute_Table">#REF!</definedName>
    <definedName name="Flute_Type">#REF!</definedName>
    <definedName name="FOREVER" localSheetId="3" hidden="1">{#N/A,#N/A,FALSE,"Chi tiÆt"}</definedName>
    <definedName name="FOREVER" hidden="1">{#N/A,#N/A,FALSE,"Chi tiÆt"}</definedName>
    <definedName name="fre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sdfdsf" localSheetId="3" hidden="1">{"HK PR",#N/A,FALSE,"HK";"SUMMARY",#N/A,FALSE,"PAYROLL";"SUMMARY",#N/A,FALSE,"PAYROLL";"HK PR",#N/A,FALSE,"HK"}</definedName>
    <definedName name="fsdfdsf" hidden="1">{"HK PR",#N/A,FALSE,"HK";"SUMMARY",#N/A,FALSE,"PAYROLL";"SUMMARY",#N/A,FALSE,"PAYROLL";"HK PR",#N/A,FALSE,"HK"}</definedName>
    <definedName name="future">#REF!</definedName>
    <definedName name="fwefw">#REF!</definedName>
    <definedName name="FX">#REF!</definedName>
    <definedName name="g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gg" hidden="1">{"index",#N/A,FALSE,"INDEX"}</definedName>
    <definedName name="ghdfgdf" localSheetId="3" hidden="1">{"HK PR",#N/A,FALSE,"HK";"SUMMARY",#N/A,FALSE,"PAYROLL";"SUMMARY",#N/A,FALSE,"PAYROLL";"HK PR",#N/A,FALSE,"HK"}</definedName>
    <definedName name="ghdfgdf" hidden="1">{"HK PR",#N/A,FALSE,"HK";"SUMMARY",#N/A,FALSE,"PAYROLL";"SUMMARY",#N/A,FALSE,"PAYROLL";"HK PR",#N/A,FALSE,"HK"}</definedName>
    <definedName name="GHF" localSheetId="3" hidden="1">{#N/A,#N/A,FALSE,"sum";#N/A,#N/A,FALSE,"MARTV";#N/A,#N/A,FALSE,"APRTV"}</definedName>
    <definedName name="GHF" hidden="1">{#N/A,#N/A,FALSE,"sum";#N/A,#N/A,FALSE,"MARTV";#N/A,#N/A,FALSE,"APRTV"}</definedName>
    <definedName name="GJVIF" localSheetId="3" hidden="1">{"Profit",#N/A,FALSE,"4500(12)";"Capital",#N/A,FALSE,"4500(12)";"Profit",#N/A,FALSE,"Cisco4000";"Capital",#N/A,FALSE,"Cisco4000"}</definedName>
    <definedName name="GJVIF" hidden="1">{"Profit",#N/A,FALSE,"4500(12)";"Capital",#N/A,FALSE,"4500(12)";"Profit",#N/A,FALSE,"Cisco4000";"Capital",#N/A,FALSE,"Cisco4000"}</definedName>
    <definedName name="gnfg" localSheetId="3" hidden="1">{"HK PR",#N/A,FALSE,"HK";"SUMMARY",#N/A,FALSE,"PAYROLL";"SUMMARY",#N/A,FALSE,"PAYROLL";"HK PR",#N/A,FALSE,"HK"}</definedName>
    <definedName name="gnfg" hidden="1">{"HK PR",#N/A,FALSE,"HK";"SUMMARY",#N/A,FALSE,"PAYROLL";"SUMMARY",#N/A,FALSE,"PAYROLL";"HK PR",#N/A,FALSE,"HK"}</definedName>
    <definedName name="Gramme">#REF!</definedName>
    <definedName name="graph">#REF!</definedName>
    <definedName name="grgrdg">#REF!</definedName>
    <definedName name="GTM" localSheetId="3" hidden="1">{"'Sheet1'!$L$16"}</definedName>
    <definedName name="GTM" hidden="1">{"'Sheet1'!$L$16"}</definedName>
    <definedName name="GUEST6">#REF!</definedName>
    <definedName name="GUESTAA">#REF!</definedName>
    <definedName name="h" localSheetId="3" hidden="1">{"'Sheet1'!$L$16"}</definedName>
    <definedName name="h" hidden="1">{"'Sheet1'!$L$16"}</definedName>
    <definedName name="ha" localSheetId="3" hidden="1">{"Reader",#N/A,FALSE,"Summary";"Reader",#N/A,FALSE,"Buildup";"Reader",#N/A,FALSE,"Financials";"Reader",#N/A,FALSE,"Debt &amp; Other"}</definedName>
    <definedName name="ha" hidden="1">{"Reader",#N/A,FALSE,"Summary";"Reader",#N/A,FALSE,"Buildup";"Reader",#N/A,FALSE,"Financials";"Reader",#N/A,FALSE,"Debt &amp; Other"}</definedName>
    <definedName name="hanh" localSheetId="3" hidden="1">{"'Sheet1'!$L$16"}</definedName>
    <definedName name="hanh" hidden="1">{"'Sheet1'!$L$16"}</definedName>
    <definedName name="hbbbbbb" localSheetId="3" hidden="1">{"'Sheet1'!$L$16"}</definedName>
    <definedName name="hbbbbbb" hidden="1">{"'Sheet1'!$L$16"}</definedName>
    <definedName name="HEADDAYA3">#REF!,#REF!,#REF!,#REF!,#REF!,#REF!,#REF!,#REF!,#REF!,#REF!,#REF!,#REF!,#REF!</definedName>
    <definedName name="HEADDAYA4">#REF!,#REF!,#REF!,#REF!,#REF!,#REF!,#REF!,#REF!,#REF!,#REF!,#REF!,#REF!,#REF!,#REF!,#REF!,#REF!,#REF!</definedName>
    <definedName name="HEADWEEKA3">#REF!,#REF!,#REF!,#REF!,#REF!,#REF!,#REF!,#REF!,#REF!,#REF!,#REF!,#REF!</definedName>
    <definedName name="HEADWEEKA4">#REF!,#REF!,#REF!,#REF!,#REF!,#REF!,#REF!,#REF!,#REF!,#REF!,#REF!,#REF!</definedName>
    <definedName name="Hello">#REF!</definedName>
    <definedName name="hfgdas" hidden="1">#REF!</definedName>
    <definedName name="hghghg" localSheetId="3" hidden="1">{"HK PR",#N/A,FALSE,"HK";"SUMMARY",#N/A,FALSE,"PAYROLL";"SUMMARY",#N/A,FALSE,"PAYROLL";"HK PR",#N/A,FALSE,"HK"}</definedName>
    <definedName name="hghghg" hidden="1">{"HK PR",#N/A,FALSE,"HK";"SUMMARY",#N/A,FALSE,"PAYROLL";"SUMMARY",#N/A,FALSE,"PAYROLL";"HK PR",#N/A,FALSE,"HK"}</definedName>
    <definedName name="hghghghg" localSheetId="3" hidden="1">{"'Sheet1'!$L$16"}</definedName>
    <definedName name="hghghghg" hidden="1">{"'Sheet1'!$L$16"}</definedName>
    <definedName name="hh" localSheetId="3" hidden="1">{"'Sheet1'!$L$16"}</definedName>
    <definedName name="hh" hidden="1">{"'Sheet1'!$L$16"}</definedName>
    <definedName name="hhh" localSheetId="3" hidden="1">{"'Sheet1'!$L$16"}</definedName>
    <definedName name="hhh" hidden="1">{"'Sheet1'!$L$16"}</definedName>
    <definedName name="hhhh" localSheetId="3" hidden="1">{"'Sheet1'!$L$16"}</definedName>
    <definedName name="hhhh" hidden="1">{"'Sheet1'!$L$16"}</definedName>
    <definedName name="hhhhh" localSheetId="3" hidden="1">{"'Sheet1'!$L$16"}</definedName>
    <definedName name="hhhhh" hidden="1">{"'Sheet1'!$L$16"}</definedName>
    <definedName name="hhhhhh" localSheetId="3" hidden="1">{"'Sheet1'!$L$16"}</definedName>
    <definedName name="hhhhhh" hidden="1">{"'Sheet1'!$L$16"}</definedName>
    <definedName name="HiddenRows" hidden="1">#REF!</definedName>
    <definedName name="hide">#N/A</definedName>
    <definedName name="HIEU" localSheetId="3" hidden="1">{"'Sheet1'!$L$16"}</definedName>
    <definedName name="HIEU" hidden="1">{"'Sheet1'!$L$16"}</definedName>
    <definedName name="hjjkl" localSheetId="3" hidden="1">{"'Sheet1'!$L$16"}</definedName>
    <definedName name="hjjkl" hidden="1">{"'Sheet1'!$L$16"}</definedName>
    <definedName name="HK" localSheetId="3" hidden="1">{"Reader",#N/A,FALSE,"Summary";"Reader",#N/A,FALSE,"Buildup";"Reader",#N/A,FALSE,"Financials";"Reader",#N/A,FALSE,"Debt &amp; Other"}</definedName>
    <definedName name="HK" hidden="1">{"Reader",#N/A,FALSE,"Summary";"Reader",#N/A,FALSE,"Buildup";"Reader",#N/A,FALSE,"Financials";"Reader",#N/A,FALSE,"Debt &amp; Other"}</definedName>
    <definedName name="hka" localSheetId="3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p" localSheetId="3" hidden="1">{"Reader",#N/A,FALSE,"Summary";"Reader",#N/A,FALSE,"Buildup";"Reader",#N/A,FALSE,"Financials";"Reader",#N/A,FALSE,"Debt &amp; Other"}</definedName>
    <definedName name="hp" hidden="1">{"Reader",#N/A,FALSE,"Summary";"Reader",#N/A,FALSE,"Buildup";"Reader",#N/A,FALSE,"Financials";"Reader",#N/A,FALSE,"Debt &amp; Other"}</definedName>
    <definedName name="htg" localSheetId="3" hidden="1">{#N/A,#N/A,TRUE,"BT M200 da 10x20"}</definedName>
    <definedName name="htg" hidden="1">{#N/A,#N/A,TRUE,"BT M200 da 10x20"}</definedName>
    <definedName name="html" localSheetId="3" hidden="1">{"'Sheet1'!$L$16"}</definedName>
    <definedName name="html" hidden="1">{"'Sheet1'!$L$16"}</definedName>
    <definedName name="HTML_CodePage" hidden="1">950</definedName>
    <definedName name="HTML_Control" localSheetId="3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localSheetId="3" hidden="1">"C:\2689\Q\國內\00q3961台化龍德PTA3建造\MyHTML.htm"</definedName>
    <definedName name="HTML_PathFile" hidden="1">"C:\2689\Q\??\00q3961????PTA3??\MyHTML.htm"</definedName>
    <definedName name="HTML_Title" hidden="1">"00Q3961-SUM"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mll" localSheetId="3" hidden="1">{"'Sheet1'!$L$16"}</definedName>
    <definedName name="htmll" hidden="1">{"'Sheet1'!$L$16"}</definedName>
    <definedName name="HTTK" localSheetId="3">#REF!</definedName>
    <definedName name="HTTK">#REF!</definedName>
    <definedName name="huong" localSheetId="3" hidden="1">{"HK PR",#N/A,FALSE,"HK";"SUMMARY",#N/A,FALSE,"PAYROLL";"SUMMARY",#N/A,FALSE,"PAYROLL";"HK PR",#N/A,FALSE,"HK"}</definedName>
    <definedName name="huong" hidden="1">{"HK PR",#N/A,FALSE,"HK";"SUMMARY",#N/A,FALSE,"PAYROLL";"SUMMARY",#N/A,FALSE,"PAYROLL";"HK PR",#N/A,FALSE,"HK"}</definedName>
    <definedName name="huongu" localSheetId="3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ppc">#N/A</definedName>
    <definedName name="huy" localSheetId="3" hidden="1">{"'Sheet1'!$L$16"}</definedName>
    <definedName name="huy" hidden="1">{"'Sheet1'!$L$16"}</definedName>
    <definedName name="huyy" localSheetId="3" hidden="1">{"'Sheet1'!$L$16"}</definedName>
    <definedName name="huyy" hidden="1">{"'Sheet1'!$L$16"}</definedName>
    <definedName name="huyyy" localSheetId="3" hidden="1">{"'Sheet1'!$L$16"}</definedName>
    <definedName name="huyyy" hidden="1">{"'Sheet1'!$L$16"}</definedName>
    <definedName name="HYDAA">#REF!</definedName>
    <definedName name="i" hidden="1">{"hilight3",#N/A,FALSE,"HILIGHT3"}</definedName>
    <definedName name="ii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">#N/A</definedName>
    <definedName name="in" hidden="1">#REF!</definedName>
    <definedName name="INPUT">#REF!</definedName>
    <definedName name="INST6">#REF!</definedName>
    <definedName name="INSTAA">#REF!</definedName>
    <definedName name="inter_new">#REF!</definedName>
    <definedName name="INTEREST">#N/A</definedName>
    <definedName name="Intl">#REF!</definedName>
    <definedName name="Intr">#REF!</definedName>
    <definedName name="IO_Movement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 localSheetId="3" hidden="1">{"HK PR",#N/A,FALSE,"HK";"SUMMARY",#N/A,FALSE,"PAYROLL";"SUMMARY",#N/A,FALSE,"PAYROLL";"HK PR",#N/A,FALSE,"HK"}</definedName>
    <definedName name="IS" hidden="1">{"HK PR",#N/A,FALSE,"HK";"SUMMARY",#N/A,FALSE,"PAYROLL";"SUMMARY",#N/A,FALSE,"PAYROLL";"HK PR",#N/A,FALSE,"HK"}</definedName>
    <definedName name="ISOAA">#REF!</definedName>
    <definedName name="ITDAA">#REF!</definedName>
    <definedName name="j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AN">#REF!</definedName>
    <definedName name="jan_dec">#REF!</definedName>
    <definedName name="jan_june">#REF!</definedName>
    <definedName name="JIPATA">#REF!</definedName>
    <definedName name="jj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" localSheetId="3" hidden="1">{"'Sheet1'!$L$16"}</definedName>
    <definedName name="jjj" hidden="1">{"'Sheet1'!$L$16"}</definedName>
    <definedName name="jjjj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k">#REF!</definedName>
    <definedName name="JP">#REF!</definedName>
    <definedName name="JPY">#REF!</definedName>
    <definedName name="ju" localSheetId="3" hidden="1">{"'Sheet1'!$L$16"}</definedName>
    <definedName name="ju" hidden="1">{"'Sheet1'!$L$16"}</definedName>
    <definedName name="jul_dec">#REF!</definedName>
    <definedName name="JUN">#REF!</definedName>
    <definedName name="k" localSheetId="3" hidden="1">{"'Sheet1'!$L$16"}</definedName>
    <definedName name="K" hidden="1">{"'Sheet1'!$L$16"}</definedName>
    <definedName name="kai_Tprofile_Report">#REF!</definedName>
    <definedName name="kk" hidden="1">#REF!</definedName>
    <definedName name="kkk" hidden="1">{"lev2monbt",#N/A,FALSE,"2_levmonB-T"}</definedName>
    <definedName name="KU" localSheetId="3" hidden="1">{"'Sheet1'!$L$16"}</definedName>
    <definedName name="KU" hidden="1">{"'Sheet1'!$L$16"}</definedName>
    <definedName name="kyd.ChngCell.01." localSheetId="3" hidden="1">#REF!</definedName>
    <definedName name="kyd.ChngCell.01." hidden="1">#REF!</definedName>
    <definedName name="kyd.CounterLimitCell.01." hidden="1">"x"</definedName>
    <definedName name="kyd.Dim.01." hidden="1">"UNISONUS:M-2003"</definedName>
    <definedName name="kyd.ElementList.01." localSheetId="3" hidden="1">#REF!</definedName>
    <definedName name="kyd.ElementList.01." hidden="1">#REF!</definedName>
    <definedName name="kyd.ElementType.01." hidden="1">3</definedName>
    <definedName name="kyd.ItemType.01." hidden="1">2</definedName>
    <definedName name="kyd.NumLevels.01." hidden="1">1</definedName>
    <definedName name="kyd.ParentName.01." hidden="1">""</definedName>
    <definedName name="kyd.PrintParent.01." hidden="1">TRUE</definedName>
    <definedName name="kyd.SelectString.01." hidden="1">"*"</definedName>
    <definedName name="l" hidden="1">{"revable",#N/A,FALSE,"REVABLE"}</definedName>
    <definedName name="Lai" localSheetId="3" hidden="1">{"'Sheet1'!$L$16"}</definedName>
    <definedName name="Lai" hidden="1">{"'Sheet1'!$L$16"}</definedName>
    <definedName name="LAM" localSheetId="3" hidden="1">{#N/A,#N/A,TRUE,"BT M200 da 10x20"}</definedName>
    <definedName name="LAM" hidden="1">{#N/A,#N/A,TRUE,"BT M200 da 10x20"}</definedName>
    <definedName name="lan" localSheetId="3" hidden="1">{#N/A,#N/A,TRUE,"BT M200 da 10x20"}</definedName>
    <definedName name="lan" hidden="1">{#N/A,#N/A,TRUE,"BT M200 da 10x20"}</definedName>
    <definedName name="Last_M">#REF!</definedName>
    <definedName name="LAST1">#N/A</definedName>
    <definedName name="LAST2">#N/A</definedName>
    <definedName name="limcount" hidden="1">1</definedName>
    <definedName name="LIME26">#REF!</definedName>
    <definedName name="LIME2AA">#REF!</definedName>
    <definedName name="List_of_Customers">#REF!</definedName>
    <definedName name="List_Status">#REF!</definedName>
    <definedName name="lll" hidden="1">{"sales",#N/A,FALSE,"SALES"}</definedName>
    <definedName name="LLLL" localSheetId="3" hidden="1">{#N/A,#N/A,FALSE,"Chi tiÆt"}</definedName>
    <definedName name="LLLL" hidden="1">{#N/A,#N/A,FALSE,"Chi tiÆt"}</definedName>
    <definedName name="LLLLL" localSheetId="3" hidden="1">{#N/A,#N/A,FALSE,"Chi tiÆt"}</definedName>
    <definedName name="LLLLL" hidden="1">{#N/A,#N/A,FALSE,"Chi tiÆt"}</definedName>
    <definedName name="Loan" hidden="1">#REF!</definedName>
    <definedName name="m" hidden="1">{"income",#N/A,FALSE,"INCOME"}</definedName>
    <definedName name="Macro1">#REF!</definedName>
    <definedName name="Macro2">#REF!</definedName>
    <definedName name="Macro3">#REF!</definedName>
    <definedName name="MAIN">#REF!</definedName>
    <definedName name="Manu2">#REF!</definedName>
    <definedName name="Manu3">#REF!</definedName>
    <definedName name="MAR">#REF!</definedName>
    <definedName name="MAY">#REF!</definedName>
    <definedName name="mco" localSheetId="3" hidden="1">{"'Sheet1'!$L$16"}</definedName>
    <definedName name="mco" hidden="1">{"'Sheet1'!$L$16"}</definedName>
    <definedName name="MDAA">#REF!</definedName>
    <definedName name="MECD6">#REF!</definedName>
    <definedName name="MECH6">#REF!</definedName>
    <definedName name="MECHAA">#REF!</definedName>
    <definedName name="MECHEAA">#REF!</definedName>
    <definedName name="MEDICAL6">#REF!</definedName>
    <definedName name="MEDICALAA">#REF!</definedName>
    <definedName name="mg" localSheetId="3" hidden="1">{#N/A,#N/A,FALSE,"Chi tiÆt"}</definedName>
    <definedName name="mg" hidden="1">{#N/A,#N/A,FALSE,"Chi tiÆt"}</definedName>
    <definedName name="mmm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moi" localSheetId="3" hidden="1">{"'Sheet1'!$L$16"}</definedName>
    <definedName name="moi" hidden="1">{"'Sheet1'!$L$16"}</definedName>
    <definedName name="month" localSheetId="3">DTR!$4:$4</definedName>
    <definedName name="MONTH">#REF!</definedName>
    <definedName name="monthly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nthly_sep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vAss_CYrApr">#REF!</definedName>
    <definedName name="MovAss_CYrAug">#REF!</definedName>
    <definedName name="MovAss_CYrDec">#REF!</definedName>
    <definedName name="MovAss_CYrFeb">#REF!</definedName>
    <definedName name="MovAss_CYrJan">#REF!</definedName>
    <definedName name="MovAss_CYrJul">#REF!</definedName>
    <definedName name="MovAss_CYrJun">#REF!</definedName>
    <definedName name="MovAss_CYrMar">#REF!</definedName>
    <definedName name="MovAss_CYrMay">#REF!</definedName>
    <definedName name="MovAss_CYrNov">#REF!</definedName>
    <definedName name="MovAss_CYrOct">#REF!</definedName>
    <definedName name="MovAss_CYrSep">#REF!</definedName>
    <definedName name="MovAss_LYrDec">#REF!</definedName>
    <definedName name="MovAss_LYrNov">#REF!</definedName>
    <definedName name="MovAss_LYrOct">#REF!</definedName>
    <definedName name="MS">#REF!</definedName>
    <definedName name="MTH">#REF!</definedName>
    <definedName name="MTT_ClsIO">#REF!</definedName>
    <definedName name="mua" localSheetId="3" hidden="1">{"'Sheet1'!$L$16"}</definedName>
    <definedName name="mua" hidden="1">{"'Sheet1'!$L$16"}</definedName>
    <definedName name="N" localSheetId="3" hidden="1">{"'Sheet1'!$L$16"}</definedName>
    <definedName name="n" hidden="1">{"F3 detail",#N/A,FALSE,"F1";"F3 Presentation",#N/A,FALSE,"F3 "}</definedName>
    <definedName name="Next_M">#REF!</definedName>
    <definedName name="ngay1" localSheetId="3">#REF!</definedName>
    <definedName name="ngay1">#REF!</definedName>
    <definedName name="ngay2" localSheetId="3">#REF!</definedName>
    <definedName name="ngay2">#REF!</definedName>
    <definedName name="Nhan_Phieu_san_xuat_Thang_2_2002_List">#REF!</definedName>
    <definedName name="Nitrogen">#REF!</definedName>
    <definedName name="nn" localSheetId="3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n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ORMAL">#REF!</definedName>
    <definedName name="NOV">#REF!</definedName>
    <definedName name="NPP" hidden="1">#REF!</definedName>
    <definedName name="nwe" localSheetId="3" hidden="1">{"'Sheet1'!$L$16"}</definedName>
    <definedName name="nwe" hidden="1">{"'Sheet1'!$L$16"}</definedName>
    <definedName name="o" hidden="1">{"index",#N/A,FALSE,"INDEX"}</definedName>
    <definedName name="OCT">#REF!</definedName>
    <definedName name="Oct_04">#REF!</definedName>
    <definedName name="ooo" hidden="1">{"PRINT_EST",#N/A,FALSE,"ESTMON"}</definedName>
    <definedName name="OpnBalCrVND">#REF!</definedName>
    <definedName name="OpnBalDrVND">#REF!</definedName>
    <definedName name="Order_Master">#REF!</definedName>
    <definedName name="OrderTable" hidden="1">#REF!</definedName>
    <definedName name="Origin">#REF!</definedName>
    <definedName name="OUTPUT">#REF!</definedName>
    <definedName name="OXYAA">#REF!</definedName>
    <definedName name="OXYGEN6">#REF!</definedName>
    <definedName name="p" hidden="1">{"revsale",#N/A,FALSE,"REV-ยุพดี"}</definedName>
    <definedName name="P_Noptien">#REF!</definedName>
    <definedName name="PaperSize">#REF!</definedName>
    <definedName name="PC_msg" hidden="1">"Yes"</definedName>
    <definedName name="PENV">#REF!</definedName>
    <definedName name="PGREENAA">#REF!</definedName>
    <definedName name="PHRAA">#REF!</definedName>
    <definedName name="PHUONG" localSheetId="3" hidden="1">{#N/A,#N/A,TRUE,"BT M200 da 10x20"}</definedName>
    <definedName name="PHUONG" hidden="1">{#N/A,#N/A,TRUE,"BT M200 da 10x20"}</definedName>
    <definedName name="PJCAA">#REF!</definedName>
    <definedName name="PKTN." localSheetId="3" hidden="1">{"'Sheet1'!$L$16"}</definedName>
    <definedName name="PKTN." hidden="1">{"'Sheet1'!$L$16"}</definedName>
    <definedName name="PKTNN" localSheetId="3" hidden="1">{"'Sheet1'!$L$16"}</definedName>
    <definedName name="PKTNN" hidden="1">{"'Sheet1'!$L$16"}</definedName>
    <definedName name="PlanAsset">#REF!</definedName>
    <definedName name="PLANC">#REF!</definedName>
    <definedName name="PLANCI">#REF!</definedName>
    <definedName name="PLANY">#REF!</definedName>
    <definedName name="PLANYI">#REF!</definedName>
    <definedName name="PlnYr">#REF!</definedName>
    <definedName name="PM">#REF!</definedName>
    <definedName name="POWER26">#REF!</definedName>
    <definedName name="POWER2AA">#REF!</definedName>
    <definedName name="POWER6">#REF!</definedName>
    <definedName name="POWERAA">#REF!</definedName>
    <definedName name="PP" hidden="1">{"'Model'!$A$1:$N$53"}</definedName>
    <definedName name="PPGREEN">#REF!</definedName>
    <definedName name="PPJCELL">#REF!</definedName>
    <definedName name="ppp" hidden="1">{"revsale",#N/A,FALSE,"REV-ยุพดี"}</definedName>
    <definedName name="PQA">#REF!</definedName>
    <definedName name="PRAA">#REF!</definedName>
    <definedName name="present">#REF!</definedName>
    <definedName name="PRINT">#REF!</definedName>
    <definedName name="_xlnm.Print_Area">#REF!</definedName>
    <definedName name="Print_Area_MI">#REF!</definedName>
    <definedName name="Print_Titles_MI">#REF!,#REF!</definedName>
    <definedName name="PRMP">#REF!</definedName>
    <definedName name="PRMZ">#REF!</definedName>
    <definedName name="PRO">#REF!</definedName>
    <definedName name="PROC">#REF!</definedName>
    <definedName name="PROCUR">#REF!</definedName>
    <definedName name="ProdForm" hidden="1">#REF!</definedName>
    <definedName name="PRODUAA">#REF!</definedName>
    <definedName name="Product" hidden="1">#REF!</definedName>
    <definedName name="PROY">#REF!</definedName>
    <definedName name="PROYTD">#REF!</definedName>
    <definedName name="Prt_All">#REF!</definedName>
    <definedName name="Prt_AssetMaster">#REF!</definedName>
    <definedName name="Prt_Monthly">#REF!</definedName>
    <definedName name="Prt_PPE">#REF!</definedName>
    <definedName name="Prt_Qtr">#REF!</definedName>
    <definedName name="Prt_toMR">#REF!</definedName>
    <definedName name="PS">#REF!</definedName>
    <definedName name="PSCKC">#REF!</definedName>
    <definedName name="PSCKN">#REF!</definedName>
    <definedName name="PSDKC">#REF!</definedName>
    <definedName name="PSDKN">#REF!</definedName>
    <definedName name="PULPAA">#REF!</definedName>
    <definedName name="q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QAAA">#REF!</definedName>
    <definedName name="qeqe" localSheetId="3" hidden="1">{"'Sheet1'!$L$16"}</definedName>
    <definedName name="qeqe" hidden="1">{"'Sheet1'!$L$16"}</definedName>
    <definedName name="qqq" hidden="1">{"sales",#N/A,FALSE,"SALES"}</definedName>
    <definedName name="qry_Stock_Age_4">#REF!</definedName>
    <definedName name="Query1">#REF!</definedName>
    <definedName name="Query2">#REF!</definedName>
    <definedName name="RADMIN">#REF!</definedName>
    <definedName name="Range">#REF!</definedName>
    <definedName name="rate">#REF!</definedName>
    <definedName name="rateapr">#REF!</definedName>
    <definedName name="ratefeb">#REF!</definedName>
    <definedName name="ratejan">#REF!</definedName>
    <definedName name="RCArea" hidden="1">#REF!</definedName>
    <definedName name="RCDC">#REF!</definedName>
    <definedName name="RCHEMICAL">#REF!</definedName>
    <definedName name="RDESP">#REF!</definedName>
    <definedName name="RDRAWING">#REF!</definedName>
    <definedName name="REC1AA">#REF!</definedName>
    <definedName name="REC2AA">#REF!</definedName>
    <definedName name="_xlnm.Recorder">#REF!</definedName>
    <definedName name="RELEC">#REF!</definedName>
    <definedName name="REPCO_CCtr">#REF!,#REF!,#REF!,#REF!,#REF!,#REF!,#REF!</definedName>
    <definedName name="Report_Mth">#REF!</definedName>
    <definedName name="Req_CCtr">#REF!</definedName>
    <definedName name="RESTATE">#REF!</definedName>
    <definedName name="Revised">#REF!</definedName>
    <definedName name="RFIRE">#REF!</definedName>
    <definedName name="rfju" localSheetId="3" hidden="1">{"'Sheet1'!$L$16"}</definedName>
    <definedName name="rfju" hidden="1">{"'Sheet1'!$L$16"}</definedName>
    <definedName name="RGUEST">#REF!</definedName>
    <definedName name="RINST">#REF!</definedName>
    <definedName name="RISO">#REF!</definedName>
    <definedName name="RITD">#REF!</definedName>
    <definedName name="RMDAA">#REF!</definedName>
    <definedName name="RMECD">#REF!</definedName>
    <definedName name="RMECH">#REF!</definedName>
    <definedName name="Rmedical">#REF!</definedName>
    <definedName name="RMPAA">#REF!</definedName>
    <definedName name="RMZAA">#REF!</definedName>
    <definedName name="ROC_CCtr">#REF!</definedName>
    <definedName name="ROC_IO">#REF!</definedName>
    <definedName name="ROYAL">#N/A</definedName>
    <definedName name="RPD">#REF!</definedName>
    <definedName name="RPM">#REF!</definedName>
    <definedName name="RPOWER">#REF!</definedName>
    <definedName name="RPR">#REF!</definedName>
    <definedName name="RPRE">#REF!</definedName>
    <definedName name="rrr" hidden="1">{"lev2tytbt",#N/A,FALSE,"2_LEVYTDB-T"}</definedName>
    <definedName name="RSEC">#REF!</definedName>
    <definedName name="RSHEETING">#REF!</definedName>
    <definedName name="RSODA">#REF!</definedName>
    <definedName name="RSTORE">#REF!</definedName>
    <definedName name="rter" localSheetId="3" hidden="1">{#N/A,#N/A,FALSE,"sum";#N/A,#N/A,FALSE,"MARTV";#N/A,#N/A,FALSE,"APRTV"}</definedName>
    <definedName name="rter" hidden="1">{#N/A,#N/A,FALSE,"sum";#N/A,#N/A,FALSE,"MARTV";#N/A,#N/A,FALSE,"APRTV"}</definedName>
    <definedName name="ru" localSheetId="3" hidden="1">{"'Sheet1'!$L$16"}</definedName>
    <definedName name="ru" hidden="1">{"'Sheet1'!$L$16"}</definedName>
    <definedName name="RWASTE">#REF!</definedName>
    <definedName name="RYARD">#REF!</definedName>
    <definedName name="S" localSheetId="3" hidden="1">{"'Sheet1'!$L$16"}</definedName>
    <definedName name="S" hidden="1">{"'Sheet1'!$L$16"}</definedName>
    <definedName name="SA">#REF!</definedName>
    <definedName name="sad" localSheetId="3" hidden="1">{0}</definedName>
    <definedName name="sad" hidden="1">{0}</definedName>
    <definedName name="SAFTYAA">#REF!</definedName>
    <definedName name="SALE">#REF!</definedName>
    <definedName name="sales_2002">#REF!</definedName>
    <definedName name="SANG" localSheetId="3" hidden="1">{#N/A,#N/A,FALSE,"sum";#N/A,#N/A,FALSE,"MARTV";#N/A,#N/A,FALSE,"APRTV"}</definedName>
    <definedName name="SANG" hidden="1">{#N/A,#N/A,FALSE,"sum";#N/A,#N/A,FALSE,"MARTV";#N/A,#N/A,FALSE,"APRTV"}</definedName>
    <definedName name="SAPBEXrevision" hidden="1">3</definedName>
    <definedName name="SAPBEXsysID" hidden="1">"EPB"</definedName>
    <definedName name="SAPBEXwbID" hidden="1">"3UK6UXLZHQ3KXE93XFRP3AZAH"</definedName>
    <definedName name="SAPDWH">#REF!</definedName>
    <definedName name="SC" localSheetId="3" hidden="1">{"'Sheet1'!$L$16"}</definedName>
    <definedName name="SC" hidden="1">{"'Sheet1'!$L$16"}</definedName>
    <definedName name="sdadss" localSheetId="3" hidden="1">{"HK PR",#N/A,FALSE,"HK";"SUMMARY",#N/A,FALSE,"PAYROLL";"SUMMARY",#N/A,FALSE,"PAYROLL";"HK PR",#N/A,FALSE,"HK"}</definedName>
    <definedName name="sdadss" hidden="1">{"HK PR",#N/A,FALSE,"HK";"SUMMARY",#N/A,FALSE,"PAYROLL";"SUMMARY",#N/A,FALSE,"PAYROLL";"HK PR",#N/A,FALSE,"HK"}</definedName>
    <definedName name="sdsdasd" localSheetId="3" hidden="1">{"HK PR",#N/A,FALSE,"HK";"SUMMARY",#N/A,FALSE,"PAYROLL";"SUMMARY",#N/A,FALSE,"PAYROLL";"HK PR",#N/A,FALSE,"HK"}</definedName>
    <definedName name="sdsdasd" hidden="1">{"HK PR",#N/A,FALSE,"HK";"SUMMARY",#N/A,FALSE,"PAYROLL";"SUMMARY",#N/A,FALSE,"PAYROLL";"HK PR",#N/A,FALSE,"HK"}</definedName>
    <definedName name="sdsds" localSheetId="3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CUAA">#REF!</definedName>
    <definedName name="sencount" hidden="1">1</definedName>
    <definedName name="SEP">#REF!</definedName>
    <definedName name="SHD1AA">#REF!</definedName>
    <definedName name="SHD2AA">#REF!</definedName>
    <definedName name="SHDAA">#REF!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IS">#REF!</definedName>
    <definedName name="Size">#REF!</definedName>
    <definedName name="SizeLimit">#REF!</definedName>
    <definedName name="SL" localSheetId="3" hidden="1">{"Profit",#N/A,FALSE,"Cisco4500";"Capital",#N/A,FALSE,"Cisco4500"}</definedName>
    <definedName name="SL" hidden="1">{"Profit",#N/A,FALSE,"Cisco4500";"Capital",#N/A,FALSE,"Cisco4500"}</definedName>
    <definedName name="SODAAA">#REF!</definedName>
    <definedName name="solver_adj" localSheetId="3" hidden="1">#REF!</definedName>
    <definedName name="solver_adj" hidden="1">#REF!</definedName>
    <definedName name="solver_lhs1" localSheetId="3" hidden="1">#REF!</definedName>
    <definedName name="solver_lhs1" hidden="1">#REF!</definedName>
    <definedName name="solver_lin" hidden="1">0</definedName>
    <definedName name="solver_num" hidden="1">1</definedName>
    <definedName name="solver_opt" localSheetId="3" hidden="1">#REF!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pecialPrice" hidden="1">#REF!</definedName>
    <definedName name="srgsaergfsergaerg" localSheetId="3" hidden="1">{"month_a",#N/A,FALSE,"ACTUALS";"ytd_a",#N/A,FALSE,"ACTUALS"}</definedName>
    <definedName name="srgsaergfsergaerg" hidden="1">{"month_a",#N/A,FALSE,"ACTUALS";"ytd_a",#N/A,FALSE,"ACTUALS"}</definedName>
    <definedName name="SS" localSheetId="3" hidden="1">{"'Sheet1'!$L$16"}</definedName>
    <definedName name="SS" hidden="1">{"'Sheet1'!$L$16"}</definedName>
    <definedName name="SSF">#REF!</definedName>
    <definedName name="SSW">#REF!</definedName>
    <definedName name="ssxsdcdsfcdsf" localSheetId="3" hidden="1">{"HK PR",#N/A,FALSE,"HK";"SUMMARY",#N/A,FALSE,"PAYROLL";"SUMMARY",#N/A,FALSE,"PAYROLL";"HK PR",#N/A,FALSE,"HK"}</definedName>
    <definedName name="ssxsdcdsfcdsf" hidden="1">{"HK PR",#N/A,FALSE,"HK";"SUMMARY",#N/A,FALSE,"PAYROLL";"SUMMARY",#N/A,FALSE,"PAYROLL";"HK PR",#N/A,FALSE,"HK"}</definedName>
    <definedName name="Status">#REF!</definedName>
    <definedName name="STORE6">#REF!</definedName>
    <definedName name="STOREAA">#REF!</definedName>
    <definedName name="SULAA">#REF!</definedName>
    <definedName name="SUMBS">#REF!,#REF!,#REF!,#REF!,#REF!,#REF!,#REF!,#REF!,#REF!,#REF!</definedName>
    <definedName name="SUMPS">#REF!,#REF!,#REF!,#REF!,#REF!,#REF!,#REF!,#REF!,#REF!,#REF!,#REF!,#REF!,#REF!,#REF!</definedName>
    <definedName name="SuperUser" hidden="1">FALSE</definedName>
    <definedName name="t" localSheetId="3" hidden="1">{"F3 Presentation",#N/A,FALSE,"F3 ";"F3 detail",#N/A,FALSE,"F3 "}</definedName>
    <definedName name="t" hidden="1">{"F3 Presentation",#N/A,FALSE,"F3 ";"F3 detail",#N/A,FALSE,"F3 "}</definedName>
    <definedName name="taisan" localSheetId="3" hidden="1">{"'Sheet1'!$L$16"}</definedName>
    <definedName name="taisan" hidden="1">{"'Sheet1'!$L$16"}</definedName>
    <definedName name="Tan" localSheetId="3" hidden="1">{"'Sheet1'!$L$16"}</definedName>
    <definedName name="Tan" hidden="1">{"'Sheet1'!$L$16"}</definedName>
    <definedName name="TAX">#N/A</definedName>
    <definedName name="TB">#REF!</definedName>
    <definedName name="tbl_ProdInfo" hidden="1">#REF!</definedName>
    <definedName name="TCC">#REF!</definedName>
    <definedName name="tcr">#REF!</definedName>
    <definedName name="TEST0">#REF!</definedName>
    <definedName name="TESTHKEY">#REF!</definedName>
    <definedName name="TESTKEYS">#REF!</definedName>
    <definedName name="TESTVKEY">#REF!</definedName>
    <definedName name="TFC">#REF!</definedName>
    <definedName name="TG1AA">#REF!</definedName>
    <definedName name="TG2AA">#REF!</definedName>
    <definedName name="TH" localSheetId="3" hidden="1">{"'Sheet1'!$L$16"}</definedName>
    <definedName name="TH" hidden="1">{"'Sheet1'!$L$16"}</definedName>
    <definedName name="tha" localSheetId="3" hidden="1">{"'Sheet1'!$L$16"}</definedName>
    <definedName name="tha" hidden="1">{"'Sheet1'!$L$16"}</definedName>
    <definedName name="thanh" localSheetId="3" hidden="1">{"'Sheet1'!$L$16"}</definedName>
    <definedName name="thanh" hidden="1">{"'Sheet1'!$L$16"}</definedName>
    <definedName name="thanhthao" localSheetId="3" hidden="1">{#N/A,#N/A,FALSE,"Chi tiÆt"}</definedName>
    <definedName name="thanhthao" hidden="1">{#N/A,#N/A,FALSE,"Chi tiÆt"}</definedName>
    <definedName name="THCP2" localSheetId="3" hidden="1">{"'Sheet1'!$L$16"}</definedName>
    <definedName name="THCP2" hidden="1">{"'Sheet1'!$L$16"}</definedName>
    <definedName name="THCPCTD" localSheetId="3" hidden="1">{"'Sheet1'!$L$16"}</definedName>
    <definedName name="THCPCTD" hidden="1">{"'Sheet1'!$L$16"}</definedName>
    <definedName name="Thepsan" localSheetId="3" hidden="1">{"'Sheet1'!$L$16"}</definedName>
    <definedName name="Thepsan" hidden="1">{"'Sheet1'!$L$16"}</definedName>
    <definedName name="thepsan2" localSheetId="3" hidden="1">{"'Sheet1'!$L$16"}</definedName>
    <definedName name="thepsan2" hidden="1">{"'Sheet1'!$L$16"}</definedName>
    <definedName name="thu" localSheetId="3" hidden="1">{"'Sheet1'!$L$16"}</definedName>
    <definedName name="thu" hidden="1">{"'Sheet1'!$L$16"}</definedName>
    <definedName name="THU_MAKH">#REF!</definedName>
    <definedName name="THU_ST">#REF!</definedName>
    <definedName name="TIEN_BCX">#REF!</definedName>
    <definedName name="TM" localSheetId="3" hidden="1">{"'Sheet1'!$L$16"}</definedName>
    <definedName name="TM" hidden="1">{"'Sheet1'!$L$16"}</definedName>
    <definedName name="TON">#REF!</definedName>
    <definedName name="Tonghop" localSheetId="3" hidden="1">{"'Sheet1'!$L$16"}</definedName>
    <definedName name="Tonghop" hidden="1">{"'Sheet1'!$L$16"}</definedName>
    <definedName name="TRAA">#REF!</definedName>
    <definedName name="TRAN">#N/A</definedName>
    <definedName name="trygmdgdh" localSheetId="3" hidden="1">{"'Sheet1'!$L$16"}</definedName>
    <definedName name="trygmdgdh" hidden="1">{"'Sheet1'!$L$16"}</definedName>
    <definedName name="TTSC" localSheetId="3" hidden="1">{"'Sheet1'!$L$16"}</definedName>
    <definedName name="TTSC" hidden="1">{"'Sheet1'!$L$16"}</definedName>
    <definedName name="ttt" localSheetId="3" hidden="1">{"Teacher",#N/A,FALSE,"Summary";"Teacher",#N/A,FALSE,"Assumptions";"Teacher",#N/A,FALSE,"Buildup";"Teacher",#N/A,FALSE,"Financials";"Teacher",#N/A,FALSE,"Debt &amp; Other"}</definedName>
    <definedName name="ttt" hidden="1">{"Teacher",#N/A,FALSE,"Summary";"Teacher",#N/A,FALSE,"Assumptions";"Teacher",#N/A,FALSE,"Buildup";"Teacher",#N/A,FALSE,"Financials";"Teacher",#N/A,FALSE,"Debt &amp; Other"}</definedName>
    <definedName name="tttt" hidden="1">#REF!</definedName>
    <definedName name="ttttt" localSheetId="3" hidden="1">{"Reader",#N/A,FALSE,"Summary";"Reader",#N/A,FALSE,"Buildup";"Reader",#N/A,FALSE,"Financials";"Reader",#N/A,FALSE,"Debt &amp; Other"}</definedName>
    <definedName name="ttttt" hidden="1">{"Reader",#N/A,FALSE,"Summary";"Reader",#N/A,FALSE,"Buildup";"Reader",#N/A,FALSE,"Financials";"Reader",#N/A,FALSE,"Debt &amp; Other"}</definedName>
    <definedName name="tuy" localSheetId="3" hidden="1">{"'Sheet1'!$L$16"}</definedName>
    <definedName name="tuy" hidden="1">{"'Sheet1'!$L$16"}</definedName>
    <definedName name="ty" hidden="1">#REF!</definedName>
    <definedName name="Type_table">#REF!</definedName>
    <definedName name="Types" hidden="1">#REF!</definedName>
    <definedName name="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UGVG" localSheetId="3" hidden="1">{#N/A,#N/A,TRUE,"BT M200 da 10x20"}</definedName>
    <definedName name="UGVG" hidden="1">{#N/A,#N/A,TRUE,"BT M200 da 10x20"}</definedName>
    <definedName name="uhuppc">#N/A</definedName>
    <definedName name="unhide">#N/A</definedName>
    <definedName name="USD">#REF!</definedName>
    <definedName name="UserName">#REF!</definedName>
    <definedName name="uuu">#N/A</definedName>
    <definedName name="UWF">#REF!</definedName>
    <definedName name="V">#N/A</definedName>
    <definedName name="Value_COCurr">#REF!</definedName>
    <definedName name="VGSFDBDFNF">#REF!</definedName>
    <definedName name="VOLC">#REF!</definedName>
    <definedName name="VOLY">#REF!</definedName>
    <definedName name="vvv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" hidden="1">{"PRINT_EST",#N/A,FALSE,"ESTMON"}</definedName>
    <definedName name="WASH16">#REF!</definedName>
    <definedName name="WASH1AA">#REF!</definedName>
    <definedName name="WASH26">#REF!</definedName>
    <definedName name="WASH2AA">#REF!</definedName>
    <definedName name="WASTE6">#REF!</definedName>
    <definedName name="WASTEAA">#REF!</definedName>
    <definedName name="WATAA">#REF!</definedName>
    <definedName name="Water">#REF!</definedName>
    <definedName name="wf" localSheetId="3" hidden="1">#REF!</definedName>
    <definedName name="wf" hidden="1">#REF!</definedName>
    <definedName name="wrn" hidden="1">{"lev2ytd",#N/A,FALSE,"2_LEVYTD"}</definedName>
    <definedName name="wrn.1_lev." hidden="1">{"level1",#N/A,FALSE,"1_LEV";"LEVEL1",#N/A,FALSE,"1_LEV"}</definedName>
    <definedName name="wrn.1_levbt." hidden="1">{"lev1bt",#N/A,FALSE,"1_LEVB-T"}</definedName>
    <definedName name="wrn.2_levmon." hidden="1">{"lev2mon",#N/A,FALSE,"2_levmon"}</definedName>
    <definedName name="wrn.2_levmonbt." hidden="1">{"lev2monbt",#N/A,FALSE,"2_levmonB-T"}</definedName>
    <definedName name="wrn.2_levytd." hidden="1">{"lev2ytd",#N/A,FALSE,"2_LEVYTD"}</definedName>
    <definedName name="wrn.2_levytdbt." hidden="1">{"lev2tytbt",#N/A,FALSE,"2_LEVYTDB-T"}</definedName>
    <definedName name="wrn.448k." localSheetId="3" hidden="1">{"Profit",#N/A,FALSE,"448k";"Capital",#N/A,FALSE,"448k"}</definedName>
    <definedName name="wrn.448k." hidden="1">{"Profit",#N/A,FALSE,"448k";"Capital",#N/A,FALSE,"448k"}</definedName>
    <definedName name="wrn.4500_4P." localSheetId="3" hidden="1">{"Profit",#N/A,FALSE,"4500(4P)";"Capital",#N/A,FALSE,"4500(4P)"}</definedName>
    <definedName name="wrn.4500_4P." hidden="1">{"Profit",#N/A,FALSE,"4500(4P)";"Capital",#N/A,FALSE,"4500(4P)"}</definedName>
    <definedName name="wrn.4500_6P." localSheetId="3" hidden="1">{"Profit",#N/A,FALSE,"4500(6P)";"Capital",#N/A,FALSE,"4500(6P)"}</definedName>
    <definedName name="wrn.4500_6P." hidden="1">{"Profit",#N/A,FALSE,"4500(6P)";"Capital",#N/A,FALSE,"4500(6P)"}</definedName>
    <definedName name="wrn.4500_8P." localSheetId="3" hidden="1">{"Profit",#N/A,FALSE,"4500(8P)";"Capital",#N/A,FALSE,"4500(8P)"}</definedName>
    <definedName name="wrn.4500_8P." hidden="1">{"Profit",#N/A,FALSE,"4500(8P)";"Capital",#N/A,FALSE,"4500(8P)"}</definedName>
    <definedName name="wrn.ACCRUE._.PAYROLL." localSheetId="3" hidden="1">{"HK PR",#N/A,FALSE,"HK";"SUMMARY",#N/A,FALSE,"PAYROLL";"SUMMARY",#N/A,FALSE,"PAYROLL";"HK PR",#N/A,FALSE,"HK"}</definedName>
    <definedName name="wrn.ACCRUE._.PAYROLL." hidden="1">{"HK PR",#N/A,FALSE,"HK";"SUMMARY",#N/A,FALSE,"PAYROLL";"SUMMARY",#N/A,FALSE,"PAYROLL";"HK PR",#N/A,FALSE,"HK"}</definedName>
    <definedName name="wrn.Acquisition_matrix." localSheetId="3" hidden="1">{"Acq_matrix",#N/A,FALSE,"Acquisition Matrix"}</definedName>
    <definedName name="wrn.Acquisition_matrix." hidden="1">{"Acq_matrix",#N/A,FALSE,"Acquisition Matrix"}</definedName>
    <definedName name="wrn.adj95." localSheetId="3" hidden="1">{"adj95mult",#N/A,FALSE,"COMPCO";"adj95est",#N/A,FALSE,"COMPCO"}</definedName>
    <definedName name="wrn.adj95." hidden="1">{"adj95mult",#N/A,FALSE,"COMPCO";"adj95est",#N/A,FALSE,"COMPCO"}</definedName>
    <definedName name="wrn.ALL." localSheetId="3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_.print." localSheetId="3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QUIROR._.DCF." localSheetId="3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hidden="1">{"balance",#N/A,FALSE,"BALANCE"}</definedName>
    <definedName name="wrn.BAOCAO." localSheetId="3" hidden="1">{#N/A,#N/A,FALSE,"sum";#N/A,#N/A,FALSE,"MARTV";#N/A,#N/A,FALSE,"APRTV"}</definedName>
    <definedName name="wrn.BAOCAO." hidden="1">{#N/A,#N/A,FALSE,"sum";#N/A,#N/A,FALSE,"MARTV";#N/A,#N/A,FALSE,"APRTV"}</definedName>
    <definedName name="wrn.BidReview." localSheetId="3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Capital." localSheetId="3" hidden="1">{"CapitalInput",#N/A,FALSE,"Equipt Input";"Capital Profile",#N/A,FALSE,"Equipt Input"}</definedName>
    <definedName name="wrn.Capital." hidden="1">{"CapitalInput",#N/A,FALSE,"Equipt Input";"Capital Profile",#N/A,FALSE,"Equipt Input"}</definedName>
    <definedName name="wrn.cashflow." hidden="1">{"cashflow",#N/A,FALSE,"CASHFLOW "}</definedName>
    <definedName name="wrn.chi._.tiÆt." localSheetId="3" hidden="1">{#N/A,#N/A,FALSE,"Chi tiÆt"}</definedName>
    <definedName name="wrn.chi._.tiÆt." hidden="1">{#N/A,#N/A,FALSE,"Chi tiÆt"}</definedName>
    <definedName name="wrn.cisco2501." localSheetId="3" hidden="1">{"Profit",#N/A,FALSE,"cisco2501";"Capital",#N/A,FALSE,"cisco2501"}</definedName>
    <definedName name="wrn.cisco2501." hidden="1">{"Profit",#N/A,FALSE,"cisco2501";"Capital",#N/A,FALSE,"cisco2501"}</definedName>
    <definedName name="wrn.cisco2501a." localSheetId="3" hidden="1">{"Profit",#N/A,FALSE,"Cisco2501a";"Capital",#N/A,FALSE,"Cisco2501a"}</definedName>
    <definedName name="wrn.cisco2501a." hidden="1">{"Profit",#N/A,FALSE,"Cisco2501a";"Capital",#N/A,FALSE,"Cisco2501a"}</definedName>
    <definedName name="wrn.cisco2514." localSheetId="3" hidden="1">{"Profit",#N/A,FALSE,"Cisco2514";"Capital",#N/A,FALSE,"Cisco2514"}</definedName>
    <definedName name="wrn.cisco2514." hidden="1">{"Profit",#N/A,FALSE,"Cisco2514";"Capital",#N/A,FALSE,"Cisco2514"}</definedName>
    <definedName name="wrn.cisco4000." localSheetId="3" hidden="1">{"Profit",#N/A,FALSE,"4500(12)";"Capital",#N/A,FALSE,"4500(12)";"Profit",#N/A,FALSE,"Cisco4000";"Capital",#N/A,FALSE,"Cisco4000"}</definedName>
    <definedName name="wrn.cisco4000." hidden="1">{"Profit",#N/A,FALSE,"4500(12)";"Capital",#N/A,FALSE,"4500(12)";"Profit",#N/A,FALSE,"Cisco4000";"Capital",#N/A,FALSE,"Cisco4000"}</definedName>
    <definedName name="wrn.cisco4500." localSheetId="3" hidden="1">{"Profit",#N/A,FALSE,"Cisco4500";"Capital",#N/A,FALSE,"Cisco4500"}</definedName>
    <definedName name="wrn.cisco4500." hidden="1">{"Profit",#N/A,FALSE,"Cisco4500";"Capital",#N/A,FALSE,"Cisco4500"}</definedName>
    <definedName name="wrn.Cisco4500p." localSheetId="3" hidden="1">{"Profit",#N/A,FALSE,"Cisco 4500p";"Capital",#N/A,FALSE,"Cisco 4500p"}</definedName>
    <definedName name="wrn.Cisco4500p." hidden="1">{"Profit",#N/A,FALSE,"Cisco 4500p";"Capital",#N/A,FALSE,"Cisco 4500p"}</definedName>
    <definedName name="wrn.cisco7000a." localSheetId="3" hidden="1">{"Profit",#N/A,FALSE,"Cisco7000a";"Capital",#N/A,FALSE,"Cisco7000a"}</definedName>
    <definedName name="wrn.cisco7000a." hidden="1">{"Profit",#N/A,FALSE,"Cisco7000a";"Capital",#N/A,FALSE,"Cisco7000a"}</definedName>
    <definedName name="wrn.CiscoAGS." localSheetId="3" hidden="1">{"Profit",#N/A,FALSE,"ciscoags+";"Capital",#N/A,FALSE,"ciscoags+"}</definedName>
    <definedName name="wrn.CiscoAGS." hidden="1">{"Profit",#N/A,FALSE,"ciscoags+";"Capital",#N/A,FALSE,"ciscoags+"}</definedName>
    <definedName name="wrn.compco." localSheetId="3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ustomPrice." localSheetId="3" hidden="1">{"PLCustom",#N/A,FALSE,"P&amp;L summary"}</definedName>
    <definedName name="wrn.CustomPrice." hidden="1">{"PLCustom",#N/A,FALSE,"P&amp;L summary"}</definedName>
    <definedName name="wrn.DCF." localSheetId="3" hidden="1">{"DCF1",#N/A,FALSE,"SIERRA DCF";"MATRIX1",#N/A,FALSE,"SIERRA DCF"}</definedName>
    <definedName name="wrn.DCF." hidden="1">{"DCF1",#N/A,FALSE,"SIERRA DCF";"MATRIX1",#N/A,FALSE,"SIERRA DCF"}</definedName>
    <definedName name="wrn.DCF_Terminal_Value_qchm." localSheetId="3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p12." hidden="1">{#N/A,#N/A,FALSE,"PM1";#N/A,#N/A,FALSE,"PM2";#N/A,#N/A,FALSE,"PM3";#N/A,#N/A,FALSE,"PM4";#N/A,#N/A,FALSE,"PM5";#N/A,#N/A,FALSE,"PM6";#N/A,#N/A,FALSE,"CM1"}</definedName>
    <definedName name="wrn.Depn." localSheetId="3" hidden="1">{"Depn",#N/A,TRUE,"Equipt Input"}</definedName>
    <definedName name="wrn.Depn." hidden="1">{"Depn",#N/A,TRUE,"Equipt Input"}</definedName>
    <definedName name="wrn.Economic._.Value._.Added._.Analysis." localSheetId="3" hidden="1">{"EVA",#N/A,FALSE,"EVA";"WACC",#N/A,FALSE,"WACC"}</definedName>
    <definedName name="wrn.Economic._.Value._.Added._.Analysis." hidden="1">{"EVA",#N/A,FALSE,"EVA";"WACC",#N/A,FALSE,"WACC"}</definedName>
    <definedName name="wrn.extn_2501." localSheetId="3" hidden="1">{"Profit",#N/A,FALSE,"extn_2501";"Capital",#N/A,FALSE,"extn_2501"}</definedName>
    <definedName name="wrn.extn_2501." hidden="1">{"Profit",#N/A,FALSE,"extn_2501";"Capital",#N/A,FALSE,"extn_2501"}</definedName>
    <definedName name="wrn.Financials." localSheetId="3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localSheetId="3" hidden="1">{"finsumm",#N/A,FALSE,"Finsumm";"graph",#N/A,FALSE,"Finsumm";"costgraph",#N/A,FALSE,"Finsumm";"costbreakdown",#N/A,FALSE,"Finsumm"}</definedName>
    <definedName name="wrn.finsummary." hidden="1">{"finsumm",#N/A,FALSE,"Finsumm";"graph",#N/A,FALSE,"Finsumm";"costgraph",#N/A,FALSE,"Finsumm";"costbreakdown",#N/A,FALSE,"Finsumm"}</definedName>
    <definedName name="wrn.Full._.without._.data." localSheetId="3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et." localSheetId="3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hidden="1">{"hilight1",#N/A,FALSE,"HILIGHT1"}</definedName>
    <definedName name="wrn.hilight2." hidden="1">{"hilight2",#N/A,FALSE,"HILIGHT2"}</definedName>
    <definedName name="wrn.hilight3." hidden="1">{"hilight3",#N/A,FALSE,"HILIGHT3"}</definedName>
    <definedName name="wrn.iIMPRESSION._.DOC.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hidden="1">{"income",#N/A,FALSE,"INCOME"}</definedName>
    <definedName name="wrn.index." hidden="1">{"index",#N/A,FALSE,"INDEX"}</definedName>
    <definedName name="wrn.Inputs." localSheetId="3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MONTH._.YTD." localSheetId="3" hidden="1">{"month_a",#N/A,FALSE,"ACTUALS";"ytd_a",#N/A,FALSE,"ACTUALS"}</definedName>
    <definedName name="wrn.MONTH._.YTD." hidden="1">{"month_a",#N/A,FALSE,"ACTUALS";"ytd_a",#N/A,FALSE,"ACTUALS"}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localSheetId="3" hidden="1">{#N/A,#N/A,FALSE,"Tabelle2";#N/A,#N/A,FALSE,"Tabelle1"}</definedName>
    <definedName name="wrn.Monthly._.Statement." hidden="1">{#N/A,#N/A,FALSE,"Tabelle2";#N/A,#N/A,FALSE,"Tabelle1"}</definedName>
    <definedName name="wrn.NonPay." localSheetId="3" hidden="1">{"ResourceNonPay",#N/A,FALSE,"pay_non pay input";"CapMaint",#N/A,FALSE,"Equipt Input";"CurrEqptProfile",#N/A,FALSE,"Equipt Input";"Curr Eqpt Mtce",#N/A,FALSE,"Equipt Input";"Miscellaneous",#N/A,FALSE,"Misc."}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localSheetId="3" hidden="1">{#N/A,#N/A,FALSE,"Assumptions";"Basedata",#N/A,FALSE,"BASEINPUT";"Checklist",#N/A,FALSE,"BASEINPUT"}</definedName>
    <definedName name="wrn.Notes." hidden="1">{#N/A,#N/A,FALSE,"Assumptions";"Basedata",#N/A,FALSE,"BASEINPUT";"Checklist",#N/A,FALSE,"BASEINPUT"}</definedName>
    <definedName name="wrn.OUTPUT." localSheetId="3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hak." localSheetId="3" hidden="1">{#N/A,#N/A,TRUE,"Tæng hîp"}</definedName>
    <definedName name="wrn.phak." hidden="1">{#N/A,#N/A,TRUE,"Tæng hîp"}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localSheetId="3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localSheetId="3" hidden="1">{#N/A,#N/A,FALSE,"Admin";#N/A,#N/A,FALSE,"Other"}</definedName>
    <definedName name="wrn.print." hidden="1">{#N/A,#N/A,FALSE,"Admin";#N/A,#N/A,FALSE,"Other"}</definedName>
    <definedName name="wrn.Reader." localSheetId="3" hidden="1">{"Reader",#N/A,FALSE,"Summary";"Reader",#N/A,FALSE,"Buildup";"Reader",#N/A,FALSE,"Financials";"Reader",#N/A,FALSE,"Debt &amp; Other"}</definedName>
    <definedName name="wrn.Reader." hidden="1">{"Reader",#N/A,FALSE,"Summary";"Reader",#N/A,FALSE,"Buildup";"Reader",#N/A,FALSE,"Financials";"Reader",#N/A,FALSE,"Debt &amp; Other"}</definedName>
    <definedName name="wrn.Report." localSheetId="3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hidden="1">{"PRINT_EST",#N/A,FALSE,"ESTMON"}</definedName>
    <definedName name="wrn.rev_sale._.report." hidden="1">{"revsale",#N/A,FALSE,"REV-ยุพดี"}</definedName>
    <definedName name="wrn.revable." hidden="1">{"revable",#N/A,FALSE,"REVABLE"}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hidden="1">{"sales",#N/A,FALSE,"SALES"}</definedName>
    <definedName name="wrn.SOCIEDAD." localSheetId="3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ummaryReport." localSheetId="3" hidden="1">{"Header",#N/A,TRUE,"Summary";"ProjectInfo",#N/A,TRUE,"Total Value"}</definedName>
    <definedName name="wrn.SummaryReport." hidden="1">{"Header",#N/A,TRUE,"Summary";"ProjectInfo",#N/A,TRUE,"Total Value"}</definedName>
    <definedName name="wrn.TARGET._.DCF." localSheetId="3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t." localSheetId="3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eacher." localSheetId="3" hidden="1">{"Teacher",#N/A,FALSE,"Summary";"Teacher",#N/A,FALSE,"Assumptions";"Teacher",#N/A,FALSE,"Buildup";"Teacher",#N/A,FALSE,"Financials";"Teacher",#N/A,FALSE,"Debt &amp; Other"}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localSheetId="3" hidden="1">{"F3 Presentation",#N/A,FALSE,"F3 ";"F3 detail",#N/A,FALSE,"F3 "}</definedName>
    <definedName name="wrn.test." hidden="1">{"F3 Presentation",#N/A,FALSE,"F3 ";"F3 detail",#N/A,FALSE,"F3 "}</definedName>
    <definedName name="wrn.test2." localSheetId="3" hidden="1">{"F3 detail",#N/A,FALSE,"F3 ";"F3 Presentation",#N/A,FALSE,"F3 "}</definedName>
    <definedName name="wrn.test2." hidden="1">{"F3 detail",#N/A,FALSE,"F3 ";"F3 Presentation",#N/A,FALSE,"F3 "}</definedName>
    <definedName name="wrn.test3." localSheetId="3" hidden="1">{"F3 detail",#N/A,FALSE,"F1";"F3 Presentation",#N/A,FALSE,"F3 "}</definedName>
    <definedName name="wrn.test3." hidden="1">{"F3 detail",#N/A,FALSE,"F1";"F3 Presentation",#N/A,FALSE,"F3 "}</definedName>
    <definedName name="wrn.vd." localSheetId="3" hidden="1">{#N/A,#N/A,TRUE,"BT M200 da 10x20"}</definedName>
    <definedName name="wrn.vd." hidden="1">{#N/A,#N/A,TRUE,"BT M200 da 10x20"}</definedName>
    <definedName name="WRN2.NONPAY" localSheetId="3" hidden="1">{"ResourceNonPay",#N/A,FALSE,"pay_non pay input";"CapMaint",#N/A,FALSE,"Equipt Input";"CurrEqptProfile",#N/A,FALSE,"Equipt Input";"Curr Eqpt Mtce",#N/A,FALSE,"Equipt Input";"Miscellaneous",#N/A,FALSE,"Misc."}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ww" hidden="1">{"revable",#N/A,FALSE,"REVABLE"}</definedName>
    <definedName name="x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Xadas" hidden="1">#REF!</definedName>
    <definedName name="xdfgsg" localSheetId="3" hidden="1">{"Profit",#N/A,FALSE,"Cisco7000a";"Capital",#N/A,FALSE,"Cisco7000a"}</definedName>
    <definedName name="xdfgsg" hidden="1">{"Profit",#N/A,FALSE,"Cisco7000a";"Capital",#N/A,FALSE,"Cisco7000a"}</definedName>
    <definedName name="xkeogjana" localSheetId="3" hidden="1">{"Reader",#N/A,FALSE,"Summary";"Reader",#N/A,FALSE,"Buildup";"Reader",#N/A,FALSE,"Financials";"Reader",#N/A,FALSE,"Debt &amp; Other"}</definedName>
    <definedName name="xkeogjana" hidden="1">{"Reader",#N/A,FALSE,"Summary";"Reader",#N/A,FALSE,"Buildup";"Reader",#N/A,FALSE,"Financials";"Reader",#N/A,FALSE,"Debt &amp; Other"}</definedName>
    <definedName name="xls" localSheetId="3" hidden="1">{"F3 detail",#N/A,FALSE,"F1";"F3 Presentation",#N/A,FALSE,"F3 "}</definedName>
    <definedName name="xls" hidden="1">{"F3 detail",#N/A,FALSE,"F1";"F3 Presentation",#N/A,FALSE,"F3 "}</definedName>
    <definedName name="XTRACT">#REF!</definedName>
    <definedName name="xx" hidden="1">#REF!</definedName>
    <definedName name="xxxx" localSheetId="3" hidden="1">{"HK PR",#N/A,FALSE,"HK";"SUMMARY",#N/A,FALSE,"PAYROLL";"SUMMARY",#N/A,FALSE,"PAYROLL";"HK PR",#N/A,FALSE,"HK"}</definedName>
    <definedName name="xxxx" hidden="1">{"HK PR",#N/A,FALSE,"HK";"SUMMARY",#N/A,FALSE,"PAYROLL";"SUMMARY",#N/A,FALSE,"PAYROLL";"HK PR",#N/A,FALSE,"HK"}</definedName>
    <definedName name="xxxxx" localSheetId="3" hidden="1">{"HK PR",#N/A,FALSE,"HK";"SUMMARY",#N/A,FALSE,"PAYROLL";"SUMMARY",#N/A,FALSE,"PAYROLL";"HK PR",#N/A,FALSE,"HK"}</definedName>
    <definedName name="xxxxx" hidden="1">{"HK PR",#N/A,FALSE,"HK";"SUMMARY",#N/A,FALSE,"PAYROLL";"SUMMARY",#N/A,FALSE,"PAYROLL";"HK PR",#N/A,FALSE,"HK"}</definedName>
    <definedName name="xzvxz">#REF!</definedName>
    <definedName name="y" hidden="1">{"revsale",#N/A,FALSE,"REV-ยุพดี"}</definedName>
    <definedName name="YARDAA">#REF!</definedName>
    <definedName name="year" localSheetId="3">DTR!$3:$3</definedName>
    <definedName name="year">#REF!</definedName>
    <definedName name="yjui\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YTDA">#REF!</definedName>
    <definedName name="YTDI">#REF!</definedName>
    <definedName name="yui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z" hidden="1">{"hilight3",#N/A,FALSE,"HILIGHT3"}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เกินวงเงิน" hidden="1">{"revsale",#N/A,FALSE,"REV-ยุพดี"}</definedName>
    <definedName name="เงินสด" hidden="1">{"lev1bt",#N/A,FALSE,"1_LEVB-T"}</definedName>
    <definedName name="แ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แนว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ไ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ก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กกก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ข" hidden="1">{"lev2ytd",#N/A,FALSE,"2_LEVYTD"}</definedName>
    <definedName name="ขายเกินวงเงิน">#N/A</definedName>
    <definedName name="ฃ" hidden="1">{"cashflow",#N/A,FALSE,"CASHFLOW "}</definedName>
    <definedName name="ค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ครจจจ" hidden="1">{"revsale",#N/A,FALSE,"REV-ยุพดี"}</definedName>
    <definedName name="ง" hidden="1">{"level1",#N/A,FALSE,"1_LEV";"LEVEL1",#N/A,FALSE,"1_LEV"}</definedName>
    <definedName name="จ" hidden="1">{"lev2mon",#N/A,FALSE,"2_levmon"}</definedName>
    <definedName name="จ_เกษียณ">#REF!</definedName>
    <definedName name="จ1_HP_A">#REF!</definedName>
    <definedName name="จ1_HP_B">#REF!</definedName>
    <definedName name="จ2_HP_A">#REF!</definedName>
    <definedName name="จ2_HP_B">#REF!</definedName>
    <definedName name="จ3_HP_A">#REF!</definedName>
    <definedName name="จ3_HP_B">#REF!</definedName>
    <definedName name="จจจ" hidden="1">{"revsale",#N/A,FALSE,"REV-ยุพดี"}</definedName>
    <definedName name="ช">#REF!</definedName>
    <definedName name="ชชช" hidden="1">{"income",#N/A,FALSE,"INCOME"}</definedName>
    <definedName name="ด" hidden="1">{"lev2tytbt",#N/A,FALSE,"2_LEVYTDB-T"}</definedName>
    <definedName name="ดดดด" hidden="1">{"lev1bt",#N/A,FALSE,"1_LEVB-T"}</definedName>
    <definedName name="ต" hidden="1">{"cashflow",#N/A,FALSE,"CASHFLOW "}</definedName>
    <definedName name="ถ" hidden="1">{"balance",#N/A,FALSE,"BALANCE"}</definedName>
    <definedName name="ท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น">#N/A</definedName>
    <definedName name="นยบ" hidden="1">{"revable",#N/A,FALSE,"REVABLE"}</definedName>
    <definedName name="นารรร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บ" hidden="1">{"hilight1",#N/A,FALSE,"HILIGHT1"}</definedName>
    <definedName name="บ5_HP">#REF!</definedName>
    <definedName name="บบบ" hidden="1">{"lev2mon",#N/A,FALSE,"2_levmon"}</definedName>
    <definedName name="ป">#REF!</definedName>
    <definedName name="ผ">#N/A</definedName>
    <definedName name="ฝ">#N/A</definedName>
    <definedName name="พ" hidden="1">{"sales",#N/A,FALSE,"SALES"}</definedName>
    <definedName name="พพพ" hidden="1">{"revsale",#N/A,FALSE,"REV-ยุพดี"}</definedName>
    <definedName name="ฟ7" hidden="1">{"PRINT_EST",#N/A,FALSE,"ESTMON"}</definedName>
    <definedName name="ฟฟ">#REF!</definedName>
    <definedName name="ภ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ม" hidden="1">{"hilight2",#N/A,FALSE,"HILIGHT2"}</definedName>
    <definedName name="ย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ยบบ" hidden="1">{"sales",#N/A,FALSE,"SALES"}</definedName>
    <definedName name="ยยย" hidden="1">{"sales",#N/A,FALSE,"SALES"}</definedName>
    <definedName name="ร">#N/A</definedName>
    <definedName name="รรร" hidden="1">{"revable",#N/A,FALSE,"REVABLE"}</definedName>
    <definedName name="รา" hidden="1">{"hilight1",#N/A,FALSE,"HILIGHT1"}</definedName>
    <definedName name="รายงานประชุมสินเชื่อ_0904" hidden="1">{"balance",#N/A,FALSE,"BALANCE"}</definedName>
    <definedName name="ล" hidden="1">{"lev2monbt",#N/A,FALSE,"2_levmonB-T"}</definedName>
    <definedName name="ลูกค้าเงินสด">#REF!</definedName>
    <definedName name="ว" hidden="1">{"lev1bt",#N/A,FALSE,"1_LEVB-T"}</definedName>
    <definedName name="วยนบ" hidden="1">{"sales",#N/A,FALSE,"SALES"}</definedName>
    <definedName name="วววว" hidden="1">{"hilight1",#N/A,FALSE,"HILIGHT1"}</definedName>
    <definedName name="ววววว" hidden="1">{"PRINT_EST",#N/A,FALSE,"ESTMON"}</definedName>
    <definedName name="วาระประชุม1004" hidden="1">{"lev1bt",#N/A,FALSE,"1_LEVB-T"}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ส" hidden="1">{"revsale",#N/A,FALSE,"REV-ยุพดี"}</definedName>
    <definedName name="สว">#REF!</definedName>
    <definedName name="สสส" hidden="1">{"sales",#N/A,FALSE,"SALES"}</definedName>
    <definedName name="ห" hidden="1">{"revable",#N/A,FALSE,"REVABLE"}</definedName>
    <definedName name="หห" hidden="1">{"sales",#N/A,FALSE,"SALES"}</definedName>
    <definedName name="หหห" hidden="1">{"revable",#N/A,FALSE,"REVABLE"}</definedName>
    <definedName name="อ" hidden="1">{"balance",#N/A,FALSE,"BALANCE"}</definedName>
    <definedName name="อออ" hidden="1">{"PRINT_EST",#N/A,FALSE,"ESTMON"}</definedName>
    <definedName name="ๆ" hidden="1">{"lev2monbt",#N/A,FALSE,"2_levmonB-T"}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327" i="4" l="1"/>
  <c r="AE347" i="4"/>
  <c r="AE346" i="4"/>
  <c r="AE344" i="4"/>
  <c r="AE343" i="4"/>
  <c r="AE342" i="4"/>
  <c r="AE340" i="4"/>
  <c r="AE339" i="4"/>
  <c r="AE338" i="4"/>
  <c r="AE337" i="4"/>
  <c r="AE336" i="4"/>
  <c r="AE334" i="4"/>
  <c r="AE333" i="4"/>
  <c r="AE332" i="4"/>
  <c r="AE331" i="4"/>
  <c r="AE330" i="4"/>
  <c r="AE329" i="4"/>
  <c r="AE318" i="4"/>
  <c r="AE309" i="4"/>
  <c r="AE306" i="4"/>
  <c r="AE305" i="4"/>
  <c r="AE304" i="4"/>
  <c r="AE303" i="4"/>
  <c r="AE302" i="4"/>
  <c r="AE301" i="4"/>
  <c r="AE282" i="4"/>
  <c r="AE264" i="4"/>
  <c r="AE255" i="4"/>
  <c r="W1" i="3"/>
  <c r="X1" i="3"/>
  <c r="AA1" i="3"/>
  <c r="E109" i="3"/>
  <c r="F109" i="3"/>
  <c r="G109" i="3"/>
  <c r="H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AA109" i="3"/>
  <c r="AL318" i="4"/>
  <c r="AK318" i="4"/>
  <c r="AJ318" i="4"/>
  <c r="AI318" i="4"/>
  <c r="AH318" i="4"/>
  <c r="AG318" i="4"/>
  <c r="AF318" i="4"/>
  <c r="AD318" i="4"/>
  <c r="AB318" i="4"/>
  <c r="AA318" i="4"/>
  <c r="Z318" i="4"/>
  <c r="Y318" i="4"/>
  <c r="X318" i="4"/>
  <c r="W318" i="4"/>
  <c r="U318" i="4"/>
  <c r="R318" i="4"/>
  <c r="Y309" i="4"/>
  <c r="N306" i="4"/>
  <c r="A306" i="4"/>
  <c r="N305" i="4"/>
  <c r="N304" i="4"/>
  <c r="A304" i="4"/>
  <c r="N303" i="4"/>
  <c r="N302" i="4"/>
  <c r="N301" i="4"/>
  <c r="Z300" i="4"/>
  <c r="A299" i="4"/>
  <c r="A298" i="4"/>
  <c r="A297" i="4"/>
  <c r="A295" i="4"/>
  <c r="A287" i="4"/>
  <c r="A285" i="4"/>
  <c r="A284" i="4"/>
  <c r="A283" i="4"/>
  <c r="Y282" i="4"/>
  <c r="X282" i="4"/>
  <c r="W282" i="4"/>
  <c r="V282" i="4"/>
  <c r="U282" i="4"/>
  <c r="T282" i="4"/>
  <c r="S282" i="4"/>
  <c r="R282" i="4"/>
  <c r="Q282" i="4"/>
  <c r="P282" i="4"/>
  <c r="O282" i="4"/>
  <c r="N282" i="4"/>
  <c r="M282" i="4"/>
  <c r="L282" i="4"/>
  <c r="K282" i="4"/>
  <c r="J282" i="4"/>
  <c r="I282" i="4"/>
  <c r="H282" i="4"/>
  <c r="G282" i="4"/>
  <c r="F282" i="4"/>
  <c r="E282" i="4"/>
  <c r="D282" i="4"/>
  <c r="C282" i="4"/>
  <c r="A281" i="4"/>
  <c r="A280" i="4"/>
  <c r="A279" i="4"/>
  <c r="A278" i="4"/>
  <c r="A277" i="4"/>
  <c r="A276" i="4"/>
  <c r="A275" i="4"/>
  <c r="A274" i="4"/>
  <c r="Y264" i="4"/>
  <c r="X264" i="4"/>
  <c r="W264" i="4"/>
  <c r="V264" i="4"/>
  <c r="U264" i="4"/>
  <c r="T264" i="4"/>
  <c r="S264" i="4"/>
  <c r="R264" i="4"/>
  <c r="Q264" i="4"/>
  <c r="P264" i="4"/>
  <c r="O264" i="4"/>
  <c r="N264" i="4"/>
  <c r="M264" i="4"/>
  <c r="L264" i="4"/>
  <c r="K264" i="4"/>
  <c r="J264" i="4"/>
  <c r="I264" i="4"/>
  <c r="H264" i="4"/>
  <c r="G264" i="4"/>
  <c r="F264" i="4"/>
  <c r="E264" i="4"/>
  <c r="D264" i="4"/>
  <c r="C264" i="4"/>
  <c r="P3" i="4"/>
  <c r="D3" i="4"/>
  <c r="Z2" i="4"/>
  <c r="C109" i="3"/>
  <c r="C108" i="3"/>
  <c r="C96" i="3"/>
  <c r="C93" i="3"/>
  <c r="C91" i="3"/>
  <c r="C90" i="3"/>
  <c r="C88" i="3"/>
  <c r="C57" i="3"/>
  <c r="C56" i="3"/>
  <c r="C55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D37" i="3"/>
  <c r="C37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" i="3"/>
  <c r="AQ64" i="2"/>
  <c r="AP64" i="2"/>
  <c r="AO64" i="2"/>
  <c r="AN64" i="2"/>
  <c r="AM64" i="2"/>
  <c r="AL64" i="2"/>
  <c r="AK64" i="2"/>
  <c r="AJ64" i="2"/>
  <c r="AQ63" i="2"/>
  <c r="AP63" i="2"/>
  <c r="AO63" i="2"/>
  <c r="AN63" i="2"/>
  <c r="AM63" i="2"/>
  <c r="AL63" i="2"/>
  <c r="AK63" i="2"/>
  <c r="AJ63" i="2"/>
  <c r="AQ62" i="2"/>
  <c r="AP62" i="2"/>
  <c r="AO62" i="2"/>
  <c r="AN62" i="2"/>
  <c r="AM62" i="2"/>
  <c r="AL62" i="2"/>
  <c r="AK62" i="2"/>
  <c r="AJ62" i="2"/>
  <c r="AQ61" i="2"/>
  <c r="AP61" i="2"/>
  <c r="AO61" i="2"/>
  <c r="AN61" i="2"/>
  <c r="AM61" i="2"/>
  <c r="AL61" i="2"/>
  <c r="AK61" i="2"/>
  <c r="AJ61" i="2"/>
  <c r="AQ60" i="2"/>
  <c r="AP60" i="2"/>
  <c r="AO60" i="2"/>
  <c r="AN60" i="2"/>
  <c r="AM60" i="2"/>
  <c r="AL60" i="2"/>
  <c r="AK60" i="2"/>
  <c r="AJ60" i="2"/>
  <c r="AQ59" i="2"/>
  <c r="AP59" i="2"/>
  <c r="AO59" i="2"/>
  <c r="AN59" i="2"/>
  <c r="AM59" i="2"/>
  <c r="AL59" i="2"/>
  <c r="AK59" i="2"/>
  <c r="AJ59" i="2"/>
  <c r="AQ58" i="2"/>
  <c r="AP58" i="2"/>
  <c r="AO58" i="2"/>
  <c r="AN58" i="2"/>
  <c r="AM58" i="2"/>
  <c r="AL58" i="2"/>
  <c r="AK58" i="2"/>
  <c r="AJ58" i="2"/>
  <c r="AQ55" i="2"/>
  <c r="AP55" i="2"/>
  <c r="AO55" i="2"/>
  <c r="AN55" i="2"/>
  <c r="AM55" i="2"/>
  <c r="AL55" i="2"/>
  <c r="AK55" i="2"/>
  <c r="AJ55" i="2"/>
  <c r="AQ53" i="2"/>
  <c r="AP53" i="2"/>
  <c r="AO53" i="2"/>
  <c r="AN53" i="2"/>
  <c r="AM53" i="2"/>
  <c r="AL53" i="2"/>
  <c r="AK53" i="2"/>
  <c r="AJ53" i="2"/>
  <c r="AQ52" i="2"/>
  <c r="AP52" i="2"/>
  <c r="AO52" i="2"/>
  <c r="AN52" i="2"/>
  <c r="AM52" i="2"/>
  <c r="AL52" i="2"/>
  <c r="AK52" i="2"/>
  <c r="AJ52" i="2"/>
  <c r="AQ51" i="2"/>
  <c r="AP51" i="2"/>
  <c r="AO51" i="2"/>
  <c r="AN51" i="2"/>
  <c r="AM51" i="2"/>
  <c r="AL51" i="2"/>
  <c r="AK51" i="2"/>
  <c r="AJ51" i="2"/>
  <c r="AQ50" i="2"/>
  <c r="AP50" i="2"/>
  <c r="AO50" i="2"/>
  <c r="AN50" i="2"/>
  <c r="AM50" i="2"/>
  <c r="AL50" i="2"/>
  <c r="AK50" i="2"/>
  <c r="AJ50" i="2"/>
  <c r="AQ49" i="2"/>
  <c r="AP49" i="2"/>
  <c r="AO49" i="2"/>
  <c r="AN49" i="2"/>
  <c r="AM49" i="2"/>
  <c r="AL49" i="2"/>
  <c r="AK49" i="2"/>
  <c r="AJ49" i="2"/>
  <c r="AQ48" i="2"/>
  <c r="AP48" i="2"/>
  <c r="AO48" i="2"/>
  <c r="AN48" i="2"/>
  <c r="AM48" i="2"/>
  <c r="AL48" i="2"/>
  <c r="AK48" i="2"/>
  <c r="AJ48" i="2"/>
  <c r="AQ47" i="2"/>
  <c r="AP47" i="2"/>
  <c r="AO47" i="2"/>
  <c r="AN47" i="2"/>
  <c r="AM47" i="2"/>
  <c r="AL47" i="2"/>
  <c r="AK47" i="2"/>
  <c r="AJ47" i="2"/>
  <c r="AQ46" i="2"/>
  <c r="AP46" i="2"/>
  <c r="AO46" i="2"/>
  <c r="AN46" i="2"/>
  <c r="AM46" i="2"/>
  <c r="AL46" i="2"/>
  <c r="AK46" i="2"/>
  <c r="AJ46" i="2"/>
  <c r="AQ45" i="2"/>
  <c r="AP45" i="2"/>
  <c r="AO45" i="2"/>
  <c r="AN45" i="2"/>
  <c r="AM45" i="2"/>
  <c r="AL45" i="2"/>
  <c r="AK45" i="2"/>
  <c r="AJ45" i="2"/>
  <c r="AQ44" i="2"/>
  <c r="AP44" i="2"/>
  <c r="AO44" i="2"/>
  <c r="AN44" i="2"/>
  <c r="AM44" i="2"/>
  <c r="AL44" i="2"/>
  <c r="AK44" i="2"/>
  <c r="AJ44" i="2"/>
  <c r="AQ42" i="2"/>
  <c r="AP42" i="2"/>
  <c r="AO42" i="2"/>
  <c r="AN42" i="2"/>
  <c r="AM42" i="2"/>
  <c r="AL42" i="2"/>
  <c r="AC42" i="2"/>
  <c r="AB42" i="2"/>
  <c r="AA42" i="2"/>
  <c r="Z42" i="2"/>
  <c r="Y42" i="2"/>
  <c r="X42" i="2"/>
  <c r="W42" i="2"/>
  <c r="V42" i="2"/>
  <c r="U42" i="2"/>
  <c r="T42" i="2"/>
  <c r="S42" i="2"/>
  <c r="R42" i="2"/>
  <c r="P42" i="2"/>
  <c r="O42" i="2"/>
  <c r="N42" i="2"/>
  <c r="M42" i="2"/>
  <c r="L42" i="2"/>
  <c r="K42" i="2"/>
  <c r="J42" i="2"/>
  <c r="I42" i="2"/>
  <c r="H42" i="2"/>
  <c r="G42" i="2"/>
  <c r="F42" i="2"/>
  <c r="E42" i="2"/>
  <c r="AQ41" i="2"/>
  <c r="AP41" i="2"/>
  <c r="AO41" i="2"/>
  <c r="AN41" i="2"/>
  <c r="AM41" i="2"/>
  <c r="AL41" i="2"/>
  <c r="AK41" i="2"/>
  <c r="AJ41" i="2"/>
  <c r="AC41" i="2"/>
  <c r="AB41" i="2"/>
  <c r="AA41" i="2"/>
  <c r="Z41" i="2"/>
  <c r="Y41" i="2"/>
  <c r="X41" i="2"/>
  <c r="W41" i="2"/>
  <c r="V41" i="2"/>
  <c r="U41" i="2"/>
  <c r="T41" i="2"/>
  <c r="S41" i="2"/>
  <c r="R41" i="2"/>
  <c r="P41" i="2"/>
  <c r="O41" i="2"/>
  <c r="N41" i="2"/>
  <c r="M41" i="2"/>
  <c r="L41" i="2"/>
  <c r="K41" i="2"/>
  <c r="J41" i="2"/>
  <c r="I41" i="2"/>
  <c r="H41" i="2"/>
  <c r="G41" i="2"/>
  <c r="F41" i="2"/>
  <c r="E41" i="2"/>
  <c r="AQ40" i="2"/>
  <c r="AP40" i="2"/>
  <c r="AO40" i="2"/>
  <c r="AN40" i="2"/>
  <c r="AM40" i="2"/>
  <c r="AL40" i="2"/>
  <c r="AK40" i="2"/>
  <c r="AJ40" i="2"/>
  <c r="AC40" i="2"/>
  <c r="AB40" i="2"/>
  <c r="AA40" i="2"/>
  <c r="Z40" i="2"/>
  <c r="Y40" i="2"/>
  <c r="X40" i="2"/>
  <c r="W40" i="2"/>
  <c r="V40" i="2"/>
  <c r="U40" i="2"/>
  <c r="T40" i="2"/>
  <c r="S40" i="2"/>
  <c r="R40" i="2"/>
  <c r="P40" i="2"/>
  <c r="O40" i="2"/>
  <c r="N40" i="2"/>
  <c r="M40" i="2"/>
  <c r="L40" i="2"/>
  <c r="K40" i="2"/>
  <c r="J40" i="2"/>
  <c r="I40" i="2"/>
  <c r="H40" i="2"/>
  <c r="G40" i="2"/>
  <c r="F40" i="2"/>
  <c r="E40" i="2"/>
  <c r="AQ36" i="2"/>
  <c r="AP36" i="2"/>
  <c r="AO36" i="2"/>
  <c r="AN36" i="2"/>
  <c r="AM36" i="2"/>
  <c r="AL36" i="2"/>
  <c r="AK36" i="2"/>
  <c r="AJ36" i="2"/>
  <c r="AI36" i="2"/>
  <c r="AR26" i="2"/>
  <c r="AD26" i="2"/>
  <c r="Q26" i="2"/>
  <c r="B6" i="2"/>
  <c r="B5" i="2"/>
  <c r="AD4" i="2"/>
  <c r="B4" i="2"/>
  <c r="B3" i="2"/>
  <c r="A3" i="2"/>
  <c r="AB51" i="1"/>
  <c r="AB50" i="1"/>
  <c r="M50" i="1"/>
  <c r="AB49" i="1"/>
  <c r="M49" i="1"/>
  <c r="AB48" i="1"/>
  <c r="M48" i="1"/>
  <c r="L48" i="1"/>
  <c r="AB47" i="1"/>
  <c r="M47" i="1"/>
  <c r="L47" i="1"/>
  <c r="AB46" i="1"/>
  <c r="M46" i="1"/>
  <c r="L46" i="1"/>
  <c r="AB45" i="1"/>
  <c r="M45" i="1"/>
  <c r="L45" i="1"/>
  <c r="AB44" i="1"/>
  <c r="M44" i="1"/>
  <c r="L44" i="1"/>
  <c r="AB43" i="1"/>
  <c r="M43" i="1"/>
  <c r="L43" i="1"/>
  <c r="AB42" i="1"/>
  <c r="L42" i="1"/>
  <c r="AB41" i="1"/>
  <c r="M41" i="1"/>
  <c r="L41" i="1"/>
  <c r="AB40" i="1"/>
  <c r="S40" i="1"/>
  <c r="R40" i="1"/>
  <c r="M40" i="1"/>
  <c r="L40" i="1"/>
  <c r="M39" i="1"/>
  <c r="L39" i="1"/>
  <c r="M38" i="1"/>
  <c r="L38" i="1"/>
  <c r="F38" i="1"/>
  <c r="M37" i="1"/>
  <c r="F37" i="1"/>
  <c r="AB36" i="1"/>
  <c r="M36" i="1"/>
  <c r="F36" i="1"/>
  <c r="F35" i="1"/>
  <c r="M34" i="1"/>
  <c r="F34" i="1"/>
  <c r="V33" i="1"/>
  <c r="M33" i="1"/>
  <c r="F33" i="1"/>
  <c r="M32" i="1"/>
  <c r="F32" i="1"/>
  <c r="M31" i="1"/>
  <c r="F31" i="1"/>
  <c r="M30" i="1"/>
  <c r="F30" i="1"/>
  <c r="M29" i="1"/>
  <c r="F29" i="1"/>
  <c r="M28" i="1"/>
  <c r="F28" i="1"/>
  <c r="M27" i="1"/>
  <c r="F27" i="1"/>
  <c r="M26" i="1"/>
  <c r="F26" i="1"/>
  <c r="AE25" i="1"/>
  <c r="AD25" i="1"/>
  <c r="F25" i="1"/>
  <c r="M24" i="1"/>
  <c r="F24" i="1"/>
  <c r="M23" i="1"/>
  <c r="F23" i="1"/>
  <c r="M22" i="1"/>
  <c r="F22" i="1"/>
  <c r="M21" i="1"/>
  <c r="F21" i="1"/>
  <c r="V20" i="1"/>
  <c r="M20" i="1"/>
  <c r="F20" i="1"/>
  <c r="V19" i="1"/>
  <c r="M19" i="1"/>
  <c r="F19" i="1"/>
  <c r="V18" i="1"/>
  <c r="M18" i="1"/>
  <c r="F18" i="1"/>
  <c r="V17" i="1"/>
  <c r="M17" i="1"/>
  <c r="F17" i="1"/>
  <c r="V16" i="1"/>
  <c r="M16" i="1"/>
  <c r="F16" i="1"/>
  <c r="V15" i="1"/>
  <c r="M15" i="1"/>
  <c r="F15" i="1"/>
  <c r="V14" i="1"/>
  <c r="M14" i="1"/>
  <c r="F14" i="1"/>
  <c r="V13" i="1"/>
  <c r="M13" i="1"/>
  <c r="F13" i="1"/>
  <c r="V12" i="1"/>
  <c r="M12" i="1"/>
  <c r="F12" i="1"/>
  <c r="V11" i="1"/>
  <c r="M11" i="1"/>
  <c r="F11" i="1"/>
  <c r="V10" i="1"/>
  <c r="M10" i="1"/>
  <c r="F10" i="1"/>
  <c r="V9" i="1"/>
  <c r="M9" i="1"/>
  <c r="V8" i="1"/>
  <c r="M8" i="1"/>
  <c r="V7" i="1"/>
  <c r="M7" i="1"/>
  <c r="V6" i="1"/>
  <c r="M6" i="1"/>
  <c r="F6" i="1"/>
  <c r="V5" i="1"/>
  <c r="M5" i="1"/>
  <c r="F5" i="1"/>
  <c r="V4" i="1"/>
  <c r="M4" i="1"/>
  <c r="F4" i="1"/>
  <c r="Z3" i="1"/>
  <c r="V3" i="1"/>
  <c r="M3" i="1"/>
  <c r="J3" i="1"/>
  <c r="I3" i="1"/>
  <c r="H3" i="1"/>
  <c r="G3" i="1"/>
  <c r="F3" i="1"/>
  <c r="Y2" i="1"/>
  <c r="X2" i="1"/>
  <c r="Q2" i="1"/>
  <c r="P2" i="1"/>
  <c r="O2" i="1"/>
  <c r="J2" i="1"/>
  <c r="E2" i="1"/>
  <c r="F1" i="1"/>
  <c r="AE300" i="4" l="1"/>
  <c r="AE335" i="4" s="1"/>
  <c r="Z109" i="3"/>
  <c r="Q208" i="2"/>
  <c r="AD207" i="2"/>
  <c r="AR173" i="2"/>
  <c r="AQ93" i="2"/>
  <c r="AP93" i="2"/>
  <c r="AO93" i="2"/>
  <c r="AN93" i="2"/>
  <c r="AM93" i="2"/>
  <c r="AL93" i="2"/>
  <c r="AK93" i="2"/>
  <c r="AJ93" i="2"/>
  <c r="AD344" i="4"/>
  <c r="AC344" i="4"/>
  <c r="AB344" i="4"/>
  <c r="AA344" i="4"/>
  <c r="Z344" i="4"/>
  <c r="Y344" i="4"/>
  <c r="X344" i="4"/>
  <c r="W344" i="4"/>
  <c r="V344" i="4"/>
  <c r="U344" i="4"/>
  <c r="T344" i="4"/>
  <c r="S344" i="4"/>
  <c r="R344" i="4"/>
  <c r="Q344" i="4"/>
  <c r="P344" i="4"/>
  <c r="O344" i="4"/>
  <c r="AD343" i="4"/>
  <c r="AC343" i="4"/>
  <c r="AB343" i="4"/>
  <c r="AA343" i="4"/>
  <c r="Z343" i="4"/>
  <c r="Y343" i="4"/>
  <c r="X343" i="4"/>
  <c r="W343" i="4"/>
  <c r="V343" i="4"/>
  <c r="U343" i="4"/>
  <c r="T343" i="4"/>
  <c r="S343" i="4"/>
  <c r="R343" i="4"/>
  <c r="Q343" i="4"/>
  <c r="P343" i="4"/>
  <c r="O343" i="4"/>
  <c r="AD342" i="4"/>
  <c r="AC342" i="4"/>
  <c r="AB342" i="4"/>
  <c r="AA342" i="4"/>
  <c r="Z342" i="4"/>
  <c r="Y342" i="4"/>
  <c r="X342" i="4"/>
  <c r="W342" i="4"/>
  <c r="V342" i="4"/>
  <c r="U342" i="4"/>
  <c r="T342" i="4"/>
  <c r="S342" i="4"/>
  <c r="R342" i="4"/>
  <c r="Q342" i="4"/>
  <c r="P342" i="4"/>
  <c r="O342" i="4"/>
  <c r="AD338" i="4"/>
  <c r="AC338" i="4"/>
  <c r="AB338" i="4"/>
  <c r="AA338" i="4"/>
  <c r="Z338" i="4"/>
  <c r="Y338" i="4"/>
  <c r="X338" i="4"/>
  <c r="W338" i="4"/>
  <c r="V338" i="4"/>
  <c r="U338" i="4"/>
  <c r="T338" i="4"/>
  <c r="S338" i="4"/>
  <c r="R338" i="4"/>
  <c r="Q338" i="4"/>
  <c r="P338" i="4"/>
  <c r="O338" i="4"/>
  <c r="AD337" i="4"/>
  <c r="AC337" i="4"/>
  <c r="AB337" i="4"/>
  <c r="AA337" i="4"/>
  <c r="Z337" i="4"/>
  <c r="Y337" i="4"/>
  <c r="X337" i="4"/>
  <c r="W337" i="4"/>
  <c r="V337" i="4"/>
  <c r="U337" i="4"/>
  <c r="T337" i="4"/>
  <c r="S337" i="4"/>
  <c r="R337" i="4"/>
  <c r="Q337" i="4"/>
  <c r="P337" i="4"/>
  <c r="O337" i="4"/>
  <c r="AD336" i="4"/>
  <c r="AC336" i="4"/>
  <c r="AB336" i="4"/>
  <c r="AA336" i="4"/>
  <c r="Z336" i="4"/>
  <c r="Y336" i="4"/>
  <c r="X336" i="4"/>
  <c r="W336" i="4"/>
  <c r="V336" i="4"/>
  <c r="U336" i="4"/>
  <c r="T336" i="4"/>
  <c r="S336" i="4"/>
  <c r="R336" i="4"/>
  <c r="Q336" i="4"/>
  <c r="P336" i="4"/>
  <c r="O336" i="4"/>
  <c r="AD334" i="4"/>
  <c r="AC334" i="4"/>
  <c r="AB334" i="4"/>
  <c r="AA334" i="4"/>
  <c r="Z334" i="4"/>
  <c r="Y334" i="4"/>
  <c r="X334" i="4"/>
  <c r="W334" i="4"/>
  <c r="V334" i="4"/>
  <c r="U334" i="4"/>
  <c r="T334" i="4"/>
  <c r="S334" i="4"/>
  <c r="R334" i="4"/>
  <c r="Q334" i="4"/>
  <c r="P334" i="4"/>
  <c r="O334" i="4"/>
  <c r="AD327" i="4"/>
  <c r="AC327" i="4"/>
  <c r="AB327" i="4"/>
  <c r="AA327" i="4"/>
  <c r="Z327" i="4"/>
  <c r="Y300" i="4"/>
  <c r="X300" i="4"/>
  <c r="W300" i="4"/>
  <c r="V300" i="4"/>
  <c r="U300" i="4"/>
  <c r="T300" i="4"/>
  <c r="S300" i="4"/>
  <c r="R300" i="4"/>
  <c r="Q300" i="4"/>
  <c r="P300" i="4"/>
  <c r="O300" i="4"/>
  <c r="N300" i="4"/>
  <c r="M300" i="4"/>
  <c r="L300" i="4"/>
  <c r="K300" i="4"/>
  <c r="J300" i="4"/>
  <c r="I300" i="4"/>
  <c r="H300" i="4"/>
  <c r="G300" i="4"/>
  <c r="F300" i="4"/>
  <c r="E300" i="4"/>
  <c r="D300" i="4"/>
  <c r="C300" i="4"/>
  <c r="AJ149" i="4"/>
  <c r="AH149" i="4"/>
  <c r="AE149" i="4"/>
  <c r="AB149" i="4"/>
  <c r="Y149" i="4"/>
  <c r="V149" i="4"/>
  <c r="S149" i="4"/>
  <c r="P149" i="4"/>
  <c r="M149" i="4"/>
  <c r="J149" i="4"/>
  <c r="G149" i="4"/>
  <c r="C149" i="4"/>
  <c r="AL139" i="4"/>
  <c r="AK139" i="4"/>
  <c r="AJ139" i="4"/>
  <c r="AI139" i="4"/>
  <c r="AH139" i="4"/>
  <c r="AG139" i="4"/>
  <c r="AF139" i="4"/>
  <c r="AE139" i="4"/>
  <c r="AD139" i="4"/>
  <c r="AC139" i="4"/>
  <c r="AB139" i="4"/>
  <c r="AA139" i="4"/>
  <c r="Z139" i="4"/>
  <c r="Y139" i="4"/>
  <c r="W139" i="4"/>
  <c r="V139" i="4"/>
  <c r="U139" i="4"/>
  <c r="S139" i="4"/>
  <c r="Q139" i="4"/>
  <c r="O139" i="4"/>
  <c r="M139" i="4"/>
  <c r="K139" i="4"/>
  <c r="I139" i="4"/>
  <c r="G139" i="4"/>
  <c r="E139" i="4"/>
  <c r="C139" i="4"/>
  <c r="AB209" i="2"/>
  <c r="V209" i="2"/>
  <c r="R209" i="2"/>
  <c r="Q206" i="2"/>
  <c r="AE201" i="2"/>
  <c r="AD200" i="2"/>
  <c r="AR199" i="2"/>
  <c r="Q199" i="2"/>
  <c r="AE198" i="2"/>
  <c r="AS197" i="2"/>
  <c r="Q197" i="2"/>
  <c r="Q196" i="2"/>
  <c r="AR195" i="2"/>
  <c r="AD194" i="2"/>
  <c r="AR193" i="2"/>
  <c r="AS189" i="2"/>
  <c r="AR188" i="2"/>
  <c r="AD187" i="2"/>
  <c r="AS186" i="2"/>
  <c r="AR184" i="2"/>
  <c r="Q184" i="2"/>
  <c r="Q182" i="2"/>
  <c r="AQ181" i="2"/>
  <c r="AK181" i="2"/>
  <c r="L181" i="2"/>
  <c r="H181" i="2"/>
  <c r="E181" i="2"/>
  <c r="Q180" i="2"/>
  <c r="AS177" i="2"/>
  <c r="AR176" i="2"/>
  <c r="AD174" i="2"/>
  <c r="AE171" i="2"/>
  <c r="AS169" i="2"/>
  <c r="AD165" i="2"/>
  <c r="Q164" i="2"/>
  <c r="AS162" i="2"/>
  <c r="AR161" i="2"/>
  <c r="AE161" i="2"/>
  <c r="AS159" i="2"/>
  <c r="AR158" i="2"/>
  <c r="AE158" i="2"/>
  <c r="AE153" i="2"/>
  <c r="AS148" i="2"/>
  <c r="AS145" i="2"/>
  <c r="AS144" i="2"/>
  <c r="AD142" i="2"/>
  <c r="AR141" i="2"/>
  <c r="AE141" i="2"/>
  <c r="AD140" i="2"/>
  <c r="Q140" i="2"/>
  <c r="AD136" i="2"/>
  <c r="AE133" i="2"/>
  <c r="Q132" i="2"/>
  <c r="AE130" i="2"/>
  <c r="AS129" i="2"/>
  <c r="AS125" i="2"/>
  <c r="AS123" i="2"/>
  <c r="AD123" i="2"/>
  <c r="Q123" i="2"/>
  <c r="AD122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S120" i="2" s="1"/>
  <c r="AC120" i="2"/>
  <c r="AB120" i="2"/>
  <c r="AA120" i="2"/>
  <c r="Z120" i="2"/>
  <c r="Y120" i="2"/>
  <c r="X120" i="2"/>
  <c r="W120" i="2"/>
  <c r="V120" i="2"/>
  <c r="U120" i="2"/>
  <c r="T120" i="2"/>
  <c r="S120" i="2"/>
  <c r="R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Q120" i="2" s="1"/>
  <c r="AQ119" i="2"/>
  <c r="AP119" i="2"/>
  <c r="AO119" i="2"/>
  <c r="AN119" i="2"/>
  <c r="AM119" i="2"/>
  <c r="AL119" i="2"/>
  <c r="AK119" i="2"/>
  <c r="AJ119" i="2"/>
  <c r="AI119" i="2"/>
  <c r="AH119" i="2"/>
  <c r="AG119" i="2"/>
  <c r="AF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Q119" i="2" s="1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Q118" i="2" s="1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Q117" i="2" s="1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Q116" i="2" s="1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Q115" i="2" s="1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Q114" i="2" s="1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Q113" i="2" s="1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Q112" i="2" s="1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Q111" i="2" s="1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Q110" i="2" s="1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Q109" i="2" s="1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Q108" i="2" s="1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Q107" i="2" s="1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Q106" i="2" s="1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Q105" i="2" s="1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Q104" i="2" s="1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Q103" i="2" s="1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Q102" i="2" s="1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Q101" i="2" s="1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Q100" i="2" s="1"/>
  <c r="AQ99" i="2"/>
  <c r="AP99" i="2"/>
  <c r="AO99" i="2"/>
  <c r="AN99" i="2"/>
  <c r="AM99" i="2"/>
  <c r="AL99" i="2"/>
  <c r="AK99" i="2"/>
  <c r="AJ99" i="2"/>
  <c r="AI99" i="2"/>
  <c r="AH99" i="2"/>
  <c r="AG99" i="2"/>
  <c r="AF99" i="2"/>
  <c r="AC99" i="2"/>
  <c r="AB99" i="2"/>
  <c r="AA99" i="2"/>
  <c r="Z99" i="2"/>
  <c r="Y99" i="2"/>
  <c r="X99" i="2"/>
  <c r="W99" i="2"/>
  <c r="V99" i="2"/>
  <c r="U99" i="2"/>
  <c r="T99" i="2"/>
  <c r="S99" i="2"/>
  <c r="R99" i="2"/>
  <c r="P99" i="2"/>
  <c r="O99" i="2"/>
  <c r="N99" i="2"/>
  <c r="M99" i="2"/>
  <c r="L99" i="2"/>
  <c r="K99" i="2"/>
  <c r="J99" i="2"/>
  <c r="I99" i="2"/>
  <c r="H99" i="2"/>
  <c r="G99" i="2"/>
  <c r="F99" i="2"/>
  <c r="E99" i="2"/>
  <c r="Q99" i="2" s="1"/>
  <c r="AQ98" i="2"/>
  <c r="AP98" i="2"/>
  <c r="AO98" i="2"/>
  <c r="AN98" i="2"/>
  <c r="AM98" i="2"/>
  <c r="AL98" i="2"/>
  <c r="AK98" i="2"/>
  <c r="AJ98" i="2"/>
  <c r="AI98" i="2"/>
  <c r="AH98" i="2"/>
  <c r="AG98" i="2"/>
  <c r="AF98" i="2"/>
  <c r="AC98" i="2"/>
  <c r="AB98" i="2"/>
  <c r="AA98" i="2"/>
  <c r="Z98" i="2"/>
  <c r="Y98" i="2"/>
  <c r="X98" i="2"/>
  <c r="W98" i="2"/>
  <c r="V98" i="2"/>
  <c r="U98" i="2"/>
  <c r="T98" i="2"/>
  <c r="S98" i="2"/>
  <c r="R98" i="2"/>
  <c r="P98" i="2"/>
  <c r="O98" i="2"/>
  <c r="N98" i="2"/>
  <c r="M98" i="2"/>
  <c r="L98" i="2"/>
  <c r="K98" i="2"/>
  <c r="J98" i="2"/>
  <c r="I98" i="2"/>
  <c r="H98" i="2"/>
  <c r="G98" i="2"/>
  <c r="F98" i="2"/>
  <c r="E98" i="2"/>
  <c r="Q98" i="2" s="1"/>
  <c r="AQ97" i="2"/>
  <c r="AP97" i="2"/>
  <c r="AO97" i="2"/>
  <c r="AN97" i="2"/>
  <c r="AM97" i="2"/>
  <c r="AL97" i="2"/>
  <c r="AK97" i="2"/>
  <c r="AJ97" i="2"/>
  <c r="AI97" i="2"/>
  <c r="AH97" i="2"/>
  <c r="AG97" i="2"/>
  <c r="AF97" i="2"/>
  <c r="AC97" i="2"/>
  <c r="AB97" i="2"/>
  <c r="AA97" i="2"/>
  <c r="Z97" i="2"/>
  <c r="Y97" i="2"/>
  <c r="X97" i="2"/>
  <c r="W97" i="2"/>
  <c r="V97" i="2"/>
  <c r="U97" i="2"/>
  <c r="T97" i="2"/>
  <c r="S97" i="2"/>
  <c r="R97" i="2"/>
  <c r="P97" i="2"/>
  <c r="O97" i="2"/>
  <c r="N97" i="2"/>
  <c r="M97" i="2"/>
  <c r="L97" i="2"/>
  <c r="K97" i="2"/>
  <c r="J97" i="2"/>
  <c r="I97" i="2"/>
  <c r="H97" i="2"/>
  <c r="G97" i="2"/>
  <c r="F97" i="2"/>
  <c r="E97" i="2"/>
  <c r="Q97" i="2" s="1"/>
  <c r="AQ96" i="2"/>
  <c r="AP96" i="2"/>
  <c r="AO96" i="2"/>
  <c r="AN96" i="2"/>
  <c r="AM96" i="2"/>
  <c r="AL96" i="2"/>
  <c r="AK96" i="2"/>
  <c r="AJ96" i="2"/>
  <c r="AI96" i="2"/>
  <c r="AH96" i="2"/>
  <c r="AG96" i="2"/>
  <c r="AF96" i="2"/>
  <c r="AC96" i="2"/>
  <c r="AB96" i="2"/>
  <c r="AA96" i="2"/>
  <c r="Z96" i="2"/>
  <c r="Y96" i="2"/>
  <c r="X96" i="2"/>
  <c r="W96" i="2"/>
  <c r="V96" i="2"/>
  <c r="U96" i="2"/>
  <c r="T96" i="2"/>
  <c r="S96" i="2"/>
  <c r="R96" i="2"/>
  <c r="P96" i="2"/>
  <c r="O96" i="2"/>
  <c r="N96" i="2"/>
  <c r="M96" i="2"/>
  <c r="L96" i="2"/>
  <c r="K96" i="2"/>
  <c r="J96" i="2"/>
  <c r="I96" i="2"/>
  <c r="H96" i="2"/>
  <c r="G96" i="2"/>
  <c r="F96" i="2"/>
  <c r="E96" i="2"/>
  <c r="Q96" i="2" s="1"/>
  <c r="AQ95" i="2"/>
  <c r="AP95" i="2"/>
  <c r="AO95" i="2"/>
  <c r="AN95" i="2"/>
  <c r="AM95" i="2"/>
  <c r="AL95" i="2"/>
  <c r="AK95" i="2"/>
  <c r="AJ95" i="2"/>
  <c r="AI95" i="2"/>
  <c r="AH95" i="2"/>
  <c r="AG95" i="2"/>
  <c r="AF95" i="2"/>
  <c r="AC95" i="2"/>
  <c r="AB95" i="2"/>
  <c r="AA95" i="2"/>
  <c r="Z95" i="2"/>
  <c r="Y95" i="2"/>
  <c r="X95" i="2"/>
  <c r="W95" i="2"/>
  <c r="V95" i="2"/>
  <c r="U95" i="2"/>
  <c r="T95" i="2"/>
  <c r="S95" i="2"/>
  <c r="R95" i="2"/>
  <c r="P95" i="2"/>
  <c r="O95" i="2"/>
  <c r="N95" i="2"/>
  <c r="M95" i="2"/>
  <c r="L95" i="2"/>
  <c r="K95" i="2"/>
  <c r="J95" i="2"/>
  <c r="I95" i="2"/>
  <c r="H95" i="2"/>
  <c r="G95" i="2"/>
  <c r="F95" i="2"/>
  <c r="E95" i="2"/>
  <c r="Q95" i="2" s="1"/>
  <c r="AQ94" i="2"/>
  <c r="AP94" i="2"/>
  <c r="AO94" i="2"/>
  <c r="AN94" i="2"/>
  <c r="AM94" i="2"/>
  <c r="AL94" i="2"/>
  <c r="AK94" i="2"/>
  <c r="AJ94" i="2"/>
  <c r="AI94" i="2"/>
  <c r="AH94" i="2"/>
  <c r="AG94" i="2"/>
  <c r="AF94" i="2"/>
  <c r="AC94" i="2"/>
  <c r="AB94" i="2"/>
  <c r="AA94" i="2"/>
  <c r="Z94" i="2"/>
  <c r="Y94" i="2"/>
  <c r="X94" i="2"/>
  <c r="W94" i="2"/>
  <c r="V94" i="2"/>
  <c r="U94" i="2"/>
  <c r="T94" i="2"/>
  <c r="S94" i="2"/>
  <c r="R94" i="2"/>
  <c r="P94" i="2"/>
  <c r="O94" i="2"/>
  <c r="N94" i="2"/>
  <c r="M94" i="2"/>
  <c r="L94" i="2"/>
  <c r="K94" i="2"/>
  <c r="J94" i="2"/>
  <c r="I94" i="2"/>
  <c r="H94" i="2"/>
  <c r="G94" i="2"/>
  <c r="F94" i="2"/>
  <c r="E94" i="2"/>
  <c r="Q94" i="2" s="1"/>
  <c r="AQ92" i="2"/>
  <c r="AP92" i="2"/>
  <c r="AO92" i="2"/>
  <c r="AN92" i="2"/>
  <c r="AM92" i="2"/>
  <c r="AL92" i="2"/>
  <c r="AK92" i="2"/>
  <c r="AJ92" i="2"/>
  <c r="AI92" i="2"/>
  <c r="AH92" i="2"/>
  <c r="AG92" i="2"/>
  <c r="AF92" i="2"/>
  <c r="AC92" i="2"/>
  <c r="AB92" i="2"/>
  <c r="AA92" i="2"/>
  <c r="Z92" i="2"/>
  <c r="Y92" i="2"/>
  <c r="X92" i="2"/>
  <c r="W92" i="2"/>
  <c r="V92" i="2"/>
  <c r="U92" i="2"/>
  <c r="T92" i="2"/>
  <c r="S92" i="2"/>
  <c r="R92" i="2"/>
  <c r="P92" i="2"/>
  <c r="O92" i="2"/>
  <c r="N92" i="2"/>
  <c r="M92" i="2"/>
  <c r="L92" i="2"/>
  <c r="K92" i="2"/>
  <c r="J92" i="2"/>
  <c r="I92" i="2"/>
  <c r="H92" i="2"/>
  <c r="G92" i="2"/>
  <c r="F92" i="2"/>
  <c r="E92" i="2"/>
  <c r="Q92" i="2" s="1"/>
  <c r="AQ91" i="2"/>
  <c r="AP91" i="2"/>
  <c r="AO91" i="2"/>
  <c r="AN91" i="2"/>
  <c r="AM91" i="2"/>
  <c r="AL91" i="2"/>
  <c r="AK91" i="2"/>
  <c r="AJ91" i="2"/>
  <c r="AI91" i="2"/>
  <c r="AH91" i="2"/>
  <c r="AG91" i="2"/>
  <c r="AF91" i="2"/>
  <c r="AC91" i="2"/>
  <c r="AB91" i="2"/>
  <c r="AA91" i="2"/>
  <c r="Z91" i="2"/>
  <c r="Y91" i="2"/>
  <c r="X91" i="2"/>
  <c r="W91" i="2"/>
  <c r="V91" i="2"/>
  <c r="U91" i="2"/>
  <c r="T91" i="2"/>
  <c r="S91" i="2"/>
  <c r="R91" i="2"/>
  <c r="P91" i="2"/>
  <c r="O91" i="2"/>
  <c r="N91" i="2"/>
  <c r="M91" i="2"/>
  <c r="L91" i="2"/>
  <c r="K91" i="2"/>
  <c r="J91" i="2"/>
  <c r="I91" i="2"/>
  <c r="H91" i="2"/>
  <c r="G91" i="2"/>
  <c r="F91" i="2"/>
  <c r="E91" i="2"/>
  <c r="Q91" i="2" s="1"/>
  <c r="AQ90" i="2"/>
  <c r="AP90" i="2"/>
  <c r="AO90" i="2"/>
  <c r="AN90" i="2"/>
  <c r="AM90" i="2"/>
  <c r="AL90" i="2"/>
  <c r="AK90" i="2"/>
  <c r="AJ90" i="2"/>
  <c r="AI90" i="2"/>
  <c r="AH90" i="2"/>
  <c r="AG90" i="2"/>
  <c r="AF90" i="2"/>
  <c r="AC90" i="2"/>
  <c r="AB90" i="2"/>
  <c r="AA90" i="2"/>
  <c r="Z90" i="2"/>
  <c r="Y90" i="2"/>
  <c r="X90" i="2"/>
  <c r="W90" i="2"/>
  <c r="V90" i="2"/>
  <c r="U90" i="2"/>
  <c r="T90" i="2"/>
  <c r="S90" i="2"/>
  <c r="R90" i="2"/>
  <c r="P90" i="2"/>
  <c r="O90" i="2"/>
  <c r="N90" i="2"/>
  <c r="M90" i="2"/>
  <c r="L90" i="2"/>
  <c r="K90" i="2"/>
  <c r="J90" i="2"/>
  <c r="I90" i="2"/>
  <c r="H90" i="2"/>
  <c r="G90" i="2"/>
  <c r="F90" i="2"/>
  <c r="E90" i="2"/>
  <c r="Q90" i="2" s="1"/>
  <c r="AQ89" i="2"/>
  <c r="AP89" i="2"/>
  <c r="AO89" i="2"/>
  <c r="AN89" i="2"/>
  <c r="AM89" i="2"/>
  <c r="AL89" i="2"/>
  <c r="AK89" i="2"/>
  <c r="AJ89" i="2"/>
  <c r="AI89" i="2"/>
  <c r="AH89" i="2"/>
  <c r="AG89" i="2"/>
  <c r="AF89" i="2"/>
  <c r="AC89" i="2"/>
  <c r="AB89" i="2"/>
  <c r="AA89" i="2"/>
  <c r="Z89" i="2"/>
  <c r="Y89" i="2"/>
  <c r="X89" i="2"/>
  <c r="W89" i="2"/>
  <c r="V89" i="2"/>
  <c r="U89" i="2"/>
  <c r="T89" i="2"/>
  <c r="S89" i="2"/>
  <c r="R89" i="2"/>
  <c r="P89" i="2"/>
  <c r="O89" i="2"/>
  <c r="N89" i="2"/>
  <c r="M89" i="2"/>
  <c r="L89" i="2"/>
  <c r="K89" i="2"/>
  <c r="J89" i="2"/>
  <c r="I89" i="2"/>
  <c r="H89" i="2"/>
  <c r="G89" i="2"/>
  <c r="F89" i="2"/>
  <c r="E89" i="2"/>
  <c r="Q89" i="2" s="1"/>
  <c r="AQ88" i="2"/>
  <c r="AP88" i="2"/>
  <c r="AO88" i="2"/>
  <c r="AN88" i="2"/>
  <c r="AM88" i="2"/>
  <c r="AL88" i="2"/>
  <c r="AK88" i="2"/>
  <c r="AJ88" i="2"/>
  <c r="AI88" i="2"/>
  <c r="AH88" i="2"/>
  <c r="AG88" i="2"/>
  <c r="AF88" i="2"/>
  <c r="AC88" i="2"/>
  <c r="AB88" i="2"/>
  <c r="AA88" i="2"/>
  <c r="Z88" i="2"/>
  <c r="Y88" i="2"/>
  <c r="X88" i="2"/>
  <c r="W88" i="2"/>
  <c r="V88" i="2"/>
  <c r="U88" i="2"/>
  <c r="Y302" i="4"/>
  <c r="X302" i="4"/>
  <c r="W302" i="4"/>
  <c r="V302" i="4"/>
  <c r="U302" i="4"/>
  <c r="T302" i="4"/>
  <c r="S302" i="4"/>
  <c r="R302" i="4"/>
  <c r="Q302" i="4"/>
  <c r="P302" i="4"/>
  <c r="O302" i="4"/>
  <c r="A302" i="4"/>
  <c r="A320" i="4" s="1"/>
  <c r="AL244" i="4"/>
  <c r="AK244" i="4"/>
  <c r="AJ244" i="4"/>
  <c r="AI244" i="4"/>
  <c r="AH244" i="4"/>
  <c r="AG244" i="4"/>
  <c r="AF244" i="4"/>
  <c r="AE244" i="4"/>
  <c r="AD244" i="4"/>
  <c r="AC244" i="4"/>
  <c r="AB244" i="4"/>
  <c r="AA244" i="4"/>
  <c r="Z244" i="4"/>
  <c r="Z249" i="4" s="1"/>
  <c r="Y244" i="4"/>
  <c r="X244" i="4"/>
  <c r="W244" i="4"/>
  <c r="V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C244" i="4"/>
  <c r="AL132" i="4"/>
  <c r="AK132" i="4"/>
  <c r="AJ132" i="4"/>
  <c r="AI132" i="4"/>
  <c r="AH132" i="4"/>
  <c r="AG132" i="4"/>
  <c r="AF132" i="4"/>
  <c r="AE132" i="4"/>
  <c r="AD132" i="4"/>
  <c r="AC132" i="4"/>
  <c r="AB132" i="4"/>
  <c r="AA132" i="4"/>
  <c r="Z132" i="4"/>
  <c r="Y132" i="4"/>
  <c r="X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D60" i="3"/>
  <c r="AD209" i="2"/>
  <c r="W209" i="2"/>
  <c r="AS208" i="2"/>
  <c r="AE208" i="2"/>
  <c r="AR205" i="2"/>
  <c r="AS204" i="2"/>
  <c r="AD204" i="2"/>
  <c r="AD203" i="2"/>
  <c r="Q202" i="2"/>
  <c r="AS198" i="2"/>
  <c r="Q198" i="2"/>
  <c r="AR196" i="2"/>
  <c r="AE195" i="2"/>
  <c r="Q195" i="2"/>
  <c r="AS193" i="2"/>
  <c r="AD193" i="2"/>
  <c r="AR192" i="2"/>
  <c r="AD192" i="2"/>
  <c r="Q192" i="2"/>
  <c r="AD191" i="2"/>
  <c r="AR190" i="2"/>
  <c r="AE189" i="2"/>
  <c r="AD188" i="2"/>
  <c r="Q188" i="2"/>
  <c r="AS185" i="2"/>
  <c r="AS184" i="2"/>
  <c r="AS183" i="2"/>
  <c r="AE183" i="2"/>
  <c r="AS182" i="2"/>
  <c r="AE182" i="2"/>
  <c r="AO181" i="2"/>
  <c r="AJ181" i="2"/>
  <c r="AF181" i="2"/>
  <c r="Z181" i="2"/>
  <c r="P181" i="2"/>
  <c r="G181" i="2"/>
  <c r="AD180" i="2"/>
  <c r="AD178" i="2"/>
  <c r="AR177" i="2"/>
  <c r="AE176" i="2"/>
  <c r="AE175" i="2"/>
  <c r="Q175" i="2"/>
  <c r="AR174" i="2"/>
  <c r="Q174" i="2"/>
  <c r="AR172" i="2"/>
  <c r="Q170" i="2"/>
  <c r="AD167" i="2"/>
  <c r="AS166" i="2"/>
  <c r="Q166" i="2"/>
  <c r="AR164" i="2"/>
  <c r="AS163" i="2"/>
  <c r="AD161" i="2"/>
  <c r="AE160" i="2"/>
  <c r="Q160" i="2"/>
  <c r="Q159" i="2"/>
  <c r="AS158" i="2"/>
  <c r="AD158" i="2"/>
  <c r="AD156" i="2"/>
  <c r="AR155" i="2"/>
  <c r="AE155" i="2"/>
  <c r="AD153" i="2"/>
  <c r="AD152" i="2"/>
  <c r="AS151" i="2"/>
  <c r="Q151" i="2"/>
  <c r="AE149" i="2"/>
  <c r="AS146" i="2"/>
  <c r="AD146" i="2"/>
  <c r="AD145" i="2"/>
  <c r="Q144" i="2"/>
  <c r="AE142" i="2"/>
  <c r="AR139" i="2"/>
  <c r="AE139" i="2"/>
  <c r="AR138" i="2"/>
  <c r="AD138" i="2"/>
  <c r="AD137" i="2"/>
  <c r="Q137" i="2"/>
  <c r="Q136" i="2"/>
  <c r="AS135" i="2"/>
  <c r="AR134" i="2"/>
  <c r="AD134" i="2"/>
  <c r="AD131" i="2"/>
  <c r="Q131" i="2"/>
  <c r="AD130" i="2"/>
  <c r="AR127" i="2"/>
  <c r="AD127" i="2"/>
  <c r="AR126" i="2"/>
  <c r="AE126" i="2"/>
  <c r="AE125" i="2"/>
  <c r="AD124" i="2"/>
  <c r="T88" i="2"/>
  <c r="S88" i="2"/>
  <c r="R88" i="2"/>
  <c r="P88" i="2"/>
  <c r="O88" i="2"/>
  <c r="N88" i="2"/>
  <c r="M88" i="2"/>
  <c r="L88" i="2"/>
  <c r="K88" i="2"/>
  <c r="J88" i="2"/>
  <c r="I88" i="2"/>
  <c r="H88" i="2"/>
  <c r="G88" i="2"/>
  <c r="F88" i="2"/>
  <c r="E88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C87" i="2"/>
  <c r="AB87" i="2"/>
  <c r="AA87" i="2"/>
  <c r="Z87" i="2"/>
  <c r="Y87" i="2"/>
  <c r="X87" i="2"/>
  <c r="W87" i="2"/>
  <c r="V87" i="2"/>
  <c r="U87" i="2"/>
  <c r="T87" i="2"/>
  <c r="S87" i="2"/>
  <c r="R87" i="2"/>
  <c r="P87" i="2"/>
  <c r="O87" i="2"/>
  <c r="N87" i="2"/>
  <c r="M87" i="2"/>
  <c r="L87" i="2"/>
  <c r="K87" i="2"/>
  <c r="J87" i="2"/>
  <c r="I87" i="2"/>
  <c r="H87" i="2"/>
  <c r="G87" i="2"/>
  <c r="F87" i="2"/>
  <c r="E87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C86" i="2"/>
  <c r="AB86" i="2"/>
  <c r="AA86" i="2"/>
  <c r="Z86" i="2"/>
  <c r="Y86" i="2"/>
  <c r="X86" i="2"/>
  <c r="W86" i="2"/>
  <c r="V86" i="2"/>
  <c r="U86" i="2"/>
  <c r="T86" i="2"/>
  <c r="S86" i="2"/>
  <c r="R86" i="2"/>
  <c r="P86" i="2"/>
  <c r="O86" i="2"/>
  <c r="N86" i="2"/>
  <c r="M86" i="2"/>
  <c r="L86" i="2"/>
  <c r="K86" i="2"/>
  <c r="J86" i="2"/>
  <c r="I86" i="2"/>
  <c r="H86" i="2"/>
  <c r="G86" i="2"/>
  <c r="F86" i="2"/>
  <c r="E86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C85" i="2"/>
  <c r="AB85" i="2"/>
  <c r="AA85" i="2"/>
  <c r="Z85" i="2"/>
  <c r="Y85" i="2"/>
  <c r="X85" i="2"/>
  <c r="W85" i="2"/>
  <c r="V85" i="2"/>
  <c r="U85" i="2"/>
  <c r="T85" i="2"/>
  <c r="S85" i="2"/>
  <c r="R85" i="2"/>
  <c r="P85" i="2"/>
  <c r="O85" i="2"/>
  <c r="N85" i="2"/>
  <c r="M85" i="2"/>
  <c r="L85" i="2"/>
  <c r="K85" i="2"/>
  <c r="J85" i="2"/>
  <c r="I85" i="2"/>
  <c r="H85" i="2"/>
  <c r="G85" i="2"/>
  <c r="F85" i="2"/>
  <c r="E85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C84" i="2"/>
  <c r="AB84" i="2"/>
  <c r="AA84" i="2"/>
  <c r="Z84" i="2"/>
  <c r="Y84" i="2"/>
  <c r="X84" i="2"/>
  <c r="W84" i="2"/>
  <c r="V84" i="2"/>
  <c r="U84" i="2"/>
  <c r="T84" i="2"/>
  <c r="S84" i="2"/>
  <c r="R84" i="2"/>
  <c r="P84" i="2"/>
  <c r="O84" i="2"/>
  <c r="N84" i="2"/>
  <c r="M84" i="2"/>
  <c r="L84" i="2"/>
  <c r="K84" i="2"/>
  <c r="J84" i="2"/>
  <c r="I84" i="2"/>
  <c r="H84" i="2"/>
  <c r="G84" i="2"/>
  <c r="F84" i="2"/>
  <c r="E84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C83" i="2"/>
  <c r="AB83" i="2"/>
  <c r="AA83" i="2"/>
  <c r="Z83" i="2"/>
  <c r="Y83" i="2"/>
  <c r="X83" i="2"/>
  <c r="W83" i="2"/>
  <c r="V83" i="2"/>
  <c r="U83" i="2"/>
  <c r="T83" i="2"/>
  <c r="S83" i="2"/>
  <c r="R83" i="2"/>
  <c r="P83" i="2"/>
  <c r="O83" i="2"/>
  <c r="N83" i="2"/>
  <c r="M83" i="2"/>
  <c r="L83" i="2"/>
  <c r="K83" i="2"/>
  <c r="J83" i="2"/>
  <c r="I83" i="2"/>
  <c r="H83" i="2"/>
  <c r="G83" i="2"/>
  <c r="F83" i="2"/>
  <c r="E83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C82" i="2"/>
  <c r="AB82" i="2"/>
  <c r="AA82" i="2"/>
  <c r="Z82" i="2"/>
  <c r="Y82" i="2"/>
  <c r="X82" i="2"/>
  <c r="W82" i="2"/>
  <c r="V82" i="2"/>
  <c r="U82" i="2"/>
  <c r="T82" i="2"/>
  <c r="S82" i="2"/>
  <c r="R82" i="2"/>
  <c r="P82" i="2"/>
  <c r="O82" i="2"/>
  <c r="N82" i="2"/>
  <c r="M82" i="2"/>
  <c r="L82" i="2"/>
  <c r="K82" i="2"/>
  <c r="J82" i="2"/>
  <c r="I82" i="2"/>
  <c r="H82" i="2"/>
  <c r="G82" i="2"/>
  <c r="F82" i="2"/>
  <c r="E82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C81" i="2"/>
  <c r="AB81" i="2"/>
  <c r="AA81" i="2"/>
  <c r="Z81" i="2"/>
  <c r="Y81" i="2"/>
  <c r="X81" i="2"/>
  <c r="W81" i="2"/>
  <c r="V81" i="2"/>
  <c r="U81" i="2"/>
  <c r="T81" i="2"/>
  <c r="S81" i="2"/>
  <c r="R81" i="2"/>
  <c r="P81" i="2"/>
  <c r="O81" i="2"/>
  <c r="N81" i="2"/>
  <c r="M81" i="2"/>
  <c r="L81" i="2"/>
  <c r="K81" i="2"/>
  <c r="J81" i="2"/>
  <c r="I81" i="2"/>
  <c r="H81" i="2"/>
  <c r="G81" i="2"/>
  <c r="F81" i="2"/>
  <c r="E81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C80" i="2"/>
  <c r="AB80" i="2"/>
  <c r="AA80" i="2"/>
  <c r="Z80" i="2"/>
  <c r="Y80" i="2"/>
  <c r="X80" i="2"/>
  <c r="W80" i="2"/>
  <c r="V80" i="2"/>
  <c r="U80" i="2"/>
  <c r="T80" i="2"/>
  <c r="S80" i="2"/>
  <c r="R80" i="2"/>
  <c r="P80" i="2"/>
  <c r="O80" i="2"/>
  <c r="N80" i="2"/>
  <c r="M80" i="2"/>
  <c r="L80" i="2"/>
  <c r="K80" i="2"/>
  <c r="J80" i="2"/>
  <c r="I80" i="2"/>
  <c r="H80" i="2"/>
  <c r="G80" i="2"/>
  <c r="F80" i="2"/>
  <c r="E80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C79" i="2"/>
  <c r="AB79" i="2"/>
  <c r="AA79" i="2"/>
  <c r="Z79" i="2"/>
  <c r="Y79" i="2"/>
  <c r="X79" i="2"/>
  <c r="W79" i="2"/>
  <c r="V79" i="2"/>
  <c r="U79" i="2"/>
  <c r="T79" i="2"/>
  <c r="S79" i="2"/>
  <c r="R79" i="2"/>
  <c r="P79" i="2"/>
  <c r="O79" i="2"/>
  <c r="N79" i="2"/>
  <c r="M79" i="2"/>
  <c r="L79" i="2"/>
  <c r="K79" i="2"/>
  <c r="J79" i="2"/>
  <c r="I79" i="2"/>
  <c r="H79" i="2"/>
  <c r="G79" i="2"/>
  <c r="F79" i="2"/>
  <c r="E79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C78" i="2"/>
  <c r="AB78" i="2"/>
  <c r="AA78" i="2"/>
  <c r="Z78" i="2"/>
  <c r="Y78" i="2"/>
  <c r="X78" i="2"/>
  <c r="W78" i="2"/>
  <c r="V78" i="2"/>
  <c r="U78" i="2"/>
  <c r="T78" i="2"/>
  <c r="S78" i="2"/>
  <c r="R78" i="2"/>
  <c r="P78" i="2"/>
  <c r="O78" i="2"/>
  <c r="N78" i="2"/>
  <c r="M78" i="2"/>
  <c r="L78" i="2"/>
  <c r="K78" i="2"/>
  <c r="J78" i="2"/>
  <c r="I78" i="2"/>
  <c r="H78" i="2"/>
  <c r="G78" i="2"/>
  <c r="F78" i="2"/>
  <c r="E78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C77" i="2"/>
  <c r="AB77" i="2"/>
  <c r="AA77" i="2"/>
  <c r="Z77" i="2"/>
  <c r="Y77" i="2"/>
  <c r="X77" i="2"/>
  <c r="W77" i="2"/>
  <c r="V77" i="2"/>
  <c r="U77" i="2"/>
  <c r="T77" i="2"/>
  <c r="S77" i="2"/>
  <c r="R77" i="2"/>
  <c r="P77" i="2"/>
  <c r="O77" i="2"/>
  <c r="N77" i="2"/>
  <c r="M77" i="2"/>
  <c r="L77" i="2"/>
  <c r="K77" i="2"/>
  <c r="J77" i="2"/>
  <c r="I77" i="2"/>
  <c r="H77" i="2"/>
  <c r="G77" i="2"/>
  <c r="F77" i="2"/>
  <c r="E77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C76" i="2"/>
  <c r="AB76" i="2"/>
  <c r="AA76" i="2"/>
  <c r="Z76" i="2"/>
  <c r="Y76" i="2"/>
  <c r="X76" i="2"/>
  <c r="W76" i="2"/>
  <c r="V76" i="2"/>
  <c r="U76" i="2"/>
  <c r="T76" i="2"/>
  <c r="S76" i="2"/>
  <c r="R76" i="2"/>
  <c r="P76" i="2"/>
  <c r="O76" i="2"/>
  <c r="N76" i="2"/>
  <c r="M76" i="2"/>
  <c r="L76" i="2"/>
  <c r="K76" i="2"/>
  <c r="J76" i="2"/>
  <c r="I76" i="2"/>
  <c r="H76" i="2"/>
  <c r="G76" i="2"/>
  <c r="F76" i="2"/>
  <c r="E76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C75" i="2"/>
  <c r="AB75" i="2"/>
  <c r="AA75" i="2"/>
  <c r="Z75" i="2"/>
  <c r="Y75" i="2"/>
  <c r="X75" i="2"/>
  <c r="W75" i="2"/>
  <c r="V75" i="2"/>
  <c r="U75" i="2"/>
  <c r="T75" i="2"/>
  <c r="S75" i="2"/>
  <c r="R75" i="2"/>
  <c r="P75" i="2"/>
  <c r="O75" i="2"/>
  <c r="N75" i="2"/>
  <c r="M75" i="2"/>
  <c r="L75" i="2"/>
  <c r="K75" i="2"/>
  <c r="J75" i="2"/>
  <c r="I75" i="2"/>
  <c r="H75" i="2"/>
  <c r="G75" i="2"/>
  <c r="F75" i="2"/>
  <c r="E75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C74" i="2"/>
  <c r="AB74" i="2"/>
  <c r="AA74" i="2"/>
  <c r="Z74" i="2"/>
  <c r="Y74" i="2"/>
  <c r="X74" i="2"/>
  <c r="W74" i="2"/>
  <c r="V74" i="2"/>
  <c r="U74" i="2"/>
  <c r="T74" i="2"/>
  <c r="S74" i="2"/>
  <c r="R74" i="2"/>
  <c r="P74" i="2"/>
  <c r="O74" i="2"/>
  <c r="N74" i="2"/>
  <c r="M74" i="2"/>
  <c r="L74" i="2"/>
  <c r="K74" i="2"/>
  <c r="J74" i="2"/>
  <c r="I74" i="2"/>
  <c r="H74" i="2"/>
  <c r="G74" i="2"/>
  <c r="F74" i="2"/>
  <c r="E74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C73" i="2"/>
  <c r="AB73" i="2"/>
  <c r="AA73" i="2"/>
  <c r="Z73" i="2"/>
  <c r="Y73" i="2"/>
  <c r="X73" i="2"/>
  <c r="W73" i="2"/>
  <c r="V73" i="2"/>
  <c r="U73" i="2"/>
  <c r="T73" i="2"/>
  <c r="S73" i="2"/>
  <c r="R73" i="2"/>
  <c r="P73" i="2"/>
  <c r="O73" i="2"/>
  <c r="N73" i="2"/>
  <c r="M73" i="2"/>
  <c r="L73" i="2"/>
  <c r="K73" i="2"/>
  <c r="J73" i="2"/>
  <c r="I73" i="2"/>
  <c r="H73" i="2"/>
  <c r="G73" i="2"/>
  <c r="F73" i="2"/>
  <c r="E73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C72" i="2"/>
  <c r="AB72" i="2"/>
  <c r="AA72" i="2"/>
  <c r="Z72" i="2"/>
  <c r="Y72" i="2"/>
  <c r="X72" i="2"/>
  <c r="W72" i="2"/>
  <c r="V72" i="2"/>
  <c r="U72" i="2"/>
  <c r="T72" i="2"/>
  <c r="S72" i="2"/>
  <c r="R72" i="2"/>
  <c r="P72" i="2"/>
  <c r="O72" i="2"/>
  <c r="N72" i="2"/>
  <c r="M72" i="2"/>
  <c r="L72" i="2"/>
  <c r="K72" i="2"/>
  <c r="J72" i="2"/>
  <c r="I72" i="2"/>
  <c r="H72" i="2"/>
  <c r="G72" i="2"/>
  <c r="F72" i="2"/>
  <c r="E72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C70" i="2"/>
  <c r="AB70" i="2"/>
  <c r="AA70" i="2"/>
  <c r="Z70" i="2"/>
  <c r="Y70" i="2"/>
  <c r="X70" i="2"/>
  <c r="W70" i="2"/>
  <c r="V70" i="2"/>
  <c r="U70" i="2"/>
  <c r="T70" i="2"/>
  <c r="S70" i="2"/>
  <c r="R70" i="2"/>
  <c r="P70" i="2"/>
  <c r="O70" i="2"/>
  <c r="N70" i="2"/>
  <c r="M70" i="2"/>
  <c r="L70" i="2"/>
  <c r="K70" i="2"/>
  <c r="J70" i="2"/>
  <c r="I70" i="2"/>
  <c r="H70" i="2"/>
  <c r="G70" i="2"/>
  <c r="F70" i="2"/>
  <c r="E70" i="2"/>
  <c r="AO67" i="2"/>
  <c r="AM67" i="2"/>
  <c r="AJ67" i="2"/>
  <c r="AG67" i="2"/>
  <c r="AB67" i="2"/>
  <c r="Y67" i="2"/>
  <c r="V67" i="2"/>
  <c r="S67" i="2"/>
  <c r="O67" i="2"/>
  <c r="L67" i="2"/>
  <c r="I67" i="2"/>
  <c r="E67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C66" i="2"/>
  <c r="AB66" i="2"/>
  <c r="AA66" i="2"/>
  <c r="Z66" i="2"/>
  <c r="Y66" i="2"/>
  <c r="X66" i="2"/>
  <c r="W66" i="2"/>
  <c r="V66" i="2"/>
  <c r="U66" i="2"/>
  <c r="T66" i="2"/>
  <c r="S66" i="2"/>
  <c r="R66" i="2"/>
  <c r="P66" i="2"/>
  <c r="O66" i="2"/>
  <c r="N66" i="2"/>
  <c r="M66" i="2"/>
  <c r="L66" i="2"/>
  <c r="K66" i="2"/>
  <c r="J66" i="2"/>
  <c r="I66" i="2"/>
  <c r="H66" i="2"/>
  <c r="G66" i="2"/>
  <c r="F66" i="2"/>
  <c r="E66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C65" i="2"/>
  <c r="AB65" i="2"/>
  <c r="AA65" i="2"/>
  <c r="Z65" i="2"/>
  <c r="Y65" i="2"/>
  <c r="X65" i="2"/>
  <c r="W65" i="2"/>
  <c r="V65" i="2"/>
  <c r="U65" i="2"/>
  <c r="T65" i="2"/>
  <c r="S65" i="2"/>
  <c r="R65" i="2"/>
  <c r="P65" i="2"/>
  <c r="O65" i="2"/>
  <c r="N65" i="2"/>
  <c r="M65" i="2"/>
  <c r="L65" i="2"/>
  <c r="K65" i="2"/>
  <c r="J65" i="2"/>
  <c r="I65" i="2"/>
  <c r="H65" i="2"/>
  <c r="G65" i="2"/>
  <c r="F65" i="2"/>
  <c r="E65" i="2"/>
  <c r="AI64" i="2"/>
  <c r="AH64" i="2"/>
  <c r="AG64" i="2"/>
  <c r="AF64" i="2"/>
  <c r="AC64" i="2"/>
  <c r="AB64" i="2"/>
  <c r="AA64" i="2"/>
  <c r="Z64" i="2"/>
  <c r="Y64" i="2"/>
  <c r="X64" i="2"/>
  <c r="W64" i="2"/>
  <c r="V64" i="2"/>
  <c r="U64" i="2"/>
  <c r="T64" i="2"/>
  <c r="S64" i="2"/>
  <c r="R64" i="2"/>
  <c r="P64" i="2"/>
  <c r="O64" i="2"/>
  <c r="N64" i="2"/>
  <c r="M64" i="2"/>
  <c r="L64" i="2"/>
  <c r="K64" i="2"/>
  <c r="J64" i="2"/>
  <c r="I64" i="2"/>
  <c r="H64" i="2"/>
  <c r="G64" i="2"/>
  <c r="F64" i="2"/>
  <c r="E64" i="2"/>
  <c r="AI63" i="2"/>
  <c r="AH63" i="2"/>
  <c r="AG63" i="2"/>
  <c r="AF63" i="2"/>
  <c r="AC63" i="2"/>
  <c r="AB63" i="2"/>
  <c r="AA63" i="2"/>
  <c r="Z63" i="2"/>
  <c r="Y63" i="2"/>
  <c r="X63" i="2"/>
  <c r="W63" i="2"/>
  <c r="V63" i="2"/>
  <c r="U63" i="2"/>
  <c r="T63" i="2"/>
  <c r="S63" i="2"/>
  <c r="R63" i="2"/>
  <c r="P63" i="2"/>
  <c r="O63" i="2"/>
  <c r="N63" i="2"/>
  <c r="M63" i="2"/>
  <c r="L63" i="2"/>
  <c r="K63" i="2"/>
  <c r="J63" i="2"/>
  <c r="I63" i="2"/>
  <c r="H63" i="2"/>
  <c r="G63" i="2"/>
  <c r="F63" i="2"/>
  <c r="E63" i="2"/>
  <c r="AI62" i="2"/>
  <c r="AH62" i="2"/>
  <c r="AG62" i="2"/>
  <c r="AF62" i="2"/>
  <c r="AC62" i="2"/>
  <c r="AB62" i="2"/>
  <c r="AA62" i="2"/>
  <c r="Z62" i="2"/>
  <c r="Y62" i="2"/>
  <c r="X62" i="2"/>
  <c r="W62" i="2"/>
  <c r="V62" i="2"/>
  <c r="U62" i="2"/>
  <c r="T62" i="2"/>
  <c r="S62" i="2"/>
  <c r="R62" i="2"/>
  <c r="P62" i="2"/>
  <c r="O62" i="2"/>
  <c r="N62" i="2"/>
  <c r="M62" i="2"/>
  <c r="L62" i="2"/>
  <c r="K62" i="2"/>
  <c r="J62" i="2"/>
  <c r="I62" i="2"/>
  <c r="H62" i="2"/>
  <c r="G62" i="2"/>
  <c r="F62" i="2"/>
  <c r="E62" i="2"/>
  <c r="AI61" i="2"/>
  <c r="AH61" i="2"/>
  <c r="AG61" i="2"/>
  <c r="AF61" i="2"/>
  <c r="AC61" i="2"/>
  <c r="AB61" i="2"/>
  <c r="AA61" i="2"/>
  <c r="Z61" i="2"/>
  <c r="Y61" i="2"/>
  <c r="X61" i="2"/>
  <c r="W61" i="2"/>
  <c r="V61" i="2"/>
  <c r="U61" i="2"/>
  <c r="T61" i="2"/>
  <c r="S61" i="2"/>
  <c r="R61" i="2"/>
  <c r="P61" i="2"/>
  <c r="O61" i="2"/>
  <c r="N61" i="2"/>
  <c r="M61" i="2"/>
  <c r="L61" i="2"/>
  <c r="K61" i="2"/>
  <c r="J61" i="2"/>
  <c r="I61" i="2"/>
  <c r="H61" i="2"/>
  <c r="G61" i="2"/>
  <c r="F61" i="2"/>
  <c r="E61" i="2"/>
  <c r="AI60" i="2"/>
  <c r="AH60" i="2"/>
  <c r="AG60" i="2"/>
  <c r="AF60" i="2"/>
  <c r="AC60" i="2"/>
  <c r="AB60" i="2"/>
  <c r="AA60" i="2"/>
  <c r="Z60" i="2"/>
  <c r="Y60" i="2"/>
  <c r="X60" i="2"/>
  <c r="W60" i="2"/>
  <c r="V60" i="2"/>
  <c r="U60" i="2"/>
  <c r="T60" i="2"/>
  <c r="S60" i="2"/>
  <c r="R60" i="2"/>
  <c r="P60" i="2"/>
  <c r="O60" i="2"/>
  <c r="N60" i="2"/>
  <c r="M60" i="2"/>
  <c r="L60" i="2"/>
  <c r="K60" i="2"/>
  <c r="J60" i="2"/>
  <c r="I60" i="2"/>
  <c r="H60" i="2"/>
  <c r="G60" i="2"/>
  <c r="F60" i="2"/>
  <c r="E60" i="2"/>
  <c r="AI59" i="2"/>
  <c r="AH59" i="2"/>
  <c r="AG59" i="2"/>
  <c r="AF59" i="2"/>
  <c r="AC59" i="2"/>
  <c r="AB59" i="2"/>
  <c r="AA59" i="2"/>
  <c r="Z59" i="2"/>
  <c r="Y59" i="2"/>
  <c r="X59" i="2"/>
  <c r="W59" i="2"/>
  <c r="V59" i="2"/>
  <c r="U59" i="2"/>
  <c r="T59" i="2"/>
  <c r="S59" i="2"/>
  <c r="R59" i="2"/>
  <c r="P59" i="2"/>
  <c r="O59" i="2"/>
  <c r="N59" i="2"/>
  <c r="M59" i="2"/>
  <c r="L59" i="2"/>
  <c r="K59" i="2"/>
  <c r="J59" i="2"/>
  <c r="I59" i="2"/>
  <c r="H59" i="2"/>
  <c r="G59" i="2"/>
  <c r="F59" i="2"/>
  <c r="E59" i="2"/>
  <c r="AI58" i="2"/>
  <c r="AH58" i="2"/>
  <c r="AG58" i="2"/>
  <c r="AF58" i="2"/>
  <c r="AC58" i="2"/>
  <c r="AB58" i="2"/>
  <c r="AA58" i="2"/>
  <c r="Z58" i="2"/>
  <c r="Y58" i="2"/>
  <c r="X58" i="2"/>
  <c r="W58" i="2"/>
  <c r="V58" i="2"/>
  <c r="U58" i="2"/>
  <c r="T58" i="2"/>
  <c r="S58" i="2"/>
  <c r="R58" i="2"/>
  <c r="P58" i="2"/>
  <c r="O58" i="2"/>
  <c r="N58" i="2"/>
  <c r="M58" i="2"/>
  <c r="L58" i="2"/>
  <c r="K58" i="2"/>
  <c r="J58" i="2"/>
  <c r="I58" i="2"/>
  <c r="H58" i="2"/>
  <c r="G58" i="2"/>
  <c r="F58" i="2"/>
  <c r="E58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C57" i="2"/>
  <c r="AB57" i="2"/>
  <c r="AA57" i="2"/>
  <c r="Z57" i="2"/>
  <c r="Y57" i="2"/>
  <c r="X57" i="2"/>
  <c r="W57" i="2"/>
  <c r="V57" i="2"/>
  <c r="U57" i="2"/>
  <c r="T57" i="2"/>
  <c r="S57" i="2"/>
  <c r="R57" i="2"/>
  <c r="P57" i="2"/>
  <c r="O57" i="2"/>
  <c r="N57" i="2"/>
  <c r="M57" i="2"/>
  <c r="L57" i="2"/>
  <c r="K57" i="2"/>
  <c r="J57" i="2"/>
  <c r="I57" i="2"/>
  <c r="H57" i="2"/>
  <c r="G57" i="2"/>
  <c r="F57" i="2"/>
  <c r="E57" i="2"/>
  <c r="AI55" i="2"/>
  <c r="AH55" i="2"/>
  <c r="AG55" i="2"/>
  <c r="AF55" i="2"/>
  <c r="AC55" i="2"/>
  <c r="AB55" i="2"/>
  <c r="AA55" i="2"/>
  <c r="Z55" i="2"/>
  <c r="Y55" i="2"/>
  <c r="X55" i="2"/>
  <c r="W55" i="2"/>
  <c r="V55" i="2"/>
  <c r="U55" i="2"/>
  <c r="T55" i="2"/>
  <c r="S55" i="2"/>
  <c r="R55" i="2"/>
  <c r="P55" i="2"/>
  <c r="O55" i="2"/>
  <c r="N55" i="2"/>
  <c r="M55" i="2"/>
  <c r="L55" i="2"/>
  <c r="K55" i="2"/>
  <c r="J55" i="2"/>
  <c r="I55" i="2"/>
  <c r="H55" i="2"/>
  <c r="G55" i="2"/>
  <c r="F55" i="2"/>
  <c r="E55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C54" i="2"/>
  <c r="AB54" i="2"/>
  <c r="AA54" i="2"/>
  <c r="Z54" i="2"/>
  <c r="Y54" i="2"/>
  <c r="X54" i="2"/>
  <c r="W54" i="2"/>
  <c r="V54" i="2"/>
  <c r="U54" i="2"/>
  <c r="T54" i="2"/>
  <c r="S54" i="2"/>
  <c r="R54" i="2"/>
  <c r="P54" i="2"/>
  <c r="O54" i="2"/>
  <c r="N54" i="2"/>
  <c r="M54" i="2"/>
  <c r="L54" i="2"/>
  <c r="K54" i="2"/>
  <c r="J54" i="2"/>
  <c r="I54" i="2"/>
  <c r="H54" i="2"/>
  <c r="G54" i="2"/>
  <c r="F54" i="2"/>
  <c r="E54" i="2"/>
  <c r="AI53" i="2"/>
  <c r="AH53" i="2"/>
  <c r="AG53" i="2"/>
  <c r="AF53" i="2"/>
  <c r="AC53" i="2"/>
  <c r="AB53" i="2"/>
  <c r="AA53" i="2"/>
  <c r="Z53" i="2"/>
  <c r="Y53" i="2"/>
  <c r="X53" i="2"/>
  <c r="W53" i="2"/>
  <c r="V53" i="2"/>
  <c r="U53" i="2"/>
  <c r="T53" i="2"/>
  <c r="S53" i="2"/>
  <c r="R53" i="2"/>
  <c r="P53" i="2"/>
  <c r="O53" i="2"/>
  <c r="N53" i="2"/>
  <c r="M53" i="2"/>
  <c r="L53" i="2"/>
  <c r="K53" i="2"/>
  <c r="J53" i="2"/>
  <c r="I53" i="2"/>
  <c r="H53" i="2"/>
  <c r="G53" i="2"/>
  <c r="F53" i="2"/>
  <c r="E53" i="2"/>
  <c r="AI52" i="2"/>
  <c r="AH52" i="2"/>
  <c r="AG52" i="2"/>
  <c r="AF52" i="2"/>
  <c r="AC52" i="2"/>
  <c r="AB52" i="2"/>
  <c r="AA52" i="2"/>
  <c r="Z52" i="2"/>
  <c r="Y52" i="2"/>
  <c r="X52" i="2"/>
  <c r="W52" i="2"/>
  <c r="V52" i="2"/>
  <c r="U52" i="2"/>
  <c r="T52" i="2"/>
  <c r="S52" i="2"/>
  <c r="R52" i="2"/>
  <c r="P52" i="2"/>
  <c r="O52" i="2"/>
  <c r="N52" i="2"/>
  <c r="M52" i="2"/>
  <c r="L52" i="2"/>
  <c r="K52" i="2"/>
  <c r="J52" i="2"/>
  <c r="I52" i="2"/>
  <c r="H52" i="2"/>
  <c r="G52" i="2"/>
  <c r="F52" i="2"/>
  <c r="E52" i="2"/>
  <c r="AI51" i="2"/>
  <c r="AH51" i="2"/>
  <c r="AG51" i="2"/>
  <c r="AF51" i="2"/>
  <c r="AC51" i="2"/>
  <c r="AB51" i="2"/>
  <c r="AA51" i="2"/>
  <c r="Z51" i="2"/>
  <c r="Y51" i="2"/>
  <c r="X51" i="2"/>
  <c r="W51" i="2"/>
  <c r="V51" i="2"/>
  <c r="U51" i="2"/>
  <c r="T51" i="2"/>
  <c r="S51" i="2"/>
  <c r="R51" i="2"/>
  <c r="P51" i="2"/>
  <c r="O51" i="2"/>
  <c r="N51" i="2"/>
  <c r="M51" i="2"/>
  <c r="L51" i="2"/>
  <c r="K51" i="2"/>
  <c r="J51" i="2"/>
  <c r="I51" i="2"/>
  <c r="H51" i="2"/>
  <c r="G51" i="2"/>
  <c r="F51" i="2"/>
  <c r="E51" i="2"/>
  <c r="AI50" i="2"/>
  <c r="AH50" i="2"/>
  <c r="AG50" i="2"/>
  <c r="AF50" i="2"/>
  <c r="AC50" i="2"/>
  <c r="AB50" i="2"/>
  <c r="AA50" i="2"/>
  <c r="Z50" i="2"/>
  <c r="Y50" i="2"/>
  <c r="X50" i="2"/>
  <c r="W50" i="2"/>
  <c r="V50" i="2"/>
  <c r="U50" i="2"/>
  <c r="T50" i="2"/>
  <c r="S50" i="2"/>
  <c r="R50" i="2"/>
  <c r="P50" i="2"/>
  <c r="O50" i="2"/>
  <c r="N50" i="2"/>
  <c r="M50" i="2"/>
  <c r="L50" i="2"/>
  <c r="K50" i="2"/>
  <c r="J50" i="2"/>
  <c r="I50" i="2"/>
  <c r="H50" i="2"/>
  <c r="G50" i="2"/>
  <c r="F50" i="2"/>
  <c r="E50" i="2"/>
  <c r="AI49" i="2"/>
  <c r="AH49" i="2"/>
  <c r="AG49" i="2"/>
  <c r="AF49" i="2"/>
  <c r="AC49" i="2"/>
  <c r="AB49" i="2"/>
  <c r="AA49" i="2"/>
  <c r="Z49" i="2"/>
  <c r="Y49" i="2"/>
  <c r="X49" i="2"/>
  <c r="W49" i="2"/>
  <c r="V49" i="2"/>
  <c r="U49" i="2"/>
  <c r="T49" i="2"/>
  <c r="S49" i="2"/>
  <c r="R49" i="2"/>
  <c r="P49" i="2"/>
  <c r="O49" i="2"/>
  <c r="N49" i="2"/>
  <c r="M49" i="2"/>
  <c r="L49" i="2"/>
  <c r="K49" i="2"/>
  <c r="J49" i="2"/>
  <c r="I49" i="2"/>
  <c r="H49" i="2"/>
  <c r="G49" i="2"/>
  <c r="F49" i="2"/>
  <c r="E49" i="2"/>
  <c r="AI48" i="2"/>
  <c r="AH48" i="2"/>
  <c r="AG48" i="2"/>
  <c r="AF48" i="2"/>
  <c r="AC48" i="2"/>
  <c r="AB48" i="2"/>
  <c r="AA48" i="2"/>
  <c r="Z48" i="2"/>
  <c r="Y48" i="2"/>
  <c r="X48" i="2"/>
  <c r="W48" i="2"/>
  <c r="V48" i="2"/>
  <c r="U48" i="2"/>
  <c r="T48" i="2"/>
  <c r="S48" i="2"/>
  <c r="R48" i="2"/>
  <c r="P48" i="2"/>
  <c r="O48" i="2"/>
  <c r="N48" i="2"/>
  <c r="M48" i="2"/>
  <c r="L48" i="2"/>
  <c r="K48" i="2"/>
  <c r="J48" i="2"/>
  <c r="I48" i="2"/>
  <c r="H48" i="2"/>
  <c r="G48" i="2"/>
  <c r="F48" i="2"/>
  <c r="E48" i="2"/>
  <c r="AI47" i="2"/>
  <c r="AH47" i="2"/>
  <c r="AG47" i="2"/>
  <c r="AF47" i="2"/>
  <c r="AC47" i="2"/>
  <c r="AB47" i="2"/>
  <c r="AA47" i="2"/>
  <c r="Z47" i="2"/>
  <c r="Y47" i="2"/>
  <c r="X47" i="2"/>
  <c r="W47" i="2"/>
  <c r="V47" i="2"/>
  <c r="U47" i="2"/>
  <c r="T47" i="2"/>
  <c r="S47" i="2"/>
  <c r="R47" i="2"/>
  <c r="P47" i="2"/>
  <c r="O47" i="2"/>
  <c r="N47" i="2"/>
  <c r="M47" i="2"/>
  <c r="L47" i="2"/>
  <c r="K47" i="2"/>
  <c r="J47" i="2"/>
  <c r="I47" i="2"/>
  <c r="H47" i="2"/>
  <c r="G47" i="2"/>
  <c r="F47" i="2"/>
  <c r="E47" i="2"/>
  <c r="AI46" i="2"/>
  <c r="AH46" i="2"/>
  <c r="AG46" i="2"/>
  <c r="AF46" i="2"/>
  <c r="AC46" i="2"/>
  <c r="AB46" i="2"/>
  <c r="AA46" i="2"/>
  <c r="Z46" i="2"/>
  <c r="Y46" i="2"/>
  <c r="X46" i="2"/>
  <c r="W46" i="2"/>
  <c r="V46" i="2"/>
  <c r="U46" i="2"/>
  <c r="T46" i="2"/>
  <c r="S46" i="2"/>
  <c r="R46" i="2"/>
  <c r="P46" i="2"/>
  <c r="O46" i="2"/>
  <c r="N46" i="2"/>
  <c r="M46" i="2"/>
  <c r="L46" i="2"/>
  <c r="K46" i="2"/>
  <c r="J46" i="2"/>
  <c r="I46" i="2"/>
  <c r="H46" i="2"/>
  <c r="G46" i="2"/>
  <c r="F46" i="2"/>
  <c r="E46" i="2"/>
  <c r="AI45" i="2"/>
  <c r="AH45" i="2"/>
  <c r="AG45" i="2"/>
  <c r="AF45" i="2"/>
  <c r="AC45" i="2"/>
  <c r="AB45" i="2"/>
  <c r="AA45" i="2"/>
  <c r="Z45" i="2"/>
  <c r="Y45" i="2"/>
  <c r="X45" i="2"/>
  <c r="W45" i="2"/>
  <c r="V45" i="2"/>
  <c r="U45" i="2"/>
  <c r="T45" i="2"/>
  <c r="S45" i="2"/>
  <c r="R45" i="2"/>
  <c r="P45" i="2"/>
  <c r="O45" i="2"/>
  <c r="N45" i="2"/>
  <c r="M45" i="2"/>
  <c r="L45" i="2"/>
  <c r="K45" i="2"/>
  <c r="J45" i="2"/>
  <c r="I45" i="2"/>
  <c r="H45" i="2"/>
  <c r="G45" i="2"/>
  <c r="F45" i="2"/>
  <c r="E45" i="2"/>
  <c r="AI44" i="2"/>
  <c r="AH44" i="2"/>
  <c r="AG44" i="2"/>
  <c r="AF44" i="2"/>
  <c r="AC44" i="2"/>
  <c r="AB44" i="2"/>
  <c r="AA44" i="2"/>
  <c r="Z44" i="2"/>
  <c r="Y44" i="2"/>
  <c r="X44" i="2"/>
  <c r="W44" i="2"/>
  <c r="V44" i="2"/>
  <c r="U44" i="2"/>
  <c r="T44" i="2"/>
  <c r="S44" i="2"/>
  <c r="R44" i="2"/>
  <c r="P44" i="2"/>
  <c r="O44" i="2"/>
  <c r="N44" i="2"/>
  <c r="M44" i="2"/>
  <c r="L44" i="2"/>
  <c r="K44" i="2"/>
  <c r="J44" i="2"/>
  <c r="I44" i="2"/>
  <c r="H44" i="2"/>
  <c r="G44" i="2"/>
  <c r="F44" i="2"/>
  <c r="E44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C43" i="2"/>
  <c r="AB43" i="2"/>
  <c r="AA43" i="2"/>
  <c r="Z43" i="2"/>
  <c r="Y43" i="2"/>
  <c r="X43" i="2"/>
  <c r="W43" i="2"/>
  <c r="V43" i="2"/>
  <c r="U43" i="2"/>
  <c r="T43" i="2"/>
  <c r="S43" i="2"/>
  <c r="R43" i="2"/>
  <c r="P43" i="2"/>
  <c r="O43" i="2"/>
  <c r="N43" i="2"/>
  <c r="M43" i="2"/>
  <c r="L43" i="2"/>
  <c r="K43" i="2"/>
  <c r="J43" i="2"/>
  <c r="I43" i="2"/>
  <c r="H43" i="2"/>
  <c r="G43" i="2"/>
  <c r="F43" i="2"/>
  <c r="E43" i="2"/>
  <c r="AK42" i="2"/>
  <c r="AJ42" i="2"/>
  <c r="AI42" i="2"/>
  <c r="AH42" i="2"/>
  <c r="AG42" i="2"/>
  <c r="AF42" i="2"/>
  <c r="AE42" i="2"/>
  <c r="AD42" i="2"/>
  <c r="Q42" i="2"/>
  <c r="AI41" i="2"/>
  <c r="AH41" i="2"/>
  <c r="AG41" i="2"/>
  <c r="AF41" i="2"/>
  <c r="AE41" i="2"/>
  <c r="AD41" i="2"/>
  <c r="Q41" i="2"/>
  <c r="AI40" i="2"/>
  <c r="AH40" i="2"/>
  <c r="AG40" i="2"/>
  <c r="AF40" i="2"/>
  <c r="AE40" i="2"/>
  <c r="AD40" i="2"/>
  <c r="Q40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C39" i="2"/>
  <c r="AC29" i="2" s="1"/>
  <c r="AB39" i="2"/>
  <c r="AB29" i="2" s="1"/>
  <c r="AA39" i="2"/>
  <c r="AA29" i="2" s="1"/>
  <c r="Z39" i="2"/>
  <c r="Z29" i="2" s="1"/>
  <c r="Y39" i="2"/>
  <c r="Y29" i="2" s="1"/>
  <c r="X39" i="2"/>
  <c r="X29" i="2" s="1"/>
  <c r="W39" i="2"/>
  <c r="W29" i="2" s="1"/>
  <c r="V39" i="2"/>
  <c r="V29" i="2" s="1"/>
  <c r="U39" i="2"/>
  <c r="U29" i="2" s="1"/>
  <c r="T39" i="2"/>
  <c r="T29" i="2" s="1"/>
  <c r="S39" i="2"/>
  <c r="S29" i="2" s="1"/>
  <c r="R39" i="2"/>
  <c r="R29" i="2" s="1"/>
  <c r="P39" i="2"/>
  <c r="P29" i="2" s="1"/>
  <c r="O39" i="2"/>
  <c r="O29" i="2" s="1"/>
  <c r="N39" i="2"/>
  <c r="N29" i="2" s="1"/>
  <c r="M39" i="2"/>
  <c r="M29" i="2" s="1"/>
  <c r="L39" i="2"/>
  <c r="L29" i="2" s="1"/>
  <c r="K39" i="2"/>
  <c r="K29" i="2" s="1"/>
  <c r="J39" i="2"/>
  <c r="J29" i="2" s="1"/>
  <c r="I39" i="2"/>
  <c r="I29" i="2" s="1"/>
  <c r="H39" i="2"/>
  <c r="H29" i="2" s="1"/>
  <c r="G39" i="2"/>
  <c r="G29" i="2" s="1"/>
  <c r="F39" i="2"/>
  <c r="F29" i="2" s="1"/>
  <c r="E39" i="2"/>
  <c r="E29" i="2" s="1"/>
  <c r="AQ38" i="2"/>
  <c r="AP38" i="2"/>
  <c r="AO38" i="2"/>
  <c r="AN38" i="2"/>
  <c r="AM38" i="2"/>
  <c r="AL38" i="2"/>
  <c r="AK38" i="2"/>
  <c r="AJ38" i="2"/>
  <c r="AI38" i="2"/>
  <c r="AH38" i="2"/>
  <c r="AG38" i="2"/>
  <c r="AF38" i="2"/>
  <c r="AC38" i="2"/>
  <c r="AB38" i="2"/>
  <c r="AA38" i="2"/>
  <c r="Z38" i="2"/>
  <c r="Y38" i="2"/>
  <c r="X38" i="2"/>
  <c r="W38" i="2"/>
  <c r="V38" i="2"/>
  <c r="U38" i="2"/>
  <c r="T38" i="2"/>
  <c r="S38" i="2"/>
  <c r="R38" i="2"/>
  <c r="P38" i="2"/>
  <c r="O38" i="2"/>
  <c r="N38" i="2"/>
  <c r="M38" i="2"/>
  <c r="L38" i="2"/>
  <c r="K38" i="2"/>
  <c r="J38" i="2"/>
  <c r="I38" i="2"/>
  <c r="H38" i="2"/>
  <c r="G38" i="2"/>
  <c r="F38" i="2"/>
  <c r="E38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C37" i="2"/>
  <c r="AB37" i="2"/>
  <c r="AA37" i="2"/>
  <c r="Z37" i="2"/>
  <c r="Y37" i="2"/>
  <c r="X37" i="2"/>
  <c r="W37" i="2"/>
  <c r="V37" i="2"/>
  <c r="U37" i="2"/>
  <c r="T37" i="2"/>
  <c r="S37" i="2"/>
  <c r="R37" i="2"/>
  <c r="P37" i="2"/>
  <c r="O37" i="2"/>
  <c r="N37" i="2"/>
  <c r="M37" i="2"/>
  <c r="L37" i="2"/>
  <c r="K37" i="2"/>
  <c r="J37" i="2"/>
  <c r="I37" i="2"/>
  <c r="H37" i="2"/>
  <c r="G37" i="2"/>
  <c r="F37" i="2"/>
  <c r="E37" i="2"/>
  <c r="AH36" i="2"/>
  <c r="AG36" i="2"/>
  <c r="AF36" i="2"/>
  <c r="AC36" i="2"/>
  <c r="AB36" i="2"/>
  <c r="AA36" i="2"/>
  <c r="Z36" i="2"/>
  <c r="Y36" i="2"/>
  <c r="X36" i="2"/>
  <c r="W36" i="2"/>
  <c r="V36" i="2"/>
  <c r="U36" i="2"/>
  <c r="T36" i="2"/>
  <c r="S36" i="2"/>
  <c r="R36" i="2"/>
  <c r="P36" i="2"/>
  <c r="O36" i="2"/>
  <c r="N36" i="2"/>
  <c r="M36" i="2"/>
  <c r="L36" i="2"/>
  <c r="K36" i="2"/>
  <c r="J36" i="2"/>
  <c r="I36" i="2"/>
  <c r="H36" i="2"/>
  <c r="G36" i="2"/>
  <c r="F36" i="2"/>
  <c r="E36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C35" i="2"/>
  <c r="AB35" i="2"/>
  <c r="AA35" i="2"/>
  <c r="Z35" i="2"/>
  <c r="Y35" i="2"/>
  <c r="X35" i="2"/>
  <c r="W35" i="2"/>
  <c r="V35" i="2"/>
  <c r="U35" i="2"/>
  <c r="T35" i="2"/>
  <c r="S35" i="2"/>
  <c r="R35" i="2"/>
  <c r="P35" i="2"/>
  <c r="O35" i="2"/>
  <c r="N35" i="2"/>
  <c r="M35" i="2"/>
  <c r="L35" i="2"/>
  <c r="K35" i="2"/>
  <c r="J35" i="2"/>
  <c r="I35" i="2"/>
  <c r="H35" i="2"/>
  <c r="G35" i="2"/>
  <c r="F35" i="2"/>
  <c r="E35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C34" i="2"/>
  <c r="AB34" i="2"/>
  <c r="AA34" i="2"/>
  <c r="Z34" i="2"/>
  <c r="Y34" i="2"/>
  <c r="X34" i="2"/>
  <c r="W34" i="2"/>
  <c r="V34" i="2"/>
  <c r="U34" i="2"/>
  <c r="T34" i="2"/>
  <c r="S34" i="2"/>
  <c r="R34" i="2"/>
  <c r="P34" i="2"/>
  <c r="O34" i="2"/>
  <c r="N34" i="2"/>
  <c r="M34" i="2"/>
  <c r="L34" i="2"/>
  <c r="K34" i="2"/>
  <c r="J34" i="2"/>
  <c r="I34" i="2"/>
  <c r="H34" i="2"/>
  <c r="G34" i="2"/>
  <c r="F34" i="2"/>
  <c r="E34" i="2"/>
  <c r="AI27" i="2"/>
  <c r="AH27" i="2"/>
  <c r="AG27" i="2"/>
  <c r="AF27" i="2"/>
  <c r="AC25" i="2"/>
  <c r="AB25" i="2"/>
  <c r="AA25" i="2"/>
  <c r="Z25" i="2"/>
  <c r="Y25" i="2"/>
  <c r="X25" i="2"/>
  <c r="W25" i="2"/>
  <c r="V25" i="2"/>
  <c r="U25" i="2"/>
  <c r="T25" i="2"/>
  <c r="S25" i="2"/>
  <c r="R25" i="2"/>
  <c r="AC24" i="2"/>
  <c r="AB24" i="2"/>
  <c r="AA24" i="2"/>
  <c r="Z24" i="2"/>
  <c r="Y24" i="2"/>
  <c r="X24" i="2"/>
  <c r="W24" i="2"/>
  <c r="V24" i="2"/>
  <c r="U24" i="2"/>
  <c r="T24" i="2"/>
  <c r="S24" i="2"/>
  <c r="R24" i="2"/>
  <c r="AD24" i="2" s="1"/>
  <c r="AC22" i="2"/>
  <c r="AB22" i="2"/>
  <c r="AA22" i="2"/>
  <c r="Z22" i="2"/>
  <c r="Y22" i="2"/>
  <c r="X22" i="2"/>
  <c r="W22" i="2"/>
  <c r="V22" i="2"/>
  <c r="U22" i="2"/>
  <c r="T22" i="2"/>
  <c r="S22" i="2"/>
  <c r="R22" i="2"/>
  <c r="AD22" i="2" s="1"/>
  <c r="AC21" i="2"/>
  <c r="W18" i="1" s="1"/>
  <c r="AB21" i="2"/>
  <c r="AA21" i="2"/>
  <c r="Z21" i="2"/>
  <c r="Y21" i="2"/>
  <c r="X21" i="2"/>
  <c r="W21" i="2"/>
  <c r="V21" i="2"/>
  <c r="U21" i="2"/>
  <c r="T21" i="2"/>
  <c r="S21" i="2"/>
  <c r="R21" i="2"/>
  <c r="AC19" i="2"/>
  <c r="AB19" i="2"/>
  <c r="AA19" i="2"/>
  <c r="Z19" i="2"/>
  <c r="Y19" i="2"/>
  <c r="X19" i="2"/>
  <c r="W19" i="2"/>
  <c r="V19" i="2"/>
  <c r="U19" i="2"/>
  <c r="T19" i="2"/>
  <c r="S19" i="2"/>
  <c r="R19" i="2"/>
  <c r="AD19" i="2" s="1"/>
  <c r="AC18" i="2"/>
  <c r="W17" i="1" s="1"/>
  <c r="AB18" i="2"/>
  <c r="AA18" i="2"/>
  <c r="Z18" i="2"/>
  <c r="Y18" i="2"/>
  <c r="X18" i="2"/>
  <c r="W18" i="2"/>
  <c r="V18" i="2"/>
  <c r="U18" i="2"/>
  <c r="T18" i="2"/>
  <c r="S18" i="2"/>
  <c r="R18" i="2"/>
  <c r="AD18" i="2" s="1"/>
  <c r="AC12" i="2"/>
  <c r="AB12" i="2"/>
  <c r="AA12" i="2"/>
  <c r="Z12" i="2"/>
  <c r="Y12" i="2"/>
  <c r="X12" i="2"/>
  <c r="W12" i="2"/>
  <c r="V12" i="2"/>
  <c r="U12" i="2"/>
  <c r="T12" i="2"/>
  <c r="S12" i="2"/>
  <c r="R12" i="2"/>
  <c r="D12" i="2"/>
  <c r="D19" i="2" s="1"/>
  <c r="D22" i="2" s="1"/>
  <c r="D25" i="2" s="1"/>
  <c r="B12" i="2"/>
  <c r="B15" i="2" s="1"/>
  <c r="B19" i="2" s="1"/>
  <c r="B22" i="2" s="1"/>
  <c r="B25" i="2" s="1"/>
  <c r="AC11" i="2"/>
  <c r="AB11" i="2"/>
  <c r="AA11" i="2"/>
  <c r="Z11" i="2"/>
  <c r="Y11" i="2"/>
  <c r="X11" i="2"/>
  <c r="W11" i="2"/>
  <c r="V11" i="2"/>
  <c r="U11" i="2"/>
  <c r="T11" i="2"/>
  <c r="S11" i="2"/>
  <c r="R11" i="2"/>
  <c r="AD11" i="2" s="1"/>
  <c r="D11" i="2"/>
  <c r="D18" i="2" s="1"/>
  <c r="D21" i="2" s="1"/>
  <c r="D24" i="2" s="1"/>
  <c r="B11" i="2"/>
  <c r="B14" i="2" s="1"/>
  <c r="B18" i="2" s="1"/>
  <c r="B21" i="2" s="1"/>
  <c r="B24" i="2" s="1"/>
  <c r="B10" i="2"/>
  <c r="AC9" i="2"/>
  <c r="AB9" i="2"/>
  <c r="AA9" i="2"/>
  <c r="Z9" i="2"/>
  <c r="Y9" i="2"/>
  <c r="X9" i="2"/>
  <c r="W9" i="2"/>
  <c r="V9" i="2"/>
  <c r="U9" i="2"/>
  <c r="T9" i="2"/>
  <c r="S9" i="2"/>
  <c r="R9" i="2"/>
  <c r="AC8" i="2"/>
  <c r="AB8" i="2"/>
  <c r="AA8" i="2"/>
  <c r="Z8" i="2"/>
  <c r="Y8" i="2"/>
  <c r="X8" i="2"/>
  <c r="W8" i="2"/>
  <c r="V8" i="2"/>
  <c r="U8" i="2"/>
  <c r="T8" i="2"/>
  <c r="S8" i="2"/>
  <c r="R8" i="2"/>
  <c r="D6" i="2"/>
  <c r="D5" i="2"/>
  <c r="D3" i="2"/>
  <c r="M51" i="1"/>
  <c r="L50" i="1" s="1"/>
  <c r="M25" i="1"/>
  <c r="Q24" i="1"/>
  <c r="Q40" i="1" s="1"/>
  <c r="P24" i="1"/>
  <c r="P40" i="1" s="1"/>
  <c r="O24" i="1"/>
  <c r="O40" i="1" s="1"/>
  <c r="Y3" i="1"/>
  <c r="X3" i="1"/>
  <c r="W3" i="1"/>
  <c r="R3" i="1"/>
  <c r="R24" i="1" s="1"/>
  <c r="Q3" i="1"/>
  <c r="AD4" i="1" s="1"/>
  <c r="P3" i="1"/>
  <c r="AC4" i="1" s="1"/>
  <c r="O3" i="1"/>
  <c r="Y304" i="4"/>
  <c r="V304" i="4"/>
  <c r="T304" i="4"/>
  <c r="R304" i="4"/>
  <c r="AL211" i="4"/>
  <c r="AK211" i="4"/>
  <c r="AJ211" i="4"/>
  <c r="AI211" i="4"/>
  <c r="AH211" i="4"/>
  <c r="AG211" i="4"/>
  <c r="AF211" i="4"/>
  <c r="AE211" i="4"/>
  <c r="AD211" i="4"/>
  <c r="AC211" i="4"/>
  <c r="AB211" i="4"/>
  <c r="AA211" i="4"/>
  <c r="Z211" i="4"/>
  <c r="Y211" i="4"/>
  <c r="X211" i="4"/>
  <c r="W211" i="4"/>
  <c r="V211" i="4"/>
  <c r="U211" i="4"/>
  <c r="T211" i="4"/>
  <c r="S211" i="4"/>
  <c r="R211" i="4"/>
  <c r="Q211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D211" i="4"/>
  <c r="C211" i="4"/>
  <c r="AL149" i="4"/>
  <c r="AG149" i="4"/>
  <c r="AF149" i="4"/>
  <c r="AC149" i="4"/>
  <c r="Z149" i="4"/>
  <c r="W149" i="4"/>
  <c r="T149" i="4"/>
  <c r="Q149" i="4"/>
  <c r="N149" i="4"/>
  <c r="K149" i="4"/>
  <c r="H149" i="4"/>
  <c r="E149" i="4"/>
  <c r="D88" i="3"/>
  <c r="AR167" i="2"/>
  <c r="AE164" i="2"/>
  <c r="AS160" i="2"/>
  <c r="AE159" i="2"/>
  <c r="AR157" i="2"/>
  <c r="AD157" i="2"/>
  <c r="AS156" i="2"/>
  <c r="Q156" i="2"/>
  <c r="AS155" i="2"/>
  <c r="Q155" i="2"/>
  <c r="AS153" i="2"/>
  <c r="AS149" i="2"/>
  <c r="AR148" i="2"/>
  <c r="AR146" i="2"/>
  <c r="AE146" i="2"/>
  <c r="AS143" i="2"/>
  <c r="AS142" i="2"/>
  <c r="Q142" i="2"/>
  <c r="AS141" i="2"/>
  <c r="Q141" i="2"/>
  <c r="AS140" i="2"/>
  <c r="AE140" i="2"/>
  <c r="AD139" i="2"/>
  <c r="Q138" i="2"/>
  <c r="AR133" i="2"/>
  <c r="AE131" i="2"/>
  <c r="AS127" i="2"/>
  <c r="AE127" i="2"/>
  <c r="Q127" i="2"/>
  <c r="AR125" i="2"/>
  <c r="AR123" i="2"/>
  <c r="A324" i="4"/>
  <c r="AC318" i="4"/>
  <c r="V318" i="4"/>
  <c r="T318" i="4"/>
  <c r="S318" i="4"/>
  <c r="Q318" i="4"/>
  <c r="P318" i="4"/>
  <c r="O318" i="4"/>
  <c r="A315" i="4"/>
  <c r="Y306" i="4"/>
  <c r="X306" i="4"/>
  <c r="W306" i="4"/>
  <c r="V306" i="4"/>
  <c r="U306" i="4"/>
  <c r="T306" i="4"/>
  <c r="S306" i="4"/>
  <c r="R306" i="4"/>
  <c r="Q306" i="4"/>
  <c r="P306" i="4"/>
  <c r="O306" i="4"/>
  <c r="A292" i="4"/>
  <c r="A310" i="4" s="1"/>
  <c r="Y291" i="4"/>
  <c r="X291" i="4"/>
  <c r="W291" i="4"/>
  <c r="V291" i="4"/>
  <c r="Y197" i="4"/>
  <c r="X197" i="4"/>
  <c r="W197" i="4"/>
  <c r="V197" i="4"/>
  <c r="U197" i="4"/>
  <c r="T197" i="4"/>
  <c r="S197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X209" i="2"/>
  <c r="S209" i="2"/>
  <c r="AS207" i="2"/>
  <c r="AE207" i="2"/>
  <c r="AS205" i="2"/>
  <c r="AD205" i="2"/>
  <c r="AE204" i="2"/>
  <c r="Q203" i="2"/>
  <c r="AR201" i="2"/>
  <c r="Q201" i="2"/>
  <c r="AR200" i="2"/>
  <c r="AR197" i="2"/>
  <c r="AS196" i="2"/>
  <c r="AR194" i="2"/>
  <c r="Q191" i="2"/>
  <c r="AD190" i="2"/>
  <c r="AS188" i="2"/>
  <c r="AS187" i="2"/>
  <c r="AR186" i="2"/>
  <c r="AD186" i="2"/>
  <c r="AE185" i="2"/>
  <c r="AD184" i="2"/>
  <c r="AD182" i="2"/>
  <c r="AL181" i="2"/>
  <c r="AG181" i="2"/>
  <c r="AB181" i="2"/>
  <c r="X181" i="2"/>
  <c r="V181" i="2"/>
  <c r="R181" i="2"/>
  <c r="I181" i="2"/>
  <c r="AS179" i="2"/>
  <c r="AE178" i="2"/>
  <c r="Q178" i="2"/>
  <c r="AE177" i="2"/>
  <c r="AD176" i="2"/>
  <c r="AR175" i="2"/>
  <c r="AD175" i="2"/>
  <c r="AS174" i="2"/>
  <c r="AS173" i="2"/>
  <c r="AS171" i="2"/>
  <c r="AD169" i="2"/>
  <c r="Q168" i="2"/>
  <c r="AD166" i="2"/>
  <c r="Q165" i="2"/>
  <c r="AS164" i="2"/>
  <c r="AD163" i="2"/>
  <c r="AE162" i="2"/>
  <c r="AD160" i="2"/>
  <c r="AR156" i="2"/>
  <c r="AD155" i="2"/>
  <c r="AR152" i="2"/>
  <c r="AR150" i="2"/>
  <c r="AD147" i="2"/>
  <c r="AD144" i="2"/>
  <c r="AE143" i="2"/>
  <c r="AR142" i="2"/>
  <c r="AR136" i="2"/>
  <c r="AE136" i="2"/>
  <c r="AS134" i="2"/>
  <c r="Q133" i="2"/>
  <c r="AR132" i="2"/>
  <c r="AE132" i="2"/>
  <c r="AR131" i="2"/>
  <c r="AR130" i="2"/>
  <c r="Q130" i="2"/>
  <c r="AR129" i="2"/>
  <c r="Q128" i="2"/>
  <c r="AD126" i="2"/>
  <c r="Q125" i="2"/>
  <c r="Q124" i="2"/>
  <c r="AR122" i="2"/>
  <c r="Q3" i="4"/>
  <c r="R3" i="4" s="1"/>
  <c r="S3" i="4" s="1"/>
  <c r="T3" i="4" s="1"/>
  <c r="U3" i="4" s="1"/>
  <c r="V3" i="4" s="1"/>
  <c r="W3" i="4" s="1"/>
  <c r="X3" i="4" s="1"/>
  <c r="Y3" i="4" s="1"/>
  <c r="Z3" i="4" s="1"/>
  <c r="E3" i="4"/>
  <c r="F3" i="4" s="1"/>
  <c r="G3" i="4" s="1"/>
  <c r="H3" i="4" s="1"/>
  <c r="I3" i="4" s="1"/>
  <c r="J3" i="4" s="1"/>
  <c r="K3" i="4" s="1"/>
  <c r="L3" i="4" s="1"/>
  <c r="M3" i="4" s="1"/>
  <c r="N3" i="4" s="1"/>
  <c r="Y209" i="2"/>
  <c r="AD208" i="2"/>
  <c r="AR207" i="2"/>
  <c r="AR206" i="2"/>
  <c r="AD206" i="2"/>
  <c r="Q204" i="2"/>
  <c r="AR203" i="2"/>
  <c r="AD202" i="2"/>
  <c r="AE199" i="2"/>
  <c r="AE197" i="2"/>
  <c r="AE196" i="2"/>
  <c r="AD195" i="2"/>
  <c r="AS194" i="2"/>
  <c r="AE194" i="2"/>
  <c r="AS192" i="2"/>
  <c r="AE192" i="2"/>
  <c r="AR191" i="2"/>
  <c r="AS190" i="2"/>
  <c r="Q190" i="2"/>
  <c r="Q189" i="2"/>
  <c r="AE188" i="2"/>
  <c r="AE187" i="2"/>
  <c r="Q187" i="2"/>
  <c r="AE186" i="2"/>
  <c r="Q185" i="2"/>
  <c r="AR183" i="2"/>
  <c r="AM181" i="2"/>
  <c r="U181" i="2"/>
  <c r="O181" i="2"/>
  <c r="J181" i="2"/>
  <c r="AR180" i="2"/>
  <c r="AE180" i="2"/>
  <c r="AR179" i="2"/>
  <c r="Q179" i="2"/>
  <c r="AD177" i="2"/>
  <c r="AE174" i="2"/>
  <c r="AE173" i="2"/>
  <c r="AR171" i="2"/>
  <c r="Q171" i="2"/>
  <c r="AS170" i="2"/>
  <c r="Q169" i="2"/>
  <c r="AS167" i="2"/>
  <c r="AE167" i="2"/>
  <c r="AR166" i="2"/>
  <c r="AS165" i="2"/>
  <c r="AR163" i="2"/>
  <c r="Q163" i="2"/>
  <c r="AR162" i="2"/>
  <c r="Q162" i="2"/>
  <c r="Q161" i="2"/>
  <c r="AD159" i="2"/>
  <c r="AE157" i="2"/>
  <c r="AD154" i="2"/>
  <c r="AR153" i="2"/>
  <c r="Q152" i="2"/>
  <c r="AR151" i="2"/>
  <c r="AD151" i="2"/>
  <c r="AS150" i="2"/>
  <c r="AD150" i="2"/>
  <c r="Q149" i="2"/>
  <c r="AD148" i="2"/>
  <c r="Q148" i="2"/>
  <c r="AS147" i="2"/>
  <c r="AE147" i="2"/>
  <c r="Q146" i="2"/>
  <c r="AR140" i="2"/>
  <c r="Q139" i="2"/>
  <c r="AS138" i="2"/>
  <c r="AR135" i="2"/>
  <c r="AS130" i="2"/>
  <c r="AE129" i="2"/>
  <c r="AS128" i="2"/>
  <c r="AS124" i="2"/>
  <c r="Q122" i="2"/>
  <c r="A322" i="4"/>
  <c r="Y305" i="4"/>
  <c r="X305" i="4"/>
  <c r="W305" i="4"/>
  <c r="V305" i="4"/>
  <c r="U305" i="4"/>
  <c r="T305" i="4"/>
  <c r="S305" i="4"/>
  <c r="R305" i="4"/>
  <c r="Q305" i="4"/>
  <c r="P305" i="4"/>
  <c r="O305" i="4"/>
  <c r="A305" i="4"/>
  <c r="A323" i="4" s="1"/>
  <c r="Y303" i="4"/>
  <c r="X303" i="4"/>
  <c r="W303" i="4"/>
  <c r="V303" i="4"/>
  <c r="U303" i="4"/>
  <c r="T303" i="4"/>
  <c r="S303" i="4"/>
  <c r="R303" i="4"/>
  <c r="Q303" i="4"/>
  <c r="P303" i="4"/>
  <c r="O303" i="4"/>
  <c r="A303" i="4"/>
  <c r="A321" i="4" s="1"/>
  <c r="Y301" i="4"/>
  <c r="X301" i="4"/>
  <c r="W301" i="4"/>
  <c r="V301" i="4"/>
  <c r="U301" i="4"/>
  <c r="T301" i="4"/>
  <c r="S301" i="4"/>
  <c r="R301" i="4"/>
  <c r="Q301" i="4"/>
  <c r="P301" i="4"/>
  <c r="O301" i="4"/>
  <c r="A301" i="4"/>
  <c r="A319" i="4" s="1"/>
  <c r="A294" i="4"/>
  <c r="A312" i="4" s="1"/>
  <c r="A293" i="4"/>
  <c r="A311" i="4" s="1"/>
  <c r="Y273" i="4"/>
  <c r="X273" i="4"/>
  <c r="W273" i="4"/>
  <c r="V273" i="4"/>
  <c r="U273" i="4"/>
  <c r="T273" i="4"/>
  <c r="S273" i="4"/>
  <c r="R273" i="4"/>
  <c r="Q273" i="4"/>
  <c r="P273" i="4"/>
  <c r="O273" i="4"/>
  <c r="AL251" i="4"/>
  <c r="AK251" i="4"/>
  <c r="AJ251" i="4"/>
  <c r="AI251" i="4"/>
  <c r="AH251" i="4"/>
  <c r="AG251" i="4"/>
  <c r="AF251" i="4"/>
  <c r="AE251" i="4"/>
  <c r="AD251" i="4"/>
  <c r="AC251" i="4"/>
  <c r="AB251" i="4"/>
  <c r="AA251" i="4"/>
  <c r="Z251" i="4"/>
  <c r="Z252" i="4" s="1"/>
  <c r="Y251" i="4"/>
  <c r="X251" i="4"/>
  <c r="W251" i="4"/>
  <c r="V251" i="4"/>
  <c r="U251" i="4"/>
  <c r="T251" i="4"/>
  <c r="S251" i="4"/>
  <c r="R251" i="4"/>
  <c r="Q251" i="4"/>
  <c r="P251" i="4"/>
  <c r="O251" i="4"/>
  <c r="N251" i="4"/>
  <c r="M251" i="4"/>
  <c r="L251" i="4"/>
  <c r="K251" i="4"/>
  <c r="J251" i="4"/>
  <c r="I251" i="4"/>
  <c r="H251" i="4"/>
  <c r="G251" i="4"/>
  <c r="F251" i="4"/>
  <c r="E251" i="4"/>
  <c r="D251" i="4"/>
  <c r="C251" i="4"/>
  <c r="AL250" i="4"/>
  <c r="AK250" i="4"/>
  <c r="AJ250" i="4"/>
  <c r="AI250" i="4"/>
  <c r="AH250" i="4"/>
  <c r="AG250" i="4"/>
  <c r="AF250" i="4"/>
  <c r="AE250" i="4"/>
  <c r="AD250" i="4"/>
  <c r="AC250" i="4"/>
  <c r="AB250" i="4"/>
  <c r="AA250" i="4"/>
  <c r="Z250" i="4"/>
  <c r="Y250" i="4"/>
  <c r="X250" i="4"/>
  <c r="W250" i="4"/>
  <c r="V250" i="4"/>
  <c r="U250" i="4"/>
  <c r="T250" i="4"/>
  <c r="S250" i="4"/>
  <c r="R250" i="4"/>
  <c r="Q250" i="4"/>
  <c r="P250" i="4"/>
  <c r="O250" i="4"/>
  <c r="N250" i="4"/>
  <c r="M250" i="4"/>
  <c r="L250" i="4"/>
  <c r="K250" i="4"/>
  <c r="J250" i="4"/>
  <c r="I250" i="4"/>
  <c r="H250" i="4"/>
  <c r="G250" i="4"/>
  <c r="F250" i="4"/>
  <c r="E250" i="4"/>
  <c r="D250" i="4"/>
  <c r="C250" i="4"/>
  <c r="AR209" i="2"/>
  <c r="AA209" i="2"/>
  <c r="U209" i="2"/>
  <c r="Q209" i="2"/>
  <c r="AS206" i="2"/>
  <c r="Q205" i="2"/>
  <c r="AE203" i="2"/>
  <c r="AR202" i="2"/>
  <c r="AE202" i="2"/>
  <c r="AS201" i="2"/>
  <c r="AD201" i="2"/>
  <c r="AS200" i="2"/>
  <c r="AE200" i="2"/>
  <c r="AR198" i="2"/>
  <c r="AS195" i="2"/>
  <c r="Q194" i="2"/>
  <c r="AR189" i="2"/>
  <c r="AR187" i="2"/>
  <c r="Q186" i="2"/>
  <c r="AD185" i="2"/>
  <c r="AE184" i="2"/>
  <c r="AD183" i="2"/>
  <c r="AP181" i="2"/>
  <c r="AH181" i="2"/>
  <c r="AA181" i="2"/>
  <c r="T181" i="2"/>
  <c r="M181" i="2"/>
  <c r="F181" i="2"/>
  <c r="AD179" i="2"/>
  <c r="AR178" i="2"/>
  <c r="Q176" i="2"/>
  <c r="AD173" i="2"/>
  <c r="AS172" i="2"/>
  <c r="AE172" i="2"/>
  <c r="Q172" i="2"/>
  <c r="AD170" i="2"/>
  <c r="AR169" i="2"/>
  <c r="AE169" i="2"/>
  <c r="AS168" i="2"/>
  <c r="AD168" i="2"/>
  <c r="AR165" i="2"/>
  <c r="AD164" i="2"/>
  <c r="AD162" i="2"/>
  <c r="AS161" i="2"/>
  <c r="AS157" i="2"/>
  <c r="AS154" i="2"/>
  <c r="Q153" i="2"/>
  <c r="AS152" i="2"/>
  <c r="AE152" i="2"/>
  <c r="AE150" i="2"/>
  <c r="Q150" i="2"/>
  <c r="AR147" i="2"/>
  <c r="Q147" i="2"/>
  <c r="AE145" i="2"/>
  <c r="AE144" i="2"/>
  <c r="AR143" i="2"/>
  <c r="Q143" i="2"/>
  <c r="AD141" i="2"/>
  <c r="AS139" i="2"/>
  <c r="AE138" i="2"/>
  <c r="AR137" i="2"/>
  <c r="AE137" i="2"/>
  <c r="AS136" i="2"/>
  <c r="AE135" i="2"/>
  <c r="Q134" i="2"/>
  <c r="AS133" i="2"/>
  <c r="AD133" i="2"/>
  <c r="AD132" i="2"/>
  <c r="Q129" i="2"/>
  <c r="AE128" i="2"/>
  <c r="AE124" i="2"/>
  <c r="AE123" i="2"/>
  <c r="AS122" i="2"/>
  <c r="A313" i="4"/>
  <c r="X304" i="4"/>
  <c r="W304" i="4"/>
  <c r="U304" i="4"/>
  <c r="S304" i="4"/>
  <c r="Q304" i="4"/>
  <c r="P304" i="4"/>
  <c r="O304" i="4"/>
  <c r="A296" i="4"/>
  <c r="A314" i="4" s="1"/>
  <c r="AL207" i="4"/>
  <c r="AK207" i="4"/>
  <c r="AJ207" i="4"/>
  <c r="AI207" i="4"/>
  <c r="AH207" i="4"/>
  <c r="AG207" i="4"/>
  <c r="AF207" i="4"/>
  <c r="AE207" i="4"/>
  <c r="AD207" i="4"/>
  <c r="AC207" i="4"/>
  <c r="AB207" i="4"/>
  <c r="AA207" i="4"/>
  <c r="Y207" i="4"/>
  <c r="X207" i="4"/>
  <c r="W207" i="4"/>
  <c r="V207" i="4"/>
  <c r="U207" i="4"/>
  <c r="T207" i="4"/>
  <c r="S207" i="4"/>
  <c r="R207" i="4"/>
  <c r="Q207" i="4"/>
  <c r="P207" i="4"/>
  <c r="O207" i="4"/>
  <c r="N207" i="4"/>
  <c r="M207" i="4"/>
  <c r="L207" i="4"/>
  <c r="K207" i="4"/>
  <c r="J207" i="4"/>
  <c r="I207" i="4"/>
  <c r="H207" i="4"/>
  <c r="G207" i="4"/>
  <c r="F207" i="4"/>
  <c r="E207" i="4"/>
  <c r="D207" i="4"/>
  <c r="C207" i="4"/>
  <c r="AL205" i="4"/>
  <c r="AK205" i="4"/>
  <c r="AJ205" i="4"/>
  <c r="AI205" i="4"/>
  <c r="AH205" i="4"/>
  <c r="AG205" i="4"/>
  <c r="AF205" i="4"/>
  <c r="AE205" i="4"/>
  <c r="AD205" i="4"/>
  <c r="AC205" i="4"/>
  <c r="AB205" i="4"/>
  <c r="AA205" i="4"/>
  <c r="Y205" i="4"/>
  <c r="X205" i="4"/>
  <c r="W205" i="4"/>
  <c r="V205" i="4"/>
  <c r="U205" i="4"/>
  <c r="T205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AL204" i="4"/>
  <c r="AK204" i="4"/>
  <c r="AJ204" i="4"/>
  <c r="AI204" i="4"/>
  <c r="AH204" i="4"/>
  <c r="AG204" i="4"/>
  <c r="AF204" i="4"/>
  <c r="AE204" i="4"/>
  <c r="AD204" i="4"/>
  <c r="AC204" i="4"/>
  <c r="AB204" i="4"/>
  <c r="AA204" i="4"/>
  <c r="Z204" i="4"/>
  <c r="Y204" i="4"/>
  <c r="X204" i="4"/>
  <c r="W204" i="4"/>
  <c r="V204" i="4"/>
  <c r="U204" i="4"/>
  <c r="T204" i="4"/>
  <c r="S204" i="4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AL203" i="4"/>
  <c r="AK203" i="4"/>
  <c r="AJ203" i="4"/>
  <c r="AI203" i="4"/>
  <c r="AH203" i="4"/>
  <c r="AG203" i="4"/>
  <c r="AF203" i="4"/>
  <c r="AE203" i="4"/>
  <c r="AD203" i="4"/>
  <c r="AC203" i="4"/>
  <c r="AB203" i="4"/>
  <c r="AA203" i="4"/>
  <c r="Z203" i="4"/>
  <c r="Y203" i="4"/>
  <c r="X203" i="4"/>
  <c r="W203" i="4"/>
  <c r="V203" i="4"/>
  <c r="U203" i="4"/>
  <c r="T203" i="4"/>
  <c r="S203" i="4"/>
  <c r="R203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AK149" i="4"/>
  <c r="AI149" i="4"/>
  <c r="AD149" i="4"/>
  <c r="AA149" i="4"/>
  <c r="X149" i="4"/>
  <c r="U149" i="4"/>
  <c r="R149" i="4"/>
  <c r="O149" i="4"/>
  <c r="L149" i="4"/>
  <c r="I149" i="4"/>
  <c r="F149" i="4"/>
  <c r="D149" i="4"/>
  <c r="AL235" i="4"/>
  <c r="AL243" i="4" s="1"/>
  <c r="AK235" i="4"/>
  <c r="AK243" i="4" s="1"/>
  <c r="AJ235" i="4"/>
  <c r="AJ243" i="4" s="1"/>
  <c r="AI235" i="4"/>
  <c r="AI243" i="4" s="1"/>
  <c r="AH235" i="4"/>
  <c r="AH243" i="4" s="1"/>
  <c r="AG235" i="4"/>
  <c r="AG243" i="4" s="1"/>
  <c r="AF235" i="4"/>
  <c r="AF243" i="4" s="1"/>
  <c r="AE235" i="4"/>
  <c r="AD235" i="4"/>
  <c r="AD243" i="4" s="1"/>
  <c r="AC235" i="4"/>
  <c r="AC243" i="4" s="1"/>
  <c r="AB235" i="4"/>
  <c r="AB243" i="4" s="1"/>
  <c r="AA235" i="4"/>
  <c r="Z235" i="4"/>
  <c r="Z243" i="4" s="1"/>
  <c r="Y235" i="4"/>
  <c r="Y243" i="4" s="1"/>
  <c r="X235" i="4"/>
  <c r="X243" i="4" s="1"/>
  <c r="W235" i="4"/>
  <c r="W243" i="4" s="1"/>
  <c r="V235" i="4"/>
  <c r="V243" i="4" s="1"/>
  <c r="U235" i="4"/>
  <c r="U243" i="4" s="1"/>
  <c r="T235" i="4"/>
  <c r="T243" i="4" s="1"/>
  <c r="S235" i="4"/>
  <c r="S243" i="4" s="1"/>
  <c r="R235" i="4"/>
  <c r="R243" i="4" s="1"/>
  <c r="Q235" i="4"/>
  <c r="Q243" i="4" s="1"/>
  <c r="P235" i="4"/>
  <c r="P243" i="4" s="1"/>
  <c r="O235" i="4"/>
  <c r="N235" i="4"/>
  <c r="N243" i="4" s="1"/>
  <c r="M235" i="4"/>
  <c r="M243" i="4" s="1"/>
  <c r="L235" i="4"/>
  <c r="L243" i="4" s="1"/>
  <c r="K235" i="4"/>
  <c r="K243" i="4" s="1"/>
  <c r="J235" i="4"/>
  <c r="J243" i="4" s="1"/>
  <c r="I235" i="4"/>
  <c r="I243" i="4" s="1"/>
  <c r="H235" i="4"/>
  <c r="H243" i="4" s="1"/>
  <c r="G235" i="4"/>
  <c r="G243" i="4" s="1"/>
  <c r="F235" i="4"/>
  <c r="F243" i="4" s="1"/>
  <c r="E235" i="4"/>
  <c r="E243" i="4" s="1"/>
  <c r="D235" i="4"/>
  <c r="D243" i="4" s="1"/>
  <c r="C235" i="4"/>
  <c r="C243" i="4" s="1"/>
  <c r="AL231" i="4"/>
  <c r="AL232" i="4" s="1"/>
  <c r="AK231" i="4"/>
  <c r="AK232" i="4" s="1"/>
  <c r="AJ231" i="4"/>
  <c r="AJ232" i="4" s="1"/>
  <c r="AI231" i="4"/>
  <c r="AI232" i="4" s="1"/>
  <c r="AH231" i="4"/>
  <c r="AH232" i="4" s="1"/>
  <c r="AG231" i="4"/>
  <c r="AG232" i="4" s="1"/>
  <c r="AF231" i="4"/>
  <c r="AF232" i="4" s="1"/>
  <c r="AE231" i="4"/>
  <c r="AD231" i="4"/>
  <c r="AD232" i="4" s="1"/>
  <c r="AC231" i="4"/>
  <c r="AC232" i="4" s="1"/>
  <c r="AB231" i="4"/>
  <c r="AB232" i="4" s="1"/>
  <c r="AA231" i="4"/>
  <c r="AA232" i="4" s="1"/>
  <c r="Z231" i="4"/>
  <c r="Z232" i="4" s="1"/>
  <c r="Y231" i="4"/>
  <c r="Y232" i="4" s="1"/>
  <c r="X231" i="4"/>
  <c r="X232" i="4" s="1"/>
  <c r="W231" i="4"/>
  <c r="W232" i="4" s="1"/>
  <c r="V231" i="4"/>
  <c r="V232" i="4" s="1"/>
  <c r="U231" i="4"/>
  <c r="U232" i="4" s="1"/>
  <c r="T231" i="4"/>
  <c r="T232" i="4" s="1"/>
  <c r="S231" i="4"/>
  <c r="S232" i="4" s="1"/>
  <c r="R231" i="4"/>
  <c r="R232" i="4" s="1"/>
  <c r="Q231" i="4"/>
  <c r="Q232" i="4" s="1"/>
  <c r="P231" i="4"/>
  <c r="P232" i="4" s="1"/>
  <c r="O231" i="4"/>
  <c r="O232" i="4" s="1"/>
  <c r="N231" i="4"/>
  <c r="N232" i="4" s="1"/>
  <c r="M231" i="4"/>
  <c r="M232" i="4" s="1"/>
  <c r="L231" i="4"/>
  <c r="L232" i="4" s="1"/>
  <c r="K231" i="4"/>
  <c r="K232" i="4" s="1"/>
  <c r="J231" i="4"/>
  <c r="J232" i="4" s="1"/>
  <c r="I231" i="4"/>
  <c r="I232" i="4" s="1"/>
  <c r="H231" i="4"/>
  <c r="H232" i="4" s="1"/>
  <c r="G231" i="4"/>
  <c r="G232" i="4" s="1"/>
  <c r="F231" i="4"/>
  <c r="F232" i="4" s="1"/>
  <c r="E231" i="4"/>
  <c r="E232" i="4" s="1"/>
  <c r="D231" i="4"/>
  <c r="D232" i="4" s="1"/>
  <c r="C231" i="4"/>
  <c r="C232" i="4" s="1"/>
  <c r="X139" i="4"/>
  <c r="T139" i="4"/>
  <c r="R139" i="4"/>
  <c r="P139" i="4"/>
  <c r="N139" i="4"/>
  <c r="L139" i="4"/>
  <c r="J139" i="4"/>
  <c r="H139" i="4"/>
  <c r="F139" i="4"/>
  <c r="D139" i="4"/>
  <c r="AF209" i="2"/>
  <c r="Z209" i="2"/>
  <c r="T209" i="2"/>
  <c r="Q207" i="2"/>
  <c r="AE206" i="2"/>
  <c r="AE205" i="2"/>
  <c r="AR204" i="2"/>
  <c r="AS203" i="2"/>
  <c r="AS202" i="2"/>
  <c r="Q200" i="2"/>
  <c r="AS199" i="2"/>
  <c r="AD199" i="2"/>
  <c r="AD198" i="2"/>
  <c r="AD197" i="2"/>
  <c r="AD196" i="2"/>
  <c r="AE193" i="2"/>
  <c r="Q193" i="2"/>
  <c r="AS191" i="2"/>
  <c r="AE191" i="2"/>
  <c r="AE190" i="2"/>
  <c r="AD189" i="2"/>
  <c r="AR185" i="2"/>
  <c r="Q183" i="2"/>
  <c r="AR182" i="2"/>
  <c r="AN181" i="2"/>
  <c r="AI181" i="2"/>
  <c r="AC181" i="2"/>
  <c r="Y181" i="2"/>
  <c r="W181" i="2"/>
  <c r="S181" i="2"/>
  <c r="N181" i="2"/>
  <c r="K181" i="2"/>
  <c r="AS180" i="2"/>
  <c r="AE179" i="2"/>
  <c r="AS178" i="2"/>
  <c r="Q177" i="2"/>
  <c r="AS176" i="2"/>
  <c r="AS175" i="2"/>
  <c r="Q173" i="2"/>
  <c r="AD172" i="2"/>
  <c r="AD171" i="2"/>
  <c r="AR170" i="2"/>
  <c r="AE170" i="2"/>
  <c r="AR168" i="2"/>
  <c r="AE168" i="2"/>
  <c r="Q167" i="2"/>
  <c r="AE166" i="2"/>
  <c r="AE165" i="2"/>
  <c r="AE163" i="2"/>
  <c r="AR160" i="2"/>
  <c r="AR159" i="2"/>
  <c r="Q158" i="2"/>
  <c r="Q157" i="2"/>
  <c r="AE156" i="2"/>
  <c r="AR154" i="2"/>
  <c r="AE154" i="2"/>
  <c r="Q154" i="2"/>
  <c r="AE151" i="2"/>
  <c r="AR149" i="2"/>
  <c r="AD149" i="2"/>
  <c r="AE148" i="2"/>
  <c r="AR145" i="2"/>
  <c r="Q145" i="2"/>
  <c r="AR144" i="2"/>
  <c r="AD143" i="2"/>
  <c r="AS137" i="2"/>
  <c r="AD135" i="2"/>
  <c r="Q135" i="2"/>
  <c r="AE134" i="2"/>
  <c r="AS132" i="2"/>
  <c r="AS131" i="2"/>
  <c r="AD129" i="2"/>
  <c r="AR128" i="2"/>
  <c r="AD128" i="2"/>
  <c r="AS126" i="2"/>
  <c r="Q126" i="2"/>
  <c r="AD125" i="2"/>
  <c r="AR124" i="2"/>
  <c r="AE122" i="2"/>
  <c r="AE243" i="4" l="1"/>
  <c r="AE232" i="4"/>
  <c r="AM209" i="2"/>
  <c r="AG209" i="2"/>
  <c r="AS53" i="2"/>
  <c r="AS50" i="2"/>
  <c r="AR50" i="2"/>
  <c r="I17" i="1" s="1"/>
  <c r="AS49" i="2"/>
  <c r="AS47" i="2"/>
  <c r="AS46" i="2"/>
  <c r="AS36" i="2"/>
  <c r="AR36" i="2"/>
  <c r="I4" i="1" s="1"/>
  <c r="AP209" i="2"/>
  <c r="AI209" i="2"/>
  <c r="AD25" i="2"/>
  <c r="AD9" i="2"/>
  <c r="AD8" i="2"/>
  <c r="AL146" i="4"/>
  <c r="AL150" i="4" s="1"/>
  <c r="AL225" i="4"/>
  <c r="AL226" i="4" s="1"/>
  <c r="AQ56" i="2"/>
  <c r="AK146" i="4"/>
  <c r="AK150" i="4" s="1"/>
  <c r="AK225" i="4"/>
  <c r="AK226" i="4" s="1"/>
  <c r="AP56" i="2"/>
  <c r="AJ146" i="4"/>
  <c r="AJ150" i="4" s="1"/>
  <c r="AJ225" i="4"/>
  <c r="AJ226" i="4" s="1"/>
  <c r="AO56" i="2"/>
  <c r="AI146" i="4"/>
  <c r="AI150" i="4" s="1"/>
  <c r="AI225" i="4"/>
  <c r="AI226" i="4" s="1"/>
  <c r="AN56" i="2"/>
  <c r="AH146" i="4"/>
  <c r="AH150" i="4" s="1"/>
  <c r="AH225" i="4"/>
  <c r="AH226" i="4" s="1"/>
  <c r="AM56" i="2"/>
  <c r="AG146" i="4"/>
  <c r="AG150" i="4" s="1"/>
  <c r="AG225" i="4"/>
  <c r="AG226" i="4" s="1"/>
  <c r="AL56" i="2"/>
  <c r="AF146" i="4"/>
  <c r="AF150" i="4" s="1"/>
  <c r="AF225" i="4"/>
  <c r="AF226" i="4" s="1"/>
  <c r="AK56" i="2"/>
  <c r="AE146" i="4"/>
  <c r="AE150" i="4" s="1"/>
  <c r="AE225" i="4"/>
  <c r="AE226" i="4" s="1"/>
  <c r="AJ56" i="2"/>
  <c r="AD146" i="4"/>
  <c r="AD150" i="4" s="1"/>
  <c r="AD225" i="4"/>
  <c r="AD226" i="4" s="1"/>
  <c r="AI56" i="2"/>
  <c r="AC146" i="4"/>
  <c r="AC150" i="4" s="1"/>
  <c r="AC225" i="4"/>
  <c r="AC226" i="4" s="1"/>
  <c r="AH56" i="2"/>
  <c r="AB146" i="4"/>
  <c r="AB150" i="4" s="1"/>
  <c r="AB225" i="4"/>
  <c r="AB226" i="4" s="1"/>
  <c r="AG56" i="2"/>
  <c r="AA146" i="4"/>
  <c r="AA150" i="4" s="1"/>
  <c r="AA225" i="4"/>
  <c r="AF56" i="2"/>
  <c r="Z146" i="4"/>
  <c r="Z150" i="4" s="1"/>
  <c r="Z225" i="4"/>
  <c r="Z226" i="4" s="1"/>
  <c r="AC56" i="2"/>
  <c r="Y146" i="4"/>
  <c r="Y150" i="4" s="1"/>
  <c r="Y225" i="4"/>
  <c r="Y226" i="4" s="1"/>
  <c r="AB56" i="2"/>
  <c r="W146" i="4"/>
  <c r="W150" i="4" s="1"/>
  <c r="W225" i="4"/>
  <c r="W226" i="4" s="1"/>
  <c r="Z56" i="2"/>
  <c r="V146" i="4"/>
  <c r="V150" i="4" s="1"/>
  <c r="V225" i="4"/>
  <c r="V226" i="4" s="1"/>
  <c r="Y56" i="2"/>
  <c r="U146" i="4"/>
  <c r="U150" i="4" s="1"/>
  <c r="U225" i="4"/>
  <c r="U226" i="4" s="1"/>
  <c r="X56" i="2"/>
  <c r="S146" i="4"/>
  <c r="S150" i="4" s="1"/>
  <c r="S225" i="4"/>
  <c r="S226" i="4" s="1"/>
  <c r="V56" i="2"/>
  <c r="Q146" i="4"/>
  <c r="Q150" i="4" s="1"/>
  <c r="Q225" i="4"/>
  <c r="Q226" i="4" s="1"/>
  <c r="T56" i="2"/>
  <c r="O146" i="4"/>
  <c r="O150" i="4" s="1"/>
  <c r="O225" i="4"/>
  <c r="R56" i="2"/>
  <c r="M146" i="4"/>
  <c r="M150" i="4" s="1"/>
  <c r="M225" i="4"/>
  <c r="M226" i="4" s="1"/>
  <c r="O56" i="2"/>
  <c r="K146" i="4"/>
  <c r="K150" i="4" s="1"/>
  <c r="K225" i="4"/>
  <c r="K226" i="4" s="1"/>
  <c r="M56" i="2"/>
  <c r="I146" i="4"/>
  <c r="I150" i="4" s="1"/>
  <c r="I225" i="4"/>
  <c r="I226" i="4" s="1"/>
  <c r="K56" i="2"/>
  <c r="G146" i="4"/>
  <c r="G150" i="4" s="1"/>
  <c r="G225" i="4"/>
  <c r="G226" i="4" s="1"/>
  <c r="I56" i="2"/>
  <c r="E146" i="4"/>
  <c r="E150" i="4" s="1"/>
  <c r="E225" i="4"/>
  <c r="E226" i="4" s="1"/>
  <c r="G56" i="2"/>
  <c r="C146" i="4"/>
  <c r="C150" i="4" s="1"/>
  <c r="C225" i="4"/>
  <c r="C226" i="4" s="1"/>
  <c r="E56" i="2"/>
  <c r="AD120" i="2"/>
  <c r="AE120" i="2"/>
  <c r="AR119" i="2"/>
  <c r="AS119" i="2"/>
  <c r="AD119" i="2"/>
  <c r="AE119" i="2"/>
  <c r="AR118" i="2"/>
  <c r="AS118" i="2"/>
  <c r="AD118" i="2"/>
  <c r="AE118" i="2"/>
  <c r="AR117" i="2"/>
  <c r="AS117" i="2"/>
  <c r="AD117" i="2"/>
  <c r="AE117" i="2"/>
  <c r="AR116" i="2"/>
  <c r="Y19" i="1" s="1"/>
  <c r="AS116" i="2"/>
  <c r="AD116" i="2"/>
  <c r="X19" i="1" s="1"/>
  <c r="AE116" i="2"/>
  <c r="AR115" i="2"/>
  <c r="AS115" i="2"/>
  <c r="AD115" i="2"/>
  <c r="AE115" i="2"/>
  <c r="AR114" i="2"/>
  <c r="AS114" i="2"/>
  <c r="AD114" i="2"/>
  <c r="AE114" i="2"/>
  <c r="AR113" i="2"/>
  <c r="AS113" i="2"/>
  <c r="AD113" i="2"/>
  <c r="AE113" i="2"/>
  <c r="AR112" i="2"/>
  <c r="AS112" i="2"/>
  <c r="AD112" i="2"/>
  <c r="AE112" i="2"/>
  <c r="AR111" i="2"/>
  <c r="AS111" i="2"/>
  <c r="AD111" i="2"/>
  <c r="AE111" i="2"/>
  <c r="AR110" i="2"/>
  <c r="Y18" i="1" s="1"/>
  <c r="AS110" i="2"/>
  <c r="AD110" i="2"/>
  <c r="X18" i="1" s="1"/>
  <c r="AE110" i="2"/>
  <c r="AR109" i="2"/>
  <c r="AS109" i="2"/>
  <c r="AD109" i="2"/>
  <c r="AE109" i="2"/>
  <c r="AR108" i="2"/>
  <c r="AS108" i="2"/>
  <c r="AD108" i="2"/>
  <c r="AE108" i="2"/>
  <c r="AR107" i="2"/>
  <c r="AS107" i="2"/>
  <c r="AD107" i="2"/>
  <c r="AE107" i="2"/>
  <c r="AR106" i="2"/>
  <c r="AS106" i="2"/>
  <c r="AD106" i="2"/>
  <c r="AE106" i="2"/>
  <c r="AR105" i="2"/>
  <c r="AS105" i="2"/>
  <c r="AD105" i="2"/>
  <c r="AE105" i="2"/>
  <c r="AR104" i="2"/>
  <c r="Y17" i="1" s="1"/>
  <c r="AS104" i="2"/>
  <c r="AD104" i="2"/>
  <c r="X17" i="1" s="1"/>
  <c r="AE104" i="2"/>
  <c r="AR103" i="2"/>
  <c r="AS103" i="2"/>
  <c r="AD103" i="2"/>
  <c r="AE103" i="2"/>
  <c r="AR102" i="2"/>
  <c r="AS102" i="2"/>
  <c r="AD102" i="2"/>
  <c r="AE102" i="2"/>
  <c r="AR101" i="2"/>
  <c r="AS101" i="2"/>
  <c r="AD101" i="2"/>
  <c r="AE101" i="2"/>
  <c r="AR100" i="2"/>
  <c r="AS100" i="2"/>
  <c r="AD100" i="2"/>
  <c r="AE100" i="2"/>
  <c r="AR99" i="2"/>
  <c r="AS99" i="2"/>
  <c r="AD99" i="2"/>
  <c r="AE99" i="2"/>
  <c r="AR98" i="2"/>
  <c r="AS98" i="2"/>
  <c r="AD98" i="2"/>
  <c r="AE98" i="2"/>
  <c r="AR97" i="2"/>
  <c r="AS97" i="2"/>
  <c r="AD97" i="2"/>
  <c r="AE97" i="2"/>
  <c r="AR96" i="2"/>
  <c r="AS96" i="2"/>
  <c r="AD96" i="2"/>
  <c r="AE96" i="2"/>
  <c r="AR95" i="2"/>
  <c r="AS95" i="2"/>
  <c r="AD95" i="2"/>
  <c r="AE95" i="2"/>
  <c r="AR94" i="2"/>
  <c r="AS94" i="2"/>
  <c r="AD94" i="2"/>
  <c r="AE94" i="2"/>
  <c r="AR92" i="2"/>
  <c r="AS92" i="2"/>
  <c r="AD92" i="2"/>
  <c r="AE92" i="2"/>
  <c r="AR91" i="2"/>
  <c r="AS91" i="2"/>
  <c r="AD91" i="2"/>
  <c r="P20" i="1" s="1"/>
  <c r="AC7" i="1" s="1"/>
  <c r="AE91" i="2"/>
  <c r="AR90" i="2"/>
  <c r="AS90" i="2"/>
  <c r="AD90" i="2"/>
  <c r="AE90" i="2"/>
  <c r="AR89" i="2"/>
  <c r="AS89" i="2"/>
  <c r="AD89" i="2"/>
  <c r="P19" i="1" s="1"/>
  <c r="AE89" i="2"/>
  <c r="AR88" i="2"/>
  <c r="AS88" i="2"/>
  <c r="D61" i="3" a="1"/>
  <c r="D62" i="3" a="1"/>
  <c r="D63" i="3" a="1"/>
  <c r="D65" i="3" a="1"/>
  <c r="D66" i="3" a="1"/>
  <c r="D67" i="3" a="1"/>
  <c r="D68" i="3" a="1"/>
  <c r="D69" i="3" a="1"/>
  <c r="D77" i="3" a="1"/>
  <c r="D80" i="3" a="1"/>
  <c r="D82" i="3" a="1"/>
  <c r="D83" i="3" a="1"/>
  <c r="D84" i="3" a="1"/>
  <c r="D85" i="3" a="1"/>
  <c r="D64" i="3" a="1"/>
  <c r="D71" i="3" a="1"/>
  <c r="D72" i="3" a="1"/>
  <c r="D73" i="3" a="1"/>
  <c r="D74" i="3" a="1"/>
  <c r="D75" i="3" a="1"/>
  <c r="D76" i="3" a="1"/>
  <c r="D79" i="3" a="1"/>
  <c r="D81" i="3" a="1"/>
  <c r="D86" i="3" a="1"/>
  <c r="AS181" i="2"/>
  <c r="AR181" i="2"/>
  <c r="AD88" i="2"/>
  <c r="AE88" i="2"/>
  <c r="D21" i="3" a="1"/>
  <c r="Q18" i="1"/>
  <c r="O19" i="1"/>
  <c r="Q19" i="1"/>
  <c r="O20" i="1"/>
  <c r="Q20" i="1"/>
  <c r="D9" i="2"/>
  <c r="D15" i="2"/>
  <c r="D8" i="2"/>
  <c r="D14" i="2"/>
  <c r="Y16" i="1"/>
  <c r="Y20" i="1"/>
  <c r="X16" i="1"/>
  <c r="X20" i="1"/>
  <c r="W16" i="1"/>
  <c r="W20" i="1"/>
  <c r="AE181" i="2"/>
  <c r="AD181" i="2"/>
  <c r="AA333" i="4"/>
  <c r="AB333" i="4"/>
  <c r="AC333" i="4"/>
  <c r="AD333" i="4"/>
  <c r="AA346" i="4"/>
  <c r="AB346" i="4"/>
  <c r="AC346" i="4"/>
  <c r="AD346" i="4"/>
  <c r="O333" i="4"/>
  <c r="P333" i="4"/>
  <c r="Q333" i="4"/>
  <c r="R333" i="4"/>
  <c r="S333" i="4"/>
  <c r="T333" i="4"/>
  <c r="U333" i="4"/>
  <c r="V333" i="4"/>
  <c r="W333" i="4"/>
  <c r="X333" i="4"/>
  <c r="Y333" i="4"/>
  <c r="Z333" i="4"/>
  <c r="O346" i="4"/>
  <c r="P346" i="4"/>
  <c r="Q346" i="4"/>
  <c r="R346" i="4"/>
  <c r="S346" i="4"/>
  <c r="T346" i="4"/>
  <c r="U346" i="4"/>
  <c r="V346" i="4"/>
  <c r="W346" i="4"/>
  <c r="X346" i="4"/>
  <c r="Y346" i="4"/>
  <c r="Z346" i="4"/>
  <c r="AA243" i="4"/>
  <c r="AA329" i="4"/>
  <c r="AB329" i="4"/>
  <c r="AC329" i="4"/>
  <c r="AD329" i="4"/>
  <c r="O243" i="4"/>
  <c r="O329" i="4"/>
  <c r="P329" i="4"/>
  <c r="Q329" i="4"/>
  <c r="R329" i="4"/>
  <c r="S329" i="4"/>
  <c r="T329" i="4"/>
  <c r="U329" i="4"/>
  <c r="V329" i="4"/>
  <c r="W329" i="4"/>
  <c r="X329" i="4"/>
  <c r="Y329" i="4"/>
  <c r="Z329" i="4"/>
  <c r="X146" i="4"/>
  <c r="X150" i="4" s="1"/>
  <c r="X225" i="4"/>
  <c r="X226" i="4" s="1"/>
  <c r="AA56" i="2"/>
  <c r="T146" i="4"/>
  <c r="T150" i="4" s="1"/>
  <c r="T225" i="4"/>
  <c r="T226" i="4" s="1"/>
  <c r="W56" i="2"/>
  <c r="R146" i="4"/>
  <c r="R150" i="4" s="1"/>
  <c r="R225" i="4"/>
  <c r="R226" i="4" s="1"/>
  <c r="U56" i="2"/>
  <c r="P146" i="4"/>
  <c r="P150" i="4" s="1"/>
  <c r="P225" i="4"/>
  <c r="P226" i="4" s="1"/>
  <c r="S56" i="2"/>
  <c r="N146" i="4"/>
  <c r="N150" i="4" s="1"/>
  <c r="N225" i="4"/>
  <c r="N226" i="4" s="1"/>
  <c r="P56" i="2"/>
  <c r="L146" i="4"/>
  <c r="L150" i="4" s="1"/>
  <c r="L225" i="4"/>
  <c r="L226" i="4" s="1"/>
  <c r="N56" i="2"/>
  <c r="J146" i="4"/>
  <c r="J150" i="4" s="1"/>
  <c r="J225" i="4"/>
  <c r="J226" i="4" s="1"/>
  <c r="L56" i="2"/>
  <c r="H146" i="4"/>
  <c r="H150" i="4" s="1"/>
  <c r="H225" i="4"/>
  <c r="H226" i="4" s="1"/>
  <c r="J56" i="2"/>
  <c r="F146" i="4"/>
  <c r="F150" i="4" s="1"/>
  <c r="F225" i="4"/>
  <c r="F226" i="4" s="1"/>
  <c r="H56" i="2"/>
  <c r="D146" i="4"/>
  <c r="D150" i="4" s="1"/>
  <c r="D225" i="4"/>
  <c r="D226" i="4" s="1"/>
  <c r="F56" i="2"/>
  <c r="AD347" i="4"/>
  <c r="AC347" i="4"/>
  <c r="AB347" i="4"/>
  <c r="AA347" i="4"/>
  <c r="Z347" i="4"/>
  <c r="Y347" i="4"/>
  <c r="X347" i="4"/>
  <c r="W347" i="4"/>
  <c r="V347" i="4"/>
  <c r="U347" i="4"/>
  <c r="T347" i="4"/>
  <c r="S347" i="4"/>
  <c r="R347" i="4"/>
  <c r="Q347" i="4"/>
  <c r="P347" i="4"/>
  <c r="O347" i="4"/>
  <c r="AO209" i="2"/>
  <c r="AJ209" i="2"/>
  <c r="AC209" i="2"/>
  <c r="AL252" i="4"/>
  <c r="AK252" i="4"/>
  <c r="AJ252" i="4"/>
  <c r="AI252" i="4"/>
  <c r="AH252" i="4"/>
  <c r="AG252" i="4"/>
  <c r="AF252" i="4"/>
  <c r="AE252" i="4"/>
  <c r="AD252" i="4"/>
  <c r="AC252" i="4"/>
  <c r="AB252" i="4"/>
  <c r="AA252" i="4"/>
  <c r="Y252" i="4"/>
  <c r="X252" i="4"/>
  <c r="W252" i="4"/>
  <c r="V252" i="4"/>
  <c r="U252" i="4"/>
  <c r="T252" i="4"/>
  <c r="S252" i="4"/>
  <c r="R252" i="4"/>
  <c r="Q252" i="4"/>
  <c r="P252" i="4"/>
  <c r="O252" i="4"/>
  <c r="N252" i="4"/>
  <c r="M252" i="4"/>
  <c r="L252" i="4"/>
  <c r="K252" i="4"/>
  <c r="J252" i="4"/>
  <c r="I252" i="4"/>
  <c r="H252" i="4"/>
  <c r="G252" i="4"/>
  <c r="F252" i="4"/>
  <c r="E252" i="4"/>
  <c r="D252" i="4"/>
  <c r="C252" i="4"/>
  <c r="AL206" i="4"/>
  <c r="AK206" i="4"/>
  <c r="AJ206" i="4"/>
  <c r="AI206" i="4"/>
  <c r="AH206" i="4"/>
  <c r="AG206" i="4"/>
  <c r="AF206" i="4"/>
  <c r="AE206" i="4"/>
  <c r="AD206" i="4"/>
  <c r="AC206" i="4"/>
  <c r="AB206" i="4"/>
  <c r="AA206" i="4"/>
  <c r="Y206" i="4"/>
  <c r="X206" i="4"/>
  <c r="W206" i="4"/>
  <c r="V206" i="4"/>
  <c r="U206" i="4"/>
  <c r="T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H9" i="1"/>
  <c r="AJ249" i="4"/>
  <c r="AH249" i="4"/>
  <c r="AE249" i="4"/>
  <c r="AB249" i="4"/>
  <c r="U249" i="4"/>
  <c r="Q249" i="4"/>
  <c r="O249" i="4"/>
  <c r="K249" i="4"/>
  <c r="I249" i="4"/>
  <c r="F249" i="4"/>
  <c r="AN209" i="2"/>
  <c r="AK209" i="2"/>
  <c r="Q88" i="2"/>
  <c r="AS87" i="2"/>
  <c r="AE86" i="2"/>
  <c r="AS85" i="2"/>
  <c r="Q85" i="2"/>
  <c r="AR84" i="2"/>
  <c r="Q84" i="2"/>
  <c r="AE83" i="2"/>
  <c r="AR81" i="2"/>
  <c r="AS80" i="2"/>
  <c r="AD80" i="2"/>
  <c r="AS79" i="2"/>
  <c r="AE79" i="2"/>
  <c r="AS78" i="2"/>
  <c r="AD78" i="2"/>
  <c r="P9" i="1" s="1"/>
  <c r="AC12" i="1" s="1"/>
  <c r="AS77" i="2"/>
  <c r="AE77" i="2"/>
  <c r="AS76" i="2"/>
  <c r="AD76" i="2"/>
  <c r="Q76" i="2"/>
  <c r="AR75" i="2"/>
  <c r="AE75" i="2"/>
  <c r="Q75" i="2"/>
  <c r="AS73" i="2"/>
  <c r="AD73" i="2"/>
  <c r="AR72" i="2"/>
  <c r="AE72" i="2"/>
  <c r="AE70" i="2"/>
  <c r="AP67" i="2"/>
  <c r="AL67" i="2"/>
  <c r="AH67" i="2"/>
  <c r="U67" i="2"/>
  <c r="P67" i="2"/>
  <c r="M67" i="2"/>
  <c r="J67" i="2"/>
  <c r="F67" i="2"/>
  <c r="AE66" i="2"/>
  <c r="AR65" i="2"/>
  <c r="I32" i="1" s="1"/>
  <c r="AE65" i="2"/>
  <c r="AS64" i="2"/>
  <c r="AG93" i="2"/>
  <c r="AC93" i="2"/>
  <c r="AC6" i="2" s="1"/>
  <c r="Y93" i="2"/>
  <c r="Y6" i="2" s="1"/>
  <c r="U93" i="2"/>
  <c r="U6" i="2" s="1"/>
  <c r="R93" i="2"/>
  <c r="O93" i="2"/>
  <c r="AB5" i="2" s="1"/>
  <c r="K93" i="2"/>
  <c r="X5" i="2" s="1"/>
  <c r="G93" i="2"/>
  <c r="T5" i="2" s="1"/>
  <c r="AR63" i="2"/>
  <c r="I30" i="1" s="1"/>
  <c r="AD63" i="2"/>
  <c r="H30" i="1" s="1"/>
  <c r="Q63" i="2"/>
  <c r="G30" i="1" s="1"/>
  <c r="AR62" i="2"/>
  <c r="I29" i="1" s="1"/>
  <c r="AD62" i="2"/>
  <c r="H29" i="1" s="1"/>
  <c r="Q62" i="2"/>
  <c r="G29" i="1" s="1"/>
  <c r="AS61" i="2"/>
  <c r="Q61" i="2"/>
  <c r="G28" i="1" s="1"/>
  <c r="AD60" i="2"/>
  <c r="H27" i="1" s="1"/>
  <c r="AE59" i="2"/>
  <c r="Q59" i="2"/>
  <c r="G26" i="1" s="1"/>
  <c r="AE58" i="2"/>
  <c r="AR55" i="2"/>
  <c r="I22" i="1" s="1"/>
  <c r="AE55" i="2"/>
  <c r="Q55" i="2"/>
  <c r="G22" i="1" s="1"/>
  <c r="AS54" i="2"/>
  <c r="AE54" i="2"/>
  <c r="AD53" i="2"/>
  <c r="H20" i="1" s="1"/>
  <c r="AE52" i="2"/>
  <c r="AD51" i="2"/>
  <c r="H18" i="1" s="1"/>
  <c r="AE47" i="2"/>
  <c r="Q46" i="2"/>
  <c r="G13" i="1" s="1"/>
  <c r="AE44" i="2"/>
  <c r="AS42" i="2"/>
  <c r="AR41" i="2"/>
  <c r="AS40" i="2"/>
  <c r="AD39" i="2"/>
  <c r="AS37" i="2"/>
  <c r="AE37" i="2"/>
  <c r="AD36" i="2"/>
  <c r="H4" i="1" s="1"/>
  <c r="AD12" i="2"/>
  <c r="AK224" i="4"/>
  <c r="AI224" i="4"/>
  <c r="AG224" i="4"/>
  <c r="AE224" i="4"/>
  <c r="AC224" i="4"/>
  <c r="AB224" i="4"/>
  <c r="X224" i="4"/>
  <c r="V224" i="4"/>
  <c r="T224" i="4"/>
  <c r="R224" i="4"/>
  <c r="P224" i="4"/>
  <c r="N224" i="4"/>
  <c r="L224" i="4"/>
  <c r="J224" i="4"/>
  <c r="H224" i="4"/>
  <c r="F224" i="4"/>
  <c r="D224" i="4"/>
  <c r="D55" i="3" a="1"/>
  <c r="I8" i="1"/>
  <c r="H7" i="1"/>
  <c r="X249" i="4"/>
  <c r="S249" i="4"/>
  <c r="M249" i="4"/>
  <c r="H249" i="4"/>
  <c r="D249" i="4"/>
  <c r="AD86" i="2"/>
  <c r="Q86" i="2"/>
  <c r="AR85" i="2"/>
  <c r="AS84" i="2"/>
  <c r="AE84" i="2"/>
  <c r="AD83" i="2"/>
  <c r="Q83" i="2"/>
  <c r="AS82" i="2"/>
  <c r="AE82" i="2"/>
  <c r="AR80" i="2"/>
  <c r="Q80" i="2"/>
  <c r="AD79" i="2"/>
  <c r="AE78" i="2"/>
  <c r="Q78" i="2"/>
  <c r="Q77" i="2"/>
  <c r="AR76" i="2"/>
  <c r="AS74" i="2"/>
  <c r="AE74" i="2"/>
  <c r="Q74" i="2"/>
  <c r="AS70" i="2"/>
  <c r="AK67" i="2"/>
  <c r="AF67" i="2"/>
  <c r="X67" i="2"/>
  <c r="T67" i="2"/>
  <c r="R67" i="2"/>
  <c r="N67" i="2"/>
  <c r="K67" i="2"/>
  <c r="G67" i="2"/>
  <c r="AS66" i="2"/>
  <c r="AD65" i="2"/>
  <c r="H32" i="1" s="1"/>
  <c r="P37" i="1" s="1"/>
  <c r="AH93" i="2"/>
  <c r="AE64" i="2"/>
  <c r="AB93" i="2"/>
  <c r="AB6" i="2" s="1"/>
  <c r="X93" i="2"/>
  <c r="X6" i="2" s="1"/>
  <c r="S93" i="2"/>
  <c r="S6" i="2" s="1"/>
  <c r="N93" i="2"/>
  <c r="AA5" i="2" s="1"/>
  <c r="J93" i="2"/>
  <c r="W5" i="2" s="1"/>
  <c r="F93" i="2"/>
  <c r="S5" i="2" s="1"/>
  <c r="AS62" i="2"/>
  <c r="AE61" i="2"/>
  <c r="Q60" i="2"/>
  <c r="G27" i="1" s="1"/>
  <c r="AS57" i="2"/>
  <c r="AD57" i="2"/>
  <c r="H24" i="1" s="1"/>
  <c r="Q57" i="2"/>
  <c r="G24" i="1" s="1"/>
  <c r="AS55" i="2"/>
  <c r="Q54" i="2"/>
  <c r="G21" i="1" s="1"/>
  <c r="AR53" i="2"/>
  <c r="I20" i="1" s="1"/>
  <c r="AS52" i="2"/>
  <c r="AE48" i="2"/>
  <c r="AD44" i="2"/>
  <c r="H11" i="1" s="1"/>
  <c r="AE43" i="2"/>
  <c r="AD37" i="2"/>
  <c r="Q37" i="2"/>
  <c r="Q36" i="2"/>
  <c r="G4" i="1" s="1"/>
  <c r="AE34" i="2"/>
  <c r="Q34" i="2"/>
  <c r="O23" i="1" s="1"/>
  <c r="Q181" i="2"/>
  <c r="AE53" i="2"/>
  <c r="AR52" i="2"/>
  <c r="I19" i="1" s="1"/>
  <c r="AS51" i="2"/>
  <c r="Q51" i="2"/>
  <c r="G18" i="1" s="1"/>
  <c r="AE50" i="2"/>
  <c r="AD49" i="2"/>
  <c r="H16" i="1" s="1"/>
  <c r="AD48" i="2"/>
  <c r="H15" i="1" s="1"/>
  <c r="Q47" i="2"/>
  <c r="G14" i="1" s="1"/>
  <c r="AS45" i="2"/>
  <c r="AE45" i="2"/>
  <c r="AR44" i="2"/>
  <c r="I11" i="1" s="1"/>
  <c r="AD43" i="2"/>
  <c r="AR42" i="2"/>
  <c r="Q39" i="2"/>
  <c r="AE38" i="2"/>
  <c r="AR37" i="2"/>
  <c r="AS35" i="2"/>
  <c r="AE35" i="2"/>
  <c r="AR34" i="2"/>
  <c r="Q23" i="1" s="1"/>
  <c r="AL224" i="4"/>
  <c r="AJ224" i="4"/>
  <c r="AH224" i="4"/>
  <c r="AF224" i="4"/>
  <c r="AD224" i="4"/>
  <c r="AA224" i="4"/>
  <c r="Y224" i="4"/>
  <c r="W224" i="4"/>
  <c r="U224" i="4"/>
  <c r="S224" i="4"/>
  <c r="Q224" i="4"/>
  <c r="O224" i="4"/>
  <c r="M224" i="4"/>
  <c r="K224" i="4"/>
  <c r="I224" i="4"/>
  <c r="G224" i="4"/>
  <c r="E224" i="4"/>
  <c r="C224" i="4"/>
  <c r="AQ209" i="2"/>
  <c r="AL209" i="2"/>
  <c r="AR208" i="2"/>
  <c r="G9" i="1"/>
  <c r="H8" i="1"/>
  <c r="G7" i="1"/>
  <c r="AL249" i="4"/>
  <c r="AI249" i="4"/>
  <c r="AF249" i="4"/>
  <c r="AC249" i="4"/>
  <c r="AA249" i="4"/>
  <c r="W249" i="4"/>
  <c r="T249" i="4"/>
  <c r="P249" i="4"/>
  <c r="L249" i="4"/>
  <c r="G249" i="4"/>
  <c r="C249" i="4"/>
  <c r="AE87" i="2"/>
  <c r="AS86" i="2"/>
  <c r="AE85" i="2"/>
  <c r="AS83" i="2"/>
  <c r="Q82" i="2"/>
  <c r="AD81" i="2"/>
  <c r="Q81" i="2"/>
  <c r="AE80" i="2"/>
  <c r="AR79" i="2"/>
  <c r="AD75" i="2"/>
  <c r="Q73" i="2"/>
  <c r="AD72" i="2"/>
  <c r="Q72" i="2"/>
  <c r="AR70" i="2"/>
  <c r="I37" i="1" s="1"/>
  <c r="AQ67" i="2"/>
  <c r="AI67" i="2"/>
  <c r="Z67" i="2"/>
  <c r="H67" i="2"/>
  <c r="AD66" i="2"/>
  <c r="H33" i="1" s="1"/>
  <c r="P48" i="1" s="1"/>
  <c r="AS65" i="2"/>
  <c r="Q65" i="2"/>
  <c r="G32" i="1" s="1"/>
  <c r="O37" i="1" s="1"/>
  <c r="AI93" i="2"/>
  <c r="AD64" i="2"/>
  <c r="H31" i="1" s="1"/>
  <c r="Z93" i="2"/>
  <c r="Z6" i="2" s="1"/>
  <c r="W93" i="2"/>
  <c r="W6" i="2" s="1"/>
  <c r="T93" i="2"/>
  <c r="T6" i="2" s="1"/>
  <c r="P93" i="2"/>
  <c r="AC5" i="2" s="1"/>
  <c r="L93" i="2"/>
  <c r="Y5" i="2" s="1"/>
  <c r="H93" i="2"/>
  <c r="U5" i="2" s="1"/>
  <c r="E93" i="2"/>
  <c r="AE62" i="2"/>
  <c r="AR61" i="2"/>
  <c r="I28" i="1" s="1"/>
  <c r="AR60" i="2"/>
  <c r="I27" i="1" s="1"/>
  <c r="AE60" i="2"/>
  <c r="AS59" i="2"/>
  <c r="AD59" i="2"/>
  <c r="H26" i="1" s="1"/>
  <c r="AR58" i="2"/>
  <c r="I25" i="1" s="1"/>
  <c r="AD58" i="2"/>
  <c r="H25" i="1" s="1"/>
  <c r="AR57" i="2"/>
  <c r="I24" i="1" s="1"/>
  <c r="AD55" i="2"/>
  <c r="H22" i="1" s="1"/>
  <c r="AR54" i="2"/>
  <c r="I21" i="1" s="1"/>
  <c r="AD54" i="2"/>
  <c r="H21" i="1" s="1"/>
  <c r="Q53" i="2"/>
  <c r="G20" i="1" s="1"/>
  <c r="AD52" i="2"/>
  <c r="H19" i="1" s="1"/>
  <c r="AE51" i="2"/>
  <c r="AD50" i="2"/>
  <c r="H17" i="1" s="1"/>
  <c r="J17" i="1" s="1"/>
  <c r="K17" i="1" s="1"/>
  <c r="Q50" i="2"/>
  <c r="G17" i="1" s="1"/>
  <c r="AR49" i="2"/>
  <c r="I16" i="1" s="1"/>
  <c r="AS48" i="2"/>
  <c r="AR47" i="2"/>
  <c r="I14" i="1" s="1"/>
  <c r="AD47" i="2"/>
  <c r="H14" i="1" s="1"/>
  <c r="AE46" i="2"/>
  <c r="AD45" i="2"/>
  <c r="H12" i="1" s="1"/>
  <c r="Q45" i="2"/>
  <c r="G12" i="1" s="1"/>
  <c r="AS44" i="2"/>
  <c r="Q44" i="2"/>
  <c r="G11" i="1" s="1"/>
  <c r="AS43" i="2"/>
  <c r="Q43" i="2"/>
  <c r="AS41" i="2"/>
  <c r="AR40" i="2"/>
  <c r="I7" i="1" s="1"/>
  <c r="AS39" i="2"/>
  <c r="AE39" i="2"/>
  <c r="AR38" i="2"/>
  <c r="I5" i="1" s="1"/>
  <c r="AD38" i="2"/>
  <c r="H5" i="1" s="1"/>
  <c r="AE36" i="2"/>
  <c r="AD35" i="2"/>
  <c r="P22" i="1" s="1"/>
  <c r="AD34" i="2"/>
  <c r="P23" i="1" s="1"/>
  <c r="AD21" i="2"/>
  <c r="AH209" i="2"/>
  <c r="G8" i="1"/>
  <c r="AK249" i="4"/>
  <c r="AG249" i="4"/>
  <c r="AD249" i="4"/>
  <c r="Y249" i="4"/>
  <c r="V249" i="4"/>
  <c r="R249" i="4"/>
  <c r="N249" i="4"/>
  <c r="J249" i="4"/>
  <c r="E249" i="4"/>
  <c r="AR87" i="2"/>
  <c r="AD87" i="2"/>
  <c r="P17" i="1" s="1"/>
  <c r="Q87" i="2"/>
  <c r="AR86" i="2"/>
  <c r="AD85" i="2"/>
  <c r="P16" i="1" s="1"/>
  <c r="AD84" i="2"/>
  <c r="P15" i="1" s="1"/>
  <c r="AR83" i="2"/>
  <c r="AR82" i="2"/>
  <c r="AD82" i="2"/>
  <c r="AS81" i="2"/>
  <c r="AE81" i="2"/>
  <c r="Q79" i="2"/>
  <c r="AR78" i="2"/>
  <c r="AR77" i="2"/>
  <c r="AD77" i="2"/>
  <c r="P8" i="1" s="1"/>
  <c r="AC11" i="1" s="1"/>
  <c r="AE76" i="2"/>
  <c r="AS75" i="2"/>
  <c r="AR74" i="2"/>
  <c r="AD74" i="2"/>
  <c r="AR73" i="2"/>
  <c r="AE73" i="2"/>
  <c r="AS72" i="2"/>
  <c r="AD70" i="2"/>
  <c r="H37" i="1" s="1"/>
  <c r="P49" i="1" s="1"/>
  <c r="Q70" i="2"/>
  <c r="G37" i="1" s="1"/>
  <c r="O49" i="1" s="1"/>
  <c r="AN67" i="2"/>
  <c r="AC67" i="2"/>
  <c r="AA67" i="2"/>
  <c r="W67" i="2"/>
  <c r="AR66" i="2"/>
  <c r="I33" i="1" s="1"/>
  <c r="Q66" i="2"/>
  <c r="G33" i="1" s="1"/>
  <c r="O48" i="1" s="1"/>
  <c r="AR64" i="2"/>
  <c r="I31" i="1" s="1"/>
  <c r="J31" i="1" s="1"/>
  <c r="K31" i="1" s="1"/>
  <c r="AF93" i="2"/>
  <c r="AA93" i="2"/>
  <c r="AA6" i="2" s="1"/>
  <c r="V93" i="2"/>
  <c r="V6" i="2" s="1"/>
  <c r="Q64" i="2"/>
  <c r="G31" i="1" s="1"/>
  <c r="M93" i="2"/>
  <c r="Z5" i="2" s="1"/>
  <c r="I93" i="2"/>
  <c r="V5" i="2" s="1"/>
  <c r="AS63" i="2"/>
  <c r="AE63" i="2"/>
  <c r="AD61" i="2"/>
  <c r="H28" i="1" s="1"/>
  <c r="AS60" i="2"/>
  <c r="AR59" i="2"/>
  <c r="I26" i="1" s="1"/>
  <c r="AS58" i="2"/>
  <c r="Q58" i="2"/>
  <c r="G25" i="1" s="1"/>
  <c r="AE57" i="2"/>
  <c r="Q52" i="2"/>
  <c r="G19" i="1" s="1"/>
  <c r="AR51" i="2"/>
  <c r="I18" i="1" s="1"/>
  <c r="AE49" i="2"/>
  <c r="Q49" i="2"/>
  <c r="G16" i="1" s="1"/>
  <c r="AR48" i="2"/>
  <c r="I15" i="1" s="1"/>
  <c r="Q48" i="2"/>
  <c r="G15" i="1" s="1"/>
  <c r="AR46" i="2"/>
  <c r="I13" i="1" s="1"/>
  <c r="AD46" i="2"/>
  <c r="H13" i="1" s="1"/>
  <c r="AR45" i="2"/>
  <c r="I12" i="1" s="1"/>
  <c r="AR43" i="2"/>
  <c r="AR39" i="2"/>
  <c r="I6" i="1" s="1"/>
  <c r="AS38" i="2"/>
  <c r="Q38" i="2"/>
  <c r="G5" i="1" s="1"/>
  <c r="AR35" i="2"/>
  <c r="Q22" i="1" s="1"/>
  <c r="R22" i="1" s="1"/>
  <c r="S22" i="1" s="1"/>
  <c r="Q35" i="2"/>
  <c r="O22" i="1" s="1"/>
  <c r="AS34" i="2"/>
  <c r="J4" i="1" l="1"/>
  <c r="K4" i="1" s="1"/>
  <c r="D78" i="3" a="1"/>
  <c r="AR120" i="2"/>
  <c r="D70" i="3" a="1"/>
  <c r="D56" i="3" a="1"/>
  <c r="P46" i="1"/>
  <c r="P12" i="1"/>
  <c r="AC14" i="1" s="1"/>
  <c r="J22" i="1"/>
  <c r="K22" i="1" s="1"/>
  <c r="P32" i="1"/>
  <c r="P4" i="1"/>
  <c r="D53" i="3" a="1"/>
  <c r="AC6" i="1"/>
  <c r="D19" i="3" a="1"/>
  <c r="Q10" i="1"/>
  <c r="J8" i="1"/>
  <c r="K8" i="1" s="1"/>
  <c r="J16" i="1"/>
  <c r="K16" i="1" s="1"/>
  <c r="H10" i="1"/>
  <c r="I9" i="1"/>
  <c r="J15" i="1"/>
  <c r="K15" i="1" s="1"/>
  <c r="D16" i="3" a="1"/>
  <c r="O11" i="1"/>
  <c r="D109" i="3"/>
  <c r="Q11" i="1"/>
  <c r="O28" i="1"/>
  <c r="O8" i="1"/>
  <c r="D50" i="3" a="1"/>
  <c r="Q16" i="1"/>
  <c r="I10" i="1"/>
  <c r="J10" i="1" s="1"/>
  <c r="K10" i="1" s="1"/>
  <c r="D14" i="3" a="1"/>
  <c r="O9" i="1"/>
  <c r="O33" i="1"/>
  <c r="O6" i="1"/>
  <c r="D17" i="3" a="1"/>
  <c r="D26" i="3" a="1"/>
  <c r="O14" i="1"/>
  <c r="P10" i="1"/>
  <c r="D11" i="3" a="1"/>
  <c r="AL153" i="4"/>
  <c r="AL233" i="4" s="1"/>
  <c r="AL227" i="4"/>
  <c r="AL229" i="4"/>
  <c r="AK227" i="4"/>
  <c r="AK229" i="4"/>
  <c r="AK153" i="4"/>
  <c r="AK233" i="4" s="1"/>
  <c r="AJ227" i="4"/>
  <c r="AJ229" i="4"/>
  <c r="AJ153" i="4"/>
  <c r="AJ233" i="4" s="1"/>
  <c r="AI227" i="4"/>
  <c r="AI229" i="4"/>
  <c r="AI153" i="4"/>
  <c r="AI233" i="4" s="1"/>
  <c r="AH227" i="4"/>
  <c r="AH229" i="4"/>
  <c r="AH153" i="4"/>
  <c r="AH233" i="4" s="1"/>
  <c r="AG227" i="4"/>
  <c r="AG229" i="4"/>
  <c r="AG153" i="4"/>
  <c r="AG233" i="4" s="1"/>
  <c r="AF227" i="4"/>
  <c r="AF229" i="4"/>
  <c r="AF153" i="4"/>
  <c r="AF233" i="4" s="1"/>
  <c r="AE153" i="4"/>
  <c r="AE233" i="4" s="1"/>
  <c r="AE227" i="4"/>
  <c r="AE229" i="4"/>
  <c r="AD227" i="4"/>
  <c r="AD229" i="4"/>
  <c r="AD153" i="4"/>
  <c r="AD233" i="4" s="1"/>
  <c r="AC153" i="4"/>
  <c r="AC233" i="4" s="1"/>
  <c r="AC227" i="4"/>
  <c r="AC229" i="4"/>
  <c r="AB227" i="4"/>
  <c r="AB229" i="4"/>
  <c r="AB153" i="4"/>
  <c r="AB233" i="4" s="1"/>
  <c r="AA153" i="4"/>
  <c r="AA233" i="4" s="1"/>
  <c r="AA227" i="4"/>
  <c r="AA229" i="4"/>
  <c r="AA226" i="4"/>
  <c r="AA330" i="4"/>
  <c r="AB330" i="4"/>
  <c r="AC330" i="4"/>
  <c r="AD330" i="4"/>
  <c r="AS56" i="2"/>
  <c r="AR56" i="2"/>
  <c r="Z227" i="4"/>
  <c r="Z229" i="4"/>
  <c r="Z153" i="4"/>
  <c r="Z233" i="4" s="1"/>
  <c r="Y153" i="4"/>
  <c r="Y233" i="4" s="1"/>
  <c r="Y227" i="4"/>
  <c r="Y229" i="4"/>
  <c r="W153" i="4"/>
  <c r="W233" i="4" s="1"/>
  <c r="W227" i="4"/>
  <c r="W229" i="4"/>
  <c r="V227" i="4"/>
  <c r="V229" i="4"/>
  <c r="V153" i="4"/>
  <c r="V233" i="4" s="1"/>
  <c r="U227" i="4"/>
  <c r="U229" i="4"/>
  <c r="U153" i="4"/>
  <c r="U233" i="4" s="1"/>
  <c r="S153" i="4"/>
  <c r="S233" i="4" s="1"/>
  <c r="S227" i="4"/>
  <c r="S229" i="4"/>
  <c r="Q153" i="4"/>
  <c r="Q233" i="4" s="1"/>
  <c r="Q227" i="4"/>
  <c r="Q229" i="4"/>
  <c r="O153" i="4"/>
  <c r="O233" i="4" s="1"/>
  <c r="O227" i="4"/>
  <c r="O229" i="4"/>
  <c r="O226" i="4"/>
  <c r="O330" i="4"/>
  <c r="P330" i="4"/>
  <c r="Q330" i="4"/>
  <c r="R330" i="4"/>
  <c r="S330" i="4"/>
  <c r="T330" i="4"/>
  <c r="U330" i="4"/>
  <c r="V330" i="4"/>
  <c r="W330" i="4"/>
  <c r="X330" i="4"/>
  <c r="Y330" i="4"/>
  <c r="Z330" i="4"/>
  <c r="AE56" i="2"/>
  <c r="D22" i="3" s="1" a="1"/>
  <c r="AD56" i="2"/>
  <c r="M227" i="4"/>
  <c r="M229" i="4"/>
  <c r="M153" i="4"/>
  <c r="M233" i="4" s="1"/>
  <c r="K153" i="4"/>
  <c r="K233" i="4" s="1"/>
  <c r="K227" i="4"/>
  <c r="K229" i="4"/>
  <c r="I153" i="4"/>
  <c r="I233" i="4" s="1"/>
  <c r="I227" i="4"/>
  <c r="I229" i="4"/>
  <c r="G153" i="4"/>
  <c r="G233" i="4" s="1"/>
  <c r="G227" i="4"/>
  <c r="G229" i="4"/>
  <c r="E153" i="4"/>
  <c r="E233" i="4" s="1"/>
  <c r="E227" i="4"/>
  <c r="E229" i="4"/>
  <c r="C153" i="4"/>
  <c r="C233" i="4" s="1"/>
  <c r="C227" i="4"/>
  <c r="C229" i="4"/>
  <c r="D54" i="3" a="1"/>
  <c r="P18" i="1"/>
  <c r="R18" i="1" s="1"/>
  <c r="S18" i="1" s="1"/>
  <c r="R19" i="1"/>
  <c r="S19" i="1" s="1"/>
  <c r="AD6" i="1"/>
  <c r="W14" i="1"/>
  <c r="R20" i="1"/>
  <c r="S20" i="1" s="1"/>
  <c r="AD7" i="1"/>
  <c r="AE7" i="1" s="1"/>
  <c r="X227" i="4"/>
  <c r="X229" i="4"/>
  <c r="X153" i="4"/>
  <c r="X233" i="4" s="1"/>
  <c r="T227" i="4"/>
  <c r="T229" i="4"/>
  <c r="T153" i="4"/>
  <c r="T233" i="4" s="1"/>
  <c r="R227" i="4"/>
  <c r="R229" i="4"/>
  <c r="R153" i="4"/>
  <c r="R233" i="4" s="1"/>
  <c r="P227" i="4"/>
  <c r="P229" i="4"/>
  <c r="P153" i="4"/>
  <c r="P233" i="4" s="1"/>
  <c r="N227" i="4"/>
  <c r="N229" i="4"/>
  <c r="N153" i="4"/>
  <c r="N233" i="4" s="1"/>
  <c r="L227" i="4"/>
  <c r="L229" i="4"/>
  <c r="L153" i="4"/>
  <c r="L233" i="4" s="1"/>
  <c r="J227" i="4"/>
  <c r="J229" i="4"/>
  <c r="J153" i="4"/>
  <c r="J233" i="4" s="1"/>
  <c r="H227" i="4"/>
  <c r="H229" i="4"/>
  <c r="H153" i="4"/>
  <c r="H233" i="4" s="1"/>
  <c r="F227" i="4"/>
  <c r="F229" i="4"/>
  <c r="F153" i="4"/>
  <c r="F233" i="4" s="1"/>
  <c r="D227" i="4"/>
  <c r="D229" i="4"/>
  <c r="D153" i="4"/>
  <c r="D233" i="4" s="1"/>
  <c r="Q37" i="1"/>
  <c r="R37" i="1" s="1"/>
  <c r="S37" i="1" s="1"/>
  <c r="J32" i="1"/>
  <c r="K32" i="1" s="1"/>
  <c r="R6" i="2"/>
  <c r="AD6" i="2" s="1"/>
  <c r="AE93" i="2"/>
  <c r="AD93" i="2"/>
  <c r="AD29" i="2"/>
  <c r="BH39" i="2"/>
  <c r="H6" i="1"/>
  <c r="D49" i="3" a="1"/>
  <c r="P14" i="1"/>
  <c r="AS67" i="2"/>
  <c r="AR67" i="2"/>
  <c r="I34" i="1" s="1"/>
  <c r="AD67" i="2"/>
  <c r="H34" i="1" s="1"/>
  <c r="P50" i="1" s="1"/>
  <c r="AE67" i="2"/>
  <c r="D31" i="3" s="1" a="1"/>
  <c r="Q32" i="1"/>
  <c r="J20" i="1"/>
  <c r="K20" i="1" s="1"/>
  <c r="P27" i="1"/>
  <c r="P26" i="1"/>
  <c r="Q47" i="1"/>
  <c r="Q36" i="1"/>
  <c r="J19" i="1"/>
  <c r="K19" i="1" s="1"/>
  <c r="O45" i="1"/>
  <c r="O35" i="1"/>
  <c r="Q27" i="1"/>
  <c r="Q26" i="1"/>
  <c r="J11" i="1"/>
  <c r="K11" i="1" s="1"/>
  <c r="G6" i="1"/>
  <c r="Q29" i="2"/>
  <c r="D41" i="3" a="1"/>
  <c r="P7" i="1"/>
  <c r="Q49" i="1"/>
  <c r="R49" i="1" s="1"/>
  <c r="S49" i="1" s="1"/>
  <c r="J37" i="1"/>
  <c r="K37" i="1" s="1"/>
  <c r="R5" i="2"/>
  <c r="AD5" i="2" s="1"/>
  <c r="Q93" i="2"/>
  <c r="Q46" i="1"/>
  <c r="J25" i="1"/>
  <c r="K25" i="1" s="1"/>
  <c r="Y4" i="1"/>
  <c r="J24" i="1"/>
  <c r="K24" i="1" s="1"/>
  <c r="Q30" i="1"/>
  <c r="J21" i="1"/>
  <c r="K21" i="1" s="1"/>
  <c r="P47" i="1"/>
  <c r="P36" i="1"/>
  <c r="Q45" i="1"/>
  <c r="Q35" i="1"/>
  <c r="J14" i="1"/>
  <c r="K14" i="1" s="1"/>
  <c r="P45" i="1"/>
  <c r="P35" i="1"/>
  <c r="O26" i="1"/>
  <c r="O27" i="1"/>
  <c r="Q43" i="1"/>
  <c r="M42" i="1"/>
  <c r="AC36" i="1"/>
  <c r="Q31" i="1"/>
  <c r="AB27" i="1"/>
  <c r="Q25" i="1"/>
  <c r="J5" i="1"/>
  <c r="K5" i="1" s="1"/>
  <c r="P43" i="1"/>
  <c r="P31" i="1"/>
  <c r="P25" i="1"/>
  <c r="Q48" i="1"/>
  <c r="R48" i="1" s="1"/>
  <c r="S48" i="1" s="1"/>
  <c r="J33" i="1"/>
  <c r="K33" i="1" s="1"/>
  <c r="AS93" i="2"/>
  <c r="AR93" i="2"/>
  <c r="Q33" i="1"/>
  <c r="J26" i="1"/>
  <c r="K26" i="1" s="1"/>
  <c r="O47" i="1"/>
  <c r="O36" i="1"/>
  <c r="Q29" i="1"/>
  <c r="Y22" i="1"/>
  <c r="J13" i="1"/>
  <c r="K13" i="1" s="1"/>
  <c r="P29" i="1"/>
  <c r="Q28" i="1"/>
  <c r="J12" i="1"/>
  <c r="K12" i="1" s="1"/>
  <c r="Y8" i="1"/>
  <c r="Q42" i="1"/>
  <c r="X33" i="1"/>
  <c r="AE26" i="1"/>
  <c r="Y21" i="1"/>
  <c r="O43" i="1"/>
  <c r="O31" i="1"/>
  <c r="O25" i="1"/>
  <c r="Z17" i="1"/>
  <c r="D3" i="3" a="1"/>
  <c r="D29" i="3" a="1"/>
  <c r="O5" i="1"/>
  <c r="Q6" i="1"/>
  <c r="Q9" i="1"/>
  <c r="O12" i="1"/>
  <c r="D27" i="3" a="1"/>
  <c r="D28" i="3" a="1"/>
  <c r="Q4" i="1"/>
  <c r="O16" i="1"/>
  <c r="D47" i="3" a="1"/>
  <c r="J29" i="1"/>
  <c r="K29" i="1" s="1"/>
  <c r="D52" i="3" a="1"/>
  <c r="D45" i="3" a="1"/>
  <c r="X4" i="1"/>
  <c r="W4" i="1"/>
  <c r="O30" i="1"/>
  <c r="P11" i="1"/>
  <c r="R23" i="1"/>
  <c r="S23" i="1" s="1"/>
  <c r="O29" i="1"/>
  <c r="G10" i="1"/>
  <c r="D51" i="3" a="1"/>
  <c r="D44" i="3" a="1"/>
  <c r="D39" i="3" a="1"/>
  <c r="D38" i="3" a="1"/>
  <c r="D90" i="3" s="1"/>
  <c r="J28" i="1"/>
  <c r="K28" i="1" s="1"/>
  <c r="J27" i="1"/>
  <c r="K27" i="1" s="1"/>
  <c r="P33" i="1"/>
  <c r="P30" i="1"/>
  <c r="O32" i="1"/>
  <c r="P28" i="1"/>
  <c r="D40" i="3" a="1"/>
  <c r="P6" i="1"/>
  <c r="D43" i="3" a="1"/>
  <c r="Q67" i="2"/>
  <c r="G34" i="1" s="1"/>
  <c r="O50" i="1" s="1"/>
  <c r="O46" i="1"/>
  <c r="J18" i="1"/>
  <c r="K18" i="1" s="1"/>
  <c r="D18" i="3" a="1"/>
  <c r="D23" i="3" a="1"/>
  <c r="D25" i="3" a="1"/>
  <c r="D10" i="3" a="1"/>
  <c r="D6" i="3" a="1"/>
  <c r="O7" i="1"/>
  <c r="D46" i="3" a="1"/>
  <c r="Q14" i="1"/>
  <c r="Q17" i="1"/>
  <c r="R17" i="1" s="1"/>
  <c r="S17" i="1" s="1"/>
  <c r="P5" i="1"/>
  <c r="J30" i="1"/>
  <c r="K30" i="1" s="1"/>
  <c r="D15" i="3" a="1"/>
  <c r="D30" i="3" a="1"/>
  <c r="D34" i="3" a="1"/>
  <c r="Q5" i="1"/>
  <c r="O17" i="1"/>
  <c r="D24" i="3" a="1"/>
  <c r="D5" i="3" a="1"/>
  <c r="D13" i="3" a="1"/>
  <c r="O4" i="1"/>
  <c r="Q8" i="1"/>
  <c r="D12" i="3" a="1"/>
  <c r="D20" i="3" a="1"/>
  <c r="D9" i="3" a="1"/>
  <c r="Q12" i="1"/>
  <c r="Q15" i="1"/>
  <c r="R15" i="1" s="1"/>
  <c r="S15" i="1" s="1"/>
  <c r="O18" i="1"/>
  <c r="Q56" i="2"/>
  <c r="D4" i="3" a="1"/>
  <c r="D7" i="3" a="1"/>
  <c r="D8" i="3" a="1"/>
  <c r="Q7" i="1"/>
  <c r="O10" i="1"/>
  <c r="O15" i="1"/>
  <c r="D42" i="3" a="1"/>
  <c r="D104" i="3" s="1"/>
  <c r="AC13" i="1" l="1"/>
  <c r="D108" i="3"/>
  <c r="R32" i="1"/>
  <c r="S32" i="1" s="1"/>
  <c r="J9" i="1"/>
  <c r="K9" i="1" s="1"/>
  <c r="W13" i="1"/>
  <c r="J7" i="1"/>
  <c r="K7" i="1" s="1"/>
  <c r="R27" i="1"/>
  <c r="S27" i="1" s="1"/>
  <c r="R46" i="1"/>
  <c r="S46" i="1" s="1"/>
  <c r="K6" i="1"/>
  <c r="J6" i="1"/>
  <c r="R16" i="1"/>
  <c r="S16" i="1" s="1"/>
  <c r="R11" i="1"/>
  <c r="S11" i="1" s="1"/>
  <c r="D58" i="3"/>
  <c r="D96" i="3"/>
  <c r="P13" i="1"/>
  <c r="D57" i="3"/>
  <c r="R26" i="1"/>
  <c r="S26" i="1" s="1"/>
  <c r="O34" i="1"/>
  <c r="X22" i="1"/>
  <c r="I23" i="1"/>
  <c r="R10" i="1"/>
  <c r="S10" i="1" s="1"/>
  <c r="AL234" i="4"/>
  <c r="AQ71" i="2"/>
  <c r="AL228" i="4"/>
  <c r="AQ69" i="2"/>
  <c r="AL230" i="4"/>
  <c r="AQ68" i="2"/>
  <c r="AK228" i="4"/>
  <c r="AP69" i="2"/>
  <c r="AK230" i="4"/>
  <c r="AP68" i="2"/>
  <c r="AK234" i="4"/>
  <c r="AP71" i="2"/>
  <c r="AJ228" i="4"/>
  <c r="AO69" i="2"/>
  <c r="AJ230" i="4"/>
  <c r="AO68" i="2"/>
  <c r="AJ234" i="4"/>
  <c r="AO71" i="2"/>
  <c r="AI228" i="4"/>
  <c r="AN69" i="2"/>
  <c r="AI230" i="4"/>
  <c r="AN68" i="2"/>
  <c r="AI234" i="4"/>
  <c r="AN71" i="2"/>
  <c r="AH228" i="4"/>
  <c r="AM69" i="2"/>
  <c r="AH230" i="4"/>
  <c r="AM68" i="2"/>
  <c r="AH234" i="4"/>
  <c r="AM71" i="2"/>
  <c r="AG228" i="4"/>
  <c r="AL69" i="2"/>
  <c r="AG230" i="4"/>
  <c r="AL68" i="2"/>
  <c r="AG234" i="4"/>
  <c r="AL71" i="2"/>
  <c r="AF228" i="4"/>
  <c r="AK69" i="2"/>
  <c r="AF230" i="4"/>
  <c r="AK68" i="2"/>
  <c r="AF234" i="4"/>
  <c r="AK71" i="2"/>
  <c r="AE234" i="4"/>
  <c r="AJ71" i="2"/>
  <c r="AE228" i="4"/>
  <c r="AJ69" i="2"/>
  <c r="AE230" i="4"/>
  <c r="AJ68" i="2"/>
  <c r="AD228" i="4"/>
  <c r="AI69" i="2"/>
  <c r="AD230" i="4"/>
  <c r="AI68" i="2"/>
  <c r="AD234" i="4"/>
  <c r="AI71" i="2"/>
  <c r="AC234" i="4"/>
  <c r="AH71" i="2"/>
  <c r="AC228" i="4"/>
  <c r="AH69" i="2"/>
  <c r="AC230" i="4"/>
  <c r="AH68" i="2"/>
  <c r="AB228" i="4"/>
  <c r="AG69" i="2"/>
  <c r="AB230" i="4"/>
  <c r="AG68" i="2"/>
  <c r="AB234" i="4"/>
  <c r="AG71" i="2"/>
  <c r="AA234" i="4"/>
  <c r="AF71" i="2"/>
  <c r="AA332" i="4"/>
  <c r="AB332" i="4"/>
  <c r="AC332" i="4"/>
  <c r="AD332" i="4"/>
  <c r="AA228" i="4"/>
  <c r="AF69" i="2"/>
  <c r="AA230" i="4"/>
  <c r="AF68" i="2"/>
  <c r="AA331" i="4"/>
  <c r="AB331" i="4"/>
  <c r="AC331" i="4"/>
  <c r="AD331" i="4"/>
  <c r="Z228" i="4"/>
  <c r="AC69" i="2"/>
  <c r="Z230" i="4"/>
  <c r="AC68" i="2"/>
  <c r="Z234" i="4"/>
  <c r="AC71" i="2"/>
  <c r="AC30" i="2" s="1"/>
  <c r="Y234" i="4"/>
  <c r="AB71" i="2"/>
  <c r="AB30" i="2" s="1"/>
  <c r="Y228" i="4"/>
  <c r="AB69" i="2"/>
  <c r="Y230" i="4"/>
  <c r="AB68" i="2"/>
  <c r="W234" i="4"/>
  <c r="Z71" i="2"/>
  <c r="Z30" i="2" s="1"/>
  <c r="W228" i="4"/>
  <c r="Z69" i="2"/>
  <c r="W230" i="4"/>
  <c r="Z68" i="2"/>
  <c r="V228" i="4"/>
  <c r="Y69" i="2"/>
  <c r="V230" i="4"/>
  <c r="Y68" i="2"/>
  <c r="V234" i="4"/>
  <c r="Y71" i="2"/>
  <c r="Y30" i="2" s="1"/>
  <c r="U228" i="4"/>
  <c r="X69" i="2"/>
  <c r="U230" i="4"/>
  <c r="X68" i="2"/>
  <c r="U234" i="4"/>
  <c r="X71" i="2"/>
  <c r="X30" i="2" s="1"/>
  <c r="S234" i="4"/>
  <c r="V71" i="2"/>
  <c r="V30" i="2" s="1"/>
  <c r="AD339" i="4"/>
  <c r="AD340" i="4"/>
  <c r="S228" i="4"/>
  <c r="V69" i="2"/>
  <c r="AD335" i="4"/>
  <c r="S230" i="4"/>
  <c r="V68" i="2"/>
  <c r="Q234" i="4"/>
  <c r="T71" i="2"/>
  <c r="T30" i="2" s="1"/>
  <c r="AB339" i="4"/>
  <c r="AB340" i="4"/>
  <c r="Q228" i="4"/>
  <c r="T69" i="2"/>
  <c r="AB335" i="4"/>
  <c r="Q230" i="4"/>
  <c r="T68" i="2"/>
  <c r="O234" i="4"/>
  <c r="R71" i="2"/>
  <c r="O332" i="4"/>
  <c r="P332" i="4"/>
  <c r="Q332" i="4"/>
  <c r="R332" i="4"/>
  <c r="S332" i="4"/>
  <c r="T332" i="4"/>
  <c r="U332" i="4"/>
  <c r="V332" i="4"/>
  <c r="W332" i="4"/>
  <c r="X332" i="4"/>
  <c r="Y332" i="4"/>
  <c r="Z332" i="4"/>
  <c r="Z339" i="4"/>
  <c r="Z340" i="4"/>
  <c r="O228" i="4"/>
  <c r="R69" i="2"/>
  <c r="Z335" i="4"/>
  <c r="O230" i="4"/>
  <c r="R68" i="2"/>
  <c r="O331" i="4"/>
  <c r="P331" i="4"/>
  <c r="Q331" i="4"/>
  <c r="R331" i="4"/>
  <c r="S331" i="4"/>
  <c r="T331" i="4"/>
  <c r="U331" i="4"/>
  <c r="V331" i="4"/>
  <c r="W331" i="4"/>
  <c r="X331" i="4"/>
  <c r="Y331" i="4"/>
  <c r="Z331" i="4"/>
  <c r="M228" i="4"/>
  <c r="O69" i="2"/>
  <c r="X335" i="4"/>
  <c r="M230" i="4"/>
  <c r="O68" i="2"/>
  <c r="M234" i="4"/>
  <c r="O71" i="2"/>
  <c r="O30" i="2" s="1"/>
  <c r="X339" i="4"/>
  <c r="X340" i="4"/>
  <c r="K234" i="4"/>
  <c r="M71" i="2"/>
  <c r="M30" i="2" s="1"/>
  <c r="V339" i="4"/>
  <c r="V340" i="4"/>
  <c r="K228" i="4"/>
  <c r="M69" i="2"/>
  <c r="V335" i="4"/>
  <c r="K230" i="4"/>
  <c r="M68" i="2"/>
  <c r="I234" i="4"/>
  <c r="K71" i="2"/>
  <c r="K30" i="2" s="1"/>
  <c r="T339" i="4"/>
  <c r="T340" i="4"/>
  <c r="I228" i="4"/>
  <c r="K69" i="2"/>
  <c r="T335" i="4"/>
  <c r="I230" i="4"/>
  <c r="K68" i="2"/>
  <c r="G234" i="4"/>
  <c r="I71" i="2"/>
  <c r="I30" i="2" s="1"/>
  <c r="R339" i="4"/>
  <c r="R340" i="4"/>
  <c r="G228" i="4"/>
  <c r="I69" i="2"/>
  <c r="R335" i="4"/>
  <c r="G230" i="4"/>
  <c r="I68" i="2"/>
  <c r="E234" i="4"/>
  <c r="G71" i="2"/>
  <c r="G30" i="2" s="1"/>
  <c r="P339" i="4"/>
  <c r="P340" i="4"/>
  <c r="E228" i="4"/>
  <c r="G69" i="2"/>
  <c r="P335" i="4"/>
  <c r="E230" i="4"/>
  <c r="G68" i="2"/>
  <c r="C234" i="4"/>
  <c r="E71" i="2"/>
  <c r="C228" i="4"/>
  <c r="E69" i="2"/>
  <c r="C230" i="4"/>
  <c r="E68" i="2"/>
  <c r="X228" i="4"/>
  <c r="AA69" i="2"/>
  <c r="X230" i="4"/>
  <c r="AA68" i="2"/>
  <c r="X234" i="4"/>
  <c r="AA71" i="2"/>
  <c r="AA30" i="2" s="1"/>
  <c r="T228" i="4"/>
  <c r="W69" i="2"/>
  <c r="T230" i="4"/>
  <c r="W68" i="2"/>
  <c r="T234" i="4"/>
  <c r="W71" i="2"/>
  <c r="W30" i="2" s="1"/>
  <c r="R228" i="4"/>
  <c r="U69" i="2"/>
  <c r="AC335" i="4"/>
  <c r="R230" i="4"/>
  <c r="U68" i="2"/>
  <c r="R234" i="4"/>
  <c r="U71" i="2"/>
  <c r="U30" i="2" s="1"/>
  <c r="AC339" i="4"/>
  <c r="AC340" i="4"/>
  <c r="P228" i="4"/>
  <c r="S69" i="2"/>
  <c r="AA335" i="4"/>
  <c r="P230" i="4"/>
  <c r="S68" i="2"/>
  <c r="P234" i="4"/>
  <c r="S71" i="2"/>
  <c r="S30" i="2" s="1"/>
  <c r="AA339" i="4"/>
  <c r="AA340" i="4"/>
  <c r="N228" i="4"/>
  <c r="P69" i="2"/>
  <c r="Y335" i="4"/>
  <c r="N230" i="4"/>
  <c r="P68" i="2"/>
  <c r="N234" i="4"/>
  <c r="P71" i="2"/>
  <c r="P30" i="2" s="1"/>
  <c r="Y339" i="4"/>
  <c r="Y340" i="4"/>
  <c r="L228" i="4"/>
  <c r="N69" i="2"/>
  <c r="W335" i="4"/>
  <c r="L230" i="4"/>
  <c r="N68" i="2"/>
  <c r="L234" i="4"/>
  <c r="N71" i="2"/>
  <c r="N30" i="2" s="1"/>
  <c r="W339" i="4"/>
  <c r="W340" i="4"/>
  <c r="J228" i="4"/>
  <c r="L69" i="2"/>
  <c r="U335" i="4"/>
  <c r="J230" i="4"/>
  <c r="L68" i="2"/>
  <c r="J234" i="4"/>
  <c r="L71" i="2"/>
  <c r="L30" i="2" s="1"/>
  <c r="U339" i="4"/>
  <c r="U340" i="4"/>
  <c r="H228" i="4"/>
  <c r="J69" i="2"/>
  <c r="S335" i="4"/>
  <c r="H230" i="4"/>
  <c r="J68" i="2"/>
  <c r="H234" i="4"/>
  <c r="J71" i="2"/>
  <c r="J30" i="2" s="1"/>
  <c r="S339" i="4"/>
  <c r="S340" i="4"/>
  <c r="F228" i="4"/>
  <c r="H69" i="2"/>
  <c r="Q335" i="4"/>
  <c r="F230" i="4"/>
  <c r="H68" i="2"/>
  <c r="F234" i="4"/>
  <c r="H71" i="2"/>
  <c r="H30" i="2" s="1"/>
  <c r="Q339" i="4"/>
  <c r="Q340" i="4"/>
  <c r="D228" i="4"/>
  <c r="F69" i="2"/>
  <c r="O335" i="4"/>
  <c r="D230" i="4"/>
  <c r="F68" i="2"/>
  <c r="D234" i="4"/>
  <c r="F71" i="2"/>
  <c r="F30" i="2" s="1"/>
  <c r="O339" i="4"/>
  <c r="O340" i="4"/>
  <c r="X8" i="1"/>
  <c r="P42" i="1"/>
  <c r="R42" i="1" s="1"/>
  <c r="H23" i="1"/>
  <c r="X5" i="1" s="1"/>
  <c r="X21" i="1"/>
  <c r="Z21" i="1" s="1"/>
  <c r="AC5" i="1"/>
  <c r="AC8" i="1" s="1"/>
  <c r="X9" i="1"/>
  <c r="P21" i="1"/>
  <c r="Q50" i="1"/>
  <c r="R50" i="1" s="1"/>
  <c r="S50" i="1" s="1"/>
  <c r="J34" i="1"/>
  <c r="K34" i="1" s="1"/>
  <c r="W22" i="1"/>
  <c r="W8" i="1"/>
  <c r="O42" i="1"/>
  <c r="G23" i="1"/>
  <c r="W5" i="1" s="1"/>
  <c r="W21" i="1"/>
  <c r="X13" i="1"/>
  <c r="AC10" i="1"/>
  <c r="AD49" i="1"/>
  <c r="AE27" i="1"/>
  <c r="AB28" i="1"/>
  <c r="R25" i="1"/>
  <c r="S25" i="1" s="1"/>
  <c r="Q41" i="1"/>
  <c r="Q44" i="1"/>
  <c r="P41" i="1"/>
  <c r="P44" i="1"/>
  <c r="AD48" i="1"/>
  <c r="R33" i="1"/>
  <c r="S33" i="1" s="1"/>
  <c r="AC33" i="1"/>
  <c r="Q34" i="1"/>
  <c r="AC34" i="1"/>
  <c r="AC35" i="1"/>
  <c r="Q38" i="1"/>
  <c r="AC26" i="1"/>
  <c r="AD26" i="1" s="1"/>
  <c r="AC27" i="1"/>
  <c r="AD27" i="1" s="1"/>
  <c r="AC28" i="1"/>
  <c r="AD28" i="1" s="1"/>
  <c r="AC29" i="1"/>
  <c r="AC30" i="1"/>
  <c r="AC31" i="1"/>
  <c r="AC32" i="1"/>
  <c r="O41" i="1"/>
  <c r="O44" i="1"/>
  <c r="AD12" i="1"/>
  <c r="AE12" i="1" s="1"/>
  <c r="R9" i="1"/>
  <c r="S9" i="1" s="1"/>
  <c r="Q13" i="1"/>
  <c r="Y12" i="1"/>
  <c r="Y11" i="1"/>
  <c r="R4" i="1"/>
  <c r="S4" i="1" s="1"/>
  <c r="D48" i="3"/>
  <c r="D91" i="3"/>
  <c r="P34" i="1"/>
  <c r="AD5" i="1"/>
  <c r="Y9" i="1"/>
  <c r="Q21" i="1"/>
  <c r="R14" i="1"/>
  <c r="S14" i="1" s="1"/>
  <c r="AD13" i="1"/>
  <c r="R5" i="1"/>
  <c r="S5" i="1" s="1"/>
  <c r="O13" i="1"/>
  <c r="W15" i="1" s="1"/>
  <c r="W12" i="1"/>
  <c r="W11" i="1"/>
  <c r="AD11" i="1"/>
  <c r="AE11" i="1" s="1"/>
  <c r="R8" i="1"/>
  <c r="S8" i="1" s="1"/>
  <c r="AD14" i="1"/>
  <c r="AE14" i="1" s="1"/>
  <c r="R12" i="1"/>
  <c r="S12" i="1" s="1"/>
  <c r="Y13" i="1"/>
  <c r="AD10" i="1"/>
  <c r="R7" i="1"/>
  <c r="S7" i="1" s="1"/>
  <c r="D105" i="3"/>
  <c r="D101" i="3"/>
  <c r="O21" i="1"/>
  <c r="W9" i="1"/>
  <c r="D59" i="3"/>
  <c r="D95" i="3"/>
  <c r="X12" i="1"/>
  <c r="X11" i="1"/>
  <c r="R47" i="1"/>
  <c r="S47" i="1" s="1"/>
  <c r="R36" i="1"/>
  <c r="S36" i="1" s="1"/>
  <c r="R30" i="1"/>
  <c r="S30" i="1" s="1"/>
  <c r="R45" i="1"/>
  <c r="S45" i="1" s="1"/>
  <c r="R35" i="1"/>
  <c r="S35" i="1" s="1"/>
  <c r="R43" i="1"/>
  <c r="R31" i="1"/>
  <c r="S31" i="1" s="1"/>
  <c r="R29" i="1"/>
  <c r="S29" i="1" s="1"/>
  <c r="R28" i="1"/>
  <c r="S28" i="1" s="1"/>
  <c r="R6" i="1"/>
  <c r="S6" i="1" s="1"/>
  <c r="D107" i="3"/>
  <c r="D106" i="3"/>
  <c r="AE13" i="1" l="1"/>
  <c r="AD46" i="1"/>
  <c r="Y5" i="1"/>
  <c r="R13" i="1"/>
  <c r="S13" i="1" s="1"/>
  <c r="Z22" i="1"/>
  <c r="R34" i="1"/>
  <c r="S34" i="1" s="1"/>
  <c r="AR71" i="2"/>
  <c r="I38" i="1" s="1"/>
  <c r="AS71" i="2"/>
  <c r="AS69" i="2"/>
  <c r="AR69" i="2"/>
  <c r="I36" i="1" s="1"/>
  <c r="AR68" i="2"/>
  <c r="I35" i="1" s="1"/>
  <c r="AR121" i="2"/>
  <c r="AS68" i="2"/>
  <c r="AP121" i="2"/>
  <c r="AC15" i="2"/>
  <c r="AC31" i="2"/>
  <c r="AO121" i="2"/>
  <c r="AB15" i="2"/>
  <c r="AB31" i="2"/>
  <c r="AM121" i="2"/>
  <c r="Z15" i="2"/>
  <c r="Z31" i="2"/>
  <c r="AL121" i="2"/>
  <c r="Y15" i="2"/>
  <c r="Y31" i="2"/>
  <c r="AK121" i="2"/>
  <c r="X15" i="2"/>
  <c r="X31" i="2"/>
  <c r="AI121" i="2"/>
  <c r="V15" i="2"/>
  <c r="V31" i="2"/>
  <c r="AG121" i="2"/>
  <c r="T15" i="2"/>
  <c r="T31" i="2"/>
  <c r="AD71" i="2"/>
  <c r="AE71" i="2"/>
  <c r="D35" i="3" s="1" a="1"/>
  <c r="R30" i="2"/>
  <c r="AD69" i="2"/>
  <c r="H36" i="1" s="1"/>
  <c r="AE69" i="2"/>
  <c r="D33" i="3" s="1" a="1"/>
  <c r="AE68" i="2"/>
  <c r="D32" i="3" s="1" a="1"/>
  <c r="R15" i="2"/>
  <c r="AD121" i="2"/>
  <c r="AD68" i="2"/>
  <c r="R31" i="2"/>
  <c r="AA121" i="2"/>
  <c r="AB14" i="2"/>
  <c r="O31" i="2"/>
  <c r="Y121" i="2"/>
  <c r="Z14" i="2"/>
  <c r="M31" i="2"/>
  <c r="X14" i="2"/>
  <c r="W121" i="2"/>
  <c r="K31" i="2"/>
  <c r="V14" i="2"/>
  <c r="U121" i="2"/>
  <c r="I31" i="2"/>
  <c r="S121" i="2"/>
  <c r="T14" i="2"/>
  <c r="G31" i="2"/>
  <c r="Q71" i="2"/>
  <c r="E30" i="2"/>
  <c r="R14" i="2"/>
  <c r="Q68" i="2"/>
  <c r="Q121" i="2"/>
  <c r="E31" i="2"/>
  <c r="AN121" i="2"/>
  <c r="AA15" i="2"/>
  <c r="AA31" i="2"/>
  <c r="AJ121" i="2"/>
  <c r="W15" i="2"/>
  <c r="W31" i="2"/>
  <c r="AH121" i="2"/>
  <c r="U15" i="2"/>
  <c r="U31" i="2"/>
  <c r="AF121" i="2"/>
  <c r="S15" i="2"/>
  <c r="S31" i="2"/>
  <c r="AB121" i="2"/>
  <c r="AC14" i="2"/>
  <c r="P31" i="2"/>
  <c r="AA14" i="2"/>
  <c r="Z121" i="2"/>
  <c r="N31" i="2"/>
  <c r="X121" i="2"/>
  <c r="Y14" i="2"/>
  <c r="L31" i="2"/>
  <c r="W14" i="2"/>
  <c r="V121" i="2"/>
  <c r="J31" i="2"/>
  <c r="T121" i="2"/>
  <c r="U14" i="2"/>
  <c r="H31" i="2"/>
  <c r="S14" i="2"/>
  <c r="R121" i="2"/>
  <c r="F31" i="2"/>
  <c r="AD50" i="1"/>
  <c r="AE28" i="1"/>
  <c r="AB29" i="1"/>
  <c r="Q39" i="1"/>
  <c r="AE5" i="1"/>
  <c r="AD8" i="1"/>
  <c r="AD47" i="1"/>
  <c r="AD45" i="1"/>
  <c r="Q69" i="2"/>
  <c r="G36" i="1" s="1"/>
  <c r="R41" i="1"/>
  <c r="S41" i="1" s="1"/>
  <c r="R44" i="1"/>
  <c r="S44" i="1" s="1"/>
  <c r="J23" i="1"/>
  <c r="K23" i="1" s="1"/>
  <c r="P38" i="1"/>
  <c r="P39" i="1" s="1"/>
  <c r="R21" i="1"/>
  <c r="S21" i="1" s="1"/>
  <c r="AE10" i="1"/>
  <c r="AF10" i="1" s="1"/>
  <c r="S43" i="1"/>
  <c r="S42" i="1"/>
  <c r="AC121" i="2" l="1"/>
  <c r="Y7" i="1"/>
  <c r="Y6" i="1"/>
  <c r="H38" i="1"/>
  <c r="AD30" i="2"/>
  <c r="D102" i="3"/>
  <c r="D99" i="3"/>
  <c r="D98" i="3"/>
  <c r="D94" i="3"/>
  <c r="D93" i="3"/>
  <c r="D100" i="3"/>
  <c r="H35" i="1"/>
  <c r="X6" i="1" s="1"/>
  <c r="AD31" i="2"/>
  <c r="G38" i="1"/>
  <c r="W7" i="1" s="1"/>
  <c r="Q30" i="2"/>
  <c r="G35" i="1"/>
  <c r="Q31" i="2"/>
  <c r="AD29" i="1"/>
  <c r="AE29" i="1"/>
  <c r="AB30" i="1"/>
  <c r="AD41" i="1"/>
  <c r="AD44" i="1"/>
  <c r="AD43" i="1"/>
  <c r="AD42" i="1"/>
  <c r="R38" i="1"/>
  <c r="S38" i="1" s="1"/>
  <c r="R39" i="1"/>
  <c r="S39" i="1" s="1"/>
  <c r="AQ121" i="2"/>
  <c r="AD15" i="2"/>
  <c r="J36" i="1"/>
  <c r="K36" i="1" s="1"/>
  <c r="AD14" i="2"/>
  <c r="U40" i="1" l="1"/>
  <c r="U43" i="1"/>
  <c r="AE44" i="1" s="1"/>
  <c r="U41" i="1"/>
  <c r="AE42" i="1" s="1"/>
  <c r="U42" i="1"/>
  <c r="AE43" i="1" s="1"/>
  <c r="U44" i="1"/>
  <c r="AE45" i="1" s="1"/>
  <c r="U46" i="1"/>
  <c r="AE47" i="1" s="1"/>
  <c r="U49" i="1"/>
  <c r="AE50" i="1" s="1"/>
  <c r="U47" i="1"/>
  <c r="AE48" i="1" s="1"/>
  <c r="U45" i="1"/>
  <c r="AE46" i="1" s="1"/>
  <c r="U48" i="1"/>
  <c r="AE49" i="1" s="1"/>
  <c r="V34" i="1"/>
  <c r="X7" i="1"/>
  <c r="U50" i="1"/>
  <c r="AD40" i="1"/>
  <c r="AD51" i="1" s="1"/>
  <c r="W10" i="1"/>
  <c r="W6" i="1"/>
  <c r="AD30" i="1"/>
  <c r="AE30" i="1"/>
  <c r="AB31" i="1"/>
  <c r="AE41" i="1"/>
  <c r="U39" i="1"/>
  <c r="J38" i="1"/>
  <c r="K38" i="1" s="1"/>
  <c r="J35" i="1"/>
  <c r="K35" i="1" s="1"/>
  <c r="AE51" i="1" l="1"/>
  <c r="AD31" i="1"/>
  <c r="AE31" i="1"/>
  <c r="AB32" i="1"/>
  <c r="AD32" i="1" l="1"/>
  <c r="AE32" i="1"/>
  <c r="AB33" i="1"/>
  <c r="AD33" i="1" l="1"/>
  <c r="AE33" i="1"/>
  <c r="AB34" i="1"/>
  <c r="AD34" i="1" l="1"/>
  <c r="AE34" i="1"/>
  <c r="AB35" i="1"/>
  <c r="AD35" i="1" l="1"/>
  <c r="AE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63" authorId="0" shapeId="0" xr:uid="{4E5CB61C-5D6F-4659-B075-FC6F6230D809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CHỈNH </t>
        </r>
      </text>
    </comment>
    <comment ref="M181" authorId="0" shapeId="0" xr:uid="{CF8432BF-1088-4C1E-81F7-FE8BD0D1AA2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Chuyển vốn Plascene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<sst xmlns="http://schemas.openxmlformats.org/spreadsheetml/2006/main" count="1415" uniqueCount="609">
  <si>
    <t>PERFORMANCE</t>
  </si>
  <si>
    <t>VN</t>
  </si>
  <si>
    <t>DTR</t>
  </si>
  <si>
    <t>Triệu VND</t>
  </si>
  <si>
    <t>PROFIT &amp; LOSS</t>
  </si>
  <si>
    <t>BALANCE SHEET</t>
  </si>
  <si>
    <t>Production volume</t>
  </si>
  <si>
    <t>Current Assets</t>
  </si>
  <si>
    <t>Sales volume</t>
  </si>
  <si>
    <t>Cash</t>
  </si>
  <si>
    <t>Tổng nợ</t>
  </si>
  <si>
    <t>NET SALES</t>
  </si>
  <si>
    <t>Financial investment</t>
  </si>
  <si>
    <t>Vốn điều lệ</t>
  </si>
  <si>
    <t>Export</t>
  </si>
  <si>
    <t>Xuất khẩu</t>
  </si>
  <si>
    <t>Account receivables</t>
  </si>
  <si>
    <t>Lợi nhuận luỹ kế</t>
  </si>
  <si>
    <t>Domestic</t>
  </si>
  <si>
    <t>Nội địa</t>
  </si>
  <si>
    <t>Inventory</t>
  </si>
  <si>
    <t>Tổng nguồn vốn</t>
  </si>
  <si>
    <t>Others</t>
  </si>
  <si>
    <t>Khác</t>
  </si>
  <si>
    <t>Long-term assets</t>
  </si>
  <si>
    <t>Cost of Goods Sold (COGS)</t>
  </si>
  <si>
    <t>Fixed Assets</t>
  </si>
  <si>
    <t>Nợ phải thu</t>
  </si>
  <si>
    <t>VC</t>
  </si>
  <si>
    <t>Material  cost</t>
  </si>
  <si>
    <t>Cost</t>
  </si>
  <si>
    <t>Hàng tồn kho</t>
  </si>
  <si>
    <t>Production cost</t>
  </si>
  <si>
    <t>Electricity</t>
  </si>
  <si>
    <t>Accumulated depreciation</t>
  </si>
  <si>
    <t>Tài sản cố định</t>
  </si>
  <si>
    <t>Overtime</t>
  </si>
  <si>
    <t>Total Assets</t>
  </si>
  <si>
    <t>Tiền</t>
  </si>
  <si>
    <t>FOH</t>
  </si>
  <si>
    <t>FC</t>
  </si>
  <si>
    <t>Direct labor</t>
  </si>
  <si>
    <t>Short-term Liabilities</t>
  </si>
  <si>
    <t>Khấu hao</t>
  </si>
  <si>
    <t>Indirect labor</t>
  </si>
  <si>
    <t>Short-term borrowings</t>
  </si>
  <si>
    <t>Employee welfare (FOH)</t>
  </si>
  <si>
    <t>Account payables</t>
  </si>
  <si>
    <t>Net Cash flow</t>
  </si>
  <si>
    <t>Repairs and maintanance</t>
  </si>
  <si>
    <t>Long-term liabilities</t>
  </si>
  <si>
    <t>Net cash flow from operating activities</t>
  </si>
  <si>
    <t>Factory expenses</t>
  </si>
  <si>
    <t>Long-term borrowings</t>
  </si>
  <si>
    <t>Net cash flow from investment activities</t>
  </si>
  <si>
    <t>Depreciation (FOH)</t>
  </si>
  <si>
    <t>Equity</t>
  </si>
  <si>
    <t>Net cash flow from financial activities</t>
  </si>
  <si>
    <t>Other COGs</t>
  </si>
  <si>
    <t>Retained earnings</t>
  </si>
  <si>
    <t>Processing cost</t>
  </si>
  <si>
    <t>Total Resources</t>
  </si>
  <si>
    <t>Doanh thu / người (Triệu/người)</t>
  </si>
  <si>
    <t>COGs in inventory</t>
  </si>
  <si>
    <t>Man-day (8 hrs)</t>
  </si>
  <si>
    <t>Chi phí nhân sự / Doanh thu (%)</t>
  </si>
  <si>
    <t>Gross Profit</t>
  </si>
  <si>
    <t>Production headcount (avg)</t>
  </si>
  <si>
    <t>SG&amp;A (MKT&amp;ADM) expenses</t>
  </si>
  <si>
    <t>PROFIT ANALYSIS</t>
  </si>
  <si>
    <t>MKT &amp; ADM (SG&amp;A)</t>
  </si>
  <si>
    <t>Salary</t>
  </si>
  <si>
    <t>Sales volume (Ton)</t>
  </si>
  <si>
    <t>Volume</t>
  </si>
  <si>
    <t>Fixed cost</t>
  </si>
  <si>
    <t>Employee welfare</t>
  </si>
  <si>
    <t>Variable cost/ton (m VND/ton)</t>
  </si>
  <si>
    <t>Direct Selling</t>
  </si>
  <si>
    <t>Commission expenses</t>
  </si>
  <si>
    <t>Material cost per Ton</t>
  </si>
  <si>
    <t>Domestic Freight</t>
  </si>
  <si>
    <t>Electricity cost per Ton</t>
  </si>
  <si>
    <t>Export Freight</t>
  </si>
  <si>
    <t>Overtime per Ton</t>
  </si>
  <si>
    <t>Depreciation</t>
  </si>
  <si>
    <t>Processing cost per Ton</t>
  </si>
  <si>
    <t>Controllable expenses</t>
  </si>
  <si>
    <t xml:space="preserve">Direct selling </t>
  </si>
  <si>
    <t>Financial Expense</t>
  </si>
  <si>
    <t>Interest expense</t>
  </si>
  <si>
    <t>Other Income</t>
  </si>
  <si>
    <t>EBITDA</t>
  </si>
  <si>
    <t>Trong đó: chi phí nhân sự</t>
  </si>
  <si>
    <t>Profit before tax</t>
  </si>
  <si>
    <t>CIT</t>
  </si>
  <si>
    <t>NET PROFIT</t>
  </si>
  <si>
    <t xml:space="preserve">Selling price </t>
  </si>
  <si>
    <t>VCOGS</t>
  </si>
  <si>
    <t>MKT &amp; ADM</t>
  </si>
  <si>
    <t>Interest</t>
  </si>
  <si>
    <t>Total</t>
  </si>
  <si>
    <t>Check</t>
  </si>
  <si>
    <t>Operating Expense</t>
  </si>
  <si>
    <t>Net sales</t>
  </si>
  <si>
    <t>Code</t>
  </si>
  <si>
    <t>Company</t>
  </si>
  <si>
    <t>Items</t>
  </si>
  <si>
    <t>Current month</t>
  </si>
  <si>
    <t>Nhóm Tái Chế</t>
  </si>
  <si>
    <t>Net profit</t>
  </si>
  <si>
    <t>Total Headcount</t>
  </si>
  <si>
    <t>P01</t>
  </si>
  <si>
    <t>P02</t>
  </si>
  <si>
    <t>P03</t>
  </si>
  <si>
    <t>P04</t>
  </si>
  <si>
    <t>P05</t>
  </si>
  <si>
    <t>P06</t>
  </si>
  <si>
    <t>P07</t>
  </si>
  <si>
    <t>Cost of goods sold (COGs)</t>
  </si>
  <si>
    <t>P08</t>
  </si>
  <si>
    <t>Biến phí sản xuất</t>
  </si>
  <si>
    <t>P09</t>
  </si>
  <si>
    <t>P10</t>
  </si>
  <si>
    <t>Chi phí nhân sự</t>
  </si>
  <si>
    <t>P11</t>
  </si>
  <si>
    <t>P12</t>
  </si>
  <si>
    <t>P13</t>
  </si>
  <si>
    <t>P14</t>
  </si>
  <si>
    <t>Định phí hoạt động</t>
  </si>
  <si>
    <t>P15</t>
  </si>
  <si>
    <t>P16</t>
  </si>
  <si>
    <t>Chi phí khấu hao</t>
  </si>
  <si>
    <t>P17</t>
  </si>
  <si>
    <t>P18</t>
  </si>
  <si>
    <t>P19</t>
  </si>
  <si>
    <t>P20</t>
  </si>
  <si>
    <t>P21</t>
  </si>
  <si>
    <t>P22</t>
  </si>
  <si>
    <t>P23</t>
  </si>
  <si>
    <t>P24</t>
  </si>
  <si>
    <t>Biến phí bán hàng</t>
  </si>
  <si>
    <t>P25</t>
  </si>
  <si>
    <t>P26</t>
  </si>
  <si>
    <t>P27</t>
  </si>
  <si>
    <t>P28</t>
  </si>
  <si>
    <t>P29</t>
  </si>
  <si>
    <t>P30</t>
  </si>
  <si>
    <t>Chi phí lãi vay</t>
  </si>
  <si>
    <t>P31</t>
  </si>
  <si>
    <t>P32</t>
  </si>
  <si>
    <t>P33</t>
  </si>
  <si>
    <t>P34</t>
  </si>
  <si>
    <t>P35</t>
  </si>
  <si>
    <t>B01</t>
  </si>
  <si>
    <t>B02</t>
  </si>
  <si>
    <t>B03</t>
  </si>
  <si>
    <t>Financial Investment</t>
  </si>
  <si>
    <t>B04</t>
  </si>
  <si>
    <t>B04.1</t>
  </si>
  <si>
    <t>Account receivables from customers</t>
  </si>
  <si>
    <t>B05</t>
  </si>
  <si>
    <t>B06</t>
  </si>
  <si>
    <t>Long-term Assets</t>
  </si>
  <si>
    <t>B07</t>
  </si>
  <si>
    <t>B08</t>
  </si>
  <si>
    <t>B09</t>
  </si>
  <si>
    <t>B10</t>
  </si>
  <si>
    <t>B11</t>
  </si>
  <si>
    <t>B12</t>
  </si>
  <si>
    <t>B13</t>
  </si>
  <si>
    <t>B13.1</t>
  </si>
  <si>
    <t>Account payables to suppliers</t>
  </si>
  <si>
    <t>B14</t>
  </si>
  <si>
    <t>B15</t>
  </si>
  <si>
    <t>B16</t>
  </si>
  <si>
    <t>B17</t>
  </si>
  <si>
    <t>Share capital</t>
  </si>
  <si>
    <t>B18</t>
  </si>
  <si>
    <t>B19</t>
  </si>
  <si>
    <t>Number of Share</t>
  </si>
  <si>
    <t>C01</t>
  </si>
  <si>
    <t>Profit before taxes</t>
  </si>
  <si>
    <t>C02</t>
  </si>
  <si>
    <t>Depreciation &amp; Amortization</t>
  </si>
  <si>
    <t>C03</t>
  </si>
  <si>
    <t>Adjustment for</t>
  </si>
  <si>
    <t>C04</t>
  </si>
  <si>
    <t>Profit from Business activities</t>
  </si>
  <si>
    <t>C05</t>
  </si>
  <si>
    <t>Increase/decrease in account receivables</t>
  </si>
  <si>
    <t>C06</t>
  </si>
  <si>
    <t>Increase/decrease in inventory</t>
  </si>
  <si>
    <t>C07</t>
  </si>
  <si>
    <t>Increase/decrease in account payables</t>
  </si>
  <si>
    <t>C08</t>
  </si>
  <si>
    <t>Interest paid</t>
  </si>
  <si>
    <t>C09</t>
  </si>
  <si>
    <t>Increase/decrease others</t>
  </si>
  <si>
    <t>C10</t>
  </si>
  <si>
    <t>C11</t>
  </si>
  <si>
    <t>Payment for purchasing fixed assets</t>
  </si>
  <si>
    <t>C12</t>
  </si>
  <si>
    <t>Receipts from sale of fixed assets</t>
  </si>
  <si>
    <t>C13</t>
  </si>
  <si>
    <t>Payment to investments, capital contribution, provide loans</t>
  </si>
  <si>
    <t>C14</t>
  </si>
  <si>
    <t>Receipts from the recorvery of investments, capital contribution, loans</t>
  </si>
  <si>
    <t>C15</t>
  </si>
  <si>
    <t>Others from investment activities</t>
  </si>
  <si>
    <t>C16</t>
  </si>
  <si>
    <t>C17</t>
  </si>
  <si>
    <t>Receipts from borrowings</t>
  </si>
  <si>
    <t>C18</t>
  </si>
  <si>
    <t>Repayments of principals of borrowings</t>
  </si>
  <si>
    <t>C19</t>
  </si>
  <si>
    <t>Receipts from the issuance of shares or capital contributed</t>
  </si>
  <si>
    <t>C20</t>
  </si>
  <si>
    <t>Receipts from dividends</t>
  </si>
  <si>
    <t>C21</t>
  </si>
  <si>
    <t>Others from financial activities</t>
  </si>
  <si>
    <t>C22</t>
  </si>
  <si>
    <t>C23</t>
  </si>
  <si>
    <t>Net cash flow</t>
  </si>
  <si>
    <t>C24</t>
  </si>
  <si>
    <t>Opening balance</t>
  </si>
  <si>
    <t>C25</t>
  </si>
  <si>
    <t>The effect of changes in exchange rate</t>
  </si>
  <si>
    <t>C26</t>
  </si>
  <si>
    <t>Closing balance</t>
  </si>
  <si>
    <t>NỢ VAY / EBITDA</t>
  </si>
  <si>
    <t>GROUP TÁI CHẾ</t>
  </si>
  <si>
    <t>FINANCIAL STATEMENT</t>
  </si>
  <si>
    <t>Excel</t>
  </si>
  <si>
    <t>Effect</t>
  </si>
  <si>
    <t>Tháng</t>
  </si>
  <si>
    <t>COGs in inventory (semi FG)</t>
  </si>
  <si>
    <t xml:space="preserve">Account payables to suppliers </t>
  </si>
  <si>
    <t>Vay dài hạn</t>
  </si>
  <si>
    <t>% Vốn điều lệ / Doanh thu</t>
  </si>
  <si>
    <t>CASH FLOW</t>
  </si>
  <si>
    <t>LƯU CHUYỂN TIỀN TỆ</t>
  </si>
  <si>
    <t>Lợi nhuận trước thuế</t>
  </si>
  <si>
    <t>Khấu hao TSCĐ</t>
  </si>
  <si>
    <t>Điều chỉnh cho các khoản</t>
  </si>
  <si>
    <t>Lợi nhuận từ hoạt động kinh doanh</t>
  </si>
  <si>
    <t>Tăng /giảm nợ phải thu</t>
  </si>
  <si>
    <t>Tăng /giảm hàng tồn kho</t>
  </si>
  <si>
    <t>Tăng /giảm nợ phải trả</t>
  </si>
  <si>
    <t>Tiền chi trả lãi vay</t>
  </si>
  <si>
    <t>Tăng/giảm khác</t>
  </si>
  <si>
    <t>Dòng tiền từ hoạt động kinh doanh</t>
  </si>
  <si>
    <t>Tiền chi mua sắm TSCĐ</t>
  </si>
  <si>
    <t>Tiền thu từ thanh lý TSCĐ</t>
  </si>
  <si>
    <t>Tiền chi đầu tư , góp vốn, cho vay</t>
  </si>
  <si>
    <t>Tiền thu từ đầu tư, góp vốn, cho vay</t>
  </si>
  <si>
    <t>Tiền thu khác từ hoạt động đầu tư</t>
  </si>
  <si>
    <t>Dòng tiền từ hoạt động đầu tư</t>
  </si>
  <si>
    <t>Tiền thu từ đi vay</t>
  </si>
  <si>
    <t>Tiền chi trả nợ gốc vay</t>
  </si>
  <si>
    <t>Tiền thu từ phát hành cổ phiếu, vốn góp</t>
  </si>
  <si>
    <t>Tiền thu từ cổ tức</t>
  </si>
  <si>
    <t>Tiền thu/chi khác từ hoạt động tài chính</t>
  </si>
  <si>
    <t>Dòng tiền từ hoạt động tài chính</t>
  </si>
  <si>
    <t>Dòng tiền thuần</t>
  </si>
  <si>
    <t>Tiền tồn đầu kỳ</t>
  </si>
  <si>
    <t>Ảnh hưởng tỷ giá</t>
  </si>
  <si>
    <t>Tiền tồn cuối kỳ</t>
  </si>
  <si>
    <t>Tham chiếu</t>
  </si>
  <si>
    <t>I</t>
  </si>
  <si>
    <t>Nhóm chỉ số THANH KHOẢN</t>
  </si>
  <si>
    <t>II</t>
  </si>
  <si>
    <t>Nhóm chỉ số AN TOÀN</t>
  </si>
  <si>
    <t>Chi phí lãi vay / EBITDA (%)</t>
  </si>
  <si>
    <t>Nợ vay / Doanh thu (%)</t>
  </si>
  <si>
    <t>III</t>
  </si>
  <si>
    <t>Nhóm chỉ số SINH LỜI</t>
  </si>
  <si>
    <t>Lợi nhuận trên vốn chủ sở hữu (ROE)</t>
  </si>
  <si>
    <t>Lợi nhuận trên Tài sản (ROA)</t>
  </si>
  <si>
    <t>Tỷ suất EBITDA (%)</t>
  </si>
  <si>
    <t>Tỷ suất lợi nhuận gộp (%)</t>
  </si>
  <si>
    <t>Tỷ suất lợi nhuận sau thuế (%)</t>
  </si>
  <si>
    <t>IV</t>
  </si>
  <si>
    <t>Nhóm chỉ số HIỆU QUẢ TÀI SẢN</t>
  </si>
  <si>
    <t>Ngày vốn lưu động (ngày)</t>
  </si>
  <si>
    <t>Ngày nợ phải thu_DSO (ngày)</t>
  </si>
  <si>
    <t>Ngày hàng tồn kho_DIO (ngày)</t>
  </si>
  <si>
    <t>Ngày nợ phải trả_DPO (ngày)</t>
  </si>
  <si>
    <t>CTY CP NHỰA TÁI CHẾ DUY TÂN</t>
  </si>
  <si>
    <t>VND</t>
  </si>
  <si>
    <t>PHẦN I-BÁO CÁO TÌNH HÌNH TÀI CHÍNH</t>
  </si>
  <si>
    <t>Index BS</t>
  </si>
  <si>
    <t>T01.2024</t>
  </si>
  <si>
    <t>T02.2024</t>
  </si>
  <si>
    <t>T03.2024</t>
  </si>
  <si>
    <t>T04.2024</t>
  </si>
  <si>
    <t>T05.2024</t>
  </si>
  <si>
    <t>T06.2024</t>
  </si>
  <si>
    <t>T07.2024</t>
  </si>
  <si>
    <t>T08.2024</t>
  </si>
  <si>
    <t>T09.2024</t>
  </si>
  <si>
    <t>T10.2024</t>
  </si>
  <si>
    <t>T11.2024</t>
  </si>
  <si>
    <t>T12.2024</t>
  </si>
  <si>
    <t>T01.2025</t>
  </si>
  <si>
    <t>T02.2025</t>
  </si>
  <si>
    <t>T03.2025</t>
  </si>
  <si>
    <t>T04.2025</t>
  </si>
  <si>
    <t>T05.2025</t>
  </si>
  <si>
    <t>T06.2025</t>
  </si>
  <si>
    <t>T07.2025</t>
  </si>
  <si>
    <t>T08.2025</t>
  </si>
  <si>
    <t>T09.2025</t>
  </si>
  <si>
    <t>T10.2025</t>
  </si>
  <si>
    <t>T11.2025</t>
  </si>
  <si>
    <t>T12.2025</t>
  </si>
  <si>
    <t>T01.2026</t>
  </si>
  <si>
    <t>T02.2026</t>
  </si>
  <si>
    <t>T03.2026</t>
  </si>
  <si>
    <t>T04.2026</t>
  </si>
  <si>
    <t>T05.2026</t>
  </si>
  <si>
    <t>T06.2026</t>
  </si>
  <si>
    <t>T07.2026</t>
  </si>
  <si>
    <t>T08.2026</t>
  </si>
  <si>
    <t>T09.2026</t>
  </si>
  <si>
    <t>T10.2026</t>
  </si>
  <si>
    <t>T11.2026</t>
  </si>
  <si>
    <t>T12.2026</t>
  </si>
  <si>
    <t>A-TÀI SẢN NGẮN HẠN</t>
  </si>
  <si>
    <t>I.Tiền và các khoản tương đương tiền</t>
  </si>
  <si>
    <t xml:space="preserve">1.Tiền </t>
  </si>
  <si>
    <t>2.Các khoản tương đương tiền</t>
  </si>
  <si>
    <t>II.Đầu tư tài chính ngắn hạn</t>
  </si>
  <si>
    <t>1.Chứng khoán kinh doanh</t>
  </si>
  <si>
    <t xml:space="preserve">2.Dự phòng giảm giá chứng khoán kinh doanh (*) </t>
  </si>
  <si>
    <t>3.Đầu tư nắm giữ đến ngày đáo hạn ngắn hạn</t>
  </si>
  <si>
    <t>4.Dự phòng đầu tư nắm giữ đến ngày đáo hạn ngắn hạn (*)</t>
  </si>
  <si>
    <t>5.Đầu tư ngắn hạn khác</t>
  </si>
  <si>
    <t>6.Dự phòng tổn thất các khoản đầu tư ngắn hạn khác (*)</t>
  </si>
  <si>
    <t>III.Các khoản phải thu ngắn hạn</t>
  </si>
  <si>
    <t>1.Phải thu ngắn hạn của khách hàng</t>
  </si>
  <si>
    <t>2.Trả trước cho người bán ngắn hạn</t>
  </si>
  <si>
    <t>3.Phải thu nội bộ ngắn hạn</t>
  </si>
  <si>
    <t>4.Phải thu theo tiến độ hợp đồng xây dựng</t>
  </si>
  <si>
    <t>5.Phải thu ngắn hạn khác</t>
  </si>
  <si>
    <t>6.Dự phòng phải thu ngắn hạn khó đòi (*)</t>
  </si>
  <si>
    <t>7.Tài sản thiếu chờ xử lý</t>
  </si>
  <si>
    <t>IV. Hàng tồn kho</t>
  </si>
  <si>
    <t>1.Hàng tồn kho</t>
  </si>
  <si>
    <t>2.Dự phòng giảm giá hàng tồn kho (*)</t>
  </si>
  <si>
    <t>V. Tài sản sinh học ngắn hạn</t>
  </si>
  <si>
    <t>1.Súc vật nuôi lấy sản phẩm một lần ngắn hạn</t>
  </si>
  <si>
    <t>2.Cây trồng theo mùa vụ hoặc lấy sản phẩm một lần ngắn hạn</t>
  </si>
  <si>
    <t>3.Dự phòng tổn thất tài sản sinh học ngắn hạn (*)</t>
  </si>
  <si>
    <t>VI. Tài sản ngắn hạn khác</t>
  </si>
  <si>
    <t>1.Chi phí chờ phân bổ ngắn hạn</t>
  </si>
  <si>
    <t>2.Thuế GTGT được khấu trừ</t>
  </si>
  <si>
    <t>3.Thuế và các khoản khác phải thu Nhà nước</t>
  </si>
  <si>
    <t>4.Giao dịch mua bán lại trái phiếu Chính phủ</t>
  </si>
  <si>
    <t>5.Tài sản ngắn hạn khác</t>
  </si>
  <si>
    <t>B-TÀI SẢN DÀI HẠN</t>
  </si>
  <si>
    <t>I- Các khoản phải thu dài hạn</t>
  </si>
  <si>
    <t>1.Phải thu dài hạn của khách hàng</t>
  </si>
  <si>
    <t>2.Trả trước cho người bán dài hạn</t>
  </si>
  <si>
    <t>3.Vốn kinh doanh ở đơn vị trực thuộc</t>
  </si>
  <si>
    <t>4.Phải thu nội bộ dài hạn</t>
  </si>
  <si>
    <t>5.Phải thu dài hạn khác</t>
  </si>
  <si>
    <t>6.Dự phòng phải thu dài hạn khó đòi (*)</t>
  </si>
  <si>
    <t>II.Tài sản cố định</t>
  </si>
  <si>
    <t>1.Tài sản cố định hữu hình</t>
  </si>
  <si>
    <t>Nguyên giá TSCĐ HH</t>
  </si>
  <si>
    <t>Giá trị hao mòn luỹ kế TSCĐ HH(*)</t>
  </si>
  <si>
    <t>2. Tài sản cố định thuê tài chính</t>
  </si>
  <si>
    <t>Nguyên giá TSCĐ thuê tài chính</t>
  </si>
  <si>
    <t>Giá trị hao mòn luỹ kế TSCĐ thuê tài chính</t>
  </si>
  <si>
    <t>3. Tài sản cố định vô hình</t>
  </si>
  <si>
    <t>Nguyên giá TSCĐ vô hình</t>
  </si>
  <si>
    <t>Giá trị hao mòn luỹ kế TSCĐ vô hình(*)</t>
  </si>
  <si>
    <t>III.Tài sản sinh học dài hạn</t>
  </si>
  <si>
    <t>1.Súc vật nuôi cho sản phẩm định kỳ</t>
  </si>
  <si>
    <t>a)Súc vật nuôi cho sản phẩm định kỳ chưa đến giai đoạn trưởng thành</t>
  </si>
  <si>
    <t>b)Súc vật nuôi cho sản phẩm định kỳ đến giai đoạn trưởng thành</t>
  </si>
  <si>
    <t>Nguyên giá</t>
  </si>
  <si>
    <t>Giá trị khấu hao lũy kế (*)</t>
  </si>
  <si>
    <t>2.Súc vật nuôi lấy sản phẩm một lần dài hạn</t>
  </si>
  <si>
    <t>3.Cây trồng theo mùa vụ hoặc lấy sản phẩm một lần dài hạn</t>
  </si>
  <si>
    <t>4.Dự phòng tổn thất tài sản sinh học dài hạn</t>
  </si>
  <si>
    <t>IV. Bất động sản đầu tư</t>
  </si>
  <si>
    <t>Nguyên giá bất động sản đầu tư</t>
  </si>
  <si>
    <t>Giá trị hao mòn luỹ kế BĐSĐT(*)</t>
  </si>
  <si>
    <t>V.Tài sản dở dang dài hạn</t>
  </si>
  <si>
    <t>1.Chi phí sản xuất, kinh doanh dở dang dài hạn</t>
  </si>
  <si>
    <t>2.Chi phí xây dựng cơ bản dở dang</t>
  </si>
  <si>
    <t>VI.Đầu tư tài chính dài hạn</t>
  </si>
  <si>
    <t xml:space="preserve">1.Đầu tư vào công ty con </t>
  </si>
  <si>
    <t>2.Đầu tư vào công ty liên doanh, liên kết</t>
  </si>
  <si>
    <t>3.Đầu tư góp vốn vào đơn vị khác</t>
  </si>
  <si>
    <t>4.Dự phòng tổn thất đầu tư vào đơn vị khác dài hạn(*)</t>
  </si>
  <si>
    <t>5.Đầu tư nắm giữ đến ngày đáo hạn dài hạn</t>
  </si>
  <si>
    <t>6.Dự phòng đầu tư nắm giữ đến ngày đáo hạn dài hạn (*)</t>
  </si>
  <si>
    <t>VII.Tài sản dài hạn khác</t>
  </si>
  <si>
    <t>1.Chi phí chờ phân bổ dài hạn</t>
  </si>
  <si>
    <t>2.Tài sản thuế thu nhập hoãn lại</t>
  </si>
  <si>
    <t>3.Thiết bị, vật tư, phụ tùng thay thế dài hạn</t>
  </si>
  <si>
    <t>4.Tài sản dài hạn khác</t>
  </si>
  <si>
    <t>TỔNG TÀI SẢN</t>
  </si>
  <si>
    <t>C-NỢ PHẢI TRẢ</t>
  </si>
  <si>
    <t>I.Nợ ngắn hạn</t>
  </si>
  <si>
    <t>1.Phải trả người bán ngắn hạn</t>
  </si>
  <si>
    <t>2.Người mua trả tiền trước ngắn hạn</t>
  </si>
  <si>
    <t>3.Phải trả cổ tức, lợi nhuận</t>
  </si>
  <si>
    <t>4.Thuế và các khoản phải nộp Nhà nước ngắn hạn</t>
  </si>
  <si>
    <t>5.Phải trả người lao động</t>
  </si>
  <si>
    <t>6.Chi phí phải trả ngắn hạn</t>
  </si>
  <si>
    <t>7.Phải trả nội bộ ngắn hạn</t>
  </si>
  <si>
    <t>8.Phải trả theo tiến độ hợp đồng xây dựng ngắn hạn</t>
  </si>
  <si>
    <t>9.Doanh thu chờ phân bổ ngắn hạn</t>
  </si>
  <si>
    <t>10.Phải trả ngắn hạn khác</t>
  </si>
  <si>
    <t>11.Vay và nợ thuê tài chính ngắn hạn</t>
  </si>
  <si>
    <t xml:space="preserve">12.Dự phòng phải trả ngắn hạn </t>
  </si>
  <si>
    <t>13.Quỹ khen thưởng, phúc lợi</t>
  </si>
  <si>
    <t>14.Quỹ bình ổn giá</t>
  </si>
  <si>
    <t>15.Giao dịch mua bán lại trái phiếu Chính phủ</t>
  </si>
  <si>
    <t>II.Nợ dài hạn</t>
  </si>
  <si>
    <t>1.Phải trả người bán dài hạn</t>
  </si>
  <si>
    <t>2.Người mua trả tiền trước dài hạn</t>
  </si>
  <si>
    <t>3.Thuế và các khoản phải nộp Nhà nước dài hạn</t>
  </si>
  <si>
    <t>4.Chi phí phải trả dài hạn</t>
  </si>
  <si>
    <t>5.Phải trả nội bộ về vốn kinh doanh</t>
  </si>
  <si>
    <t>6.Phải trả nội bộ dài hạn</t>
  </si>
  <si>
    <t>7.Doanh thu chờ phân bổ dài hạn</t>
  </si>
  <si>
    <t>8.Phải trả dài hạn khác</t>
  </si>
  <si>
    <t xml:space="preserve">8.Vay và nợ thuê tài chính dài hạn </t>
  </si>
  <si>
    <t>10.Trái phiếu chuyển đổi</t>
  </si>
  <si>
    <t>11.Cổ phiếu ưu đãi</t>
  </si>
  <si>
    <t xml:space="preserve">12.Thuế thu nhập hoãn lại phải trả </t>
  </si>
  <si>
    <t xml:space="preserve">13.Dự phòng phải trả dài hạn </t>
  </si>
  <si>
    <t>14.Quỹ phát triển khoa học và công nghệ</t>
  </si>
  <si>
    <t>D-VỐN CHỦ SỞ HỮU</t>
  </si>
  <si>
    <t>1.Vốn góp của chủ sở hữu</t>
  </si>
  <si>
    <t>-Cổ phiếu phổ thông có quyền biểu quyết</t>
  </si>
  <si>
    <t>-Cổ phiếu ưu đãi</t>
  </si>
  <si>
    <t>2.Thặng dư vốn</t>
  </si>
  <si>
    <t>3.Quyền chọn chuyển đổi trái phiếu</t>
  </si>
  <si>
    <t xml:space="preserve">4.Vốn khác của chủ sở hữu </t>
  </si>
  <si>
    <t>5.Cổ phiếu mua lại của chính mình (*)</t>
  </si>
  <si>
    <t>6.Chênh lệch đánh giá lại tài sản</t>
  </si>
  <si>
    <t>7.Chênh lệch tỷ giá hối đoái</t>
  </si>
  <si>
    <t>8.Quỹ đầu tư phát triển</t>
  </si>
  <si>
    <t>9.Quỹ khác thuộc vốn chủ sở hữu</t>
  </si>
  <si>
    <t>10.Lợi nhuận sau thuế chưa phân phối</t>
  </si>
  <si>
    <t>-LNST chưa phân phối lũy kế đến cuối kỳ trước</t>
  </si>
  <si>
    <t>-LNST chưa phân phối kỳ này</t>
  </si>
  <si>
    <t>TỔNG NGUỒN VỐN</t>
  </si>
  <si>
    <t>PHẦN II-KẾT QUẢ HOẠT ĐỘNG KINH DOANH</t>
  </si>
  <si>
    <t>Index PL</t>
  </si>
  <si>
    <t>Sản lượng (kg)</t>
  </si>
  <si>
    <t>1.Doanh thu bán hàng và cung cấp dịch vụ</t>
  </si>
  <si>
    <t>2.Các khoản giảm trừ doanh thu</t>
  </si>
  <si>
    <t>3.Doanh thu thuần về bán hàng và cung cấp dịch vụ</t>
  </si>
  <si>
    <t>4.Giá vốn hàng bán</t>
  </si>
  <si>
    <t>5.Lợi nhuận gộp về bán hàng</t>
  </si>
  <si>
    <t>6.Lãi/lỗ của hoạt động bán, thanh lý bất động sản đầu tư</t>
  </si>
  <si>
    <t>7.Doanh thu hoạt động tài chính</t>
  </si>
  <si>
    <t>8.Chi phí tài chính</t>
  </si>
  <si>
    <t>Trong đó: Chi phí lãi vay</t>
  </si>
  <si>
    <t>9.Chi phí bán hàng</t>
  </si>
  <si>
    <t>10.Chi phí quản lý doanh nghiệp</t>
  </si>
  <si>
    <t>11.Lợi nhuận thuần từ hoạt động kinh doanh</t>
  </si>
  <si>
    <t>12.Thu nhập khác</t>
  </si>
  <si>
    <t>13.Chi phí khác</t>
  </si>
  <si>
    <t>14.Lợi nhuận khác</t>
  </si>
  <si>
    <t xml:space="preserve">15.Tổng lợi nhuận kế toán trước thuế </t>
  </si>
  <si>
    <t>16.Chi phí thuế TNDN hiện hành</t>
  </si>
  <si>
    <t>17.Chi phí thuế TNDN hoãn lại</t>
  </si>
  <si>
    <t>18.Lợi nhuận sau thuế thu nhập doanh nghiệp</t>
  </si>
  <si>
    <t>PHẦN III- LƯU CHUYỂN TIỀN TỆ</t>
  </si>
  <si>
    <t>Index CF</t>
  </si>
  <si>
    <t>I. Lưu chuyển tiền từ hoạt động kinh doanh</t>
  </si>
  <si>
    <t>Điều chỉnh cho các khoản:</t>
  </si>
  <si>
    <t>Khấu hao tài sản cố định và BĐSĐT</t>
  </si>
  <si>
    <t>Các khoản dự phòng</t>
  </si>
  <si>
    <t>Lãi, lỗ chênh lệch tỷ giá do đánh giá lại các khoản mục tiền tệ có gốc ngoại tệ</t>
  </si>
  <si>
    <t>Lãi, lỗ từ hoạt động đầu tư, tài chính</t>
  </si>
  <si>
    <t>Chi phí đi vay</t>
  </si>
  <si>
    <t>Các khoản điều chỉnh khác</t>
  </si>
  <si>
    <t>Lợi nhuận từ hoạt động kinh doanh trước thay đổi vốn lưu động</t>
  </si>
  <si>
    <t xml:space="preserve">Tăng / giảm các khoản phải thu </t>
  </si>
  <si>
    <t>Tăng / giảm hàng tồn kho</t>
  </si>
  <si>
    <t>Tăng / giảm các khoản phải trả ( Không bao gồm lãi vay phải trả, thuế TNDN phải nộp )</t>
  </si>
  <si>
    <t>Tăng / giảm chi phí chờ phân bổ</t>
  </si>
  <si>
    <t>Tăng / giảm chứng khoán kinh doanh</t>
  </si>
  <si>
    <t>Chi phí đi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</si>
  <si>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</si>
  <si>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</si>
  <si>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</si>
  <si>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kinh doanh</t>
  </si>
  <si>
    <t>II. Lưu chuyển tiền từ hoạt động đầu tư</t>
  </si>
  <si>
    <t>Tiền chi để mua sắm, xây dựng,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</si>
  <si>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</si>
  <si>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</si>
  <si>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</si>
  <si>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</si>
  <si>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</si>
  <si>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tức, và lợi nhuận được chia</t>
  </si>
  <si>
    <t>Lưu chuyển tiền thuần từ hoạt động đầu tư</t>
  </si>
  <si>
    <t>III. Lưu chuyển tiền từ hoạt động tài chính</t>
  </si>
  <si>
    <t>Tiền thu từ phát hành cổ phiếu, nhận vốn góp của chủ sở hữu</t>
  </si>
  <si>
    <t>Tiền trả lại vốn góp cho các chủ sở hữu, mua lại cổ phiểu đã phát hành</t>
  </si>
  <si>
    <t>Tiền trả nợ gốc vay</t>
  </si>
  <si>
    <t>Tiền trả nợ gốc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</si>
  <si>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</si>
  <si>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</si>
  <si>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</si>
  <si>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</si>
  <si>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</si>
  <si>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</si>
  <si>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PHẦN IV: CHI PHÍ THEO YẾU TỐ</t>
  </si>
  <si>
    <t>Index PL Element</t>
  </si>
  <si>
    <t>Tổng nhân sự</t>
  </si>
  <si>
    <t>Nhân sự nhóm sản xuất</t>
  </si>
  <si>
    <t>Số ngày công (8 hrs)</t>
  </si>
  <si>
    <t>Sản lượng sản xuất (Ton)</t>
  </si>
  <si>
    <t>Sản lượng bán (Ton)</t>
  </si>
  <si>
    <t>Doanh thu bán hàng</t>
  </si>
  <si>
    <t>Các khoản giảm trừ doanh thu</t>
  </si>
  <si>
    <t xml:space="preserve">% Các khoản giảm trừ </t>
  </si>
  <si>
    <t>Doanh thu thuần</t>
  </si>
  <si>
    <t>Xuất khẩu</t>
  </si>
  <si>
    <t>Nội địa</t>
  </si>
  <si>
    <t>Khác</t>
  </si>
  <si>
    <t>Giá vốn hàng bán</t>
  </si>
  <si>
    <t xml:space="preserve">Chi phí nguyên vật liệu </t>
  </si>
  <si>
    <t>Chi phí điện</t>
  </si>
  <si>
    <t>Chi phí lương ngoài giờ sản xuất</t>
  </si>
  <si>
    <t>Chi phí nhân công trực tiếp sản xuất (622)</t>
  </si>
  <si>
    <t>Chi phí nhân công gián tiếp sản xuất (6271)</t>
  </si>
  <si>
    <t>Phúc lợi nhân viên sản xuất (BHXH,thưởng,…)</t>
  </si>
  <si>
    <t>Chi phí sửa chữa, bảo trì</t>
  </si>
  <si>
    <t>Chi phí xưởng (các khoản còn lại ngoài các mục trên)</t>
  </si>
  <si>
    <t>Chi phí khấu hao sản xuất (6274)</t>
  </si>
  <si>
    <t>Chi phí gia công ngoài (nếu có)</t>
  </si>
  <si>
    <t>Giá vốn khác</t>
  </si>
  <si>
    <t>Giá vốn trong hàng tồn kho</t>
  </si>
  <si>
    <t>% Giá vốn hàng bán</t>
  </si>
  <si>
    <t>Lợi nhuận gộp</t>
  </si>
  <si>
    <t>% Lợi nhuận gộp</t>
  </si>
  <si>
    <t>Lợi nhuận trước thuế</t>
  </si>
  <si>
    <t>% Lợi nhuận trước thuế</t>
  </si>
  <si>
    <t>% EBITDA</t>
  </si>
  <si>
    <t>Thuế TNDN</t>
  </si>
  <si>
    <t>% Thuế TNDN</t>
  </si>
  <si>
    <t>Lợi nhuận sau thuế</t>
  </si>
  <si>
    <t>% Lợi nhuận sau thuế</t>
  </si>
  <si>
    <t>Chi phí bán hàng</t>
  </si>
  <si>
    <t>Chi phí lương bán hàng</t>
  </si>
  <si>
    <t>Phúc lợi nhân viên bán hàng (BHXH, thưởng,…)</t>
  </si>
  <si>
    <t>Chi phí hoa hồng</t>
  </si>
  <si>
    <t>Chi phí vận chuyển trong nước</t>
  </si>
  <si>
    <t>Chi phí vận chuyển xuất khẩu</t>
  </si>
  <si>
    <t>Chi phí khấu hao bán hàng (6414)</t>
  </si>
  <si>
    <t>Chi phí hoạt động bán hàng (phần còn lại)</t>
  </si>
  <si>
    <t>% Chi phí bán hàng</t>
  </si>
  <si>
    <t>Chi phí quản lý</t>
  </si>
  <si>
    <t>Chi phí nhân viên quản lý</t>
  </si>
  <si>
    <t>Phúc lợi nhân viên quản lý (BHXH, thưởng,…)</t>
  </si>
  <si>
    <t>Chi phí khấu hao quản lý (6424)</t>
  </si>
  <si>
    <t>Chi phí hoạt động quản lý (phần còn lại)</t>
  </si>
  <si>
    <t>% Chi phí quản lý</t>
  </si>
  <si>
    <t>Chi phí tài chính</t>
  </si>
  <si>
    <t>Chi phí lãi vay</t>
  </si>
  <si>
    <t>% Chi phí lãi vay</t>
  </si>
  <si>
    <t>PHẦN V: CHI TIẾT NỢ VAY NGÂN HÀNG</t>
  </si>
  <si>
    <t>Index Loan</t>
  </si>
  <si>
    <t>Hạn mức vay ngắn hạn</t>
  </si>
  <si>
    <t>ACB</t>
  </si>
  <si>
    <t>VietinBank</t>
  </si>
  <si>
    <t>Vietcombank</t>
  </si>
  <si>
    <t>BIDV</t>
  </si>
  <si>
    <t>Standard Chartered</t>
  </si>
  <si>
    <t>VILC</t>
  </si>
  <si>
    <t>IVB</t>
  </si>
  <si>
    <t>Vay ngắn hạn ngân hàng</t>
  </si>
  <si>
    <t>Lãi suất vay ngắn hạn (%)</t>
  </si>
  <si>
    <t>Vay trung hạn Ngân hàng</t>
  </si>
  <si>
    <t>Lãi suất vay trung hạn (%)</t>
  </si>
  <si>
    <t>TỔNG SỐ DƯ NỢ VAY NGÂN HÀNG</t>
  </si>
  <si>
    <t>SỐ DƯ TIỀN TẠI CÁC NGÂN HÀNG</t>
  </si>
  <si>
    <t>SỐ DƯ TIỀN GỬI TIẾT KIỆM TẠI CÁC NGÂN HÀNG</t>
  </si>
  <si>
    <t>Số ngày tồn kho bình quân</t>
  </si>
  <si>
    <t>CHỈ SỐ TÀI CHÍNH</t>
  </si>
  <si>
    <t>CP bán hàng &amp; quản lý / Doanh thu</t>
  </si>
  <si>
    <t>Tỷ suất lợi nhuận gộp</t>
  </si>
  <si>
    <t>Tỷ suất EBITDA</t>
  </si>
  <si>
    <t>Tỷ suất lợi nhuận sau thuế (ROS)</t>
  </si>
  <si>
    <t>Tỷ suất lãi biến phí</t>
  </si>
  <si>
    <t>Nợ / Vốn chủ sở hữu</t>
  </si>
  <si>
    <t>Nợ vay / EBITDA</t>
  </si>
  <si>
    <t>Khả năng thanh toán hiện hành</t>
  </si>
  <si>
    <t>Khả năng thanh toán nhanh</t>
  </si>
  <si>
    <t>Ngày vốn lưu động</t>
  </si>
  <si>
    <t>Lợi nhuận sau thuế / Vốn chủ sở hữu (ROE)</t>
  </si>
  <si>
    <t>Lợi nhuận sau thuế / Tổng Tài sản (ROA)</t>
  </si>
  <si>
    <t>DÒNG TIỀN</t>
  </si>
  <si>
    <t>Dòng tiền hoạt động kinh doanh</t>
  </si>
  <si>
    <t>Dòng tiền hoạt động đầu tư</t>
  </si>
  <si>
    <t>Dòng tiền hoạt động tài chính</t>
  </si>
  <si>
    <t>KPI năng suất</t>
  </si>
  <si>
    <t>Doanh thu / người</t>
  </si>
  <si>
    <t>Chi phí nhân sự / Doanh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</si>
</sst>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0.0%"/>
    <numFmt numFmtId="167" formatCode="#,##0,,"/>
    <numFmt numFmtId="168" formatCode="\&lt;0%"/>
    <numFmt numFmtId="169" formatCode="\&gt;0%"/>
    <numFmt numFmtId="170" formatCode="#,##0,,,"/>
    <numFmt numFmtId="171" formatCode="\&lt;#,##0.00"/>
    <numFmt numFmtId="172" formatCode="\&gt;#,##0.00"/>
    <numFmt numFmtId="173" formatCode="_(* #,##0_);_(* \(#,##0,,\);_(* &quot;-&quot;??_);_(@_)"/>
    <numFmt numFmtId="174" formatCode="\&lt;#,##0"/>
    <numFmt numFmtId="175" formatCode="#,##0.00,,"/>
    <numFmt numFmtId="176" formatCode="#,##0.0"/>
    <numFmt numFmtId="177" formatCode="#,##0_ ;\-#,##0\ "/>
    <numFmt numFmtId="178" formatCode="0.0"/>
    <numFmt numFmtId="179" formatCode="&quot;&gt; &quot;#,##0.0"/>
    <numFmt numFmtId="180" formatCode="&quot;&lt; &quot;#,##0"/>
    <numFmt numFmtId="181" formatCode="&quot;&lt; &quot;0%"/>
    <numFmt numFmtId="182" formatCode="_(* #,##0.0_);_(* \(#,##0.0\);_(* &quot;-&quot;??_);_(@_)"/>
    <numFmt numFmtId="183" formatCode="&quot;&gt; &quot;0%"/>
    <numFmt numFmtId="184" formatCode="&quot;&gt; &quot;#,##0"/>
    <numFmt numFmtId="185" formatCode="#,##0.0000"/>
    <numFmt numFmtId="186" formatCode="_(* #,##0_);_(* \(#,##0\);_(* &quot;-&quot;??_);_(@_)"/>
    <numFmt numFmtId="187" formatCode="#,##0;[Red]#,##0"/>
    <numFmt numFmtId="188" formatCode="_-* #,##0.00_-;\-* #,##0.00_-;_-* &quot;-&quot;_-;_-@_-"/>
    <numFmt numFmtId="189" formatCode="#,##0.00_ ;\-#,##0.00\ "/>
  </numFmts>
  <fonts count="1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8"/>
      <color theme="1"/>
      <name val="Segoe UI"/>
      <family val="2"/>
    </font>
    <font>
      <b/>
      <sz val="18"/>
      <color rgb="FF0000FF"/>
      <name val="Segoe UI"/>
      <family val="2"/>
    </font>
    <font>
      <sz val="11"/>
      <name val="Segoe UI"/>
      <family val="2"/>
    </font>
    <font>
      <sz val="11"/>
      <color theme="0"/>
      <name val="Segoe UI"/>
      <family val="2"/>
    </font>
    <font>
      <sz val="11"/>
      <color theme="1"/>
      <name val="Segoe UI"/>
      <family val="2"/>
    </font>
    <font>
      <b/>
      <sz val="18"/>
      <color rgb="FFC00000"/>
      <name val="Segoe UI"/>
      <family val="2"/>
    </font>
    <font>
      <b/>
      <sz val="11"/>
      <color theme="1"/>
      <name val="Segoe UI"/>
      <family val="2"/>
    </font>
    <font>
      <b/>
      <sz val="18"/>
      <color theme="5" tint="-0.249977111117893"/>
      <name val="Segoe UI"/>
      <family val="2"/>
    </font>
    <font>
      <i/>
      <sz val="11"/>
      <color theme="0"/>
      <name val="Segoe UI"/>
      <family val="2"/>
    </font>
    <font>
      <i/>
      <sz val="11"/>
      <color theme="1"/>
      <name val="Segoe UI"/>
      <family val="2"/>
    </font>
    <font>
      <b/>
      <sz val="11"/>
      <color rgb="FF0000FF"/>
      <name val="Segoe UI"/>
      <family val="2"/>
    </font>
    <font>
      <b/>
      <sz val="11"/>
      <color theme="0"/>
      <name val="Segoe UI"/>
      <family val="2"/>
    </font>
    <font>
      <sz val="10"/>
      <color theme="0"/>
      <name val="Segoe UI"/>
      <family val="2"/>
    </font>
    <font>
      <b/>
      <sz val="10"/>
      <color theme="0"/>
      <name val="Segoe UI"/>
      <family val="2"/>
    </font>
    <font>
      <sz val="10.5"/>
      <name val="Segoe UI"/>
      <family val="2"/>
    </font>
    <font>
      <b/>
      <sz val="10.5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b/>
      <sz val="11"/>
      <name val="Segoe UI"/>
      <family val="2"/>
    </font>
    <font>
      <b/>
      <sz val="10.5"/>
      <name val="Segoe UI"/>
      <family val="2"/>
    </font>
    <font>
      <sz val="10.5"/>
      <color rgb="FF0070C0"/>
      <name val="Segoe UI"/>
      <family val="2"/>
    </font>
    <font>
      <sz val="10"/>
      <color rgb="FF0070C0"/>
      <name val="Segoe UI"/>
      <family val="2"/>
    </font>
    <font>
      <sz val="11"/>
      <name val="Aptos Narrow"/>
      <family val="2"/>
    </font>
    <font>
      <i/>
      <sz val="10"/>
      <color rgb="FF0070C0"/>
      <name val="Segoe UI"/>
      <family val="2"/>
    </font>
    <font>
      <sz val="11"/>
      <color rgb="FFFF0000"/>
      <name val="Segoe UI"/>
      <family val="2"/>
    </font>
    <font>
      <sz val="10.5"/>
      <color rgb="FF0000FF"/>
      <name val="Segoe UI"/>
      <family val="2"/>
    </font>
    <font>
      <sz val="10.5"/>
      <color theme="5" tint="-0.249977111117893"/>
      <name val="Segoe UI"/>
      <family val="2"/>
    </font>
    <font>
      <sz val="10.5"/>
      <color theme="1"/>
      <name val="Segoe UI"/>
      <family val="2"/>
    </font>
    <font>
      <i/>
      <sz val="10"/>
      <color theme="0"/>
      <name val="Segoe UI"/>
      <family val="2"/>
    </font>
    <font>
      <i/>
      <sz val="10"/>
      <color theme="1" tint="0.34998626667073579"/>
      <name val="Segoe UI"/>
      <family val="2"/>
    </font>
    <font>
      <sz val="10.5"/>
      <color rgb="FF00B050"/>
      <name val="Segoe UI"/>
      <family val="2"/>
    </font>
    <font>
      <b/>
      <u/>
      <sz val="11"/>
      <color theme="1"/>
      <name val="Segoe UI"/>
      <family val="2"/>
    </font>
    <font>
      <u/>
      <sz val="9"/>
      <color theme="1"/>
      <name val="Segoe UI"/>
      <family val="2"/>
    </font>
    <font>
      <b/>
      <sz val="9"/>
      <name val="Segoe UI"/>
      <family val="2"/>
    </font>
    <font>
      <sz val="9"/>
      <color theme="1"/>
      <name val="Segoe UI"/>
      <family val="2"/>
    </font>
    <font>
      <i/>
      <sz val="10.5"/>
      <color theme="0" tint="-0.499984740745262"/>
      <name val="Segoe UI"/>
      <family val="2"/>
    </font>
    <font>
      <i/>
      <sz val="10"/>
      <color theme="1"/>
      <name val="Segoe UI"/>
      <family val="2"/>
    </font>
    <font>
      <i/>
      <sz val="10"/>
      <name val="Segoe UI"/>
      <family val="2"/>
    </font>
    <font>
      <b/>
      <sz val="10"/>
      <color rgb="FF0000FF"/>
      <name val="Segoe UI"/>
      <family val="2"/>
    </font>
    <font>
      <sz val="10"/>
      <color rgb="FF0000FF"/>
      <name val="Segoe UI"/>
      <family val="2"/>
    </font>
    <font>
      <b/>
      <sz val="10.5"/>
      <color rgb="FF00B050"/>
      <name val="Segoe UI"/>
      <family val="2"/>
    </font>
    <font>
      <b/>
      <sz val="10"/>
      <color theme="5" tint="-0.249977111117893"/>
      <name val="Segoe UI"/>
      <family val="2"/>
    </font>
    <font>
      <sz val="10"/>
      <color theme="5" tint="-0.249977111117893"/>
      <name val="Segoe UI"/>
      <family val="2"/>
    </font>
    <font>
      <b/>
      <sz val="10"/>
      <name val="Segoe UI"/>
      <family val="2"/>
    </font>
    <font>
      <sz val="10"/>
      <color rgb="FF00B050"/>
      <name val="Segoe UI"/>
      <family val="2"/>
    </font>
    <font>
      <b/>
      <sz val="10"/>
      <color rgb="FF00B050"/>
      <name val="Segoe UI"/>
      <family val="2"/>
    </font>
    <font>
      <b/>
      <sz val="9"/>
      <color theme="0"/>
      <name val="Segoe UI"/>
      <family val="2"/>
    </font>
    <font>
      <i/>
      <sz val="10"/>
      <color theme="5" tint="-0.249977111117893"/>
      <name val="Segoe UI"/>
      <family val="2"/>
    </font>
    <font>
      <sz val="9"/>
      <color theme="0"/>
      <name val="Segoe UI"/>
      <family val="2"/>
    </font>
    <font>
      <b/>
      <sz val="11"/>
      <color rgb="FF3333CC"/>
      <name val="Segoe UI"/>
      <family val="2"/>
    </font>
    <font>
      <b/>
      <sz val="11"/>
      <color rgb="FF00B050"/>
      <name val="Segoe UI"/>
      <family val="2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 tint="-0.249977111117893"/>
      <name val="Segoe UI"/>
      <family val="2"/>
    </font>
    <font>
      <b/>
      <sz val="11"/>
      <color rgb="FFFF0000"/>
      <name val="Segoe UI"/>
      <family val="2"/>
    </font>
    <font>
      <b/>
      <sz val="11"/>
      <color theme="5"/>
      <name val="Segoe UI"/>
      <family val="2"/>
    </font>
    <font>
      <sz val="11"/>
      <color theme="5"/>
      <name val="Segoe UI"/>
      <family val="2"/>
    </font>
    <font>
      <b/>
      <sz val="10.5"/>
      <color rgb="FF0000FF"/>
      <name val="Segoe UI"/>
      <family val="2"/>
    </font>
    <font>
      <sz val="12"/>
      <color rgb="FF0000FF"/>
      <name val="Times New Roman"/>
      <family val="1"/>
    </font>
    <font>
      <b/>
      <u/>
      <sz val="12"/>
      <color rgb="FF0000FF"/>
      <name val="Times New Roman"/>
      <family val="1"/>
    </font>
    <font>
      <i/>
      <sz val="11"/>
      <name val="Segoe UI"/>
      <family val="2"/>
    </font>
    <font>
      <sz val="11"/>
      <color rgb="FF002060"/>
      <name val="Segoe UI"/>
      <family val="2"/>
    </font>
    <font>
      <i/>
      <sz val="10"/>
      <color rgb="FF0000FF"/>
      <name val="Segoe UI"/>
      <family val="2"/>
    </font>
    <font>
      <i/>
      <sz val="10.5"/>
      <color theme="1"/>
      <name val="Segoe UI"/>
      <family val="2"/>
    </font>
    <font>
      <sz val="11"/>
      <color rgb="FF0000FF"/>
      <name val="Segoe UI"/>
      <family val="2"/>
    </font>
    <font>
      <b/>
      <sz val="11"/>
      <color rgb="FFFF00FF"/>
      <name val="Segoe UI"/>
      <family val="2"/>
    </font>
    <font>
      <sz val="10"/>
      <name val="Arial"/>
      <family val="2"/>
    </font>
    <font>
      <b/>
      <sz val="14"/>
      <color rgb="FFFF0000"/>
      <name val="Times New Roman"/>
      <family val="1"/>
    </font>
    <font>
      <b/>
      <sz val="11"/>
      <color theme="0"/>
      <name val="Arial"/>
      <family val="2"/>
    </font>
    <font>
      <b/>
      <sz val="12"/>
      <color rgb="FFFF0000"/>
      <name val="Times New Roman"/>
      <family val="1"/>
    </font>
    <font>
      <b/>
      <sz val="12"/>
      <color rgb="FF0000FF"/>
      <name val="Times New Roman"/>
      <family val="1"/>
    </font>
    <font>
      <sz val="10"/>
      <name val="VNI-Times"/>
    </font>
    <font>
      <sz val="11"/>
      <name val="Times New Roman"/>
      <family val="1"/>
    </font>
    <font>
      <sz val="10"/>
      <name val="Times New Roman"/>
      <family val="1"/>
    </font>
    <font>
      <b/>
      <sz val="11"/>
      <color rgb="FFFF0000"/>
      <name val="Arial"/>
      <family val="2"/>
    </font>
    <font>
      <b/>
      <sz val="11"/>
      <color indexed="12"/>
      <name val="Times New Roman"/>
      <family val="1"/>
    </font>
    <font>
      <b/>
      <sz val="10"/>
      <color rgb="FF0000FF"/>
      <name val="Arial"/>
      <family val="2"/>
    </font>
    <font>
      <b/>
      <sz val="11"/>
      <color rgb="FF0000FF"/>
      <name val="Times New Roman"/>
      <family val="1"/>
    </font>
    <font>
      <b/>
      <sz val="11"/>
      <color rgb="FF008000"/>
      <name val="Times New Roman"/>
      <family val="1"/>
      <charset val="163"/>
    </font>
    <font>
      <b/>
      <sz val="10"/>
      <color indexed="17"/>
      <name val="Arial"/>
      <family val="2"/>
    </font>
    <font>
      <b/>
      <sz val="11"/>
      <color indexed="17"/>
      <name val="Times New Roman"/>
      <family val="1"/>
    </font>
    <font>
      <b/>
      <sz val="11"/>
      <color rgb="FF0000FF"/>
      <name val="Times New Roman"/>
      <family val="1"/>
      <charset val="163"/>
    </font>
    <font>
      <b/>
      <sz val="10"/>
      <color indexed="12"/>
      <name val="Arial"/>
      <family val="2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indexed="12"/>
      <name val="Arial"/>
      <family val="2"/>
    </font>
    <font>
      <sz val="11"/>
      <color indexed="8"/>
      <name val="Times New Roman"/>
      <family val="1"/>
    </font>
    <font>
      <sz val="11"/>
      <name val="Arial"/>
      <family val="2"/>
    </font>
    <font>
      <sz val="11"/>
      <color indexed="8"/>
      <name val="Arial"/>
      <family val="2"/>
    </font>
    <font>
      <b/>
      <sz val="10"/>
      <color rgb="FF0000FF"/>
      <name val="VNI-Times"/>
    </font>
    <font>
      <b/>
      <u/>
      <sz val="11"/>
      <color rgb="FF0000FF"/>
      <name val="Times New Roman"/>
      <family val="1"/>
      <charset val="163"/>
    </font>
    <font>
      <b/>
      <u/>
      <sz val="10"/>
      <color rgb="FF0000FF"/>
      <name val="Arial"/>
      <family val="2"/>
    </font>
    <font>
      <b/>
      <u/>
      <sz val="11"/>
      <color rgb="FF0000FF"/>
      <name val="Times New Roman"/>
      <family val="1"/>
    </font>
    <font>
      <u/>
      <sz val="10"/>
      <name val="VNI-Times"/>
    </font>
    <font>
      <sz val="11"/>
      <color indexed="8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2"/>
      <name val="VNI-Times"/>
    </font>
    <font>
      <b/>
      <u/>
      <sz val="11"/>
      <color rgb="FFFF0000"/>
      <name val="Times New Roman"/>
      <family val="1"/>
      <charset val="163"/>
    </font>
    <font>
      <b/>
      <sz val="10"/>
      <color rgb="FFFF0000"/>
      <name val="Arial"/>
      <family val="2"/>
    </font>
    <font>
      <b/>
      <sz val="11"/>
      <color rgb="FFFF0000"/>
      <name val="Arial"/>
      <family val="2"/>
      <charset val="163"/>
    </font>
    <font>
      <sz val="12"/>
      <name val="Times New Roman"/>
      <family val="1"/>
    </font>
    <font>
      <sz val="11"/>
      <color indexed="12"/>
      <name val="Times New Roman"/>
      <family val="1"/>
    </font>
    <font>
      <sz val="10"/>
      <color theme="1"/>
      <name val="Times New Roman"/>
      <family val="1"/>
    </font>
    <font>
      <sz val="10"/>
      <color rgb="FF0000FF"/>
      <name val="Arial"/>
      <family val="2"/>
      <charset val="163"/>
    </font>
    <font>
      <b/>
      <sz val="11"/>
      <color indexed="8"/>
      <name val="Times New Roman"/>
      <family val="1"/>
      <charset val="163"/>
    </font>
    <font>
      <b/>
      <sz val="10"/>
      <color indexed="8"/>
      <name val="Arial"/>
      <family val="2"/>
    </font>
    <font>
      <b/>
      <sz val="11"/>
      <color indexed="8"/>
      <name val="Times New Roman"/>
      <family val="1"/>
    </font>
    <font>
      <sz val="11"/>
      <color rgb="FFFF0000"/>
      <name val="Arial"/>
      <family val="2"/>
    </font>
    <font>
      <sz val="10"/>
      <color indexed="8"/>
      <name val="Arial"/>
      <family val="2"/>
    </font>
    <font>
      <sz val="11"/>
      <color rgb="FF0000FF"/>
      <name val="Times New Roman"/>
      <family val="1"/>
      <charset val="163"/>
    </font>
    <font>
      <sz val="10"/>
      <color rgb="FF0000FF"/>
      <name val="Arial"/>
      <family val="2"/>
    </font>
    <font>
      <sz val="11"/>
      <color rgb="FF0000FF"/>
      <name val="Times New Roman"/>
      <family val="1"/>
    </font>
    <font>
      <sz val="11"/>
      <color rgb="FF0000FF"/>
      <name val="Arial"/>
      <family val="2"/>
    </font>
    <font>
      <b/>
      <sz val="11"/>
      <color indexed="12"/>
      <name val="Arial Nova"/>
      <family val="2"/>
    </font>
    <font>
      <sz val="11"/>
      <color theme="5" tint="-0.249977111117893"/>
      <name val="Arial Nova"/>
      <family val="2"/>
    </font>
    <font>
      <sz val="10"/>
      <color theme="5" tint="-0.249977111117893"/>
      <name val="Arial"/>
      <family val="2"/>
    </font>
    <font>
      <sz val="10"/>
      <color theme="5" tint="-0.249977111117893"/>
      <name val="Arial Nova"/>
      <family val="2"/>
    </font>
    <font>
      <b/>
      <sz val="11"/>
      <color rgb="FF0000FF"/>
      <name val="Arial Nova"/>
      <family val="2"/>
    </font>
    <font>
      <b/>
      <sz val="10"/>
      <name val="Arial Nova"/>
      <family val="2"/>
    </font>
    <font>
      <sz val="11"/>
      <color rgb="FF0000FF"/>
      <name val="Arial Nova"/>
      <family val="2"/>
    </font>
    <font>
      <sz val="10"/>
      <name val="Arial Nova"/>
      <family val="2"/>
    </font>
    <font>
      <b/>
      <sz val="10"/>
      <color rgb="FF0000FF"/>
      <name val="Arial Nova"/>
      <family val="2"/>
    </font>
    <font>
      <b/>
      <sz val="10"/>
      <name val="Times New Roman"/>
      <family val="1"/>
    </font>
    <font>
      <i/>
      <sz val="10"/>
      <name val="Times New Roman"/>
      <family val="1"/>
    </font>
    <font>
      <i/>
      <sz val="10"/>
      <name val="VNI-Times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5" fillId="0" borderId="0"/>
    <xf numFmtId="0" fontId="80" fillId="0" borderId="0"/>
    <xf numFmtId="43" fontId="75" fillId="0" borderId="0" applyFont="0" applyFill="0" applyBorder="0" applyAlignment="0" applyProtection="0"/>
    <xf numFmtId="165" fontId="75" fillId="0" borderId="0" applyFont="0" applyFill="0" applyBorder="0" applyAlignment="0" applyProtection="0"/>
    <xf numFmtId="43" fontId="80" fillId="0" borderId="0" applyFont="0" applyFill="0" applyBorder="0" applyAlignment="0" applyProtection="0"/>
    <xf numFmtId="9" fontId="75" fillId="0" borderId="0" applyFont="0" applyFill="0" applyBorder="0" applyAlignment="0" applyProtection="0"/>
  </cellStyleXfs>
  <cellXfs count="72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3" fontId="5" fillId="0" borderId="0" xfId="0" applyNumberFormat="1" applyFont="1"/>
    <xf numFmtId="0" fontId="5" fillId="0" borderId="0" xfId="0" applyFont="1" applyAlignment="1">
      <alignment horizontal="right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 applyAlignment="1">
      <alignment horizontal="center" vertical="center"/>
    </xf>
    <xf numFmtId="166" fontId="7" fillId="0" borderId="0" xfId="3" applyNumberFormat="1" applyFont="1"/>
    <xf numFmtId="166" fontId="7" fillId="0" borderId="0" xfId="3" applyNumberFormat="1" applyFont="1" applyFill="1"/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right"/>
    </xf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13" fillId="0" borderId="1" xfId="0" applyFont="1" applyBorder="1"/>
    <xf numFmtId="0" fontId="14" fillId="2" borderId="1" xfId="0" applyFont="1" applyFill="1" applyBorder="1"/>
    <xf numFmtId="0" fontId="14" fillId="2" borderId="1" xfId="0" applyFont="1" applyFill="1" applyBorder="1" applyAlignment="1">
      <alignment horizontal="center" vertical="center" shrinkToFit="1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4" fillId="2" borderId="4" xfId="0" applyFont="1" applyFill="1" applyBorder="1"/>
    <xf numFmtId="0" fontId="16" fillId="2" borderId="4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7" fontId="5" fillId="0" borderId="0" xfId="0" applyNumberFormat="1" applyFont="1"/>
    <xf numFmtId="167" fontId="7" fillId="0" borderId="0" xfId="0" applyNumberFormat="1" applyFont="1"/>
    <xf numFmtId="0" fontId="5" fillId="0" borderId="5" xfId="0" applyFont="1" applyBorder="1"/>
    <xf numFmtId="0" fontId="17" fillId="0" borderId="5" xfId="0" applyFont="1" applyBorder="1"/>
    <xf numFmtId="3" fontId="17" fillId="0" borderId="5" xfId="0" applyNumberFormat="1" applyFont="1" applyBorder="1" applyAlignment="1">
      <alignment horizontal="right" vertical="center" shrinkToFit="1"/>
    </xf>
    <xf numFmtId="3" fontId="17" fillId="0" borderId="5" xfId="0" applyNumberFormat="1" applyFont="1" applyBorder="1" applyAlignment="1">
      <alignment horizontal="right" vertical="center"/>
    </xf>
    <xf numFmtId="3" fontId="17" fillId="0" borderId="6" xfId="0" applyNumberFormat="1" applyFont="1" applyBorder="1" applyAlignment="1">
      <alignment horizontal="right" shrinkToFit="1"/>
    </xf>
    <xf numFmtId="166" fontId="17" fillId="0" borderId="7" xfId="0" applyNumberFormat="1" applyFont="1" applyBorder="1" applyAlignment="1">
      <alignment shrinkToFit="1"/>
    </xf>
    <xf numFmtId="0" fontId="18" fillId="0" borderId="5" xfId="0" applyFont="1" applyBorder="1"/>
    <xf numFmtId="167" fontId="18" fillId="0" borderId="5" xfId="0" applyNumberFormat="1" applyFont="1" applyBorder="1" applyAlignment="1">
      <alignment horizontal="right" vertical="center" shrinkToFit="1"/>
    </xf>
    <xf numFmtId="166" fontId="19" fillId="0" borderId="5" xfId="3" applyNumberFormat="1" applyFont="1" applyBorder="1" applyAlignment="1">
      <alignment shrinkToFit="1"/>
    </xf>
    <xf numFmtId="166" fontId="19" fillId="0" borderId="0" xfId="3" applyNumberFormat="1" applyFont="1" applyFill="1" applyBorder="1" applyAlignment="1">
      <alignment shrinkToFit="1"/>
    </xf>
    <xf numFmtId="3" fontId="6" fillId="0" borderId="0" xfId="0" applyNumberFormat="1" applyFont="1" applyAlignment="1">
      <alignment vertical="center"/>
    </xf>
    <xf numFmtId="0" fontId="2" fillId="0" borderId="8" xfId="0" applyFont="1" applyBorder="1"/>
    <xf numFmtId="166" fontId="2" fillId="0" borderId="8" xfId="0" applyNumberFormat="1" applyFont="1" applyBorder="1" applyAlignment="1">
      <alignment horizontal="center"/>
    </xf>
    <xf numFmtId="166" fontId="19" fillId="0" borderId="8" xfId="0" applyNumberFormat="1" applyFont="1" applyBorder="1" applyAlignment="1">
      <alignment horizontal="center"/>
    </xf>
    <xf numFmtId="168" fontId="20" fillId="0" borderId="8" xfId="0" applyNumberFormat="1" applyFont="1" applyBorder="1"/>
    <xf numFmtId="167" fontId="5" fillId="0" borderId="0" xfId="0" applyNumberFormat="1" applyFont="1" applyAlignment="1">
      <alignment horizontal="center"/>
    </xf>
    <xf numFmtId="0" fontId="21" fillId="0" borderId="5" xfId="0" applyFont="1" applyBorder="1"/>
    <xf numFmtId="0" fontId="22" fillId="0" borderId="5" xfId="0" applyFont="1" applyBorder="1"/>
    <xf numFmtId="3" fontId="22" fillId="0" borderId="5" xfId="0" applyNumberFormat="1" applyFont="1" applyBorder="1" applyAlignment="1">
      <alignment horizontal="right" vertical="center" shrinkToFit="1"/>
    </xf>
    <xf numFmtId="3" fontId="22" fillId="0" borderId="5" xfId="0" applyNumberFormat="1" applyFont="1" applyBorder="1" applyAlignment="1">
      <alignment horizontal="right" vertical="center"/>
    </xf>
    <xf numFmtId="3" fontId="22" fillId="0" borderId="6" xfId="0" applyNumberFormat="1" applyFont="1" applyBorder="1" applyAlignment="1">
      <alignment horizontal="right" shrinkToFit="1"/>
    </xf>
    <xf numFmtId="166" fontId="22" fillId="0" borderId="9" xfId="0" applyNumberFormat="1" applyFont="1" applyBorder="1" applyAlignment="1">
      <alignment shrinkToFit="1"/>
    </xf>
    <xf numFmtId="166" fontId="14" fillId="0" borderId="0" xfId="0" applyNumberFormat="1" applyFont="1"/>
    <xf numFmtId="0" fontId="23" fillId="0" borderId="5" xfId="0" applyFont="1" applyBorder="1" applyAlignment="1">
      <alignment horizontal="left" indent="1"/>
    </xf>
    <xf numFmtId="167" fontId="23" fillId="0" borderId="5" xfId="0" applyNumberFormat="1" applyFont="1" applyBorder="1" applyAlignment="1">
      <alignment horizontal="right" vertical="center" shrinkToFit="1"/>
    </xf>
    <xf numFmtId="166" fontId="24" fillId="0" borderId="5" xfId="3" applyNumberFormat="1" applyFont="1" applyBorder="1" applyAlignment="1">
      <alignment shrinkToFit="1"/>
    </xf>
    <xf numFmtId="166" fontId="24" fillId="0" borderId="0" xfId="3" applyNumberFormat="1" applyFont="1" applyFill="1" applyBorder="1" applyAlignment="1">
      <alignment shrinkToFit="1"/>
    </xf>
    <xf numFmtId="3" fontId="6" fillId="0" borderId="0" xfId="0" applyNumberFormat="1" applyFont="1"/>
    <xf numFmtId="169" fontId="20" fillId="0" borderId="8" xfId="0" applyNumberFormat="1" applyFont="1" applyBorder="1"/>
    <xf numFmtId="0" fontId="25" fillId="0" borderId="0" xfId="0" applyFont="1"/>
    <xf numFmtId="170" fontId="7" fillId="0" borderId="0" xfId="0" applyNumberFormat="1" applyFont="1"/>
    <xf numFmtId="0" fontId="22" fillId="3" borderId="1" xfId="0" applyFont="1" applyFill="1" applyBorder="1"/>
    <xf numFmtId="167" fontId="22" fillId="3" borderId="1" xfId="0" applyNumberFormat="1" applyFont="1" applyFill="1" applyBorder="1" applyAlignment="1">
      <alignment vertical="center"/>
    </xf>
    <xf numFmtId="167" fontId="22" fillId="3" borderId="1" xfId="0" applyNumberFormat="1" applyFont="1" applyFill="1" applyBorder="1" applyAlignment="1">
      <alignment vertical="center" shrinkToFit="1"/>
    </xf>
    <xf numFmtId="167" fontId="22" fillId="3" borderId="1" xfId="0" applyNumberFormat="1" applyFont="1" applyFill="1" applyBorder="1" applyAlignment="1">
      <alignment shrinkToFit="1"/>
    </xf>
    <xf numFmtId="166" fontId="22" fillId="3" borderId="1" xfId="0" applyNumberFormat="1" applyFont="1" applyFill="1" applyBorder="1" applyAlignment="1">
      <alignment shrinkToFit="1"/>
    </xf>
    <xf numFmtId="0" fontId="26" fillId="0" borderId="5" xfId="0" applyFont="1" applyBorder="1" applyAlignment="1">
      <alignment horizontal="left" indent="1"/>
    </xf>
    <xf numFmtId="0" fontId="17" fillId="0" borderId="7" xfId="0" applyFont="1" applyBorder="1" applyAlignment="1">
      <alignment horizontal="left" indent="1"/>
    </xf>
    <xf numFmtId="167" fontId="17" fillId="0" borderId="7" xfId="0" applyNumberFormat="1" applyFont="1" applyBorder="1" applyAlignment="1">
      <alignment vertical="center" shrinkToFit="1"/>
    </xf>
    <xf numFmtId="0" fontId="17" fillId="0" borderId="5" xfId="0" applyFont="1" applyBorder="1" applyAlignment="1">
      <alignment horizontal="left" indent="1"/>
    </xf>
    <xf numFmtId="167" fontId="17" fillId="0" borderId="5" xfId="0" applyNumberFormat="1" applyFont="1" applyBorder="1" applyAlignment="1">
      <alignment vertical="center" shrinkToFit="1"/>
    </xf>
    <xf numFmtId="166" fontId="17" fillId="0" borderId="5" xfId="0" applyNumberFormat="1" applyFont="1" applyBorder="1" applyAlignment="1">
      <alignment shrinkToFit="1"/>
    </xf>
    <xf numFmtId="0" fontId="5" fillId="0" borderId="0" xfId="0" applyFont="1" applyAlignment="1">
      <alignment horizontal="center"/>
    </xf>
    <xf numFmtId="0" fontId="17" fillId="0" borderId="9" xfId="0" applyFont="1" applyBorder="1" applyAlignment="1">
      <alignment horizontal="left" indent="1"/>
    </xf>
    <xf numFmtId="167" fontId="17" fillId="0" borderId="9" xfId="0" applyNumberFormat="1" applyFont="1" applyBorder="1" applyAlignment="1">
      <alignment vertical="center" shrinkToFit="1"/>
    </xf>
    <xf numFmtId="166" fontId="17" fillId="0" borderId="9" xfId="0" applyNumberFormat="1" applyFont="1" applyBorder="1" applyAlignment="1">
      <alignment shrinkToFit="1"/>
    </xf>
    <xf numFmtId="166" fontId="6" fillId="0" borderId="0" xfId="0" applyNumberFormat="1" applyFont="1"/>
    <xf numFmtId="3" fontId="2" fillId="0" borderId="8" xfId="0" applyNumberFormat="1" applyFont="1" applyBorder="1"/>
    <xf numFmtId="4" fontId="2" fillId="0" borderId="8" xfId="0" applyNumberFormat="1" applyFont="1" applyBorder="1" applyAlignment="1">
      <alignment horizontal="center"/>
    </xf>
    <xf numFmtId="4" fontId="19" fillId="0" borderId="8" xfId="0" applyNumberFormat="1" applyFont="1" applyBorder="1" applyAlignment="1">
      <alignment horizontal="center"/>
    </xf>
    <xf numFmtId="171" fontId="20" fillId="0" borderId="8" xfId="0" applyNumberFormat="1" applyFont="1" applyBorder="1"/>
    <xf numFmtId="0" fontId="9" fillId="0" borderId="1" xfId="0" applyFont="1" applyBorder="1"/>
    <xf numFmtId="0" fontId="18" fillId="0" borderId="1" xfId="0" applyFont="1" applyBorder="1"/>
    <xf numFmtId="167" fontId="18" fillId="0" borderId="1" xfId="0" applyNumberFormat="1" applyFont="1" applyBorder="1" applyAlignment="1">
      <alignment vertical="center" shrinkToFit="1"/>
    </xf>
    <xf numFmtId="167" fontId="18" fillId="0" borderId="1" xfId="0" applyNumberFormat="1" applyFont="1" applyBorder="1" applyAlignment="1">
      <alignment shrinkToFit="1"/>
    </xf>
    <xf numFmtId="166" fontId="18" fillId="0" borderId="1" xfId="0" applyNumberFormat="1" applyFont="1" applyBorder="1" applyAlignment="1">
      <alignment shrinkToFit="1"/>
    </xf>
    <xf numFmtId="10" fontId="5" fillId="0" borderId="0" xfId="3" applyNumberFormat="1" applyFont="1" applyAlignment="1">
      <alignment horizontal="left"/>
    </xf>
    <xf numFmtId="170" fontId="27" fillId="0" borderId="0" xfId="0" applyNumberFormat="1" applyFont="1"/>
    <xf numFmtId="0" fontId="28" fillId="0" borderId="5" xfId="0" applyFont="1" applyBorder="1" applyAlignment="1">
      <alignment horizontal="left" indent="1"/>
    </xf>
    <xf numFmtId="167" fontId="28" fillId="0" borderId="5" xfId="0" applyNumberFormat="1" applyFont="1" applyBorder="1" applyAlignment="1">
      <alignment vertical="center" shrinkToFit="1"/>
    </xf>
    <xf numFmtId="167" fontId="28" fillId="0" borderId="5" xfId="0" applyNumberFormat="1" applyFont="1" applyBorder="1" applyAlignment="1">
      <alignment shrinkToFit="1"/>
    </xf>
    <xf numFmtId="166" fontId="28" fillId="0" borderId="5" xfId="0" applyNumberFormat="1" applyFont="1" applyBorder="1" applyAlignment="1">
      <alignment shrinkToFit="1"/>
    </xf>
    <xf numFmtId="0" fontId="17" fillId="0" borderId="5" xfId="0" applyFont="1" applyBorder="1" applyAlignment="1">
      <alignment horizontal="left" indent="2"/>
    </xf>
    <xf numFmtId="167" fontId="17" fillId="0" borderId="5" xfId="0" applyNumberFormat="1" applyFont="1" applyBorder="1" applyAlignment="1">
      <alignment horizontal="right" vertical="center" shrinkToFit="1"/>
    </xf>
    <xf numFmtId="166" fontId="20" fillId="0" borderId="5" xfId="3" applyNumberFormat="1" applyFont="1" applyBorder="1" applyAlignment="1">
      <alignment shrinkToFit="1"/>
    </xf>
    <xf numFmtId="166" fontId="20" fillId="0" borderId="0" xfId="3" applyNumberFormat="1" applyFont="1" applyFill="1" applyBorder="1" applyAlignment="1">
      <alignment shrinkToFit="1"/>
    </xf>
    <xf numFmtId="172" fontId="20" fillId="0" borderId="8" xfId="0" applyNumberFormat="1" applyFont="1" applyBorder="1"/>
    <xf numFmtId="0" fontId="5" fillId="0" borderId="0" xfId="0" applyFont="1" applyAlignment="1">
      <alignment horizontal="left"/>
    </xf>
    <xf numFmtId="173" fontId="17" fillId="0" borderId="5" xfId="0" applyNumberFormat="1" applyFont="1" applyBorder="1" applyAlignment="1">
      <alignment horizontal="right" vertical="center" shrinkToFit="1"/>
    </xf>
    <xf numFmtId="167" fontId="18" fillId="0" borderId="1" xfId="0" applyNumberFormat="1" applyFont="1" applyBorder="1" applyAlignment="1">
      <alignment horizontal="right" vertical="center" shrinkToFit="1"/>
    </xf>
    <xf numFmtId="166" fontId="19" fillId="0" borderId="1" xfId="3" applyNumberFormat="1" applyFont="1" applyFill="1" applyBorder="1" applyAlignment="1">
      <alignment shrinkToFit="1"/>
    </xf>
    <xf numFmtId="3" fontId="2" fillId="0" borderId="8" xfId="0" applyNumberFormat="1" applyFont="1" applyBorder="1" applyAlignment="1">
      <alignment horizontal="center"/>
    </xf>
    <xf numFmtId="3" fontId="19" fillId="0" borderId="8" xfId="0" applyNumberFormat="1" applyFont="1" applyBorder="1" applyAlignment="1">
      <alignment horizontal="center"/>
    </xf>
    <xf numFmtId="174" fontId="20" fillId="0" borderId="8" xfId="0" applyNumberFormat="1" applyFont="1" applyBorder="1" applyAlignment="1">
      <alignment vertical="center"/>
    </xf>
    <xf numFmtId="0" fontId="29" fillId="0" borderId="5" xfId="0" applyFont="1" applyBorder="1" applyAlignment="1">
      <alignment horizontal="left" indent="1"/>
    </xf>
    <xf numFmtId="167" fontId="29" fillId="0" borderId="5" xfId="0" applyNumberFormat="1" applyFont="1" applyBorder="1" applyAlignment="1">
      <alignment vertical="center" shrinkToFit="1"/>
    </xf>
    <xf numFmtId="167" fontId="29" fillId="0" borderId="5" xfId="0" applyNumberFormat="1" applyFont="1" applyBorder="1" applyAlignment="1">
      <alignment shrinkToFit="1"/>
    </xf>
    <xf numFmtId="166" fontId="29" fillId="0" borderId="5" xfId="0" applyNumberFormat="1" applyFont="1" applyBorder="1" applyAlignment="1">
      <alignment shrinkToFit="1"/>
    </xf>
    <xf numFmtId="0" fontId="30" fillId="0" borderId="5" xfId="0" applyFont="1" applyBorder="1"/>
    <xf numFmtId="167" fontId="30" fillId="0" borderId="5" xfId="0" applyNumberFormat="1" applyFont="1" applyBorder="1" applyAlignment="1">
      <alignment horizontal="right" vertical="center" shrinkToFit="1"/>
    </xf>
    <xf numFmtId="166" fontId="2" fillId="0" borderId="5" xfId="3" applyNumberFormat="1" applyFont="1" applyBorder="1" applyAlignment="1">
      <alignment shrinkToFit="1"/>
    </xf>
    <xf numFmtId="166" fontId="2" fillId="0" borderId="0" xfId="3" applyNumberFormat="1" applyFont="1" applyFill="1" applyBorder="1" applyAlignment="1">
      <alignment shrinkToFit="1"/>
    </xf>
    <xf numFmtId="9" fontId="2" fillId="0" borderId="8" xfId="3" applyFont="1" applyBorder="1" applyAlignment="1">
      <alignment horizontal="center"/>
    </xf>
    <xf numFmtId="166" fontId="2" fillId="0" borderId="8" xfId="3" applyNumberFormat="1" applyFont="1" applyBorder="1" applyAlignment="1">
      <alignment horizontal="center"/>
    </xf>
    <xf numFmtId="166" fontId="19" fillId="0" borderId="8" xfId="3" applyNumberFormat="1" applyFont="1" applyBorder="1" applyAlignment="1">
      <alignment horizontal="center"/>
    </xf>
    <xf numFmtId="0" fontId="2" fillId="0" borderId="10" xfId="0" applyFont="1" applyBorder="1"/>
    <xf numFmtId="9" fontId="2" fillId="0" borderId="10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19" fillId="0" borderId="10" xfId="0" applyNumberFormat="1" applyFont="1" applyBorder="1" applyAlignment="1">
      <alignment horizontal="center"/>
    </xf>
    <xf numFmtId="169" fontId="20" fillId="0" borderId="10" xfId="0" applyNumberFormat="1" applyFont="1" applyBorder="1"/>
    <xf numFmtId="0" fontId="15" fillId="0" borderId="0" xfId="0" applyFont="1"/>
    <xf numFmtId="0" fontId="16" fillId="2" borderId="4" xfId="0" applyFont="1" applyFill="1" applyBorder="1" applyAlignment="1">
      <alignment horizontal="center" vertical="center" shrinkToFit="1"/>
    </xf>
    <xf numFmtId="166" fontId="31" fillId="0" borderId="0" xfId="0" applyNumberFormat="1" applyFont="1"/>
    <xf numFmtId="167" fontId="6" fillId="0" borderId="0" xfId="0" applyNumberFormat="1" applyFont="1"/>
    <xf numFmtId="167" fontId="2" fillId="0" borderId="8" xfId="0" applyNumberFormat="1" applyFont="1" applyBorder="1" applyAlignment="1">
      <alignment horizontal="right" shrinkToFit="1"/>
    </xf>
    <xf numFmtId="167" fontId="19" fillId="0" borderId="8" xfId="0" applyNumberFormat="1" applyFont="1" applyBorder="1" applyAlignment="1">
      <alignment horizontal="right"/>
    </xf>
    <xf numFmtId="167" fontId="20" fillId="0" borderId="8" xfId="0" applyNumberFormat="1" applyFont="1" applyBorder="1"/>
    <xf numFmtId="3" fontId="20" fillId="0" borderId="8" xfId="0" applyNumberFormat="1" applyFont="1" applyBorder="1"/>
    <xf numFmtId="0" fontId="32" fillId="0" borderId="5" xfId="0" applyFont="1" applyBorder="1" applyAlignment="1">
      <alignment horizontal="left" indent="1"/>
    </xf>
    <xf numFmtId="0" fontId="33" fillId="0" borderId="5" xfId="0" applyFont="1" applyBorder="1" applyAlignment="1">
      <alignment horizontal="left" indent="1"/>
    </xf>
    <xf numFmtId="167" fontId="33" fillId="0" borderId="5" xfId="0" applyNumberFormat="1" applyFont="1" applyBorder="1" applyAlignment="1">
      <alignment vertical="center" shrinkToFit="1"/>
    </xf>
    <xf numFmtId="167" fontId="33" fillId="0" borderId="5" xfId="0" applyNumberFormat="1" applyFont="1" applyBorder="1" applyAlignment="1">
      <alignment shrinkToFit="1"/>
    </xf>
    <xf numFmtId="166" fontId="33" fillId="0" borderId="5" xfId="0" applyNumberFormat="1" applyFont="1" applyBorder="1" applyAlignment="1">
      <alignment shrinkToFit="1"/>
    </xf>
    <xf numFmtId="167" fontId="31" fillId="0" borderId="0" xfId="0" applyNumberFormat="1" applyFont="1"/>
    <xf numFmtId="167" fontId="2" fillId="0" borderId="10" xfId="0" applyNumberFormat="1" applyFont="1" applyBorder="1" applyAlignment="1">
      <alignment horizontal="right" shrinkToFit="1"/>
    </xf>
    <xf numFmtId="167" fontId="19" fillId="0" borderId="10" xfId="0" applyNumberFormat="1" applyFont="1" applyBorder="1" applyAlignment="1">
      <alignment horizontal="right"/>
    </xf>
    <xf numFmtId="3" fontId="20" fillId="0" borderId="10" xfId="0" applyNumberFormat="1" applyFont="1" applyBorder="1"/>
    <xf numFmtId="167" fontId="17" fillId="0" borderId="5" xfId="0" applyNumberFormat="1" applyFont="1" applyBorder="1" applyAlignment="1">
      <alignment shrinkToFit="1"/>
    </xf>
    <xf numFmtId="0" fontId="34" fillId="0" borderId="0" xfId="0" applyFont="1"/>
    <xf numFmtId="167" fontId="35" fillId="0" borderId="0" xfId="0" applyNumberFormat="1" applyFont="1" applyAlignment="1">
      <alignment horizontal="center"/>
    </xf>
    <xf numFmtId="0" fontId="36" fillId="0" borderId="0" xfId="0" applyFont="1" applyAlignment="1">
      <alignment horizontal="center" vertical="center"/>
    </xf>
    <xf numFmtId="3" fontId="2" fillId="0" borderId="0" xfId="0" applyNumberFormat="1" applyFont="1"/>
    <xf numFmtId="3" fontId="37" fillId="0" borderId="0" xfId="3" applyNumberFormat="1" applyFont="1"/>
    <xf numFmtId="0" fontId="38" fillId="0" borderId="5" xfId="0" applyFont="1" applyBorder="1" applyAlignment="1">
      <alignment horizontal="left" indent="1"/>
    </xf>
    <xf numFmtId="167" fontId="38" fillId="0" borderId="5" xfId="0" applyNumberFormat="1" applyFont="1" applyBorder="1" applyAlignment="1">
      <alignment vertical="center" shrinkToFit="1"/>
    </xf>
    <xf numFmtId="167" fontId="38" fillId="0" borderId="5" xfId="0" applyNumberFormat="1" applyFont="1" applyBorder="1" applyAlignment="1">
      <alignment shrinkToFit="1"/>
    </xf>
    <xf numFmtId="166" fontId="38" fillId="0" borderId="5" xfId="0" applyNumberFormat="1" applyFont="1" applyBorder="1" applyAlignment="1">
      <alignment shrinkToFit="1"/>
    </xf>
    <xf numFmtId="167" fontId="20" fillId="0" borderId="0" xfId="0" applyNumberFormat="1" applyFont="1"/>
    <xf numFmtId="3" fontId="20" fillId="0" borderId="0" xfId="0" applyNumberFormat="1" applyFont="1"/>
    <xf numFmtId="166" fontId="20" fillId="0" borderId="0" xfId="3" applyNumberFormat="1" applyFont="1"/>
    <xf numFmtId="166" fontId="20" fillId="0" borderId="0" xfId="3" applyNumberFormat="1" applyFont="1" applyFill="1"/>
    <xf numFmtId="167" fontId="2" fillId="0" borderId="0" xfId="0" applyNumberFormat="1" applyFont="1"/>
    <xf numFmtId="166" fontId="2" fillId="0" borderId="0" xfId="3" applyNumberFormat="1" applyFont="1"/>
    <xf numFmtId="166" fontId="39" fillId="0" borderId="0" xfId="3" applyNumberFormat="1" applyFont="1"/>
    <xf numFmtId="166" fontId="5" fillId="0" borderId="0" xfId="3" applyNumberFormat="1" applyFont="1"/>
    <xf numFmtId="0" fontId="9" fillId="0" borderId="5" xfId="0" applyFont="1" applyBorder="1"/>
    <xf numFmtId="167" fontId="18" fillId="0" borderId="5" xfId="0" applyNumberFormat="1" applyFont="1" applyBorder="1" applyAlignment="1">
      <alignment vertical="center" shrinkToFit="1"/>
    </xf>
    <xf numFmtId="167" fontId="18" fillId="0" borderId="5" xfId="0" applyNumberFormat="1" applyFont="1" applyBorder="1" applyAlignment="1">
      <alignment shrinkToFit="1"/>
    </xf>
    <xf numFmtId="166" fontId="18" fillId="0" borderId="5" xfId="0" applyNumberFormat="1" applyFont="1" applyBorder="1" applyAlignment="1">
      <alignment shrinkToFit="1"/>
    </xf>
    <xf numFmtId="166" fontId="2" fillId="0" borderId="0" xfId="3" applyNumberFormat="1" applyFont="1" applyFill="1"/>
    <xf numFmtId="167" fontId="16" fillId="2" borderId="11" xfId="0" applyNumberFormat="1" applyFont="1" applyFill="1" applyBorder="1"/>
    <xf numFmtId="167" fontId="16" fillId="2" borderId="11" xfId="0" applyNumberFormat="1" applyFont="1" applyFill="1" applyBorder="1" applyAlignment="1">
      <alignment horizontal="center"/>
    </xf>
    <xf numFmtId="167" fontId="15" fillId="2" borderId="11" xfId="0" applyNumberFormat="1" applyFont="1" applyFill="1" applyBorder="1" applyAlignment="1">
      <alignment horizontal="centerContinuous"/>
    </xf>
    <xf numFmtId="167" fontId="15" fillId="0" borderId="0" xfId="0" applyNumberFormat="1" applyFont="1" applyAlignment="1">
      <alignment horizontal="centerContinuous"/>
    </xf>
    <xf numFmtId="167" fontId="20" fillId="0" borderId="5" xfId="0" applyNumberFormat="1" applyFont="1" applyBorder="1"/>
    <xf numFmtId="3" fontId="20" fillId="0" borderId="5" xfId="0" applyNumberFormat="1" applyFont="1" applyBorder="1"/>
    <xf numFmtId="166" fontId="20" fillId="0" borderId="5" xfId="3" applyNumberFormat="1" applyFont="1" applyBorder="1"/>
    <xf numFmtId="166" fontId="20" fillId="0" borderId="0" xfId="3" applyNumberFormat="1" applyFont="1" applyFill="1" applyBorder="1"/>
    <xf numFmtId="167" fontId="40" fillId="0" borderId="0" xfId="0" applyNumberFormat="1" applyFont="1"/>
    <xf numFmtId="167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167" fontId="41" fillId="0" borderId="11" xfId="0" applyNumberFormat="1" applyFont="1" applyBorder="1"/>
    <xf numFmtId="175" fontId="41" fillId="0" borderId="11" xfId="3" applyNumberFormat="1" applyFont="1" applyBorder="1"/>
    <xf numFmtId="166" fontId="41" fillId="0" borderId="11" xfId="3" applyNumberFormat="1" applyFont="1" applyBorder="1"/>
    <xf numFmtId="166" fontId="41" fillId="0" borderId="0" xfId="3" applyNumberFormat="1" applyFont="1" applyFill="1" applyBorder="1"/>
    <xf numFmtId="167" fontId="20" fillId="0" borderId="0" xfId="0" applyNumberFormat="1" applyFont="1" applyAlignment="1">
      <alignment horizontal="right"/>
    </xf>
    <xf numFmtId="167" fontId="42" fillId="0" borderId="5" xfId="0" applyNumberFormat="1" applyFont="1" applyBorder="1" applyAlignment="1">
      <alignment horizontal="left" indent="1"/>
    </xf>
    <xf numFmtId="167" fontId="42" fillId="0" borderId="5" xfId="0" applyNumberFormat="1" applyFont="1" applyBorder="1" applyAlignment="1">
      <alignment horizontal="left" indent="2"/>
    </xf>
    <xf numFmtId="175" fontId="42" fillId="0" borderId="5" xfId="3" applyNumberFormat="1" applyFont="1" applyBorder="1"/>
    <xf numFmtId="166" fontId="42" fillId="0" borderId="5" xfId="3" applyNumberFormat="1" applyFont="1" applyBorder="1"/>
    <xf numFmtId="166" fontId="42" fillId="0" borderId="0" xfId="3" applyNumberFormat="1" applyFont="1" applyFill="1" applyBorder="1"/>
    <xf numFmtId="3" fontId="20" fillId="0" borderId="0" xfId="0" applyNumberFormat="1" applyFont="1" applyAlignment="1">
      <alignment horizontal="left"/>
    </xf>
    <xf numFmtId="4" fontId="42" fillId="0" borderId="5" xfId="3" applyNumberFormat="1" applyFont="1" applyBorder="1"/>
    <xf numFmtId="0" fontId="9" fillId="0" borderId="12" xfId="0" applyFont="1" applyBorder="1"/>
    <xf numFmtId="0" fontId="43" fillId="0" borderId="1" xfId="0" applyFont="1" applyBorder="1"/>
    <xf numFmtId="167" fontId="43" fillId="0" borderId="1" xfId="0" applyNumberFormat="1" applyFont="1" applyBorder="1" applyAlignment="1">
      <alignment horizontal="right" vertical="center" shrinkToFit="1"/>
    </xf>
    <xf numFmtId="167" fontId="43" fillId="0" borderId="1" xfId="0" applyNumberFormat="1" applyFont="1" applyBorder="1" applyAlignment="1">
      <alignment horizontal="right" shrinkToFit="1"/>
    </xf>
    <xf numFmtId="166" fontId="43" fillId="0" borderId="1" xfId="0" applyNumberFormat="1" applyFont="1" applyBorder="1" applyAlignment="1">
      <alignment shrinkToFit="1"/>
    </xf>
    <xf numFmtId="0" fontId="7" fillId="0" borderId="5" xfId="0" applyFont="1" applyBorder="1" applyAlignment="1">
      <alignment horizontal="left" indent="1"/>
    </xf>
    <xf numFmtId="167" fontId="19" fillId="0" borderId="11" xfId="0" applyNumberFormat="1" applyFont="1" applyBorder="1"/>
    <xf numFmtId="166" fontId="19" fillId="0" borderId="11" xfId="3" applyNumberFormat="1" applyFont="1" applyBorder="1"/>
    <xf numFmtId="166" fontId="19" fillId="0" borderId="0" xfId="3" applyNumberFormat="1" applyFont="1" applyFill="1" applyBorder="1"/>
    <xf numFmtId="167" fontId="15" fillId="0" borderId="0" xfId="0" applyNumberFormat="1" applyFont="1"/>
    <xf numFmtId="0" fontId="14" fillId="0" borderId="0" xfId="0" applyFont="1"/>
    <xf numFmtId="0" fontId="16" fillId="0" borderId="0" xfId="0" applyFont="1"/>
    <xf numFmtId="0" fontId="7" fillId="0" borderId="5" xfId="0" applyFont="1" applyBorder="1"/>
    <xf numFmtId="167" fontId="30" fillId="0" borderId="5" xfId="0" applyNumberFormat="1" applyFont="1" applyBorder="1" applyAlignment="1">
      <alignment vertical="center" shrinkToFit="1"/>
    </xf>
    <xf numFmtId="167" fontId="30" fillId="0" borderId="5" xfId="0" applyNumberFormat="1" applyFont="1" applyBorder="1" applyAlignment="1">
      <alignment shrinkToFit="1"/>
    </xf>
    <xf numFmtId="166" fontId="30" fillId="0" borderId="5" xfId="0" applyNumberFormat="1" applyFont="1" applyBorder="1" applyAlignment="1">
      <alignment shrinkToFit="1"/>
    </xf>
    <xf numFmtId="167" fontId="44" fillId="0" borderId="5" xfId="0" applyNumberFormat="1" applyFont="1" applyBorder="1" applyAlignment="1">
      <alignment horizontal="left" indent="1"/>
    </xf>
    <xf numFmtId="167" fontId="44" fillId="0" borderId="5" xfId="0" applyNumberFormat="1" applyFont="1" applyBorder="1"/>
    <xf numFmtId="167" fontId="45" fillId="0" borderId="5" xfId="0" applyNumberFormat="1" applyFont="1" applyBorder="1"/>
    <xf numFmtId="166" fontId="45" fillId="0" borderId="5" xfId="3" applyNumberFormat="1" applyFont="1" applyBorder="1"/>
    <xf numFmtId="166" fontId="45" fillId="0" borderId="0" xfId="3" applyNumberFormat="1" applyFont="1" applyFill="1" applyBorder="1"/>
    <xf numFmtId="0" fontId="20" fillId="0" borderId="0" xfId="0" applyFont="1"/>
    <xf numFmtId="0" fontId="46" fillId="0" borderId="0" xfId="0" applyFont="1"/>
    <xf numFmtId="167" fontId="45" fillId="0" borderId="5" xfId="0" applyNumberFormat="1" applyFont="1" applyBorder="1" applyAlignment="1">
      <alignment horizontal="left" indent="2"/>
    </xf>
    <xf numFmtId="10" fontId="5" fillId="0" borderId="0" xfId="0" applyNumberFormat="1" applyFont="1"/>
    <xf numFmtId="0" fontId="21" fillId="0" borderId="0" xfId="0" applyFont="1"/>
    <xf numFmtId="167" fontId="47" fillId="0" borderId="5" xfId="0" applyNumberFormat="1" applyFont="1" applyBorder="1" applyAlignment="1">
      <alignment horizontal="left" indent="1"/>
    </xf>
    <xf numFmtId="167" fontId="48" fillId="0" borderId="5" xfId="0" applyNumberFormat="1" applyFont="1" applyBorder="1"/>
    <xf numFmtId="167" fontId="47" fillId="0" borderId="5" xfId="0" applyNumberFormat="1" applyFont="1" applyBorder="1"/>
    <xf numFmtId="166" fontId="47" fillId="0" borderId="5" xfId="3" applyNumberFormat="1" applyFont="1" applyBorder="1"/>
    <xf numFmtId="166" fontId="47" fillId="0" borderId="0" xfId="3" applyNumberFormat="1" applyFont="1" applyFill="1" applyBorder="1"/>
    <xf numFmtId="3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167" fontId="47" fillId="0" borderId="9" xfId="0" applyNumberFormat="1" applyFont="1" applyBorder="1" applyAlignment="1">
      <alignment horizontal="left" indent="1"/>
    </xf>
    <xf numFmtId="167" fontId="48" fillId="0" borderId="9" xfId="0" applyNumberFormat="1" applyFont="1" applyBorder="1"/>
    <xf numFmtId="167" fontId="47" fillId="0" borderId="9" xfId="0" applyNumberFormat="1" applyFont="1" applyBorder="1"/>
    <xf numFmtId="166" fontId="47" fillId="0" borderId="9" xfId="3" applyNumberFormat="1" applyFont="1" applyBorder="1" applyAlignment="1">
      <alignment shrinkToFit="1"/>
    </xf>
    <xf numFmtId="166" fontId="47" fillId="0" borderId="0" xfId="3" applyNumberFormat="1" applyFont="1" applyFill="1" applyBorder="1" applyAlignment="1">
      <alignment shrinkToFit="1"/>
    </xf>
    <xf numFmtId="0" fontId="41" fillId="0" borderId="1" xfId="0" applyFont="1" applyBorder="1"/>
    <xf numFmtId="166" fontId="20" fillId="0" borderId="0" xfId="3" applyNumberFormat="1" applyFont="1" applyBorder="1"/>
    <xf numFmtId="0" fontId="26" fillId="0" borderId="0" xfId="0" applyFont="1" applyAlignment="1">
      <alignment horizontal="left" indent="1"/>
    </xf>
    <xf numFmtId="9" fontId="7" fillId="0" borderId="0" xfId="3" applyFont="1" applyAlignment="1">
      <alignment horizontal="center" vertical="center"/>
    </xf>
    <xf numFmtId="166" fontId="20" fillId="0" borderId="0" xfId="0" applyNumberFormat="1" applyFont="1"/>
    <xf numFmtId="166" fontId="49" fillId="0" borderId="0" xfId="3" applyNumberFormat="1" applyFont="1" applyBorder="1" applyAlignment="1">
      <alignment horizontal="center" shrinkToFit="1"/>
    </xf>
    <xf numFmtId="0" fontId="50" fillId="0" borderId="0" xfId="0" applyFont="1"/>
    <xf numFmtId="167" fontId="16" fillId="2" borderId="13" xfId="0" applyNumberFormat="1" applyFont="1" applyFill="1" applyBorder="1"/>
    <xf numFmtId="167" fontId="15" fillId="2" borderId="13" xfId="0" applyNumberFormat="1" applyFont="1" applyFill="1" applyBorder="1"/>
    <xf numFmtId="167" fontId="16" fillId="2" borderId="13" xfId="0" applyNumberFormat="1" applyFont="1" applyFill="1" applyBorder="1" applyAlignment="1">
      <alignment horizontal="center"/>
    </xf>
    <xf numFmtId="176" fontId="16" fillId="2" borderId="13" xfId="3" applyNumberFormat="1" applyFont="1" applyFill="1" applyBorder="1" applyAlignment="1">
      <alignment horizontal="center"/>
    </xf>
    <xf numFmtId="167" fontId="15" fillId="2" borderId="13" xfId="0" applyNumberFormat="1" applyFont="1" applyFill="1" applyBorder="1" applyAlignment="1">
      <alignment horizontal="center" vertical="center"/>
    </xf>
    <xf numFmtId="167" fontId="15" fillId="2" borderId="14" xfId="3" applyNumberFormat="1" applyFont="1" applyFill="1" applyBorder="1" applyAlignment="1">
      <alignment horizontal="center"/>
    </xf>
    <xf numFmtId="167" fontId="15" fillId="0" borderId="0" xfId="3" applyNumberFormat="1" applyFont="1" applyFill="1" applyBorder="1" applyAlignment="1">
      <alignment horizontal="center"/>
    </xf>
    <xf numFmtId="166" fontId="51" fillId="0" borderId="0" xfId="3" applyNumberFormat="1" applyFont="1" applyAlignment="1">
      <alignment horizontal="right" shrinkToFit="1"/>
    </xf>
    <xf numFmtId="3" fontId="7" fillId="0" borderId="0" xfId="0" applyNumberFormat="1" applyFont="1"/>
    <xf numFmtId="3" fontId="7" fillId="0" borderId="0" xfId="0" applyNumberFormat="1" applyFont="1" applyAlignment="1">
      <alignment horizontal="right" vertical="center"/>
    </xf>
    <xf numFmtId="9" fontId="7" fillId="0" borderId="0" xfId="3" applyFont="1" applyAlignment="1">
      <alignment horizontal="right" vertical="center"/>
    </xf>
    <xf numFmtId="0" fontId="39" fillId="0" borderId="0" xfId="0" applyFont="1"/>
    <xf numFmtId="0" fontId="41" fillId="0" borderId="0" xfId="0" applyFont="1"/>
    <xf numFmtId="167" fontId="41" fillId="0" borderId="0" xfId="0" applyNumberFormat="1" applyFont="1" applyAlignment="1">
      <alignment vertical="center"/>
    </xf>
    <xf numFmtId="167" fontId="41" fillId="0" borderId="0" xfId="0" applyNumberFormat="1" applyFont="1"/>
    <xf numFmtId="166" fontId="41" fillId="0" borderId="0" xfId="0" applyNumberFormat="1" applyFont="1"/>
    <xf numFmtId="167" fontId="20" fillId="0" borderId="15" xfId="0" applyNumberFormat="1" applyFont="1" applyBorder="1"/>
    <xf numFmtId="3" fontId="17" fillId="0" borderId="15" xfId="3" applyNumberFormat="1" applyFont="1" applyBorder="1"/>
    <xf numFmtId="3" fontId="20" fillId="0" borderId="15" xfId="0" applyNumberFormat="1" applyFont="1" applyBorder="1" applyAlignment="1">
      <alignment shrinkToFit="1"/>
    </xf>
    <xf numFmtId="177" fontId="20" fillId="0" borderId="15" xfId="3" applyNumberFormat="1" applyFont="1" applyBorder="1" applyAlignment="1">
      <alignment horizontal="right" vertical="center" shrinkToFit="1"/>
    </xf>
    <xf numFmtId="177" fontId="20" fillId="0" borderId="0" xfId="3" applyNumberFormat="1" applyFont="1" applyFill="1" applyBorder="1" applyAlignment="1">
      <alignment horizontal="right" vertical="center" shrinkToFit="1"/>
    </xf>
    <xf numFmtId="166" fontId="7" fillId="0" borderId="0" xfId="3" applyNumberFormat="1" applyFont="1" applyAlignment="1">
      <alignment horizontal="right" vertical="center"/>
    </xf>
    <xf numFmtId="166" fontId="9" fillId="0" borderId="0" xfId="3" applyNumberFormat="1" applyFont="1" applyFill="1" applyBorder="1" applyAlignment="1">
      <alignment horizontal="right"/>
    </xf>
    <xf numFmtId="167" fontId="2" fillId="0" borderId="0" xfId="0" applyNumberFormat="1" applyFont="1" applyAlignment="1">
      <alignment horizontal="right"/>
    </xf>
    <xf numFmtId="167" fontId="45" fillId="0" borderId="0" xfId="0" applyNumberFormat="1" applyFont="1" applyAlignment="1">
      <alignment horizontal="right"/>
    </xf>
    <xf numFmtId="166" fontId="45" fillId="0" borderId="0" xfId="0" applyNumberFormat="1" applyFont="1"/>
    <xf numFmtId="167" fontId="20" fillId="4" borderId="16" xfId="0" applyNumberFormat="1" applyFont="1" applyFill="1" applyBorder="1"/>
    <xf numFmtId="167" fontId="20" fillId="0" borderId="16" xfId="0" applyNumberFormat="1" applyFont="1" applyBorder="1"/>
    <xf numFmtId="4" fontId="17" fillId="4" borderId="16" xfId="3" applyNumberFormat="1" applyFont="1" applyFill="1" applyBorder="1" applyAlignment="1">
      <alignment shrinkToFit="1"/>
    </xf>
    <xf numFmtId="4" fontId="20" fillId="4" borderId="16" xfId="0" applyNumberFormat="1" applyFont="1" applyFill="1" applyBorder="1" applyAlignment="1">
      <alignment shrinkToFit="1"/>
    </xf>
    <xf numFmtId="177" fontId="20" fillId="4" borderId="16" xfId="3" applyNumberFormat="1" applyFont="1" applyFill="1" applyBorder="1" applyAlignment="1">
      <alignment horizontal="right" vertical="center" shrinkToFit="1"/>
    </xf>
    <xf numFmtId="166" fontId="2" fillId="0" borderId="0" xfId="0" applyNumberFormat="1" applyFont="1"/>
    <xf numFmtId="4" fontId="17" fillId="0" borderId="16" xfId="3" applyNumberFormat="1" applyFont="1" applyBorder="1"/>
    <xf numFmtId="4" fontId="20" fillId="0" borderId="16" xfId="0" applyNumberFormat="1" applyFont="1" applyBorder="1" applyAlignment="1">
      <alignment shrinkToFit="1"/>
    </xf>
    <xf numFmtId="177" fontId="20" fillId="0" borderId="16" xfId="3" applyNumberFormat="1" applyFont="1" applyBorder="1" applyAlignment="1">
      <alignment horizontal="right" vertical="center" shrinkToFit="1"/>
    </xf>
    <xf numFmtId="167" fontId="9" fillId="0" borderId="0" xfId="0" applyNumberFormat="1" applyFont="1"/>
    <xf numFmtId="4" fontId="17" fillId="4" borderId="16" xfId="3" applyNumberFormat="1" applyFont="1" applyFill="1" applyBorder="1"/>
    <xf numFmtId="0" fontId="9" fillId="0" borderId="0" xfId="0" applyFont="1"/>
    <xf numFmtId="167" fontId="7" fillId="0" borderId="0" xfId="0" applyNumberFormat="1" applyFont="1" applyAlignment="1">
      <alignment horizontal="center" vertical="center"/>
    </xf>
    <xf numFmtId="167" fontId="17" fillId="0" borderId="16" xfId="3" applyNumberFormat="1" applyFont="1" applyBorder="1"/>
    <xf numFmtId="167" fontId="20" fillId="0" borderId="16" xfId="0" applyNumberFormat="1" applyFont="1" applyBorder="1" applyAlignment="1">
      <alignment shrinkToFit="1"/>
    </xf>
    <xf numFmtId="0" fontId="52" fillId="0" borderId="0" xfId="0" applyFont="1" applyAlignment="1">
      <alignment horizontal="left" indent="1"/>
    </xf>
    <xf numFmtId="0" fontId="34" fillId="0" borderId="0" xfId="0" applyFont="1" applyAlignment="1">
      <alignment horizontal="center" vertical="center"/>
    </xf>
    <xf numFmtId="167" fontId="17" fillId="4" borderId="16" xfId="3" applyNumberFormat="1" applyFont="1" applyFill="1" applyBorder="1"/>
    <xf numFmtId="167" fontId="20" fillId="4" borderId="16" xfId="0" applyNumberFormat="1" applyFont="1" applyFill="1" applyBorder="1" applyAlignment="1">
      <alignment shrinkToFit="1"/>
    </xf>
    <xf numFmtId="0" fontId="7" fillId="0" borderId="0" xfId="0" applyFont="1" applyAlignment="1">
      <alignment horizontal="left" indent="1"/>
    </xf>
    <xf numFmtId="3" fontId="7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left" indent="6"/>
    </xf>
    <xf numFmtId="3" fontId="52" fillId="0" borderId="0" xfId="0" applyNumberFormat="1" applyFont="1" applyAlignment="1">
      <alignment horizontal="center" vertical="center"/>
    </xf>
    <xf numFmtId="0" fontId="53" fillId="0" borderId="0" xfId="0" applyFont="1" applyAlignment="1">
      <alignment horizontal="left" indent="1"/>
    </xf>
    <xf numFmtId="9" fontId="7" fillId="0" borderId="0" xfId="3" applyFont="1"/>
    <xf numFmtId="167" fontId="20" fillId="4" borderId="17" xfId="0" applyNumberFormat="1" applyFont="1" applyFill="1" applyBorder="1"/>
    <xf numFmtId="167" fontId="20" fillId="0" borderId="17" xfId="0" applyNumberFormat="1" applyFont="1" applyBorder="1"/>
    <xf numFmtId="167" fontId="17" fillId="4" borderId="17" xfId="3" applyNumberFormat="1" applyFont="1" applyFill="1" applyBorder="1"/>
    <xf numFmtId="167" fontId="20" fillId="4" borderId="17" xfId="0" applyNumberFormat="1" applyFont="1" applyFill="1" applyBorder="1" applyAlignment="1">
      <alignment shrinkToFit="1"/>
    </xf>
    <xf numFmtId="177" fontId="20" fillId="4" borderId="17" xfId="3" applyNumberFormat="1" applyFont="1" applyFill="1" applyBorder="1" applyAlignment="1">
      <alignment horizontal="right" vertical="center" shrinkToFit="1"/>
    </xf>
    <xf numFmtId="1" fontId="6" fillId="0" borderId="0" xfId="0" applyNumberFormat="1" applyFont="1"/>
    <xf numFmtId="167" fontId="5" fillId="0" borderId="0" xfId="3" applyNumberFormat="1" applyFont="1"/>
    <xf numFmtId="166" fontId="7" fillId="0" borderId="0" xfId="0" applyNumberFormat="1" applyFont="1" applyAlignment="1">
      <alignment horizontal="right" vertical="center"/>
    </xf>
    <xf numFmtId="9" fontId="7" fillId="0" borderId="0" xfId="3" applyFont="1" applyFill="1"/>
    <xf numFmtId="0" fontId="6" fillId="0" borderId="0" xfId="0" applyFont="1" applyAlignment="1">
      <alignment horizontal="left" indent="6"/>
    </xf>
    <xf numFmtId="3" fontId="6" fillId="0" borderId="0" xfId="0" applyNumberFormat="1" applyFont="1" applyAlignment="1">
      <alignment horizontal="center" vertical="center"/>
    </xf>
    <xf numFmtId="0" fontId="54" fillId="0" borderId="0" xfId="0" applyFont="1" applyAlignment="1">
      <alignment horizontal="left" vertical="center"/>
    </xf>
    <xf numFmtId="166" fontId="7" fillId="0" borderId="0" xfId="0" applyNumberFormat="1" applyFont="1"/>
    <xf numFmtId="167" fontId="0" fillId="0" borderId="0" xfId="0" applyNumberFormat="1" applyAlignment="1">
      <alignment horizontal="center" vertical="center"/>
    </xf>
    <xf numFmtId="0" fontId="55" fillId="0" borderId="0" xfId="0" applyFont="1"/>
    <xf numFmtId="3" fontId="55" fillId="0" borderId="0" xfId="0" quotePrefix="1" applyNumberFormat="1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3" fontId="55" fillId="0" borderId="0" xfId="0" applyNumberFormat="1" applyFont="1" applyAlignment="1">
      <alignment horizontal="center" vertical="center"/>
    </xf>
    <xf numFmtId="167" fontId="55" fillId="0" borderId="0" xfId="0" applyNumberFormat="1" applyFon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170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0" fontId="55" fillId="0" borderId="0" xfId="0" applyFont="1" applyAlignment="1">
      <alignment horizont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55" fillId="5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3" fontId="56" fillId="0" borderId="0" xfId="0" applyNumberFormat="1" applyFont="1" applyAlignment="1">
      <alignment horizontal="right" vertical="center"/>
    </xf>
    <xf numFmtId="3" fontId="0" fillId="0" borderId="0" xfId="0" applyNumberFormat="1" applyAlignment="1">
      <alignment vertical="center"/>
    </xf>
    <xf numFmtId="3" fontId="55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56" fillId="0" borderId="0" xfId="0" applyFont="1"/>
    <xf numFmtId="3" fontId="57" fillId="0" borderId="0" xfId="0" applyNumberFormat="1" applyFont="1" applyAlignment="1">
      <alignment horizontal="right" vertical="center"/>
    </xf>
    <xf numFmtId="3" fontId="58" fillId="0" borderId="0" xfId="0" applyNumberFormat="1" applyFont="1" applyAlignment="1">
      <alignment horizontal="right" vertical="center"/>
    </xf>
    <xf numFmtId="0" fontId="59" fillId="0" borderId="0" xfId="0" applyFont="1"/>
    <xf numFmtId="0" fontId="58" fillId="0" borderId="0" xfId="0" applyFont="1"/>
    <xf numFmtId="0" fontId="56" fillId="0" borderId="0" xfId="0" applyFont="1" applyAlignment="1">
      <alignment horizontal="left" indent="1"/>
    </xf>
    <xf numFmtId="3" fontId="59" fillId="0" borderId="0" xfId="0" applyNumberFormat="1" applyFont="1" applyAlignment="1">
      <alignment horizontal="right" vertical="center"/>
    </xf>
    <xf numFmtId="0" fontId="0" fillId="0" borderId="0" xfId="0" applyAlignment="1">
      <alignment horizontal="left" indent="1"/>
    </xf>
    <xf numFmtId="3" fontId="0" fillId="0" borderId="18" xfId="0" applyNumberFormat="1" applyBorder="1" applyAlignment="1">
      <alignment horizontal="right" vertical="center"/>
    </xf>
    <xf numFmtId="3" fontId="60" fillId="0" borderId="0" xfId="0" applyNumberFormat="1" applyFont="1" applyAlignment="1">
      <alignment horizontal="right" vertical="center"/>
    </xf>
    <xf numFmtId="0" fontId="0" fillId="0" borderId="18" xfId="0" applyBorder="1"/>
    <xf numFmtId="0" fontId="60" fillId="0" borderId="0" xfId="0" applyFont="1" applyAlignment="1">
      <alignment horizontal="left" indent="1"/>
    </xf>
    <xf numFmtId="3" fontId="59" fillId="0" borderId="19" xfId="0" applyNumberFormat="1" applyFont="1" applyBorder="1" applyAlignment="1">
      <alignment horizontal="right" vertical="center"/>
    </xf>
    <xf numFmtId="3" fontId="61" fillId="0" borderId="19" xfId="0" applyNumberFormat="1" applyFont="1" applyBorder="1" applyAlignment="1">
      <alignment horizontal="right" vertical="center"/>
    </xf>
    <xf numFmtId="3" fontId="61" fillId="0" borderId="20" xfId="0" applyNumberFormat="1" applyFont="1" applyBorder="1" applyAlignment="1">
      <alignment horizontal="right" vertical="center"/>
    </xf>
    <xf numFmtId="3" fontId="59" fillId="0" borderId="18" xfId="0" applyNumberFormat="1" applyFont="1" applyBorder="1" applyAlignment="1">
      <alignment horizontal="right" vertical="center"/>
    </xf>
    <xf numFmtId="3" fontId="55" fillId="0" borderId="0" xfId="0" applyNumberFormat="1" applyFont="1" applyAlignment="1">
      <alignment horizontal="right" vertical="center"/>
    </xf>
    <xf numFmtId="3" fontId="55" fillId="0" borderId="21" xfId="0" applyNumberFormat="1" applyFont="1" applyBorder="1" applyAlignment="1">
      <alignment horizontal="right" vertical="center"/>
    </xf>
    <xf numFmtId="0" fontId="55" fillId="3" borderId="0" xfId="0" applyFont="1" applyFill="1"/>
    <xf numFmtId="0" fontId="0" fillId="0" borderId="21" xfId="0" applyBorder="1"/>
    <xf numFmtId="0" fontId="62" fillId="0" borderId="22" xfId="0" applyFont="1" applyBorder="1" applyAlignment="1">
      <alignment vertical="center"/>
    </xf>
    <xf numFmtId="0" fontId="58" fillId="0" borderId="0" xfId="0" applyFont="1" applyAlignment="1">
      <alignment horizontal="left" indent="1"/>
    </xf>
    <xf numFmtId="0" fontId="61" fillId="0" borderId="20" xfId="0" applyFont="1" applyBorder="1"/>
    <xf numFmtId="9" fontId="0" fillId="0" borderId="0" xfId="3" applyFont="1"/>
    <xf numFmtId="3" fontId="0" fillId="0" borderId="19" xfId="0" applyNumberFormat="1" applyBorder="1" applyAlignment="1">
      <alignment horizontal="right" vertical="center"/>
    </xf>
    <xf numFmtId="0" fontId="59" fillId="0" borderId="18" xfId="0" applyFont="1" applyBorder="1"/>
    <xf numFmtId="0" fontId="61" fillId="0" borderId="0" xfId="0" applyFont="1"/>
    <xf numFmtId="3" fontId="61" fillId="0" borderId="0" xfId="0" applyNumberFormat="1" applyFont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176" fontId="55" fillId="0" borderId="0" xfId="0" applyNumberFormat="1" applyFont="1" applyAlignment="1">
      <alignment horizontal="right" vertical="center"/>
    </xf>
    <xf numFmtId="0" fontId="62" fillId="0" borderId="23" xfId="0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0" fontId="63" fillId="4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5" fillId="0" borderId="0" xfId="0" applyFont="1" applyAlignment="1">
      <alignment wrapText="1"/>
    </xf>
    <xf numFmtId="0" fontId="13" fillId="0" borderId="1" xfId="0" applyFont="1" applyBorder="1" applyAlignment="1">
      <alignment vertical="center" wrapText="1"/>
    </xf>
    <xf numFmtId="0" fontId="21" fillId="6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167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wrapText="1"/>
    </xf>
    <xf numFmtId="3" fontId="64" fillId="0" borderId="0" xfId="0" applyNumberFormat="1" applyFont="1" applyAlignment="1">
      <alignment horizontal="center" vertical="center"/>
    </xf>
    <xf numFmtId="167" fontId="65" fillId="0" borderId="0" xfId="0" applyNumberFormat="1" applyFont="1" applyAlignment="1">
      <alignment horizontal="center"/>
    </xf>
    <xf numFmtId="0" fontId="13" fillId="0" borderId="24" xfId="0" applyFont="1" applyBorder="1"/>
    <xf numFmtId="0" fontId="66" fillId="0" borderId="1" xfId="0" applyFont="1" applyBorder="1"/>
    <xf numFmtId="167" fontId="66" fillId="0" borderId="1" xfId="0" applyNumberFormat="1" applyFont="1" applyBorder="1" applyAlignment="1">
      <alignment vertical="center"/>
    </xf>
    <xf numFmtId="167" fontId="23" fillId="0" borderId="5" xfId="0" applyNumberFormat="1" applyFont="1" applyBorder="1" applyAlignment="1">
      <alignment vertical="center"/>
    </xf>
    <xf numFmtId="0" fontId="9" fillId="0" borderId="7" xfId="0" applyFont="1" applyBorder="1"/>
    <xf numFmtId="167" fontId="18" fillId="0" borderId="5" xfId="0" applyNumberFormat="1" applyFont="1" applyBorder="1" applyAlignment="1">
      <alignment vertical="center"/>
    </xf>
    <xf numFmtId="167" fontId="28" fillId="0" borderId="5" xfId="0" applyNumberFormat="1" applyFont="1" applyBorder="1" applyAlignment="1">
      <alignment vertical="center"/>
    </xf>
    <xf numFmtId="167" fontId="29" fillId="0" borderId="5" xfId="0" applyNumberFormat="1" applyFont="1" applyBorder="1" applyAlignment="1">
      <alignment vertical="center"/>
    </xf>
    <xf numFmtId="0" fontId="15" fillId="0" borderId="0" xfId="0" applyFont="1" applyAlignment="1">
      <alignment horizontal="center"/>
    </xf>
    <xf numFmtId="167" fontId="7" fillId="0" borderId="0" xfId="0" applyNumberFormat="1" applyFont="1" applyAlignment="1">
      <alignment horizontal="center"/>
    </xf>
    <xf numFmtId="167" fontId="33" fillId="0" borderId="5" xfId="0" applyNumberFormat="1" applyFont="1" applyBorder="1" applyAlignment="1">
      <alignment vertical="center"/>
    </xf>
    <xf numFmtId="167" fontId="39" fillId="0" borderId="0" xfId="0" applyNumberFormat="1" applyFont="1" applyAlignment="1">
      <alignment horizontal="center"/>
    </xf>
    <xf numFmtId="167" fontId="17" fillId="0" borderId="5" xfId="0" applyNumberFormat="1" applyFont="1" applyBorder="1" applyAlignment="1">
      <alignment vertical="center"/>
    </xf>
    <xf numFmtId="0" fontId="30" fillId="0" borderId="5" xfId="0" applyFont="1" applyBorder="1" applyAlignment="1">
      <alignment horizontal="left" indent="1"/>
    </xf>
    <xf numFmtId="167" fontId="30" fillId="0" borderId="5" xfId="0" applyNumberFormat="1" applyFont="1" applyBorder="1" applyAlignment="1">
      <alignment vertical="center"/>
    </xf>
    <xf numFmtId="167" fontId="38" fillId="0" borderId="5" xfId="0" applyNumberFormat="1" applyFont="1" applyBorder="1" applyAlignment="1">
      <alignment vertical="center"/>
    </xf>
    <xf numFmtId="0" fontId="67" fillId="0" borderId="0" xfId="0" applyFont="1" applyAlignment="1">
      <alignment horizontal="left" vertical="center" indent="1"/>
    </xf>
    <xf numFmtId="3" fontId="67" fillId="0" borderId="0" xfId="0" applyNumberFormat="1" applyFont="1" applyAlignment="1">
      <alignment horizontal="left" vertical="center" indent="1"/>
    </xf>
    <xf numFmtId="0" fontId="18" fillId="0" borderId="7" xfId="0" applyFont="1" applyBorder="1"/>
    <xf numFmtId="167" fontId="18" fillId="0" borderId="7" xfId="0" applyNumberFormat="1" applyFont="1" applyBorder="1"/>
    <xf numFmtId="0" fontId="68" fillId="0" borderId="0" xfId="0" applyFont="1" applyAlignment="1">
      <alignment vertical="center"/>
    </xf>
    <xf numFmtId="3" fontId="68" fillId="0" borderId="0" xfId="0" applyNumberFormat="1" applyFont="1" applyAlignment="1">
      <alignment vertical="center"/>
    </xf>
    <xf numFmtId="0" fontId="11" fillId="0" borderId="0" xfId="0" applyFont="1" applyAlignment="1">
      <alignment horizontal="center"/>
    </xf>
    <xf numFmtId="167" fontId="69" fillId="0" borderId="0" xfId="0" applyNumberFormat="1" applyFont="1" applyAlignment="1">
      <alignment horizontal="right" vertical="center"/>
    </xf>
    <xf numFmtId="167" fontId="69" fillId="0" borderId="0" xfId="0" applyNumberFormat="1" applyFont="1"/>
    <xf numFmtId="167" fontId="22" fillId="0" borderId="5" xfId="0" applyNumberFormat="1" applyFont="1" applyBorder="1" applyAlignment="1">
      <alignment vertical="center"/>
    </xf>
    <xf numFmtId="0" fontId="70" fillId="0" borderId="0" xfId="0" applyFont="1" applyAlignment="1">
      <alignment horizontal="center"/>
    </xf>
    <xf numFmtId="0" fontId="13" fillId="0" borderId="7" xfId="0" applyFont="1" applyBorder="1"/>
    <xf numFmtId="0" fontId="66" fillId="0" borderId="7" xfId="0" applyFont="1" applyBorder="1"/>
    <xf numFmtId="167" fontId="66" fillId="0" borderId="7" xfId="0" applyNumberFormat="1" applyFont="1" applyBorder="1" applyAlignment="1">
      <alignment vertical="center"/>
    </xf>
    <xf numFmtId="2" fontId="7" fillId="0" borderId="0" xfId="3" applyNumberFormat="1" applyFont="1" applyAlignment="1">
      <alignment horizontal="center"/>
    </xf>
    <xf numFmtId="167" fontId="18" fillId="0" borderId="7" xfId="0" applyNumberFormat="1" applyFont="1" applyBorder="1" applyAlignment="1">
      <alignment vertical="center"/>
    </xf>
    <xf numFmtId="0" fontId="66" fillId="0" borderId="6" xfId="0" applyFont="1" applyBorder="1"/>
    <xf numFmtId="0" fontId="66" fillId="0" borderId="25" xfId="0" applyFont="1" applyBorder="1"/>
    <xf numFmtId="167" fontId="66" fillId="0" borderId="25" xfId="0" applyNumberFormat="1" applyFont="1" applyBorder="1" applyAlignment="1">
      <alignment vertical="center"/>
    </xf>
    <xf numFmtId="166" fontId="7" fillId="0" borderId="0" xfId="3" applyNumberFormat="1" applyFont="1" applyAlignment="1">
      <alignment horizontal="center"/>
    </xf>
    <xf numFmtId="0" fontId="71" fillId="0" borderId="0" xfId="0" applyFont="1" applyAlignment="1">
      <alignment horizontal="right"/>
    </xf>
    <xf numFmtId="166" fontId="71" fillId="0" borderId="0" xfId="3" applyNumberFormat="1" applyFont="1" applyAlignment="1">
      <alignment horizontal="right" vertical="center"/>
    </xf>
    <xf numFmtId="0" fontId="9" fillId="0" borderId="1" xfId="0" applyFont="1" applyBorder="1" applyAlignment="1">
      <alignment vertical="center" wrapText="1"/>
    </xf>
    <xf numFmtId="167" fontId="18" fillId="0" borderId="5" xfId="0" applyNumberFormat="1" applyFont="1" applyBorder="1" applyAlignment="1">
      <alignment horizontal="right" vertical="center"/>
    </xf>
    <xf numFmtId="167" fontId="30" fillId="0" borderId="5" xfId="0" applyNumberFormat="1" applyFont="1" applyBorder="1" applyAlignment="1">
      <alignment horizontal="right" vertical="center"/>
    </xf>
    <xf numFmtId="0" fontId="72" fillId="0" borderId="5" xfId="0" applyFont="1" applyBorder="1" applyAlignment="1">
      <alignment horizontal="left" indent="2"/>
    </xf>
    <xf numFmtId="167" fontId="72" fillId="0" borderId="5" xfId="0" applyNumberFormat="1" applyFont="1" applyBorder="1" applyAlignment="1">
      <alignment horizontal="right" vertical="center"/>
    </xf>
    <xf numFmtId="178" fontId="7" fillId="0" borderId="0" xfId="0" applyNumberFormat="1" applyFont="1"/>
    <xf numFmtId="0" fontId="7" fillId="0" borderId="0" xfId="0" quotePrefix="1" applyFont="1"/>
    <xf numFmtId="167" fontId="17" fillId="0" borderId="5" xfId="0" applyNumberFormat="1" applyFont="1" applyBorder="1" applyAlignment="1">
      <alignment horizontal="right" vertical="center"/>
    </xf>
    <xf numFmtId="167" fontId="18" fillId="0" borderId="1" xfId="0" applyNumberFormat="1" applyFont="1" applyBorder="1" applyAlignment="1">
      <alignment horizontal="right" vertical="center"/>
    </xf>
    <xf numFmtId="0" fontId="42" fillId="0" borderId="0" xfId="0" applyFont="1"/>
    <xf numFmtId="0" fontId="66" fillId="0" borderId="0" xfId="0" applyFont="1"/>
    <xf numFmtId="0" fontId="66" fillId="0" borderId="0" xfId="0" applyFont="1" applyAlignment="1">
      <alignment horizontal="right"/>
    </xf>
    <xf numFmtId="167" fontId="66" fillId="0" borderId="0" xfId="0" applyNumberFormat="1" applyFont="1" applyAlignment="1">
      <alignment horizontal="right" vertical="center"/>
    </xf>
    <xf numFmtId="0" fontId="73" fillId="0" borderId="0" xfId="0" applyFont="1" applyAlignment="1">
      <alignment horizontal="center"/>
    </xf>
    <xf numFmtId="167" fontId="73" fillId="0" borderId="0" xfId="0" applyNumberFormat="1" applyFont="1"/>
    <xf numFmtId="0" fontId="73" fillId="0" borderId="0" xfId="0" applyFont="1"/>
    <xf numFmtId="0" fontId="18" fillId="0" borderId="0" xfId="0" applyFont="1"/>
    <xf numFmtId="0" fontId="72" fillId="0" borderId="0" xfId="0" applyFont="1" applyAlignment="1">
      <alignment horizontal="right"/>
    </xf>
    <xf numFmtId="166" fontId="30" fillId="0" borderId="0" xfId="3" applyNumberFormat="1" applyFont="1" applyAlignment="1">
      <alignment horizontal="right" vertical="center"/>
    </xf>
    <xf numFmtId="0" fontId="21" fillId="0" borderId="1" xfId="0" applyFont="1" applyBorder="1" applyAlignment="1">
      <alignment vertical="center" wrapText="1"/>
    </xf>
    <xf numFmtId="167" fontId="9" fillId="0" borderId="7" xfId="0" applyNumberFormat="1" applyFont="1" applyBorder="1" applyAlignment="1">
      <alignment horizontal="right" vertical="center"/>
    </xf>
    <xf numFmtId="167" fontId="7" fillId="0" borderId="5" xfId="0" applyNumberFormat="1" applyFont="1" applyBorder="1" applyAlignment="1">
      <alignment horizontal="right" vertical="center"/>
    </xf>
    <xf numFmtId="0" fontId="9" fillId="0" borderId="9" xfId="0" applyFont="1" applyBorder="1"/>
    <xf numFmtId="167" fontId="9" fillId="0" borderId="9" xfId="0" applyNumberFormat="1" applyFont="1" applyBorder="1" applyAlignment="1">
      <alignment horizontal="right" vertical="center"/>
    </xf>
    <xf numFmtId="0" fontId="9" fillId="7" borderId="1" xfId="0" applyFont="1" applyFill="1" applyBorder="1"/>
    <xf numFmtId="167" fontId="9" fillId="7" borderId="1" xfId="0" applyNumberFormat="1" applyFont="1" applyFill="1" applyBorder="1" applyAlignment="1">
      <alignment horizontal="right" vertical="center"/>
    </xf>
    <xf numFmtId="0" fontId="9" fillId="3" borderId="7" xfId="0" applyFont="1" applyFill="1" applyBorder="1"/>
    <xf numFmtId="0" fontId="52" fillId="0" borderId="1" xfId="0" applyFont="1" applyBorder="1"/>
    <xf numFmtId="167" fontId="52" fillId="0" borderId="1" xfId="0" applyNumberFormat="1" applyFont="1" applyBorder="1" applyAlignment="1">
      <alignment horizontal="right" vertical="center"/>
    </xf>
    <xf numFmtId="0" fontId="52" fillId="0" borderId="25" xfId="0" applyFont="1" applyBorder="1"/>
    <xf numFmtId="167" fontId="52" fillId="0" borderId="25" xfId="0" applyNumberFormat="1" applyFont="1" applyBorder="1" applyAlignment="1">
      <alignment horizontal="right" vertical="center"/>
    </xf>
    <xf numFmtId="167" fontId="30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center" wrapText="1"/>
    </xf>
    <xf numFmtId="167" fontId="7" fillId="0" borderId="5" xfId="0" applyNumberFormat="1" applyFont="1" applyBorder="1" applyAlignment="1">
      <alignment horizontal="left" indent="1"/>
    </xf>
    <xf numFmtId="176" fontId="7" fillId="0" borderId="5" xfId="0" applyNumberFormat="1" applyFont="1" applyBorder="1" applyAlignment="1">
      <alignment shrinkToFit="1"/>
    </xf>
    <xf numFmtId="179" fontId="7" fillId="0" borderId="0" xfId="0" applyNumberFormat="1" applyFont="1" applyAlignment="1">
      <alignment horizontal="center"/>
    </xf>
    <xf numFmtId="167" fontId="9" fillId="0" borderId="1" xfId="0" applyNumberFormat="1" applyFont="1" applyBorder="1" applyAlignment="1">
      <alignment horizontal="left"/>
    </xf>
    <xf numFmtId="176" fontId="7" fillId="0" borderId="1" xfId="0" applyNumberFormat="1" applyFont="1" applyBorder="1" applyAlignment="1">
      <alignment shrinkToFit="1"/>
    </xf>
    <xf numFmtId="180" fontId="7" fillId="0" borderId="0" xfId="0" applyNumberFormat="1" applyFont="1" applyAlignment="1">
      <alignment horizontal="center"/>
    </xf>
    <xf numFmtId="166" fontId="7" fillId="0" borderId="5" xfId="0" applyNumberFormat="1" applyFont="1" applyBorder="1" applyAlignment="1">
      <alignment shrinkToFit="1"/>
    </xf>
    <xf numFmtId="181" fontId="7" fillId="0" borderId="0" xfId="0" applyNumberFormat="1" applyFont="1" applyAlignment="1">
      <alignment horizontal="center"/>
    </xf>
    <xf numFmtId="182" fontId="7" fillId="0" borderId="5" xfId="1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left"/>
    </xf>
    <xf numFmtId="182" fontId="7" fillId="0" borderId="1" xfId="1" applyNumberFormat="1" applyFont="1" applyBorder="1" applyAlignment="1">
      <alignment horizontal="right" vertical="center"/>
    </xf>
    <xf numFmtId="166" fontId="7" fillId="0" borderId="5" xfId="1" applyNumberFormat="1" applyFont="1" applyBorder="1" applyAlignment="1">
      <alignment horizontal="right" vertical="center"/>
    </xf>
    <xf numFmtId="183" fontId="7" fillId="0" borderId="0" xfId="0" applyNumberFormat="1" applyFont="1" applyAlignment="1">
      <alignment horizontal="center"/>
    </xf>
    <xf numFmtId="166" fontId="9" fillId="0" borderId="1" xfId="1" applyNumberFormat="1" applyFont="1" applyBorder="1" applyAlignment="1">
      <alignment horizontal="right" vertical="center"/>
    </xf>
    <xf numFmtId="3" fontId="7" fillId="0" borderId="5" xfId="0" applyNumberFormat="1" applyFont="1" applyBorder="1" applyAlignment="1">
      <alignment horizontal="right" vertical="center"/>
    </xf>
    <xf numFmtId="184" fontId="7" fillId="0" borderId="0" xfId="0" applyNumberFormat="1" applyFont="1" applyAlignment="1">
      <alignment horizontal="center"/>
    </xf>
    <xf numFmtId="0" fontId="7" fillId="0" borderId="9" xfId="0" applyFont="1" applyBorder="1" applyAlignment="1">
      <alignment horizontal="left" indent="1"/>
    </xf>
    <xf numFmtId="176" fontId="7" fillId="0" borderId="9" xfId="0" applyNumberFormat="1" applyFont="1" applyBorder="1" applyAlignment="1">
      <alignment horizontal="right" vertical="center"/>
    </xf>
    <xf numFmtId="0" fontId="9" fillId="0" borderId="0" xfId="0" applyFont="1" applyAlignment="1">
      <alignment horizontal="right"/>
    </xf>
    <xf numFmtId="3" fontId="53" fillId="0" borderId="0" xfId="0" applyNumberFormat="1" applyFont="1" applyAlignment="1">
      <alignment horizontal="right" vertical="center"/>
    </xf>
    <xf numFmtId="3" fontId="62" fillId="0" borderId="0" xfId="0" applyNumberFormat="1" applyFont="1" applyAlignment="1">
      <alignment horizontal="right" vertical="center"/>
    </xf>
    <xf numFmtId="3" fontId="13" fillId="0" borderId="0" xfId="0" applyNumberFormat="1" applyFont="1" applyAlignment="1">
      <alignment horizontal="right" vertical="center"/>
    </xf>
    <xf numFmtId="3" fontId="64" fillId="0" borderId="0" xfId="0" applyNumberFormat="1" applyFont="1" applyAlignment="1">
      <alignment horizontal="right" vertical="center"/>
    </xf>
    <xf numFmtId="3" fontId="74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185" fontId="7" fillId="0" borderId="0" xfId="0" applyNumberFormat="1" applyFont="1" applyAlignment="1">
      <alignment horizontal="center" vertical="center"/>
    </xf>
    <xf numFmtId="0" fontId="76" fillId="0" borderId="0" xfId="4" applyFont="1" applyAlignment="1">
      <alignment horizontal="left"/>
    </xf>
    <xf numFmtId="0" fontId="77" fillId="0" borderId="26" xfId="4" applyFont="1" applyBorder="1" applyAlignment="1">
      <alignment horizontal="center" vertical="center" wrapText="1"/>
    </xf>
    <xf numFmtId="3" fontId="78" fillId="0" borderId="0" xfId="4" applyNumberFormat="1" applyFont="1" applyAlignment="1">
      <alignment horizontal="center"/>
    </xf>
    <xf numFmtId="0" fontId="79" fillId="0" borderId="0" xfId="4" applyFont="1" applyAlignment="1">
      <alignment horizontal="center"/>
    </xf>
    <xf numFmtId="0" fontId="78" fillId="0" borderId="0" xfId="4" applyFont="1" applyAlignment="1">
      <alignment horizontal="center"/>
    </xf>
    <xf numFmtId="3" fontId="79" fillId="0" borderId="0" xfId="4" applyNumberFormat="1" applyFont="1" applyAlignment="1">
      <alignment horizontal="center"/>
    </xf>
    <xf numFmtId="0" fontId="80" fillId="0" borderId="0" xfId="5"/>
    <xf numFmtId="0" fontId="81" fillId="0" borderId="0" xfId="4" applyFont="1" applyAlignment="1">
      <alignment horizontal="center" vertical="center"/>
    </xf>
    <xf numFmtId="0" fontId="77" fillId="0" borderId="0" xfId="4" applyFont="1" applyAlignment="1">
      <alignment horizontal="center" vertical="center" wrapText="1"/>
    </xf>
    <xf numFmtId="186" fontId="79" fillId="0" borderId="0" xfId="4" applyNumberFormat="1" applyFont="1" applyAlignment="1">
      <alignment horizontal="center"/>
    </xf>
    <xf numFmtId="4" fontId="79" fillId="0" borderId="0" xfId="4" applyNumberFormat="1" applyFont="1" applyAlignment="1">
      <alignment horizontal="center"/>
    </xf>
    <xf numFmtId="0" fontId="79" fillId="8" borderId="0" xfId="4" applyFont="1" applyFill="1" applyAlignment="1">
      <alignment horizontal="center"/>
    </xf>
    <xf numFmtId="0" fontId="82" fillId="0" borderId="0" xfId="4" applyFont="1"/>
    <xf numFmtId="0" fontId="83" fillId="0" borderId="0" xfId="4" applyFont="1" applyAlignment="1">
      <alignment horizontal="center" vertical="center"/>
    </xf>
    <xf numFmtId="0" fontId="84" fillId="9" borderId="27" xfId="4" applyFont="1" applyFill="1" applyBorder="1" applyAlignment="1">
      <alignment horizontal="left" vertical="center" wrapText="1"/>
    </xf>
    <xf numFmtId="0" fontId="85" fillId="10" borderId="27" xfId="4" applyFont="1" applyFill="1" applyBorder="1" applyAlignment="1">
      <alignment horizontal="center" vertical="center" wrapText="1"/>
    </xf>
    <xf numFmtId="0" fontId="86" fillId="10" borderId="27" xfId="4" applyFont="1" applyFill="1" applyBorder="1" applyAlignment="1">
      <alignment horizontal="center" vertical="center" wrapText="1"/>
    </xf>
    <xf numFmtId="0" fontId="86" fillId="10" borderId="28" xfId="4" applyFont="1" applyFill="1" applyBorder="1" applyAlignment="1">
      <alignment horizontal="center" vertical="center" wrapText="1"/>
    </xf>
    <xf numFmtId="0" fontId="86" fillId="10" borderId="1" xfId="4" applyFont="1" applyFill="1" applyBorder="1" applyAlignment="1">
      <alignment horizontal="center" vertical="center" wrapText="1"/>
    </xf>
    <xf numFmtId="0" fontId="87" fillId="0" borderId="27" xfId="4" applyFont="1" applyBorder="1" applyAlignment="1">
      <alignment horizontal="left" vertical="top" wrapText="1"/>
    </xf>
    <xf numFmtId="0" fontId="88" fillId="0" borderId="29" xfId="6" applyNumberFormat="1" applyFont="1" applyFill="1" applyBorder="1" applyAlignment="1" applyProtection="1">
      <alignment horizontal="center" vertical="top" wrapText="1"/>
    </xf>
    <xf numFmtId="186" fontId="89" fillId="0" borderId="29" xfId="6" applyNumberFormat="1" applyFont="1" applyFill="1" applyBorder="1" applyAlignment="1" applyProtection="1">
      <alignment vertical="top" wrapText="1"/>
      <protection locked="0"/>
    </xf>
    <xf numFmtId="186" fontId="89" fillId="0" borderId="29" xfId="7" applyNumberFormat="1" applyFont="1" applyFill="1" applyBorder="1" applyAlignment="1" applyProtection="1">
      <alignment vertical="top" wrapText="1"/>
      <protection locked="0"/>
    </xf>
    <xf numFmtId="0" fontId="90" fillId="0" borderId="27" xfId="4" applyFont="1" applyBorder="1" applyAlignment="1">
      <alignment horizontal="left" vertical="top" wrapText="1" indent="1"/>
    </xf>
    <xf numFmtId="0" fontId="91" fillId="0" borderId="29" xfId="6" applyNumberFormat="1" applyFont="1" applyFill="1" applyBorder="1" applyAlignment="1" applyProtection="1">
      <alignment horizontal="center" vertical="top" wrapText="1"/>
    </xf>
    <xf numFmtId="186" fontId="84" fillId="0" borderId="29" xfId="6" applyNumberFormat="1" applyFont="1" applyFill="1" applyBorder="1" applyAlignment="1" applyProtection="1">
      <alignment vertical="top" wrapText="1"/>
      <protection locked="0"/>
    </xf>
    <xf numFmtId="186" fontId="84" fillId="0" borderId="29" xfId="7" applyNumberFormat="1" applyFont="1" applyFill="1" applyBorder="1" applyAlignment="1" applyProtection="1">
      <alignment vertical="top" wrapText="1"/>
      <protection locked="0"/>
    </xf>
    <xf numFmtId="0" fontId="92" fillId="0" borderId="27" xfId="4" applyFont="1" applyBorder="1" applyAlignment="1">
      <alignment horizontal="left" vertical="top" wrapText="1" indent="2"/>
    </xf>
    <xf numFmtId="3" fontId="93" fillId="0" borderId="29" xfId="4" applyNumberFormat="1" applyFont="1" applyBorder="1" applyAlignment="1">
      <alignment horizontal="center" vertical="top" wrapText="1"/>
    </xf>
    <xf numFmtId="3" fontId="94" fillId="0" borderId="29" xfId="4" applyNumberFormat="1" applyFont="1" applyBorder="1" applyAlignment="1" applyProtection="1">
      <alignment vertical="top" wrapText="1"/>
      <protection locked="0"/>
    </xf>
    <xf numFmtId="3" fontId="94" fillId="0" borderId="28" xfId="0" applyNumberFormat="1" applyFont="1" applyBorder="1" applyAlignment="1">
      <alignment vertical="top" wrapText="1"/>
    </xf>
    <xf numFmtId="3" fontId="94" fillId="0" borderId="27" xfId="0" applyNumberFormat="1" applyFont="1" applyBorder="1" applyAlignment="1">
      <alignment vertical="top" wrapText="1"/>
    </xf>
    <xf numFmtId="3" fontId="91" fillId="0" borderId="29" xfId="4" applyNumberFormat="1" applyFont="1" applyBorder="1" applyAlignment="1">
      <alignment horizontal="center" vertical="top" wrapText="1"/>
    </xf>
    <xf numFmtId="3" fontId="95" fillId="0" borderId="29" xfId="4" applyNumberFormat="1" applyFont="1" applyBorder="1" applyAlignment="1" applyProtection="1">
      <alignment vertical="top" wrapText="1"/>
      <protection locked="0"/>
    </xf>
    <xf numFmtId="0" fontId="92" fillId="0" borderId="29" xfId="4" applyFont="1" applyBorder="1" applyAlignment="1">
      <alignment horizontal="left" vertical="top" wrapText="1" indent="2"/>
    </xf>
    <xf numFmtId="3" fontId="84" fillId="0" borderId="29" xfId="4" applyNumberFormat="1" applyFont="1" applyBorder="1" applyAlignment="1" applyProtection="1">
      <alignment vertical="top" wrapText="1"/>
      <protection locked="0"/>
    </xf>
    <xf numFmtId="3" fontId="84" fillId="0" borderId="29" xfId="0" applyNumberFormat="1" applyFont="1" applyBorder="1" applyAlignment="1" applyProtection="1">
      <alignment vertical="top" wrapText="1"/>
      <protection locked="0"/>
    </xf>
    <xf numFmtId="0" fontId="96" fillId="0" borderId="27" xfId="4" applyFont="1" applyBorder="1" applyAlignment="1">
      <alignment horizontal="left" vertical="top" wrapText="1" indent="2"/>
    </xf>
    <xf numFmtId="3" fontId="97" fillId="0" borderId="28" xfId="0" applyNumberFormat="1" applyFont="1" applyBorder="1" applyAlignment="1">
      <alignment vertical="top" wrapText="1"/>
    </xf>
    <xf numFmtId="3" fontId="98" fillId="0" borderId="28" xfId="0" applyNumberFormat="1" applyFont="1" applyBorder="1" applyAlignment="1">
      <alignment vertical="top" wrapText="1"/>
    </xf>
    <xf numFmtId="186" fontId="98" fillId="0" borderId="28" xfId="0" applyNumberFormat="1" applyFont="1" applyBorder="1" applyAlignment="1">
      <alignment horizontal="right" vertical="top" wrapText="1"/>
    </xf>
    <xf numFmtId="0" fontId="96" fillId="0" borderId="29" xfId="4" applyFont="1" applyBorder="1" applyAlignment="1">
      <alignment horizontal="left" vertical="top" wrapText="1" indent="2"/>
    </xf>
    <xf numFmtId="3" fontId="95" fillId="0" borderId="28" xfId="0" applyNumberFormat="1" applyFont="1" applyBorder="1" applyAlignment="1">
      <alignment vertical="top" wrapText="1"/>
    </xf>
    <xf numFmtId="3" fontId="94" fillId="0" borderId="30" xfId="0" applyNumberFormat="1" applyFont="1" applyBorder="1" applyAlignment="1">
      <alignment vertical="top" wrapText="1"/>
    </xf>
    <xf numFmtId="0" fontId="89" fillId="0" borderId="27" xfId="4" applyFont="1" applyBorder="1" applyAlignment="1">
      <alignment horizontal="left" vertical="top" wrapText="1"/>
    </xf>
    <xf numFmtId="3" fontId="88" fillId="0" borderId="29" xfId="4" applyNumberFormat="1" applyFont="1" applyBorder="1" applyAlignment="1">
      <alignment horizontal="center" vertical="top" wrapText="1"/>
    </xf>
    <xf numFmtId="3" fontId="89" fillId="0" borderId="29" xfId="4" applyNumberFormat="1" applyFont="1" applyBorder="1" applyAlignment="1" applyProtection="1">
      <alignment vertical="top" wrapText="1"/>
      <protection locked="0"/>
    </xf>
    <xf numFmtId="3" fontId="89" fillId="0" borderId="29" xfId="0" applyNumberFormat="1" applyFont="1" applyBorder="1" applyAlignment="1" applyProtection="1">
      <alignment vertical="top" wrapText="1"/>
      <protection locked="0"/>
    </xf>
    <xf numFmtId="0" fontId="84" fillId="0" borderId="27" xfId="4" applyFont="1" applyBorder="1" applyAlignment="1">
      <alignment horizontal="left" vertical="top" wrapText="1" indent="1"/>
    </xf>
    <xf numFmtId="3" fontId="84" fillId="0" borderId="27" xfId="0" applyNumberFormat="1" applyFont="1" applyBorder="1" applyAlignment="1" applyProtection="1">
      <alignment vertical="top" wrapText="1"/>
      <protection locked="0"/>
    </xf>
    <xf numFmtId="0" fontId="84" fillId="0" borderId="27" xfId="4" applyFont="1" applyBorder="1" applyAlignment="1">
      <alignment horizontal="left" vertical="top" wrapText="1" indent="2"/>
    </xf>
    <xf numFmtId="186" fontId="92" fillId="0" borderId="27" xfId="8" applyNumberFormat="1" applyFont="1" applyFill="1" applyBorder="1" applyAlignment="1" applyProtection="1">
      <alignment horizontal="left" vertical="top" wrapText="1" indent="3"/>
    </xf>
    <xf numFmtId="186" fontId="98" fillId="0" borderId="27" xfId="0" applyNumberFormat="1" applyFont="1" applyBorder="1" applyAlignment="1">
      <alignment vertical="top" wrapText="1"/>
    </xf>
    <xf numFmtId="3" fontId="94" fillId="0" borderId="27" xfId="4" applyNumberFormat="1" applyFont="1" applyBorder="1" applyAlignment="1" applyProtection="1">
      <alignment vertical="top" wrapText="1"/>
      <protection locked="0"/>
    </xf>
    <xf numFmtId="186" fontId="98" fillId="0" borderId="28" xfId="0" applyNumberFormat="1" applyFont="1" applyBorder="1" applyAlignment="1">
      <alignment vertical="top" wrapText="1"/>
    </xf>
    <xf numFmtId="186" fontId="98" fillId="0" borderId="30" xfId="0" applyNumberFormat="1" applyFont="1" applyBorder="1" applyAlignment="1">
      <alignment vertical="top" wrapText="1"/>
    </xf>
    <xf numFmtId="186" fontId="92" fillId="0" borderId="27" xfId="8" applyNumberFormat="1" applyFont="1" applyFill="1" applyBorder="1" applyAlignment="1" applyProtection="1">
      <alignment horizontal="left" vertical="top" wrapText="1" indent="2"/>
    </xf>
    <xf numFmtId="186" fontId="92" fillId="0" borderId="27" xfId="8" applyNumberFormat="1" applyFont="1" applyFill="1" applyBorder="1" applyAlignment="1" applyProtection="1">
      <alignment horizontal="left" vertical="top" wrapText="1" indent="5"/>
    </xf>
    <xf numFmtId="0" fontId="84" fillId="0" borderId="29" xfId="4" applyFont="1" applyBorder="1" applyAlignment="1">
      <alignment horizontal="left" vertical="top" wrapText="1" indent="1"/>
    </xf>
    <xf numFmtId="0" fontId="86" fillId="0" borderId="29" xfId="4" applyFont="1" applyBorder="1" applyAlignment="1">
      <alignment horizontal="left" vertical="top" wrapText="1" indent="1"/>
    </xf>
    <xf numFmtId="3" fontId="95" fillId="0" borderId="27" xfId="0" applyNumberFormat="1" applyFont="1" applyBorder="1" applyAlignment="1">
      <alignment vertical="top" wrapText="1"/>
    </xf>
    <xf numFmtId="0" fontId="99" fillId="0" borderId="0" xfId="5" applyFont="1"/>
    <xf numFmtId="3" fontId="98" fillId="0" borderId="27" xfId="0" applyNumberFormat="1" applyFont="1" applyBorder="1" applyAlignment="1">
      <alignment vertical="top" wrapText="1"/>
    </xf>
    <xf numFmtId="0" fontId="100" fillId="10" borderId="27" xfId="4" applyFont="1" applyFill="1" applyBorder="1" applyAlignment="1">
      <alignment horizontal="center" vertical="top" wrapText="1"/>
    </xf>
    <xf numFmtId="3" fontId="101" fillId="10" borderId="29" xfId="4" applyNumberFormat="1" applyFont="1" applyFill="1" applyBorder="1" applyAlignment="1">
      <alignment horizontal="center" vertical="top" wrapText="1"/>
    </xf>
    <xf numFmtId="3" fontId="102" fillId="10" borderId="29" xfId="4" applyNumberFormat="1" applyFont="1" applyFill="1" applyBorder="1" applyAlignment="1" applyProtection="1">
      <alignment vertical="top" wrapText="1"/>
      <protection locked="0"/>
    </xf>
    <xf numFmtId="3" fontId="102" fillId="10" borderId="29" xfId="0" applyNumberFormat="1" applyFont="1" applyFill="1" applyBorder="1" applyAlignment="1" applyProtection="1">
      <alignment vertical="top" wrapText="1"/>
      <protection locked="0"/>
    </xf>
    <xf numFmtId="0" fontId="103" fillId="0" borderId="0" xfId="5" applyFont="1"/>
    <xf numFmtId="0" fontId="96" fillId="0" borderId="27" xfId="4" applyFont="1" applyBorder="1" applyAlignment="1">
      <alignment horizontal="left" vertical="top" wrapText="1" indent="1"/>
    </xf>
    <xf numFmtId="186" fontId="97" fillId="0" borderId="28" xfId="0" applyNumberFormat="1" applyFont="1" applyBorder="1" applyAlignment="1">
      <alignment horizontal="right" vertical="top" wrapText="1"/>
    </xf>
    <xf numFmtId="0" fontId="96" fillId="0" borderId="29" xfId="4" applyFont="1" applyBorder="1" applyAlignment="1">
      <alignment horizontal="left" vertical="top" wrapText="1" indent="1"/>
    </xf>
    <xf numFmtId="3" fontId="94" fillId="0" borderId="30" xfId="4" applyNumberFormat="1" applyFont="1" applyBorder="1" applyAlignment="1" applyProtection="1">
      <alignment vertical="top" wrapText="1"/>
      <protection locked="0"/>
    </xf>
    <xf numFmtId="3" fontId="89" fillId="0" borderId="30" xfId="0" applyNumberFormat="1" applyFont="1" applyBorder="1" applyAlignment="1" applyProtection="1">
      <alignment vertical="top" wrapText="1"/>
      <protection locked="0"/>
    </xf>
    <xf numFmtId="3" fontId="89" fillId="0" borderId="27" xfId="0" applyNumberFormat="1" applyFont="1" applyBorder="1" applyAlignment="1" applyProtection="1">
      <alignment vertical="top" wrapText="1"/>
      <protection locked="0"/>
    </xf>
    <xf numFmtId="3" fontId="98" fillId="0" borderId="30" xfId="0" applyNumberFormat="1" applyFont="1" applyBorder="1" applyAlignment="1">
      <alignment vertical="top" wrapText="1"/>
    </xf>
    <xf numFmtId="0" fontId="104" fillId="0" borderId="27" xfId="4" applyFont="1" applyBorder="1" applyAlignment="1">
      <alignment horizontal="left" vertical="top" wrapText="1" indent="1"/>
    </xf>
    <xf numFmtId="3" fontId="93" fillId="0" borderId="29" xfId="0" applyNumberFormat="1" applyFont="1" applyBorder="1" applyAlignment="1">
      <alignment horizontal="center" vertical="top" wrapText="1"/>
    </xf>
    <xf numFmtId="3" fontId="94" fillId="0" borderId="29" xfId="0" applyNumberFormat="1" applyFont="1" applyBorder="1" applyAlignment="1" applyProtection="1">
      <alignment vertical="top" wrapText="1"/>
      <protection locked="0"/>
    </xf>
    <xf numFmtId="186" fontId="94" fillId="11" borderId="28" xfId="0" applyNumberFormat="1" applyFont="1" applyFill="1" applyBorder="1" applyAlignment="1">
      <alignment horizontal="right" vertical="top" wrapText="1"/>
    </xf>
    <xf numFmtId="3" fontId="94" fillId="0" borderId="27" xfId="0" applyNumberFormat="1" applyFont="1" applyBorder="1" applyAlignment="1" applyProtection="1">
      <alignment vertical="top" wrapText="1"/>
      <protection locked="0"/>
    </xf>
    <xf numFmtId="0" fontId="105" fillId="0" borderId="27" xfId="4" applyFont="1" applyBorder="1" applyAlignment="1">
      <alignment horizontal="left" vertical="top" wrapText="1" indent="1"/>
    </xf>
    <xf numFmtId="0" fontId="79" fillId="10" borderId="29" xfId="4" applyFont="1" applyFill="1" applyBorder="1" applyAlignment="1">
      <alignment horizontal="center" vertical="center" wrapText="1"/>
    </xf>
    <xf numFmtId="3" fontId="85" fillId="10" borderId="29" xfId="4" applyNumberFormat="1" applyFont="1" applyFill="1" applyBorder="1" applyAlignment="1">
      <alignment horizontal="center" vertical="center" wrapText="1"/>
    </xf>
    <xf numFmtId="3" fontId="79" fillId="10" borderId="29" xfId="4" applyNumberFormat="1" applyFont="1" applyFill="1" applyBorder="1" applyAlignment="1" applyProtection="1">
      <alignment vertical="center" wrapText="1"/>
      <protection locked="0"/>
    </xf>
    <xf numFmtId="3" fontId="79" fillId="10" borderId="29" xfId="0" applyNumberFormat="1" applyFont="1" applyFill="1" applyBorder="1" applyAlignment="1" applyProtection="1">
      <alignment vertical="center" wrapText="1"/>
      <protection locked="0"/>
    </xf>
    <xf numFmtId="3" fontId="86" fillId="10" borderId="30" xfId="0" applyNumberFormat="1" applyFont="1" applyFill="1" applyBorder="1" applyAlignment="1" applyProtection="1">
      <alignment vertical="top" wrapText="1"/>
      <protection locked="0"/>
    </xf>
    <xf numFmtId="3" fontId="79" fillId="10" borderId="27" xfId="0" applyNumberFormat="1" applyFont="1" applyFill="1" applyBorder="1" applyAlignment="1" applyProtection="1">
      <alignment vertical="center" wrapText="1"/>
      <protection locked="0"/>
    </xf>
    <xf numFmtId="0" fontId="106" fillId="0" borderId="0" xfId="5" applyFont="1" applyAlignment="1">
      <alignment vertical="center"/>
    </xf>
    <xf numFmtId="43" fontId="82" fillId="0" borderId="0" xfId="8" applyFont="1" applyBorder="1" applyAlignment="1">
      <alignment horizontal="center" vertical="top" wrapText="1"/>
    </xf>
    <xf numFmtId="43" fontId="75" fillId="0" borderId="0" xfId="8" applyFont="1" applyBorder="1" applyAlignment="1">
      <alignment horizontal="center" vertical="top" wrapText="1"/>
    </xf>
    <xf numFmtId="186" fontId="75" fillId="0" borderId="0" xfId="8" applyNumberFormat="1" applyFont="1" applyBorder="1" applyAlignment="1">
      <alignment horizontal="center" vertical="top" wrapText="1"/>
    </xf>
    <xf numFmtId="3" fontId="75" fillId="0" borderId="0" xfId="8" applyNumberFormat="1" applyFont="1" applyBorder="1" applyAlignment="1">
      <alignment horizontal="center" vertical="top" wrapText="1"/>
    </xf>
    <xf numFmtId="3" fontId="84" fillId="9" borderId="27" xfId="4" applyNumberFormat="1" applyFont="1" applyFill="1" applyBorder="1" applyAlignment="1">
      <alignment horizontal="left" vertical="top" wrapText="1"/>
    </xf>
    <xf numFmtId="0" fontId="85" fillId="10" borderId="28" xfId="8" applyNumberFormat="1" applyFont="1" applyFill="1" applyBorder="1" applyAlignment="1" applyProtection="1">
      <alignment horizontal="center" vertical="center" wrapText="1"/>
    </xf>
    <xf numFmtId="186" fontId="86" fillId="10" borderId="28" xfId="8" applyNumberFormat="1" applyFont="1" applyFill="1" applyBorder="1" applyAlignment="1">
      <alignment horizontal="center" vertical="center" wrapText="1"/>
    </xf>
    <xf numFmtId="3" fontId="107" fillId="0" borderId="27" xfId="4" applyNumberFormat="1" applyFont="1" applyBorder="1" applyAlignment="1">
      <alignment horizontal="left" vertical="top" wrapText="1" indent="1"/>
    </xf>
    <xf numFmtId="0" fontId="108" fillId="0" borderId="29" xfId="6" applyNumberFormat="1" applyFont="1" applyFill="1" applyBorder="1" applyAlignment="1" applyProtection="1">
      <alignment horizontal="center" vertical="top" wrapText="1"/>
    </xf>
    <xf numFmtId="182" fontId="109" fillId="0" borderId="29" xfId="6" applyNumberFormat="1" applyFont="1" applyFill="1" applyBorder="1" applyAlignment="1">
      <alignment horizontal="right" vertical="top" wrapText="1"/>
    </xf>
    <xf numFmtId="182" fontId="109" fillId="0" borderId="30" xfId="6" applyNumberFormat="1" applyFont="1" applyFill="1" applyBorder="1" applyAlignment="1">
      <alignment horizontal="right" vertical="top" wrapText="1"/>
    </xf>
    <xf numFmtId="186" fontId="109" fillId="0" borderId="30" xfId="8" applyNumberFormat="1" applyFont="1" applyFill="1" applyBorder="1" applyAlignment="1">
      <alignment horizontal="right" vertical="top" wrapText="1"/>
    </xf>
    <xf numFmtId="186" fontId="109" fillId="0" borderId="29" xfId="8" applyNumberFormat="1" applyFont="1" applyFill="1" applyBorder="1" applyAlignment="1">
      <alignment horizontal="right" vertical="top" wrapText="1"/>
    </xf>
    <xf numFmtId="3" fontId="109" fillId="0" borderId="29" xfId="8" applyNumberFormat="1" applyFont="1" applyFill="1" applyBorder="1" applyAlignment="1">
      <alignment horizontal="right" vertical="top" wrapText="1"/>
    </xf>
    <xf numFmtId="3" fontId="90" fillId="0" borderId="27" xfId="4" applyNumberFormat="1" applyFont="1" applyBorder="1" applyAlignment="1">
      <alignment horizontal="left" vertical="top" wrapText="1" indent="1"/>
    </xf>
    <xf numFmtId="3" fontId="80" fillId="0" borderId="0" xfId="5" applyNumberFormat="1"/>
    <xf numFmtId="3" fontId="96" fillId="0" borderId="27" xfId="4" applyNumberFormat="1" applyFont="1" applyBorder="1" applyAlignment="1">
      <alignment horizontal="left" vertical="top" wrapText="1" indent="1"/>
    </xf>
    <xf numFmtId="3" fontId="96" fillId="0" borderId="29" xfId="4" applyNumberFormat="1" applyFont="1" applyBorder="1" applyAlignment="1" applyProtection="1">
      <alignment vertical="top" wrapText="1"/>
      <protection locked="0"/>
    </xf>
    <xf numFmtId="3" fontId="96" fillId="0" borderId="29" xfId="0" applyNumberFormat="1" applyFont="1" applyBorder="1" applyAlignment="1" applyProtection="1">
      <alignment vertical="top" wrapText="1"/>
      <protection locked="0"/>
    </xf>
    <xf numFmtId="3" fontId="85" fillId="0" borderId="29" xfId="4" applyNumberFormat="1" applyFont="1" applyBorder="1" applyAlignment="1">
      <alignment horizontal="center" vertical="top" wrapText="1"/>
    </xf>
    <xf numFmtId="3" fontId="86" fillId="0" borderId="29" xfId="4" applyNumberFormat="1" applyFont="1" applyBorder="1" applyAlignment="1" applyProtection="1">
      <alignment vertical="top" wrapText="1"/>
      <protection locked="0"/>
    </xf>
    <xf numFmtId="3" fontId="86" fillId="0" borderId="29" xfId="0" applyNumberFormat="1" applyFont="1" applyBorder="1" applyAlignment="1" applyProtection="1">
      <alignment vertical="top" wrapText="1"/>
      <protection locked="0"/>
    </xf>
    <xf numFmtId="3" fontId="93" fillId="0" borderId="27" xfId="4" applyNumberFormat="1" applyFont="1" applyBorder="1" applyAlignment="1">
      <alignment horizontal="center" vertical="top" wrapText="1"/>
    </xf>
    <xf numFmtId="186" fontId="110" fillId="0" borderId="31" xfId="6" applyNumberFormat="1" applyFont="1" applyBorder="1" applyAlignment="1" applyProtection="1">
      <alignment horizontal="center" vertical="top" wrapText="1"/>
      <protection locked="0"/>
    </xf>
    <xf numFmtId="186" fontId="110" fillId="0" borderId="31" xfId="6" applyNumberFormat="1" applyFont="1" applyFill="1" applyBorder="1" applyAlignment="1" applyProtection="1">
      <alignment horizontal="center" vertical="top" wrapText="1"/>
      <protection locked="0"/>
    </xf>
    <xf numFmtId="3" fontId="110" fillId="0" borderId="31" xfId="6" applyNumberFormat="1" applyFont="1" applyBorder="1" applyAlignment="1" applyProtection="1">
      <alignment horizontal="right" vertical="top" wrapText="1"/>
      <protection locked="0"/>
    </xf>
    <xf numFmtId="3" fontId="91" fillId="0" borderId="29" xfId="0" applyNumberFormat="1" applyFont="1" applyBorder="1" applyAlignment="1">
      <alignment horizontal="center" vertical="top" wrapText="1"/>
    </xf>
    <xf numFmtId="3" fontId="95" fillId="0" borderId="29" xfId="0" applyNumberFormat="1" applyFont="1" applyBorder="1" applyAlignment="1" applyProtection="1">
      <alignment vertical="top" wrapText="1"/>
      <protection locked="0"/>
    </xf>
    <xf numFmtId="3" fontId="96" fillId="0" borderId="27" xfId="4" applyNumberFormat="1" applyFont="1" applyBorder="1" applyAlignment="1">
      <alignment horizontal="left" vertical="top" wrapText="1" indent="2"/>
    </xf>
    <xf numFmtId="3" fontId="81" fillId="0" borderId="27" xfId="4" applyNumberFormat="1" applyFont="1" applyBorder="1" applyAlignment="1">
      <alignment horizontal="left" vertical="top" wrapText="1" indent="1"/>
    </xf>
    <xf numFmtId="3" fontId="111" fillId="0" borderId="29" xfId="4" applyNumberFormat="1" applyFont="1" applyBorder="1" applyAlignment="1" applyProtection="1">
      <alignment vertical="top" wrapText="1"/>
      <protection locked="0"/>
    </xf>
    <xf numFmtId="3" fontId="111" fillId="0" borderId="29" xfId="0" applyNumberFormat="1" applyFont="1" applyBorder="1" applyAlignment="1" applyProtection="1">
      <alignment vertical="top" wrapText="1"/>
      <protection locked="0"/>
    </xf>
    <xf numFmtId="3" fontId="83" fillId="0" borderId="29" xfId="0" applyNumberFormat="1" applyFont="1" applyBorder="1" applyAlignment="1" applyProtection="1">
      <alignment vertical="top" wrapText="1"/>
      <protection locked="0"/>
    </xf>
    <xf numFmtId="187" fontId="112" fillId="0" borderId="0" xfId="4" applyNumberFormat="1" applyFont="1" applyAlignment="1">
      <alignment horizontal="right" vertical="top" wrapText="1" indent="1"/>
    </xf>
    <xf numFmtId="9" fontId="93" fillId="0" borderId="0" xfId="9" applyFont="1" applyFill="1" applyBorder="1" applyAlignment="1">
      <alignment horizontal="right" vertical="top" wrapText="1" indent="1"/>
    </xf>
    <xf numFmtId="186" fontId="93" fillId="0" borderId="0" xfId="6" applyNumberFormat="1" applyFont="1" applyFill="1" applyBorder="1" applyAlignment="1">
      <alignment horizontal="right" vertical="top" wrapText="1" indent="1"/>
    </xf>
    <xf numFmtId="186" fontId="93" fillId="0" borderId="0" xfId="8" applyNumberFormat="1" applyFont="1" applyFill="1" applyBorder="1" applyAlignment="1">
      <alignment horizontal="right" vertical="top" wrapText="1" indent="1"/>
    </xf>
    <xf numFmtId="0" fontId="91" fillId="9" borderId="29" xfId="4" applyFont="1" applyFill="1" applyBorder="1" applyAlignment="1">
      <alignment horizontal="center" vertical="center" wrapText="1"/>
    </xf>
    <xf numFmtId="0" fontId="90" fillId="0" borderId="27" xfId="4" applyFont="1" applyBorder="1"/>
    <xf numFmtId="0" fontId="85" fillId="0" borderId="29" xfId="4" applyFont="1" applyBorder="1" applyAlignment="1">
      <alignment horizontal="center"/>
    </xf>
    <xf numFmtId="186" fontId="113" fillId="0" borderId="27" xfId="6" applyNumberFormat="1" applyFont="1" applyFill="1" applyBorder="1" applyAlignment="1">
      <alignment vertical="top" wrapText="1"/>
    </xf>
    <xf numFmtId="186" fontId="113" fillId="0" borderId="28" xfId="6" applyNumberFormat="1" applyFont="1" applyFill="1" applyBorder="1" applyAlignment="1">
      <alignment vertical="top" wrapText="1"/>
    </xf>
    <xf numFmtId="186" fontId="84" fillId="0" borderId="29" xfId="4" applyNumberFormat="1" applyFont="1" applyBorder="1" applyAlignment="1" applyProtection="1">
      <alignment vertical="top" wrapText="1"/>
      <protection locked="0"/>
    </xf>
    <xf numFmtId="3" fontId="84" fillId="0" borderId="29" xfId="4" applyNumberFormat="1" applyFont="1" applyBorder="1" applyAlignment="1" applyProtection="1">
      <alignment horizontal="right" vertical="top" wrapText="1"/>
      <protection locked="0"/>
    </xf>
    <xf numFmtId="0" fontId="114" fillId="0" borderId="27" xfId="4" applyFont="1" applyBorder="1"/>
    <xf numFmtId="0" fontId="115" fillId="0" borderId="29" xfId="4" applyFont="1" applyBorder="1" applyAlignment="1">
      <alignment horizontal="center"/>
    </xf>
    <xf numFmtId="0" fontId="116" fillId="0" borderId="29" xfId="0" applyFont="1" applyBorder="1" applyProtection="1">
      <protection locked="0"/>
    </xf>
    <xf numFmtId="3" fontId="116" fillId="0" borderId="29" xfId="0" applyNumberFormat="1" applyFont="1" applyBorder="1" applyAlignment="1" applyProtection="1">
      <alignment horizontal="right"/>
      <protection locked="0"/>
    </xf>
    <xf numFmtId="0" fontId="81" fillId="0" borderId="27" xfId="4" quotePrefix="1" applyFont="1" applyBorder="1" applyAlignment="1">
      <alignment horizontal="left" indent="1"/>
    </xf>
    <xf numFmtId="0" fontId="75" fillId="0" borderId="29" xfId="4" quotePrefix="1" applyBorder="1" applyAlignment="1">
      <alignment horizontal="center"/>
    </xf>
    <xf numFmtId="186" fontId="97" fillId="0" borderId="27" xfId="0" quotePrefix="1" applyNumberFormat="1" applyFont="1" applyBorder="1" applyAlignment="1">
      <alignment horizontal="right"/>
    </xf>
    <xf numFmtId="3" fontId="98" fillId="0" borderId="29" xfId="0" applyNumberFormat="1" applyFont="1" applyBorder="1" applyAlignment="1">
      <alignment vertical="top" wrapText="1"/>
    </xf>
    <xf numFmtId="3" fontId="98" fillId="0" borderId="29" xfId="0" applyNumberFormat="1" applyFont="1" applyBorder="1" applyAlignment="1">
      <alignment horizontal="right" vertical="top" wrapText="1"/>
    </xf>
    <xf numFmtId="186" fontId="81" fillId="0" borderId="29" xfId="6" quotePrefix="1" applyNumberFormat="1" applyFont="1" applyFill="1" applyBorder="1" applyAlignment="1" applyProtection="1">
      <alignment horizontal="left" indent="1"/>
      <protection locked="0"/>
    </xf>
    <xf numFmtId="3" fontId="81" fillId="0" borderId="29" xfId="6" quotePrefix="1" applyNumberFormat="1" applyFont="1" applyFill="1" applyBorder="1" applyAlignment="1" applyProtection="1">
      <alignment horizontal="right" indent="1"/>
      <protection locked="0"/>
    </xf>
    <xf numFmtId="0" fontId="81" fillId="0" borderId="27" xfId="4" quotePrefix="1" applyFont="1" applyBorder="1" applyAlignment="1">
      <alignment horizontal="left" vertical="center" indent="1"/>
    </xf>
    <xf numFmtId="0" fontId="75" fillId="0" borderId="29" xfId="4" quotePrefix="1" applyBorder="1" applyAlignment="1">
      <alignment horizontal="center" vertical="center"/>
    </xf>
    <xf numFmtId="3" fontId="97" fillId="0" borderId="27" xfId="0" quotePrefix="1" applyNumberFormat="1" applyFont="1" applyBorder="1" applyAlignment="1">
      <alignment vertical="center"/>
    </xf>
    <xf numFmtId="186" fontId="81" fillId="0" borderId="29" xfId="6" quotePrefix="1" applyNumberFormat="1" applyFont="1" applyFill="1" applyBorder="1" applyAlignment="1" applyProtection="1">
      <alignment horizontal="left" vertical="center"/>
      <protection locked="0"/>
    </xf>
    <xf numFmtId="3" fontId="81" fillId="0" borderId="29" xfId="6" quotePrefix="1" applyNumberFormat="1" applyFont="1" applyFill="1" applyBorder="1" applyAlignment="1" applyProtection="1">
      <alignment horizontal="right" vertical="center"/>
      <protection locked="0"/>
    </xf>
    <xf numFmtId="3" fontId="97" fillId="0" borderId="27" xfId="0" quotePrefix="1" applyNumberFormat="1" applyFont="1" applyBorder="1" applyAlignment="1">
      <alignment horizontal="right"/>
    </xf>
    <xf numFmtId="3" fontId="97" fillId="0" borderId="27" xfId="0" quotePrefix="1" applyNumberFormat="1" applyFont="1" applyBorder="1"/>
    <xf numFmtId="3" fontId="117" fillId="0" borderId="27" xfId="0" quotePrefix="1" applyNumberFormat="1" applyFont="1" applyBorder="1"/>
    <xf numFmtId="186" fontId="81" fillId="0" borderId="29" xfId="7" quotePrefix="1" applyNumberFormat="1" applyFont="1" applyFill="1" applyBorder="1" applyAlignment="1" applyProtection="1">
      <alignment horizontal="left" indent="1"/>
      <protection locked="0"/>
    </xf>
    <xf numFmtId="0" fontId="90" fillId="0" borderId="27" xfId="4" quotePrefix="1" applyFont="1" applyBorder="1" applyAlignment="1">
      <alignment horizontal="left" vertical="center"/>
    </xf>
    <xf numFmtId="0" fontId="85" fillId="0" borderId="29" xfId="4" quotePrefix="1" applyFont="1" applyBorder="1" applyAlignment="1">
      <alignment horizontal="center" vertical="center"/>
    </xf>
    <xf numFmtId="186" fontId="86" fillId="0" borderId="29" xfId="7" quotePrefix="1" applyNumberFormat="1" applyFont="1" applyFill="1" applyBorder="1" applyAlignment="1" applyProtection="1">
      <alignment horizontal="left" vertical="center"/>
      <protection locked="0"/>
    </xf>
    <xf numFmtId="3" fontId="86" fillId="0" borderId="29" xfId="7" quotePrefix="1" applyNumberFormat="1" applyFont="1" applyFill="1" applyBorder="1" applyAlignment="1" applyProtection="1">
      <alignment horizontal="right" vertical="center"/>
      <protection locked="0"/>
    </xf>
    <xf numFmtId="0" fontId="96" fillId="0" borderId="27" xfId="4" quotePrefix="1" applyFont="1" applyBorder="1" applyAlignment="1">
      <alignment horizontal="left" indent="1"/>
    </xf>
    <xf numFmtId="0" fontId="118" fillId="0" borderId="29" xfId="4" quotePrefix="1" applyFont="1" applyBorder="1" applyAlignment="1">
      <alignment horizontal="center"/>
    </xf>
    <xf numFmtId="0" fontId="96" fillId="0" borderId="27" xfId="4" quotePrefix="1" applyFont="1" applyBorder="1" applyAlignment="1">
      <alignment horizontal="left" wrapText="1" indent="1"/>
    </xf>
    <xf numFmtId="0" fontId="118" fillId="0" borderId="29" xfId="4" quotePrefix="1" applyFont="1" applyBorder="1" applyAlignment="1">
      <alignment horizontal="center" wrapText="1"/>
    </xf>
    <xf numFmtId="0" fontId="96" fillId="0" borderId="27" xfId="4" quotePrefix="1" applyFont="1" applyBorder="1" applyAlignment="1">
      <alignment horizontal="left" vertical="center" indent="1"/>
    </xf>
    <xf numFmtId="0" fontId="118" fillId="0" borderId="29" xfId="4" quotePrefix="1" applyFont="1" applyBorder="1" applyAlignment="1">
      <alignment horizontal="center" vertical="center"/>
    </xf>
    <xf numFmtId="186" fontId="97" fillId="0" borderId="27" xfId="0" quotePrefix="1" applyNumberFormat="1" applyFont="1" applyBorder="1" applyAlignment="1">
      <alignment horizontal="right" vertical="center"/>
    </xf>
    <xf numFmtId="3" fontId="97" fillId="0" borderId="27" xfId="0" quotePrefix="1" applyNumberFormat="1" applyFont="1" applyBorder="1" applyAlignment="1">
      <alignment horizontal="right" vertical="center"/>
    </xf>
    <xf numFmtId="3" fontId="97" fillId="0" borderId="29" xfId="0" quotePrefix="1" applyNumberFormat="1" applyFont="1" applyBorder="1" applyAlignment="1">
      <alignment horizontal="right"/>
    </xf>
    <xf numFmtId="3" fontId="81" fillId="0" borderId="29" xfId="7" quotePrefix="1" applyNumberFormat="1" applyFont="1" applyFill="1" applyBorder="1" applyAlignment="1" applyProtection="1">
      <alignment horizontal="right" indent="1"/>
      <protection locked="0"/>
    </xf>
    <xf numFmtId="0" fontId="90" fillId="0" borderId="27" xfId="4" applyFont="1" applyBorder="1" applyAlignment="1">
      <alignment horizontal="left"/>
    </xf>
    <xf numFmtId="186" fontId="84" fillId="0" borderId="29" xfId="7" applyNumberFormat="1" applyFont="1" applyFill="1" applyBorder="1" applyAlignment="1" applyProtection="1">
      <alignment horizontal="left"/>
      <protection locked="0"/>
    </xf>
    <xf numFmtId="3" fontId="84" fillId="0" borderId="29" xfId="7" applyNumberFormat="1" applyFont="1" applyFill="1" applyBorder="1" applyAlignment="1" applyProtection="1">
      <alignment horizontal="right"/>
      <protection locked="0"/>
    </xf>
    <xf numFmtId="186" fontId="86" fillId="0" borderId="29" xfId="7" applyNumberFormat="1" applyFont="1" applyFill="1" applyBorder="1" applyProtection="1">
      <protection locked="0"/>
    </xf>
    <xf numFmtId="186" fontId="86" fillId="0" borderId="29" xfId="6" applyNumberFormat="1" applyFont="1" applyFill="1" applyBorder="1" applyProtection="1">
      <protection locked="0"/>
    </xf>
    <xf numFmtId="3" fontId="86" fillId="0" borderId="29" xfId="6" applyNumberFormat="1" applyFont="1" applyFill="1" applyBorder="1" applyAlignment="1" applyProtection="1">
      <alignment horizontal="right"/>
      <protection locked="0"/>
    </xf>
    <xf numFmtId="0" fontId="81" fillId="0" borderId="27" xfId="4" applyFont="1" applyBorder="1" applyAlignment="1">
      <alignment horizontal="left" indent="1"/>
    </xf>
    <xf numFmtId="0" fontId="75" fillId="0" borderId="29" xfId="4" applyBorder="1" applyAlignment="1">
      <alignment horizontal="center"/>
    </xf>
    <xf numFmtId="3" fontId="97" fillId="0" borderId="29" xfId="0" quotePrefix="1" applyNumberFormat="1" applyFont="1" applyBorder="1"/>
    <xf numFmtId="186" fontId="97" fillId="0" borderId="29" xfId="0" quotePrefix="1" applyNumberFormat="1" applyFont="1" applyBorder="1" applyAlignment="1">
      <alignment horizontal="right"/>
    </xf>
    <xf numFmtId="186" fontId="84" fillId="0" borderId="29" xfId="7" applyNumberFormat="1" applyFont="1" applyFill="1" applyBorder="1" applyProtection="1">
      <protection locked="0"/>
    </xf>
    <xf numFmtId="0" fontId="81" fillId="0" borderId="27" xfId="4" applyFont="1" applyBorder="1" applyAlignment="1">
      <alignment horizontal="left" vertical="center" indent="1"/>
    </xf>
    <xf numFmtId="0" fontId="75" fillId="0" borderId="29" xfId="4" applyBorder="1" applyAlignment="1">
      <alignment horizontal="center" vertical="center"/>
    </xf>
    <xf numFmtId="186" fontId="81" fillId="0" borderId="29" xfId="7" quotePrefix="1" applyNumberFormat="1" applyFont="1" applyFill="1" applyBorder="1" applyAlignment="1" applyProtection="1">
      <alignment horizontal="left" vertical="center"/>
      <protection locked="0"/>
    </xf>
    <xf numFmtId="0" fontId="90" fillId="12" borderId="27" xfId="4" applyFont="1" applyFill="1" applyBorder="1"/>
    <xf numFmtId="0" fontId="85" fillId="12" borderId="29" xfId="4" applyFont="1" applyFill="1" applyBorder="1" applyAlignment="1">
      <alignment horizontal="center"/>
    </xf>
    <xf numFmtId="186" fontId="84" fillId="12" borderId="29" xfId="6" applyNumberFormat="1" applyFont="1" applyFill="1" applyBorder="1" applyProtection="1">
      <protection locked="0"/>
    </xf>
    <xf numFmtId="3" fontId="84" fillId="12" borderId="29" xfId="6" applyNumberFormat="1" applyFont="1" applyFill="1" applyBorder="1" applyAlignment="1" applyProtection="1">
      <alignment horizontal="right"/>
      <protection locked="0"/>
    </xf>
    <xf numFmtId="0" fontId="119" fillId="0" borderId="27" xfId="4" applyFont="1" applyBorder="1" applyAlignment="1">
      <alignment horizontal="left" indent="1"/>
    </xf>
    <xf numFmtId="0" fontId="120" fillId="0" borderId="29" xfId="4" applyFont="1" applyBorder="1" applyAlignment="1">
      <alignment horizontal="center"/>
    </xf>
    <xf numFmtId="0" fontId="121" fillId="0" borderId="29" xfId="0" applyFont="1" applyBorder="1" applyAlignment="1" applyProtection="1">
      <alignment horizontal="right" indent="1"/>
      <protection locked="0"/>
    </xf>
    <xf numFmtId="0" fontId="121" fillId="0" borderId="29" xfId="4" applyFont="1" applyBorder="1" applyAlignment="1" applyProtection="1">
      <alignment horizontal="right" indent="1"/>
      <protection locked="0"/>
    </xf>
    <xf numFmtId="3" fontId="122" fillId="0" borderId="29" xfId="4" applyNumberFormat="1" applyFont="1" applyBorder="1" applyAlignment="1" applyProtection="1">
      <alignment horizontal="right" vertical="top" wrapText="1"/>
      <protection locked="0"/>
    </xf>
    <xf numFmtId="3" fontId="121" fillId="0" borderId="29" xfId="4" applyNumberFormat="1" applyFont="1" applyBorder="1" applyAlignment="1" applyProtection="1">
      <alignment horizontal="right" indent="1"/>
      <protection locked="0"/>
    </xf>
    <xf numFmtId="0" fontId="75" fillId="0" borderId="0" xfId="4"/>
    <xf numFmtId="186" fontId="75" fillId="0" borderId="0" xfId="8" applyNumberFormat="1" applyFont="1"/>
    <xf numFmtId="0" fontId="123" fillId="9" borderId="27" xfId="4" applyFont="1" applyFill="1" applyBorder="1" applyAlignment="1">
      <alignment horizontal="left" vertical="center" wrapText="1"/>
    </xf>
    <xf numFmtId="0" fontId="91" fillId="9" borderId="27" xfId="4" applyFont="1" applyFill="1" applyBorder="1" applyAlignment="1">
      <alignment horizontal="center" vertical="center" wrapText="1"/>
    </xf>
    <xf numFmtId="0" fontId="124" fillId="0" borderId="27" xfId="4" applyFont="1" applyBorder="1" applyAlignment="1">
      <alignment horizontal="left" vertical="center" wrapText="1" indent="2"/>
    </xf>
    <xf numFmtId="0" fontId="125" fillId="0" borderId="29" xfId="4" applyFont="1" applyBorder="1" applyAlignment="1">
      <alignment horizontal="center" vertical="center" wrapText="1"/>
    </xf>
    <xf numFmtId="3" fontId="126" fillId="0" borderId="27" xfId="5" applyNumberFormat="1" applyFont="1" applyBorder="1" applyProtection="1">
      <protection hidden="1"/>
    </xf>
    <xf numFmtId="0" fontId="127" fillId="0" borderId="27" xfId="4" applyFont="1" applyBorder="1" applyAlignment="1">
      <alignment horizontal="left" vertical="center" wrapText="1" indent="1"/>
    </xf>
    <xf numFmtId="0" fontId="85" fillId="0" borderId="29" xfId="4" applyFont="1" applyBorder="1" applyAlignment="1">
      <alignment horizontal="center" vertical="center" wrapText="1"/>
    </xf>
    <xf numFmtId="3" fontId="128" fillId="0" borderId="27" xfId="4" applyNumberFormat="1" applyFont="1" applyBorder="1" applyProtection="1">
      <protection hidden="1"/>
    </xf>
    <xf numFmtId="0" fontId="129" fillId="0" borderId="27" xfId="4" applyFont="1" applyBorder="1" applyAlignment="1">
      <alignment horizontal="left" vertical="center" wrapText="1" indent="1"/>
    </xf>
    <xf numFmtId="0" fontId="120" fillId="0" borderId="29" xfId="4" applyFont="1" applyBorder="1" applyAlignment="1">
      <alignment horizontal="center" vertical="center" wrapText="1"/>
    </xf>
    <xf numFmtId="3" fontId="130" fillId="0" borderId="27" xfId="4" applyNumberFormat="1" applyFont="1" applyBorder="1" applyProtection="1">
      <protection hidden="1"/>
    </xf>
    <xf numFmtId="166" fontId="130" fillId="0" borderId="27" xfId="3" applyNumberFormat="1" applyFont="1" applyBorder="1" applyProtection="1">
      <protection hidden="1"/>
    </xf>
    <xf numFmtId="3" fontId="131" fillId="0" borderId="27" xfId="4" applyNumberFormat="1" applyFont="1" applyBorder="1" applyProtection="1">
      <protection hidden="1"/>
    </xf>
    <xf numFmtId="3" fontId="126" fillId="0" borderId="27" xfId="4" applyNumberFormat="1" applyFont="1" applyBorder="1" applyProtection="1">
      <protection hidden="1"/>
    </xf>
    <xf numFmtId="0" fontId="124" fillId="0" borderId="27" xfId="4" applyFont="1" applyBorder="1" applyAlignment="1">
      <alignment horizontal="left" vertical="center" indent="2"/>
    </xf>
    <xf numFmtId="0" fontId="125" fillId="0" borderId="29" xfId="4" applyFont="1" applyBorder="1" applyAlignment="1">
      <alignment horizontal="center" vertical="center"/>
    </xf>
    <xf numFmtId="166" fontId="131" fillId="0" borderId="27" xfId="3" applyNumberFormat="1" applyFont="1" applyBorder="1" applyProtection="1">
      <protection hidden="1"/>
    </xf>
    <xf numFmtId="0" fontId="127" fillId="0" borderId="27" xfId="4" applyFont="1" applyBorder="1" applyAlignment="1">
      <alignment horizontal="left" vertical="center" indent="1"/>
    </xf>
    <xf numFmtId="0" fontId="85" fillId="0" borderId="29" xfId="4" applyFont="1" applyBorder="1" applyAlignment="1">
      <alignment horizontal="center" vertical="center"/>
    </xf>
    <xf numFmtId="0" fontId="129" fillId="0" borderId="27" xfId="4" applyFont="1" applyBorder="1" applyAlignment="1">
      <alignment horizontal="left" vertical="center" indent="1"/>
    </xf>
    <xf numFmtId="0" fontId="120" fillId="0" borderId="29" xfId="4" applyFont="1" applyBorder="1" applyAlignment="1">
      <alignment horizontal="center" vertical="center"/>
    </xf>
    <xf numFmtId="0" fontId="120" fillId="0" borderId="27" xfId="4" applyFont="1" applyBorder="1" applyAlignment="1">
      <alignment horizontal="center" vertical="center"/>
    </xf>
    <xf numFmtId="3" fontId="82" fillId="0" borderId="0" xfId="4" applyNumberFormat="1" applyFont="1"/>
    <xf numFmtId="166" fontId="82" fillId="0" borderId="0" xfId="3" applyNumberFormat="1" applyFont="1"/>
    <xf numFmtId="0" fontId="95" fillId="9" borderId="27" xfId="4" applyFont="1" applyFill="1" applyBorder="1" applyAlignment="1">
      <alignment horizontal="left" vertical="center" wrapText="1"/>
    </xf>
    <xf numFmtId="0" fontId="132" fillId="0" borderId="19" xfId="4" applyFont="1" applyBorder="1"/>
    <xf numFmtId="3" fontId="132" fillId="0" borderId="19" xfId="4" applyNumberFormat="1" applyFont="1" applyBorder="1" applyAlignment="1">
      <alignment horizontal="center"/>
    </xf>
    <xf numFmtId="3" fontId="132" fillId="0" borderId="19" xfId="4" applyNumberFormat="1" applyFont="1" applyBorder="1"/>
    <xf numFmtId="0" fontId="82" fillId="0" borderId="0" xfId="4" applyFont="1" applyAlignment="1">
      <alignment horizontal="left" indent="1"/>
    </xf>
    <xf numFmtId="3" fontId="82" fillId="0" borderId="0" xfId="4" applyNumberFormat="1" applyFont="1" applyAlignment="1">
      <alignment horizontal="center"/>
    </xf>
    <xf numFmtId="0" fontId="132" fillId="0" borderId="0" xfId="4" applyFont="1"/>
    <xf numFmtId="3" fontId="132" fillId="0" borderId="0" xfId="4" applyNumberFormat="1" applyFont="1" applyAlignment="1">
      <alignment horizontal="center"/>
    </xf>
    <xf numFmtId="10" fontId="132" fillId="0" borderId="0" xfId="4" applyNumberFormat="1" applyFont="1"/>
    <xf numFmtId="166" fontId="82" fillId="0" borderId="0" xfId="4" applyNumberFormat="1" applyFont="1"/>
    <xf numFmtId="0" fontId="132" fillId="0" borderId="32" xfId="4" applyFont="1" applyBorder="1"/>
    <xf numFmtId="3" fontId="132" fillId="0" borderId="32" xfId="4" applyNumberFormat="1" applyFont="1" applyBorder="1" applyAlignment="1">
      <alignment horizontal="center"/>
    </xf>
    <xf numFmtId="3" fontId="132" fillId="0" borderId="32" xfId="4" applyNumberFormat="1" applyFont="1" applyBorder="1"/>
    <xf numFmtId="3" fontId="133" fillId="0" borderId="0" xfId="4" applyNumberFormat="1" applyFont="1"/>
    <xf numFmtId="0" fontId="134" fillId="0" borderId="0" xfId="5" applyFont="1"/>
    <xf numFmtId="0" fontId="82" fillId="0" borderId="0" xfId="4" applyFont="1" applyAlignment="1">
      <alignment horizontal="center"/>
    </xf>
    <xf numFmtId="186" fontId="82" fillId="0" borderId="0" xfId="4" applyNumberFormat="1" applyFont="1"/>
    <xf numFmtId="188" fontId="82" fillId="0" borderId="0" xfId="2" applyNumberFormat="1" applyFont="1"/>
    <xf numFmtId="189" fontId="82" fillId="0" borderId="0" xfId="2" applyNumberFormat="1" applyFont="1"/>
    <xf numFmtId="4" fontId="82" fillId="0" borderId="0" xfId="4" applyNumberFormat="1" applyFont="1"/>
    <xf numFmtId="177" fontId="82" fillId="0" borderId="0" xfId="2" applyNumberFormat="1" applyFont="1"/>
    <xf numFmtId="0" fontId="6" fillId="2" borderId="2" xfId="0" applyFont="1" applyFill="1" applyBorder="1" applyAlignment="1">
      <alignment horizontal="center" shrinkToFit="1"/>
    </xf>
    <xf numFmtId="0" fontId="6" fillId="2" borderId="3" xfId="0" applyFont="1" applyFill="1" applyBorder="1" applyAlignment="1">
      <alignment shrinkToFit="1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182" fontId="109" fillId="0" borderId="29" xfId="6" applyNumberFormat="1" applyFont="1" applyFill="1" applyBorder="1" applyAlignment="1" applyProtection="1">
      <alignment horizontal="right" vertical="top" wrapText="1"/>
      <protection locked="0"/>
    </xf>
    <xf numFmtId="186" fontId="97" fillId="0" borderId="27" xfId="0" quotePrefix="1" applyNumberFormat="1" applyFont="1" applyBorder="1" applyAlignment="1" applyProtection="1">
      <alignment horizontal="right"/>
      <protection locked="0"/>
    </xf>
    <xf numFmtId="3" fontId="97" fillId="0" borderId="27" xfId="0" quotePrefix="1" applyNumberFormat="1" applyFont="1" applyBorder="1" applyAlignment="1" applyProtection="1">
      <alignment vertical="center"/>
      <protection locked="0"/>
    </xf>
    <xf numFmtId="3" fontId="97" fillId="0" borderId="27" xfId="0" quotePrefix="1" applyNumberFormat="1" applyFont="1" applyBorder="1" applyProtection="1">
      <protection locked="0"/>
    </xf>
    <xf numFmtId="186" fontId="97" fillId="0" borderId="27" xfId="0" quotePrefix="1" applyNumberFormat="1" applyFont="1" applyBorder="1" applyAlignment="1" applyProtection="1">
      <alignment horizontal="right" vertical="center"/>
      <protection locked="0"/>
    </xf>
    <xf numFmtId="3" fontId="97" fillId="0" borderId="29" xfId="0" quotePrefix="1" applyNumberFormat="1" applyFont="1" applyBorder="1" applyAlignment="1" applyProtection="1">
      <alignment horizontal="right"/>
      <protection locked="0"/>
    </xf>
    <xf numFmtId="3" fontId="97" fillId="0" borderId="29" xfId="0" quotePrefix="1" applyNumberFormat="1" applyFont="1" applyBorder="1" applyProtection="1">
      <protection locked="0"/>
    </xf>
    <xf numFmtId="186" fontId="97" fillId="0" borderId="29" xfId="0" quotePrefix="1" applyNumberFormat="1" applyFont="1" applyBorder="1" applyAlignment="1" applyProtection="1">
      <alignment horizontal="right"/>
      <protection locked="0"/>
    </xf>
    <xf numFmtId="3" fontId="126" fillId="0" borderId="27" xfId="4" applyNumberFormat="1" applyFont="1" applyBorder="1" applyProtection="1">
      <protection locked="0"/>
    </xf>
    <xf numFmtId="3" fontId="132" fillId="0" borderId="19" xfId="4" applyNumberFormat="1" applyFont="1" applyBorder="1" applyProtection="1">
      <protection locked="0"/>
    </xf>
    <xf numFmtId="3" fontId="82" fillId="0" borderId="0" xfId="4" applyNumberFormat="1" applyFont="1" applyProtection="1">
      <protection locked="0"/>
    </xf>
    <xf numFmtId="10" fontId="82" fillId="0" borderId="0" xfId="3" applyNumberFormat="1" applyFont="1" applyProtection="1">
      <protection locked="0"/>
    </xf>
    <xf numFmtId="3" fontId="132" fillId="0" borderId="32" xfId="4" applyNumberFormat="1" applyFont="1" applyBorder="1" applyProtection="1">
      <protection locked="0"/>
    </xf>
    <xf numFmtId="3" fontId="133" fillId="0" borderId="0" xfId="4" applyNumberFormat="1" applyFont="1" applyProtection="1">
      <protection locked="0"/>
    </xf>
    <xf numFmtId="164" fontId="82" fillId="0" borderId="0" xfId="2" applyFont="1" applyProtection="1">
      <protection locked="0"/>
    </xf>
    <xf numFmtId="0" fontId="82" fillId="0" borderId="0" xfId="4" applyFont="1" applyProtection="1">
      <protection locked="0"/>
    </xf>
    <xf numFmtId="3" fontId="82" fillId="0" borderId="32" xfId="4" applyNumberFormat="1" applyFont="1" applyBorder="1" applyProtection="1">
      <protection locked="0"/>
    </xf>
  </cellXfs>
  <cellStyles count="10">
    <cellStyle name="Comma" xfId="1" builtinId="3"/>
    <cellStyle name="Comma [0]" xfId="2" builtinId="6"/>
    <cellStyle name="Comma 3" xfId="8" xr:uid="{93AA342B-0B27-478B-93EE-CC6888C9B330}"/>
    <cellStyle name="Comma 5" xfId="7" xr:uid="{F4F66383-539D-4869-9971-8C0821555FEA}"/>
    <cellStyle name="Comma 5 2" xfId="6" xr:uid="{5617AE5B-6357-4205-BE82-115581A56C23}"/>
    <cellStyle name="Normal" xfId="0" builtinId="0"/>
    <cellStyle name="Normal 2" xfId="4" xr:uid="{BA0AF97D-6513-4C79-B037-1C3135CAFF75}"/>
    <cellStyle name="Normal 3" xfId="5" xr:uid="{42386FFF-7409-497E-B652-EC6E0BDAD288}"/>
    <cellStyle name="Percent" xfId="3" builtinId="5"/>
    <cellStyle name="Percent 2 2" xfId="9" xr:uid="{B7F3F3A6-C3E5-443C-9E52-86939DEEA3B3}"/>
  </cellStyles>
  <dxfs count="3">
    <dxf>
      <font>
        <color rgb="FF00B050"/>
      </font>
    </dxf>
    <dxf>
      <font>
        <color rgb="FF00B050"/>
      </font>
    </dxf>
    <dxf>
      <font>
        <color theme="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Performance!$M$38</c:f>
          <c:strCache>
            <c:ptCount val="1"/>
            <c:pt idx="0">
              <c:v>Sản lượng hòa vốn/tháng </c:v>
            </c:pt>
          </c:strCache>
        </c:strRef>
      </c:tx>
      <c:layout>
        <c:manualLayout>
          <c:xMode val="edge"/>
          <c:yMode val="edge"/>
          <c:x val="2.6696688657665949E-2"/>
          <c:y val="2.91891111842201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4391556433482928E-2"/>
          <c:y val="0.12346709912447361"/>
          <c:w val="0.92427479446748184"/>
          <c:h val="0.75375580666728093"/>
        </c:manualLayout>
      </c:layout>
      <c:scatterChart>
        <c:scatterStyle val="smoothMarker"/>
        <c:varyColors val="0"/>
        <c:ser>
          <c:idx val="1"/>
          <c:order val="0"/>
          <c:tx>
            <c:strRef>
              <c:f>Performance!$AC$25</c:f>
              <c:strCache>
                <c:ptCount val="1"/>
                <c:pt idx="0">
                  <c:v>Fixed cost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3CD-459F-814D-3C589D36326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CD-459F-814D-3C589D36326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CD-459F-814D-3C589D36326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CD-459F-814D-3C589D36326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3CD-459F-814D-3C589D36326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CD-459F-814D-3C589D36326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3CD-459F-814D-3C589D36326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3CD-459F-814D-3C589D36326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3CD-459F-814D-3C589D363269}"/>
                </c:ext>
              </c:extLst>
            </c:dLbl>
            <c:dLbl>
              <c:idx val="9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vi-VN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3CD-459F-814D-3C589D363269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t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Performance!$AB$26:$AB$35</c:f>
              <c:numCache>
                <c:formatCode>#,##0</c:formatCode>
                <c:ptCount val="10"/>
                <c:pt idx="0" formatCode="#,##0,,">
                  <c:v>0</c:v>
                </c:pt>
                <c:pt idx="1">
                  <c:v>5002.5173999999997</c:v>
                </c:pt>
                <c:pt idx="2">
                  <c:v>5602.8194880000001</c:v>
                </c:pt>
                <c:pt idx="3">
                  <c:v>6275.157826560001</c:v>
                </c:pt>
                <c:pt idx="4">
                  <c:v>7028.1767657472019</c:v>
                </c:pt>
                <c:pt idx="5">
                  <c:v>7871.5579776368668</c:v>
                </c:pt>
                <c:pt idx="6">
                  <c:v>8816.1449349532922</c:v>
                </c:pt>
                <c:pt idx="7">
                  <c:v>9874.0823271476875</c:v>
                </c:pt>
                <c:pt idx="8">
                  <c:v>11058.972206405411</c:v>
                </c:pt>
                <c:pt idx="9">
                  <c:v>12386.048871174062</c:v>
                </c:pt>
              </c:numCache>
            </c:numRef>
          </c:xVal>
          <c:yVal>
            <c:numRef>
              <c:f>Performance!$AC$26:$AC$35</c:f>
              <c:numCache>
                <c:formatCode>#,##0,,</c:formatCode>
                <c:ptCount val="10"/>
                <c:pt idx="0">
                  <c:v>32931969553.599998</c:v>
                </c:pt>
                <c:pt idx="1">
                  <c:v>32931969553.599998</c:v>
                </c:pt>
                <c:pt idx="2">
                  <c:v>32931969553.599998</c:v>
                </c:pt>
                <c:pt idx="3">
                  <c:v>32931969553.599998</c:v>
                </c:pt>
                <c:pt idx="4">
                  <c:v>32931969553.599998</c:v>
                </c:pt>
                <c:pt idx="5">
                  <c:v>32931969553.599998</c:v>
                </c:pt>
                <c:pt idx="6">
                  <c:v>32931969553.599998</c:v>
                </c:pt>
                <c:pt idx="7">
                  <c:v>32931969553.599998</c:v>
                </c:pt>
                <c:pt idx="8">
                  <c:v>32931969553.599998</c:v>
                </c:pt>
                <c:pt idx="9">
                  <c:v>32931969553.599998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A-F3CD-459F-814D-3C589D363269}"/>
            </c:ext>
          </c:extLst>
        </c:ser>
        <c:ser>
          <c:idx val="2"/>
          <c:order val="1"/>
          <c:tx>
            <c:strRef>
              <c:f>Performance!$AD$25</c:f>
              <c:strCache>
                <c:ptCount val="1"/>
                <c:pt idx="0">
                  <c:v>Tổng chi phí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3CD-459F-814D-3C589D363269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Performance!$AB$26:$AB$35</c:f>
              <c:numCache>
                <c:formatCode>#,##0</c:formatCode>
                <c:ptCount val="10"/>
                <c:pt idx="0" formatCode="#,##0,,">
                  <c:v>0</c:v>
                </c:pt>
                <c:pt idx="1">
                  <c:v>5002.5173999999997</c:v>
                </c:pt>
                <c:pt idx="2">
                  <c:v>5602.8194880000001</c:v>
                </c:pt>
                <c:pt idx="3">
                  <c:v>6275.157826560001</c:v>
                </c:pt>
                <c:pt idx="4">
                  <c:v>7028.1767657472019</c:v>
                </c:pt>
                <c:pt idx="5">
                  <c:v>7871.5579776368668</c:v>
                </c:pt>
                <c:pt idx="6">
                  <c:v>8816.1449349532922</c:v>
                </c:pt>
                <c:pt idx="7">
                  <c:v>9874.0823271476875</c:v>
                </c:pt>
                <c:pt idx="8">
                  <c:v>11058.972206405411</c:v>
                </c:pt>
                <c:pt idx="9">
                  <c:v>12386.048871174062</c:v>
                </c:pt>
              </c:numCache>
            </c:numRef>
          </c:xVal>
          <c:yVal>
            <c:numRef>
              <c:f>Performance!$AD$26:$AD$35</c:f>
              <c:numCache>
                <c:formatCode>#,##0,,</c:formatCode>
                <c:ptCount val="10"/>
                <c:pt idx="0">
                  <c:v>32931969553.599998</c:v>
                </c:pt>
                <c:pt idx="1">
                  <c:v>142576251554.44714</c:v>
                </c:pt>
                <c:pt idx="2">
                  <c:v>155733565394.54883</c:v>
                </c:pt>
                <c:pt idx="3">
                  <c:v>170469756895.46271</c:v>
                </c:pt>
                <c:pt idx="4">
                  <c:v>186974291376.48624</c:v>
                </c:pt>
                <c:pt idx="5">
                  <c:v>205459369995.2326</c:v>
                </c:pt>
                <c:pt idx="6">
                  <c:v>226162658048.22855</c:v>
                </c:pt>
                <c:pt idx="7">
                  <c:v>249350340667.58398</c:v>
                </c:pt>
                <c:pt idx="8">
                  <c:v>275320545201.26208</c:v>
                </c:pt>
                <c:pt idx="9">
                  <c:v>304407174278.98151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3CD-459F-814D-3C589D363269}"/>
            </c:ext>
          </c:extLst>
        </c:ser>
        <c:ser>
          <c:idx val="3"/>
          <c:order val="2"/>
          <c:tx>
            <c:strRef>
              <c:f>Performance!$AE$25</c:f>
              <c:strCache>
                <c:ptCount val="1"/>
                <c:pt idx="0">
                  <c:v>Doanh thu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3CD-459F-814D-3C589D36326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3CD-459F-814D-3C589D36326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3CD-459F-814D-3C589D36326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3CD-459F-814D-3C589D36326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3CD-459F-814D-3C589D36326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3CD-459F-814D-3C589D36326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3CD-459F-814D-3C589D36326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3CD-459F-814D-3C589D36326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3CD-459F-814D-3C589D363269}"/>
                </c:ext>
              </c:extLst>
            </c:dLbl>
            <c:dLbl>
              <c:idx val="9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vi-VN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3CD-459F-814D-3C589D363269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Performance!$AB$26:$AB$35</c:f>
              <c:numCache>
                <c:formatCode>#,##0</c:formatCode>
                <c:ptCount val="10"/>
                <c:pt idx="0" formatCode="#,##0,,">
                  <c:v>0</c:v>
                </c:pt>
                <c:pt idx="1">
                  <c:v>5002.5173999999997</c:v>
                </c:pt>
                <c:pt idx="2">
                  <c:v>5602.8194880000001</c:v>
                </c:pt>
                <c:pt idx="3">
                  <c:v>6275.157826560001</c:v>
                </c:pt>
                <c:pt idx="4">
                  <c:v>7028.1767657472019</c:v>
                </c:pt>
                <c:pt idx="5">
                  <c:v>7871.5579776368668</c:v>
                </c:pt>
                <c:pt idx="6">
                  <c:v>8816.1449349532922</c:v>
                </c:pt>
                <c:pt idx="7">
                  <c:v>9874.0823271476875</c:v>
                </c:pt>
                <c:pt idx="8">
                  <c:v>11058.972206405411</c:v>
                </c:pt>
                <c:pt idx="9">
                  <c:v>12386.048871174062</c:v>
                </c:pt>
              </c:numCache>
            </c:numRef>
          </c:xVal>
          <c:yVal>
            <c:numRef>
              <c:f>Performance!$AE$26:$AE$35</c:f>
              <c:numCache>
                <c:formatCode>#,##0,,</c:formatCode>
                <c:ptCount val="10"/>
                <c:pt idx="0">
                  <c:v>0</c:v>
                </c:pt>
                <c:pt idx="1">
                  <c:v>142958765735.60001</c:v>
                </c:pt>
                <c:pt idx="2">
                  <c:v>160113817623.87201</c:v>
                </c:pt>
                <c:pt idx="3">
                  <c:v>179327475738.73666</c:v>
                </c:pt>
                <c:pt idx="4">
                  <c:v>200846772827.3851</c:v>
                </c:pt>
                <c:pt idx="5">
                  <c:v>224948385566.67133</c:v>
                </c:pt>
                <c:pt idx="6">
                  <c:v>251942191834.67191</c:v>
                </c:pt>
                <c:pt idx="7">
                  <c:v>282175254854.83258</c:v>
                </c:pt>
                <c:pt idx="8">
                  <c:v>316036285437.41248</c:v>
                </c:pt>
                <c:pt idx="9">
                  <c:v>353960639689.90204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F3CD-459F-814D-3C589D363269}"/>
            </c:ext>
          </c:extLst>
        </c:ser>
        <c:ser>
          <c:idx val="0"/>
          <c:order val="3"/>
          <c:tx>
            <c:strRef>
              <c:f>Performance!$V$33</c:f>
              <c:strCache>
                <c:ptCount val="1"/>
                <c:pt idx="0">
                  <c:v>SL hòa vốn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FF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vi-VN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Performance!$Q$38</c:f>
              <c:numCache>
                <c:formatCode>#,##0</c:formatCode>
                <c:ptCount val="1"/>
                <c:pt idx="0">
                  <c:v>4945.0789038132007</c:v>
                </c:pt>
              </c:numCache>
            </c:numRef>
          </c:xVal>
          <c:yVal>
            <c:numRef>
              <c:f>Performance!$Q$39</c:f>
              <c:numCache>
                <c:formatCode>#,##0,,</c:formatCode>
                <c:ptCount val="1"/>
                <c:pt idx="0">
                  <c:v>141317324864.13519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F3CD-459F-814D-3C589D363269}"/>
            </c:ext>
          </c:extLst>
        </c:ser>
        <c:ser>
          <c:idx val="4"/>
          <c:order val="4"/>
          <c:tx>
            <c:strRef>
              <c:f>Performance!$AB$36</c:f>
              <c:strCache>
                <c:ptCount val="1"/>
                <c:pt idx="0">
                  <c:v>SL thực tế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rgbClr val="0070C0"/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defRPr>
                  </a:pPr>
                  <a:endParaRPr lang="vi-VN"/>
                </a:p>
              </c:txPr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3CD-459F-814D-3C589D3632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vi-VN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Performance!$AC$36</c:f>
              <c:numCache>
                <c:formatCode>#,##0</c:formatCode>
                <c:ptCount val="1"/>
                <c:pt idx="0">
                  <c:v>5002.5173999999997</c:v>
                </c:pt>
              </c:numCache>
            </c:numRef>
          </c:xVal>
          <c:yVal>
            <c:numRef>
              <c:f>Performance!$X$33</c:f>
              <c:numCache>
                <c:formatCode>#,##0,,</c:formatCode>
                <c:ptCount val="1"/>
                <c:pt idx="0">
                  <c:v>142958765735.60001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F3CD-459F-814D-3C589D363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45520"/>
        <c:axId val="191893456"/>
        <c:extLst/>
      </c:scatterChart>
      <c:valAx>
        <c:axId val="11724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prstDash val="dash"/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1893456"/>
        <c:crosses val="autoZero"/>
        <c:crossBetween val="midCat"/>
      </c:valAx>
      <c:valAx>
        <c:axId val="191893456"/>
        <c:scaling>
          <c:orientation val="minMax"/>
        </c:scaling>
        <c:delete val="1"/>
        <c:axPos val="l"/>
        <c:numFmt formatCode="#,##0,," sourceLinked="1"/>
        <c:majorTickMark val="out"/>
        <c:minorTickMark val="none"/>
        <c:tickLblPos val="nextTo"/>
        <c:crossAx val="117245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'FS matrix'!#REF!</c:f>
          <c:strCache>
            <c:ptCount val="1"/>
            <c:pt idx="0">
              <c:v>#REF!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'FS matrix'!#REF!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'FS matrix'!#REF!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7A8-4439-A50B-2E1B5ADFF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9700144"/>
        <c:axId val="339700624"/>
      </c:barChart>
      <c:catAx>
        <c:axId val="33970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700624"/>
        <c:crosses val="autoZero"/>
        <c:auto val="1"/>
        <c:lblAlgn val="ctr"/>
        <c:lblOffset val="100"/>
        <c:noMultiLvlLbl val="0"/>
      </c:catAx>
      <c:valAx>
        <c:axId val="3397006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3970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Tổng</a:t>
            </a:r>
            <a:r>
              <a:rPr lang="en-US" b="1" baseline="0">
                <a:solidFill>
                  <a:sysClr val="windowText" lastClr="000000"/>
                </a:solidFill>
              </a:rPr>
              <a:t> nợ vay ngân hàng phân theo CÔNG TY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53480982304818E-3"/>
          <c:y val="0.15777262180974477"/>
          <c:w val="0.98246765981930473"/>
          <c:h val="0.66309370261431944"/>
        </c:manualLayout>
      </c:layout>
      <c:barChart>
        <c:barDir val="col"/>
        <c:grouping val="stacked"/>
        <c:varyColors val="0"/>
        <c:ser>
          <c:idx val="0"/>
          <c:order val="0"/>
          <c:tx>
            <c:v>TNHH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4"/>
              <c:pt idx="0">
                <c:v>2025 1</c:v>
              </c:pt>
              <c:pt idx="1">
                <c:v>2025 2</c:v>
              </c:pt>
              <c:pt idx="2">
                <c:v>2025 3</c:v>
              </c:pt>
              <c:pt idx="3">
                <c:v>2025 4</c:v>
              </c:pt>
              <c:pt idx="4">
                <c:v>2025 5</c:v>
              </c:pt>
              <c:pt idx="5">
                <c:v>2025 6</c:v>
              </c:pt>
              <c:pt idx="6">
                <c:v>2025 7</c:v>
              </c:pt>
              <c:pt idx="7">
                <c:v>2025 8</c:v>
              </c:pt>
              <c:pt idx="8">
                <c:v>2025 9</c:v>
              </c:pt>
              <c:pt idx="9">
                <c:v>2025 10</c:v>
              </c:pt>
              <c:pt idx="10">
                <c:v>2025 11</c:v>
              </c:pt>
              <c:pt idx="11">
                <c:v>2025 12</c:v>
              </c:pt>
              <c:pt idx="12">
                <c:v>2026 1</c:v>
              </c:pt>
              <c:pt idx="13">
                <c:v>2026 2</c:v>
              </c:pt>
              <c:pt idx="14">
                <c:v>2026 3</c:v>
              </c:pt>
              <c:pt idx="15">
                <c:v>2026 4</c:v>
              </c:pt>
              <c:pt idx="16">
                <c:v>2026 5</c:v>
              </c:pt>
              <c:pt idx="17">
                <c:v>2026 6</c:v>
              </c:pt>
              <c:pt idx="18">
                <c:v>2026 7</c:v>
              </c:pt>
              <c:pt idx="19">
                <c:v>2026 8</c:v>
              </c:pt>
              <c:pt idx="20">
                <c:v>2026 9</c:v>
              </c:pt>
              <c:pt idx="21">
                <c:v>2026 10</c:v>
              </c:pt>
              <c:pt idx="22">
                <c:v>2026 11</c:v>
              </c:pt>
              <c:pt idx="23">
                <c:v>2026 12</c:v>
              </c:pt>
            </c:strLit>
          </c:cat>
          <c:val>
            <c:numLit>
              <c:formatCode>#,##0</c:formatCode>
              <c:ptCount val="24"/>
              <c:pt idx="0">
                <c:v>126190494691</c:v>
              </c:pt>
              <c:pt idx="1">
                <c:v>122712089788</c:v>
              </c:pt>
              <c:pt idx="2">
                <c:v>122267462885</c:v>
              </c:pt>
              <c:pt idx="3">
                <c:v>121822835982</c:v>
              </c:pt>
              <c:pt idx="4">
                <c:v>118344431079</c:v>
              </c:pt>
              <c:pt idx="5">
                <c:v>117899804176</c:v>
              </c:pt>
              <c:pt idx="6">
                <c:v>117455177273</c:v>
              </c:pt>
              <c:pt idx="7">
                <c:v>113976772370</c:v>
              </c:pt>
              <c:pt idx="8">
                <c:v>113532145467</c:v>
              </c:pt>
              <c:pt idx="9">
                <c:v>113087518564</c:v>
              </c:pt>
              <c:pt idx="10">
                <c:v>109609113661</c:v>
              </c:pt>
              <c:pt idx="11">
                <c:v>109164486758</c:v>
              </c:pt>
              <c:pt idx="12">
                <c:v>128719859855</c:v>
              </c:pt>
              <c:pt idx="13">
                <c:v>125241454952</c:v>
              </c:pt>
              <c:pt idx="14">
                <c:v>124796828049</c:v>
              </c:pt>
              <c:pt idx="15">
                <c:v>124352201146</c:v>
              </c:pt>
            </c:numLit>
          </c:val>
          <c:extLst>
            <c:ext xmlns:c16="http://schemas.microsoft.com/office/drawing/2014/chart" uri="{C3380CC4-5D6E-409C-BE32-E72D297353CC}">
              <c16:uniqueId val="{00000000-B244-47AC-835E-F1480EA46274}"/>
            </c:ext>
          </c:extLst>
        </c:ser>
        <c:ser>
          <c:idx val="1"/>
          <c:order val="1"/>
          <c:tx>
            <c:v>DTR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4"/>
              <c:pt idx="0">
                <c:v>2025 1</c:v>
              </c:pt>
              <c:pt idx="1">
                <c:v>2025 2</c:v>
              </c:pt>
              <c:pt idx="2">
                <c:v>2025 3</c:v>
              </c:pt>
              <c:pt idx="3">
                <c:v>2025 4</c:v>
              </c:pt>
              <c:pt idx="4">
                <c:v>2025 5</c:v>
              </c:pt>
              <c:pt idx="5">
                <c:v>2025 6</c:v>
              </c:pt>
              <c:pt idx="6">
                <c:v>2025 7</c:v>
              </c:pt>
              <c:pt idx="7">
                <c:v>2025 8</c:v>
              </c:pt>
              <c:pt idx="8">
                <c:v>2025 9</c:v>
              </c:pt>
              <c:pt idx="9">
                <c:v>2025 10</c:v>
              </c:pt>
              <c:pt idx="10">
                <c:v>2025 11</c:v>
              </c:pt>
              <c:pt idx="11">
                <c:v>2025 12</c:v>
              </c:pt>
              <c:pt idx="12">
                <c:v>2026 1</c:v>
              </c:pt>
              <c:pt idx="13">
                <c:v>2026 2</c:v>
              </c:pt>
              <c:pt idx="14">
                <c:v>2026 3</c:v>
              </c:pt>
              <c:pt idx="15">
                <c:v>2026 4</c:v>
              </c:pt>
              <c:pt idx="16">
                <c:v>2026 5</c:v>
              </c:pt>
              <c:pt idx="17">
                <c:v>2026 6</c:v>
              </c:pt>
              <c:pt idx="18">
                <c:v>2026 7</c:v>
              </c:pt>
              <c:pt idx="19">
                <c:v>2026 8</c:v>
              </c:pt>
              <c:pt idx="20">
                <c:v>2026 9</c:v>
              </c:pt>
              <c:pt idx="21">
                <c:v>2026 10</c:v>
              </c:pt>
              <c:pt idx="22">
                <c:v>2026 11</c:v>
              </c:pt>
              <c:pt idx="23">
                <c:v>2026 12</c:v>
              </c:pt>
            </c:strLit>
          </c:cat>
          <c:val>
            <c:numLit>
              <c:formatCode>#,##0</c:formatCode>
              <c:ptCount val="24"/>
              <c:pt idx="0">
                <c:v>243335896197</c:v>
              </c:pt>
              <c:pt idx="1">
                <c:v>147774333446</c:v>
              </c:pt>
              <c:pt idx="2">
                <c:v>201328746871</c:v>
              </c:pt>
              <c:pt idx="3">
                <c:v>275181662640</c:v>
              </c:pt>
              <c:pt idx="4">
                <c:v>298671242130</c:v>
              </c:pt>
              <c:pt idx="5">
                <c:v>315510470665</c:v>
              </c:pt>
              <c:pt idx="6">
                <c:v>326622191004</c:v>
              </c:pt>
              <c:pt idx="7">
                <c:v>369295754196</c:v>
              </c:pt>
              <c:pt idx="8">
                <c:v>383243232428</c:v>
              </c:pt>
              <c:pt idx="9">
                <c:v>331907950534</c:v>
              </c:pt>
              <c:pt idx="10">
                <c:v>324332077621</c:v>
              </c:pt>
              <c:pt idx="11">
                <c:v>312608233592</c:v>
              </c:pt>
              <c:pt idx="12">
                <c:v>266291639560</c:v>
              </c:pt>
              <c:pt idx="13">
                <c:v>303246848492</c:v>
              </c:pt>
              <c:pt idx="14">
                <c:v>259837452825</c:v>
              </c:pt>
              <c:pt idx="15">
                <c:v>227614910965</c:v>
              </c:pt>
            </c:numLit>
          </c:val>
          <c:extLst>
            <c:ext xmlns:c16="http://schemas.microsoft.com/office/drawing/2014/chart" uri="{C3380CC4-5D6E-409C-BE32-E72D297353CC}">
              <c16:uniqueId val="{00000001-B244-47AC-835E-F1480EA46274}"/>
            </c:ext>
          </c:extLst>
        </c:ser>
        <c:ser>
          <c:idx val="2"/>
          <c:order val="2"/>
          <c:tx>
            <c:v>DUY PHONG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4"/>
              <c:pt idx="0">
                <c:v>2025 1</c:v>
              </c:pt>
              <c:pt idx="1">
                <c:v>2025 2</c:v>
              </c:pt>
              <c:pt idx="2">
                <c:v>2025 3</c:v>
              </c:pt>
              <c:pt idx="3">
                <c:v>2025 4</c:v>
              </c:pt>
              <c:pt idx="4">
                <c:v>2025 5</c:v>
              </c:pt>
              <c:pt idx="5">
                <c:v>2025 6</c:v>
              </c:pt>
              <c:pt idx="6">
                <c:v>2025 7</c:v>
              </c:pt>
              <c:pt idx="7">
                <c:v>2025 8</c:v>
              </c:pt>
              <c:pt idx="8">
                <c:v>2025 9</c:v>
              </c:pt>
              <c:pt idx="9">
                <c:v>2025 10</c:v>
              </c:pt>
              <c:pt idx="10">
                <c:v>2025 11</c:v>
              </c:pt>
              <c:pt idx="11">
                <c:v>2025 12</c:v>
              </c:pt>
              <c:pt idx="12">
                <c:v>2026 1</c:v>
              </c:pt>
              <c:pt idx="13">
                <c:v>2026 2</c:v>
              </c:pt>
              <c:pt idx="14">
                <c:v>2026 3</c:v>
              </c:pt>
              <c:pt idx="15">
                <c:v>2026 4</c:v>
              </c:pt>
              <c:pt idx="16">
                <c:v>2026 5</c:v>
              </c:pt>
              <c:pt idx="17">
                <c:v>2026 6</c:v>
              </c:pt>
              <c:pt idx="18">
                <c:v>2026 7</c:v>
              </c:pt>
              <c:pt idx="19">
                <c:v>2026 8</c:v>
              </c:pt>
              <c:pt idx="20">
                <c:v>2026 9</c:v>
              </c:pt>
              <c:pt idx="21">
                <c:v>2026 10</c:v>
              </c:pt>
              <c:pt idx="22">
                <c:v>2026 11</c:v>
              </c:pt>
              <c:pt idx="23">
                <c:v>2026 12</c:v>
              </c:pt>
            </c:strLit>
          </c:cat>
          <c:val>
            <c:numLit>
              <c:formatCode>#,##0</c:formatCode>
              <c:ptCount val="24"/>
              <c:pt idx="0">
                <c:v>7704594785</c:v>
              </c:pt>
              <c:pt idx="1">
                <c:v>7378167291</c:v>
              </c:pt>
              <c:pt idx="2">
                <c:v>7130073130</c:v>
              </c:pt>
              <c:pt idx="3">
                <c:v>6893645636</c:v>
              </c:pt>
              <c:pt idx="4">
                <c:v>6645551495</c:v>
              </c:pt>
              <c:pt idx="5">
                <c:v>12210790668</c:v>
              </c:pt>
              <c:pt idx="6">
                <c:v>9075000010</c:v>
              </c:pt>
              <c:pt idx="7">
                <c:v>8885000011</c:v>
              </c:pt>
              <c:pt idx="8">
                <c:v>8695000012</c:v>
              </c:pt>
              <c:pt idx="9">
                <c:v>8505000013</c:v>
              </c:pt>
              <c:pt idx="10">
                <c:v>8315000014</c:v>
              </c:pt>
              <c:pt idx="11">
                <c:v>8125000015</c:v>
              </c:pt>
              <c:pt idx="12">
                <c:v>7935000016</c:v>
              </c:pt>
              <c:pt idx="13">
                <c:v>7745000017</c:v>
              </c:pt>
              <c:pt idx="14">
                <c:v>7555000018</c:v>
              </c:pt>
              <c:pt idx="15">
                <c:v>7365000019</c:v>
              </c:pt>
            </c:numLit>
          </c:val>
          <c:extLst>
            <c:ext xmlns:c16="http://schemas.microsoft.com/office/drawing/2014/chart" uri="{C3380CC4-5D6E-409C-BE32-E72D297353CC}">
              <c16:uniqueId val="{00000002-B244-47AC-835E-F1480EA46274}"/>
            </c:ext>
          </c:extLst>
        </c:ser>
        <c:ser>
          <c:idx val="3"/>
          <c:order val="3"/>
          <c:tx>
            <c:v>THẠNH PHÁT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4"/>
              <c:pt idx="0">
                <c:v>2025 1</c:v>
              </c:pt>
              <c:pt idx="1">
                <c:v>2025 2</c:v>
              </c:pt>
              <c:pt idx="2">
                <c:v>2025 3</c:v>
              </c:pt>
              <c:pt idx="3">
                <c:v>2025 4</c:v>
              </c:pt>
              <c:pt idx="4">
                <c:v>2025 5</c:v>
              </c:pt>
              <c:pt idx="5">
                <c:v>2025 6</c:v>
              </c:pt>
              <c:pt idx="6">
                <c:v>2025 7</c:v>
              </c:pt>
              <c:pt idx="7">
                <c:v>2025 8</c:v>
              </c:pt>
              <c:pt idx="8">
                <c:v>2025 9</c:v>
              </c:pt>
              <c:pt idx="9">
                <c:v>2025 10</c:v>
              </c:pt>
              <c:pt idx="10">
                <c:v>2025 11</c:v>
              </c:pt>
              <c:pt idx="11">
                <c:v>2025 12</c:v>
              </c:pt>
              <c:pt idx="12">
                <c:v>2026 1</c:v>
              </c:pt>
              <c:pt idx="13">
                <c:v>2026 2</c:v>
              </c:pt>
              <c:pt idx="14">
                <c:v>2026 3</c:v>
              </c:pt>
              <c:pt idx="15">
                <c:v>2026 4</c:v>
              </c:pt>
              <c:pt idx="16">
                <c:v>2026 5</c:v>
              </c:pt>
              <c:pt idx="17">
                <c:v>2026 6</c:v>
              </c:pt>
              <c:pt idx="18">
                <c:v>2026 7</c:v>
              </c:pt>
              <c:pt idx="19">
                <c:v>2026 8</c:v>
              </c:pt>
              <c:pt idx="20">
                <c:v>2026 9</c:v>
              </c:pt>
              <c:pt idx="21">
                <c:v>2026 10</c:v>
              </c:pt>
              <c:pt idx="22">
                <c:v>2026 11</c:v>
              </c:pt>
              <c:pt idx="23">
                <c:v>2026 12</c:v>
              </c:pt>
            </c:strLit>
          </c:cat>
          <c:val>
            <c:numLit>
              <c:formatCode>#,##0</c:formatCode>
              <c:ptCount val="24"/>
              <c:pt idx="0">
                <c:v>152900000000</c:v>
              </c:pt>
              <c:pt idx="1">
                <c:v>152900000000</c:v>
              </c:pt>
              <c:pt idx="2">
                <c:v>147600000000</c:v>
              </c:pt>
              <c:pt idx="3">
                <c:v>147600000000</c:v>
              </c:pt>
              <c:pt idx="4">
                <c:v>147600000000</c:v>
              </c:pt>
              <c:pt idx="5">
                <c:v>142300000000</c:v>
              </c:pt>
              <c:pt idx="6">
                <c:v>142300000000</c:v>
              </c:pt>
              <c:pt idx="7">
                <c:v>142300000000</c:v>
              </c:pt>
              <c:pt idx="8">
                <c:v>137000000000</c:v>
              </c:pt>
              <c:pt idx="9">
                <c:v>137000000000</c:v>
              </c:pt>
              <c:pt idx="10">
                <c:v>137000000000</c:v>
              </c:pt>
              <c:pt idx="11">
                <c:v>131700000000</c:v>
              </c:pt>
              <c:pt idx="12">
                <c:v>131700000000</c:v>
              </c:pt>
              <c:pt idx="13">
                <c:v>131700000000</c:v>
              </c:pt>
              <c:pt idx="14">
                <c:v>126400000000</c:v>
              </c:pt>
              <c:pt idx="15">
                <c:v>126400000000</c:v>
              </c:pt>
            </c:numLit>
          </c:val>
          <c:extLst>
            <c:ext xmlns:c16="http://schemas.microsoft.com/office/drawing/2014/chart" uri="{C3380CC4-5D6E-409C-BE32-E72D297353CC}">
              <c16:uniqueId val="{00000003-B244-47AC-835E-F1480EA4627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2"/>
        <c:overlap val="100"/>
        <c:axId val="2042883152"/>
        <c:axId val="2042885072"/>
      </c:barChart>
      <c:lineChart>
        <c:grouping val="standard"/>
        <c:varyColors val="0"/>
        <c:ser>
          <c:idx val="4"/>
          <c:order val="4"/>
          <c:tx>
            <c:v>Tổng nợ vay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#,##0</c:formatCode>
              <c:ptCount val="24"/>
              <c:pt idx="0">
                <c:v>530130985673</c:v>
              </c:pt>
              <c:pt idx="1">
                <c:v>430764590525</c:v>
              </c:pt>
              <c:pt idx="2">
                <c:v>478326282886</c:v>
              </c:pt>
              <c:pt idx="3">
                <c:v>551498144258</c:v>
              </c:pt>
              <c:pt idx="4">
                <c:v>571261224704</c:v>
              </c:pt>
              <c:pt idx="5">
                <c:v>587921065509</c:v>
              </c:pt>
              <c:pt idx="6">
                <c:v>595452368287</c:v>
              </c:pt>
              <c:pt idx="7">
                <c:v>634457526577</c:v>
              </c:pt>
              <c:pt idx="8">
                <c:v>642470377907</c:v>
              </c:pt>
              <c:pt idx="9">
                <c:v>590500469111</c:v>
              </c:pt>
              <c:pt idx="10">
                <c:v>579256191296</c:v>
              </c:pt>
              <c:pt idx="11">
                <c:v>561597720365</c:v>
              </c:pt>
              <c:pt idx="12">
                <c:v>534646499431</c:v>
              </c:pt>
              <c:pt idx="13">
                <c:v>567933303461</c:v>
              </c:pt>
              <c:pt idx="14">
                <c:v>518589280892</c:v>
              </c:pt>
              <c:pt idx="15">
                <c:v>485732112130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B244-47AC-835E-F1480EA46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2883152"/>
        <c:axId val="2042885072"/>
      </c:lineChart>
      <c:catAx>
        <c:axId val="204288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885072"/>
        <c:crosses val="autoZero"/>
        <c:auto val="1"/>
        <c:lblAlgn val="ctr"/>
        <c:lblOffset val="100"/>
        <c:noMultiLvlLbl val="0"/>
      </c:catAx>
      <c:valAx>
        <c:axId val="204288507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2042883152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65244549963680576"/>
          <c:y val="0.35074888330848542"/>
          <c:w val="9.5372893529454411E-2"/>
          <c:h val="0.339292441973821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08525493611201"/>
          <c:y val="0.19804147240101419"/>
          <c:w val="0.65852700635395212"/>
          <c:h val="0.7664754404894735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A8-4911-9713-F3315A703730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A8-4911-9713-F3315A703730}"/>
              </c:ext>
            </c:extLst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DA8-4911-9713-F3315A7037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DA8-4911-9713-F3315A703730}"/>
              </c:ext>
            </c:extLst>
          </c:dPt>
          <c:dLbls>
            <c:dLbl>
              <c:idx val="0"/>
              <c:layout>
                <c:manualLayout>
                  <c:x val="-0.14176734975926306"/>
                  <c:y val="0.1502901856167800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A8-4911-9713-F3315A703730}"/>
                </c:ext>
              </c:extLst>
            </c:dLbl>
            <c:dLbl>
              <c:idx val="1"/>
              <c:layout>
                <c:manualLayout>
                  <c:x val="-2.4642188285342943E-2"/>
                  <c:y val="-0.215605631361293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A8-4911-9713-F3315A703730}"/>
                </c:ext>
              </c:extLst>
            </c:dLbl>
            <c:dLbl>
              <c:idx val="2"/>
              <c:layout>
                <c:manualLayout>
                  <c:x val="-1.7053819809268091E-2"/>
                  <c:y val="2.143457889623999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A8-4911-9713-F3315A703730}"/>
                </c:ext>
              </c:extLst>
            </c:dLbl>
            <c:dLbl>
              <c:idx val="3"/>
              <c:layout>
                <c:manualLayout>
                  <c:x val="0.15757516071636785"/>
                  <c:y val="0.2023671230607151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DA8-4911-9713-F3315A7037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TNHH</c:v>
              </c:pt>
              <c:pt idx="1">
                <c:v>DTR</c:v>
              </c:pt>
              <c:pt idx="2">
                <c:v>DUY PHONG</c:v>
              </c:pt>
              <c:pt idx="3">
                <c:v>THẠNH PHÁT</c:v>
              </c:pt>
            </c:strLit>
          </c:cat>
          <c:val>
            <c:numLit>
              <c:formatCode>#,##0</c:formatCode>
              <c:ptCount val="4"/>
              <c:pt idx="0">
                <c:v>124352201146</c:v>
              </c:pt>
              <c:pt idx="1">
                <c:v>227614910965</c:v>
              </c:pt>
              <c:pt idx="2">
                <c:v>7365000019</c:v>
              </c:pt>
              <c:pt idx="3">
                <c:v>126400000000</c:v>
              </c:pt>
            </c:numLit>
          </c:val>
          <c:extLst>
            <c:ext xmlns:c16="http://schemas.microsoft.com/office/drawing/2014/chart" uri="{C3380CC4-5D6E-409C-BE32-E72D297353CC}">
              <c16:uniqueId val="{00000008-BDA8-4911-9713-F3315A703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Phân tích các yếu tố tác động đến Lợi nhuận sau thuế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ysClr val="windowText" lastClr="000000"/>
              </a:solidFill>
            </a:defRPr>
          </a:pPr>
          <a:r>
            <a:rPr lang="en-US" sz="1400" b="1" i="0" u="none" strike="noStrike" baseline="0">
              <a:solidFill>
                <a:sysClr val="windowText" lastClr="000000"/>
              </a:solidFill>
              <a:latin typeface="Calibri" panose="020F0502020204030204"/>
            </a:rPr>
            <a:t>Phân tích các yếu tố tác động đến Lợi nhuận sau thuế</a:t>
          </a:r>
        </a:p>
      </cx:txPr>
    </cx:title>
    <cx:plotArea>
      <cx:plotAreaRegion>
        <cx:series layoutId="waterfall" uniqueId="{256DE8BA-4A57-4C6E-BAF3-2DB76AED246D}">
          <cx:dataPt idx="0">
            <cx:spPr>
              <a:solidFill>
                <a:sysClr val="window" lastClr="FFFFFF">
                  <a:lumMod val="85000"/>
                </a:sysClr>
              </a:solidFill>
            </cx:spPr>
          </cx:dataPt>
          <cx:dataPt idx="11">
            <cx:spPr>
              <a:solidFill>
                <a:sysClr val="window" lastClr="FFFFFF">
                  <a:lumMod val="85000"/>
                </a:sysClr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 b="1">
                    <a:solidFill>
                      <a:schemeClr val="tx1"/>
                    </a:solidFill>
                  </a:defRPr>
                </a:pPr>
                <a:endParaRPr lang="en-US" sz="1000" b="1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</cx:dataLabels>
          <cx:dataId val="0"/>
          <cx:layoutPr>
            <cx:subtotals>
              <cx:idx val="11"/>
            </cx:subtotals>
          </cx:layoutPr>
        </cx:series>
      </cx:plotAreaRegion>
      <cx:axis id="0">
        <cx:catScaling gapWidth="0.5"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000" b="0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 hidden="1">
        <cx:valScaling/>
        <cx:tickLabels/>
      </cx:axis>
    </cx:plotArea>
  </cx:chart>
  <cx:spPr>
    <a:ln>
      <a:prstDash val="dash"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4233</xdr:colOff>
      <xdr:row>22</xdr:row>
      <xdr:rowOff>221542</xdr:rowOff>
    </xdr:from>
    <xdr:to>
      <xdr:col>26</xdr:col>
      <xdr:colOff>321732</xdr:colOff>
      <xdr:row>39</xdr:row>
      <xdr:rowOff>65262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B06CEC-696C-4AD7-B387-A9FF54FA8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50</xdr:row>
      <xdr:rowOff>94664</xdr:rowOff>
    </xdr:from>
    <xdr:to>
      <xdr:col>18</xdr:col>
      <xdr:colOff>589491</xdr:colOff>
      <xdr:row>67</xdr:row>
      <xdr:rowOff>133348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2BCBFCD-8790-4054-B130-8B69DF6B88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553114"/>
              <a:ext cx="10755841" cy="36010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559594</xdr:colOff>
      <xdr:row>59</xdr:row>
      <xdr:rowOff>78184</xdr:rowOff>
    </xdr:from>
    <xdr:to>
      <xdr:col>33</xdr:col>
      <xdr:colOff>0</xdr:colOff>
      <xdr:row>67</xdr:row>
      <xdr:rowOff>122237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58AF38-66E5-4C17-B5C6-3C77A3F32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26987</xdr:colOff>
      <xdr:row>165</xdr:row>
      <xdr:rowOff>47627</xdr:rowOff>
    </xdr:from>
    <xdr:to>
      <xdr:col>21</xdr:col>
      <xdr:colOff>32544</xdr:colOff>
      <xdr:row>181</xdr:row>
      <xdr:rowOff>65885</xdr:rowOff>
    </xdr:to>
    <xdr:grpSp>
      <xdr:nvGrpSpPr>
        <xdr:cNvPr id="3" name="Group 7">
          <a:extLst>
            <a:ext uri="{FF2B5EF4-FFF2-40B4-BE49-F238E27FC236}">
              <a16:creationId xmlns:a16="http://schemas.microsoft.com/office/drawing/2014/main" id="{3AE6BCB4-9A1E-497B-9B46-4E9CFDE697D5}"/>
            </a:ext>
          </a:extLst>
        </xdr:cNvPr>
        <xdr:cNvGrpSpPr/>
      </xdr:nvGrpSpPr>
      <xdr:grpSpPr>
        <a:xfrm>
          <a:off x="3884612" y="34694815"/>
          <a:ext cx="12427745" cy="3320258"/>
          <a:chOff x="3809999" y="23702103"/>
          <a:chExt cx="12492832" cy="3444147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D00FDB3C-10D2-2E2B-F5ED-555559D3695A}"/>
              </a:ext>
            </a:extLst>
          </xdr:cNvPr>
          <xdr:cNvGraphicFramePr>
            <a:graphicFrameLocks/>
          </xdr:cNvGraphicFramePr>
        </xdr:nvGraphicFramePr>
        <xdr:xfrm>
          <a:off x="3809999" y="23735505"/>
          <a:ext cx="12492832" cy="34107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6">
            <a:extLst>
              <a:ext uri="{FF2B5EF4-FFF2-40B4-BE49-F238E27FC236}">
                <a16:creationId xmlns:a16="http://schemas.microsoft.com/office/drawing/2014/main" id="{29C1540F-2989-98E7-5F65-523E916C757F}"/>
              </a:ext>
            </a:extLst>
          </xdr:cNvPr>
          <xdr:cNvGraphicFramePr>
            <a:graphicFrameLocks/>
          </xdr:cNvGraphicFramePr>
        </xdr:nvGraphicFramePr>
        <xdr:xfrm>
          <a:off x="12938980" y="23702103"/>
          <a:ext cx="3036094" cy="260746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9FC773B-5553-4521-BFCF-0F0DE87A58E4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62B68F1-C25E-4261-8184-81765AC9189B}">
    <nsvFilter filterId="{05BC8F23-209B-4E07-8BD0-49640C175B12}" ref="A28:AR209" tableId="0"/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6CD5E-5ABA-4693-8B91-155821E926DF}">
  <dimension ref="A1:AH84"/>
  <sheetViews>
    <sheetView showGridLines="0" showZeros="0" zoomScale="90" zoomScaleNormal="90" zoomScalePageLayoutView="90" workbookViewId="0">
      <selection activeCell="J29" sqref="J29"/>
    </sheetView>
  </sheetViews>
  <sheetFormatPr defaultColWidth="8.7265625" defaultRowHeight="16.5"/>
  <cols>
    <col min="1" max="1" width="0.1796875" style="1" customWidth="1"/>
    <col min="2" max="2" width="13" style="1" hidden="1" customWidth="1"/>
    <col min="3" max="3" width="4.26953125" style="1" hidden="1" customWidth="1"/>
    <col min="4" max="4" width="3.1796875" style="1" hidden="1" customWidth="1"/>
    <col min="5" max="5" width="3.26953125" style="9" customWidth="1"/>
    <col min="6" max="6" width="37.54296875" style="9" customWidth="1"/>
    <col min="7" max="7" width="11.81640625" style="9" hidden="1" customWidth="1"/>
    <col min="8" max="8" width="11.81640625" style="31" bestFit="1" customWidth="1"/>
    <col min="9" max="9" width="11.81640625" style="31" customWidth="1"/>
    <col min="10" max="10" width="9" style="9" customWidth="1"/>
    <col min="11" max="11" width="9.81640625" style="9" customWidth="1"/>
    <col min="12" max="12" width="1.1796875" style="7" customWidth="1"/>
    <col min="13" max="13" width="29.1796875" style="9" customWidth="1"/>
    <col min="14" max="14" width="24.7265625" style="9" hidden="1" customWidth="1"/>
    <col min="15" max="15" width="11.26953125" style="9" hidden="1" customWidth="1"/>
    <col min="16" max="16" width="12.54296875" style="9" bestFit="1" customWidth="1"/>
    <col min="17" max="17" width="12" style="9" customWidth="1"/>
    <col min="18" max="18" width="10.453125" style="9" customWidth="1"/>
    <col min="19" max="19" width="10.1796875" style="9" customWidth="1"/>
    <col min="20" max="20" width="2.26953125" style="9" customWidth="1"/>
    <col min="21" max="21" width="2.81640625" style="7" customWidth="1"/>
    <col min="22" max="22" width="33.7265625" style="9" bestFit="1" customWidth="1"/>
    <col min="23" max="23" width="10.1796875" style="9" hidden="1" customWidth="1"/>
    <col min="24" max="24" width="9.81640625" style="9" customWidth="1"/>
    <col min="25" max="25" width="10.1796875" style="9" customWidth="1"/>
    <col min="26" max="26" width="10.7265625" style="1" customWidth="1"/>
    <col min="27" max="27" width="8.7265625" style="9"/>
    <col min="28" max="28" width="19.26953125" style="7" customWidth="1"/>
    <col min="29" max="29" width="11.453125" style="7" customWidth="1"/>
    <col min="30" max="30" width="11.81640625" style="7" customWidth="1"/>
    <col min="31" max="31" width="15.54296875" style="9" bestFit="1" customWidth="1"/>
    <col min="32" max="16384" width="8.7265625" style="9"/>
  </cols>
  <sheetData>
    <row r="1" spans="2:33" ht="27" customHeight="1">
      <c r="E1" s="2" t="s">
        <v>0</v>
      </c>
      <c r="F1" s="3" t="str">
        <f>IF(K1="EN","PERFORMANCE","KẾT QUẢ KINH DOANH")</f>
        <v>KẾT QUẢ KINH DOANH</v>
      </c>
      <c r="G1" s="4">
        <v>2024</v>
      </c>
      <c r="H1" s="4">
        <v>2025</v>
      </c>
      <c r="I1" s="4">
        <v>2026</v>
      </c>
      <c r="J1" s="5"/>
      <c r="K1" s="6" t="s">
        <v>1</v>
      </c>
      <c r="M1" s="8"/>
      <c r="O1" s="7">
        <v>2024</v>
      </c>
      <c r="P1" s="10">
        <v>2025</v>
      </c>
      <c r="Q1" s="10">
        <v>2026</v>
      </c>
      <c r="S1" s="11"/>
      <c r="T1" s="12"/>
    </row>
    <row r="2" spans="2:33" ht="26">
      <c r="E2" s="13" t="str">
        <f>F2</f>
        <v>DTR</v>
      </c>
      <c r="F2" s="14" t="s">
        <v>2</v>
      </c>
      <c r="G2" s="15">
        <v>12</v>
      </c>
      <c r="H2" s="15">
        <v>5</v>
      </c>
      <c r="I2" s="15">
        <v>5</v>
      </c>
      <c r="J2" s="16" t="str">
        <f>IF(K1="EN","Unit:","Đvt:")</f>
        <v>Đvt:</v>
      </c>
      <c r="K2" s="16" t="s">
        <v>3</v>
      </c>
      <c r="N2" s="17"/>
      <c r="O2" s="10">
        <f>G2</f>
        <v>12</v>
      </c>
      <c r="P2" s="10">
        <f>H2</f>
        <v>5</v>
      </c>
      <c r="Q2" s="10">
        <f>I2</f>
        <v>5</v>
      </c>
      <c r="U2" s="18"/>
      <c r="V2" s="19"/>
      <c r="W2" s="20"/>
      <c r="X2" s="20">
        <f>H2</f>
        <v>5</v>
      </c>
      <c r="Y2" s="20">
        <f>I2</f>
        <v>5</v>
      </c>
    </row>
    <row r="3" spans="2:33">
      <c r="E3" s="21" t="s">
        <v>4</v>
      </c>
      <c r="F3" s="22" t="str">
        <f>IF($K$1="EN",E3,"KẾT QUẢ KINH DOANH")</f>
        <v>KẾT QUẢ KINH DOANH</v>
      </c>
      <c r="G3" s="23" t="str">
        <f>IF(J1="EN",IF(G2=12,"FY "&amp;G1,"YTD "&amp;G1),IF(G2=12,"Năm "&amp;G1,"LK "&amp;G1))</f>
        <v>Năm 2024</v>
      </c>
      <c r="H3" s="23" t="str">
        <f>IF(K1="EN",IF(H2=12,"FY "&amp;H1,"YTD "&amp;H1),IF(H2=12,"Năm "&amp;H1,"LK "&amp;H1))</f>
        <v>LK 2025</v>
      </c>
      <c r="I3" s="24" t="str">
        <f>IF(K1="EN",IF(I2=12,"FY "&amp;I1,"YTD "&amp;I1),IF(I2=12,"Năm "&amp;I1,"LK "&amp;I1))</f>
        <v>LK 2026</v>
      </c>
      <c r="J3" s="700" t="str">
        <f>IF($K$1="EN","Change from last year","So với năm trước")</f>
        <v>So với năm trước</v>
      </c>
      <c r="K3" s="701"/>
      <c r="M3" s="22" t="str">
        <f>IF(K1="EN",N3,"BẢNG CÂN ĐỐI KẾ TOÁN")</f>
        <v>BẢNG CÂN ĐỐI KẾ TOÁN</v>
      </c>
      <c r="N3" s="22" t="s">
        <v>5</v>
      </c>
      <c r="O3" s="25" t="str">
        <f>IF(K1="EN"," "&amp;O2&amp;"/"&amp;RIGHT(O1,4),O2&amp;"/"&amp;RIGHT(O1,4))</f>
        <v>12/2024</v>
      </c>
      <c r="P3" s="24" t="str">
        <f>IF(K1="EN"," "&amp;P2&amp;"/"&amp;RIGHT(P1,4),P2&amp;"/"&amp;RIGHT(P1,4))</f>
        <v>5/2025</v>
      </c>
      <c r="Q3" s="24" t="str">
        <f>IF(K1="EN"," "&amp;Q2&amp;"/" &amp;RIGHT(Q1,4),Q2&amp;"/"&amp;RIGHT(Q1,4))</f>
        <v>5/2026</v>
      </c>
      <c r="R3" s="702" t="str">
        <f>J3</f>
        <v>So với năm trước</v>
      </c>
      <c r="S3" s="703"/>
      <c r="T3" s="26"/>
      <c r="U3" s="27"/>
      <c r="V3" s="28" t="str">
        <f>IF(K1="EN","Key Financial Indicators","CHỈ SỐ TÀI CHÍNH")</f>
        <v>CHỈ SỐ TÀI CHÍNH</v>
      </c>
      <c r="W3" s="29" t="str">
        <f>G3</f>
        <v>Năm 2024</v>
      </c>
      <c r="X3" s="29" t="str">
        <f>H3</f>
        <v>LK 2025</v>
      </c>
      <c r="Y3" s="30" t="str">
        <f>I3</f>
        <v>LK 2026</v>
      </c>
      <c r="Z3" s="30" t="str">
        <f>IF(K1="EN","Ref.","Tham chiếu")</f>
        <v>Tham chiếu</v>
      </c>
      <c r="AA3" s="31"/>
      <c r="AB3" s="32"/>
      <c r="AC3" s="33"/>
      <c r="AD3" s="33"/>
      <c r="AF3" s="34"/>
    </row>
    <row r="4" spans="2:33" ht="17">
      <c r="E4" s="35" t="s">
        <v>6</v>
      </c>
      <c r="F4" s="36" t="str">
        <f>IF($K$1="EN",E4,"Sản lượng sản xuất (Tấn)")</f>
        <v>Sản lượng sản xuất (Tấn)</v>
      </c>
      <c r="G4" s="37">
        <f ca="1">IFERROR(SUMIFS(Data!Q:Q,Data!B:B,Performance!$E$2,Data!D:D,Performance!E4),"")</f>
        <v>21515.496999999999</v>
      </c>
      <c r="H4" s="37">
        <f ca="1">IFERROR(SUMIFS(Data!AD:AD,Data!B:B,Performance!$E$2,Data!D:D,Performance!E4),"")</f>
        <v>18536.137000000002</v>
      </c>
      <c r="I4" s="38">
        <f ca="1">IFERROR(SUMIFS(Data!AR:AR,Data!B:B,Performance!$E$2,Data!D:D,Performance!E4),"")</f>
        <v>16555.637554614368</v>
      </c>
      <c r="J4" s="39">
        <f ca="1">IFERROR(I4-H4,"")</f>
        <v>-1980.4994453856343</v>
      </c>
      <c r="K4" s="40">
        <f ca="1">IFERROR(J4/H4,"")</f>
        <v>-0.10684531762932234</v>
      </c>
      <c r="M4" s="41" t="str">
        <f>IF(K1="en",N4,"Tài sản ngắn hạn")</f>
        <v>Tài sản ngắn hạn</v>
      </c>
      <c r="N4" s="41" t="s">
        <v>7</v>
      </c>
      <c r="O4" s="42">
        <f ca="1">IF($K$2="USD",SUMIFS(Data!Q:Q,Data!B:B,Performance!$F$2,Data!D:D,Performance!N4)*10^6,SUMIFS(Data!Q:Q,Data!B:B,Performance!$F$2,Data!D:D,Performance!N4))</f>
        <v>928155716736</v>
      </c>
      <c r="P4" s="42">
        <f ca="1">IF($K$2="USD",SUMIFS(Data!AD:AD,Data!B:B,Performance!$E$2,Data!D:D,Performance!N4)*10^6,SUMIFS(Data!AD:AD,Data!B:B,Performance!$E$2,Data!D:D,Performance!N4))</f>
        <v>981599372849</v>
      </c>
      <c r="Q4" s="42">
        <f ca="1">IF($K$2="USD",SUMIFS(Data!AR:AR,Data!B:B,Performance!$F$2,Data!D:D,Performance!N4)*10^6,SUMIFS(Data!AR:AR,Data!B:B,Performance!$F$2,Data!D:D,Performance!N4))</f>
        <v>886588369025</v>
      </c>
      <c r="R4" s="42">
        <f ca="1">Q4-P4</f>
        <v>-95011003824</v>
      </c>
      <c r="S4" s="43">
        <f ca="1">IFERROR(R4/P4,"")</f>
        <v>-9.6792038026918742E-2</v>
      </c>
      <c r="T4" s="44"/>
      <c r="U4" s="45">
        <v>1</v>
      </c>
      <c r="V4" s="46" t="str">
        <f>IF(K1="EN","SG&amp;A / Net sales","CP bán hàng &amp; quản lý / Doanh thu")</f>
        <v>CP bán hàng &amp; quản lý / Doanh thu</v>
      </c>
      <c r="W4" s="47">
        <f ca="1">IFERROR((G24-G29)/G6,0)</f>
        <v>6.8520422727059493E-2</v>
      </c>
      <c r="X4" s="47">
        <f ca="1">IFERROR((H24-H29)/H6,0)</f>
        <v>6.8898903402407799E-2</v>
      </c>
      <c r="Y4" s="48">
        <f ca="1">IFERROR((I24-I29)/I6,0)</f>
        <v>8.0839701664562613E-2</v>
      </c>
      <c r="Z4" s="49">
        <v>0.1</v>
      </c>
      <c r="AA4" s="31"/>
      <c r="AB4" s="32"/>
      <c r="AC4" s="50" t="str">
        <f>P3</f>
        <v>5/2025</v>
      </c>
      <c r="AD4" s="50" t="str">
        <f>Q3</f>
        <v>5/2026</v>
      </c>
      <c r="AF4" s="34"/>
    </row>
    <row r="5" spans="2:33" ht="16.399999999999999" customHeight="1">
      <c r="E5" s="51" t="s">
        <v>8</v>
      </c>
      <c r="F5" s="52" t="str">
        <f>IF($K$1="EN",E5,"Sản lượng bán")&amp; IF(F2="DTPM"," (molds)"," (Tấn)")</f>
        <v>Sản lượng bán (Tấn)</v>
      </c>
      <c r="G5" s="53">
        <f ca="1">SUMIFS(Data!Q:Q,Data!B:B,Performance!$E$2,Data!D:D,Performance!E5)</f>
        <v>15468.960999999999</v>
      </c>
      <c r="H5" s="53">
        <f ca="1">SUMIFS(Data!AD:AD,Data!B:B,Performance!$E$2,Data!D:D,Performance!E5)</f>
        <v>23446.448600000003</v>
      </c>
      <c r="I5" s="54">
        <f ca="1">SUMIFS(Data!AR:AR,Data!B:B,Performance!$E$2,Data!D:D,Performance!E5)</f>
        <v>25012.587</v>
      </c>
      <c r="J5" s="55">
        <f t="shared" ref="J5:J38" ca="1" si="0">I5-H5</f>
        <v>1566.1383999999962</v>
      </c>
      <c r="K5" s="56">
        <f ca="1">IFERROR(J5/H5,"")</f>
        <v>6.6796401737361455E-2</v>
      </c>
      <c r="L5" s="57"/>
      <c r="M5" s="58" t="str">
        <f>IF($K$1="EN",N5,"Tiền")</f>
        <v>Tiền</v>
      </c>
      <c r="N5" s="58" t="s">
        <v>9</v>
      </c>
      <c r="O5" s="59">
        <f ca="1">IF($K$2="USD",SUMIFS(Data!Q:Q,Data!B:B,Performance!$F$2,Data!D:D,Performance!N5)*10^6,SUMIFS(Data!Q:Q,Data!B:B,Performance!$F$2,Data!D:D,Performance!N5))</f>
        <v>16007340290</v>
      </c>
      <c r="P5" s="59">
        <f ca="1">IF($K$2="USD",SUMIFS(Data!AD:AD,Data!B:B,Performance!$E$2,Data!D:D,Performance!N5)*10^6,SUMIFS(Data!AD:AD,Data!B:B,Performance!$E$2,Data!D:D,Performance!N5))</f>
        <v>21868727527</v>
      </c>
      <c r="Q5" s="59">
        <f ca="1">IF($K$2="USD",SUMIFS(Data!AR:AR,Data!B:B,Performance!$F$2,Data!D:D,Performance!N5)*10^6,SUMIFS(Data!AR:AR,Data!B:B,Performance!$F$2,Data!D:D,Performance!N5))</f>
        <v>41014004605</v>
      </c>
      <c r="R5" s="59">
        <f t="shared" ref="R5:R21" ca="1" si="1">Q5-P5</f>
        <v>19145277078</v>
      </c>
      <c r="S5" s="60">
        <f t="shared" ref="S5:S12" ca="1" si="2">IFERROR(R5/P5,"")</f>
        <v>0.87546369830446147</v>
      </c>
      <c r="T5" s="61"/>
      <c r="U5" s="62">
        <v>2</v>
      </c>
      <c r="V5" s="46" t="str">
        <f>IF(K1="EN","Gross profit margin","Tỷ suất lợi nhuận gộp")</f>
        <v>Tỷ suất lợi nhuận gộp</v>
      </c>
      <c r="W5" s="47">
        <f ca="1">IFERROR(G23/G6,0)</f>
        <v>6.7343040046307215E-2</v>
      </c>
      <c r="X5" s="47">
        <f ca="1">IFERROR(H23/H6,0)</f>
        <v>0.15103120833118264</v>
      </c>
      <c r="Y5" s="48">
        <f ca="1">IFERROR(I23/I6,0)</f>
        <v>9.0643578056389784E-2</v>
      </c>
      <c r="Z5" s="63">
        <v>0.25</v>
      </c>
      <c r="AA5" s="31"/>
      <c r="AB5" s="64" t="s">
        <v>10</v>
      </c>
      <c r="AC5" s="33">
        <f ca="1">P14+P17</f>
        <v>383542692015</v>
      </c>
      <c r="AD5" s="33">
        <f ca="1">Q14+Q17</f>
        <v>374252871584</v>
      </c>
      <c r="AE5" s="65">
        <f ca="1">AD5-AC5</f>
        <v>-9289820431</v>
      </c>
      <c r="AF5" s="34"/>
      <c r="AG5" s="34"/>
    </row>
    <row r="6" spans="2:33" ht="16.399999999999999" customHeight="1">
      <c r="E6" s="21" t="s">
        <v>11</v>
      </c>
      <c r="F6" s="66" t="str">
        <f>IF($K$1="EN",E6,"Doanh thu thuần")</f>
        <v>Doanh thu thuần</v>
      </c>
      <c r="G6" s="67">
        <f ca="1">IF($K$2="USD",SUMIFS(Data!Q:Q,Data!B:B,Performance!$E$2,Data!D:D,Performance!E6)*10^6,SUMIFS(Data!Q:Q,Data!B:B,Performance!$E$2,Data!D:D,Performance!E6))</f>
        <v>456864963103</v>
      </c>
      <c r="H6" s="68">
        <f ca="1">IF($K$2="USD",SUMIFS(Data!AD:AD,Data!B:B,Performance!$E$2,Data!D:D,Performance!E6)*10^6,SUMIFS(Data!AD:AD,Data!B:B,Performance!$E$2,Data!D:D,Performance!E6))</f>
        <v>730212096848</v>
      </c>
      <c r="I6" s="68">
        <f ca="1">IF($K$2="USD",SUMIFS(Data!AR:AR,Data!B:B,Performance!$E$2,Data!D:D,Performance!E6)*10^6,SUMIFS(Data!AR:AR,Data!B:B,Performance!$E$2,Data!D:D,Performance!E6))</f>
        <v>714793828678</v>
      </c>
      <c r="J6" s="69">
        <f t="shared" ca="1" si="0"/>
        <v>-15418268170</v>
      </c>
      <c r="K6" s="70">
        <f ca="1">IFERROR(I6/H6-1,0)</f>
        <v>-2.1114780536441113E-2</v>
      </c>
      <c r="L6" s="57"/>
      <c r="M6" s="58" t="str">
        <f>IF($K$1="EN",N6,"Đầu tư tài chính ngắn hạn")</f>
        <v>Đầu tư tài chính ngắn hạn</v>
      </c>
      <c r="N6" s="58" t="s">
        <v>12</v>
      </c>
      <c r="O6" s="59">
        <f ca="1">IF($K$2="USD",SUMIFS(Data!Q:Q,Data!B:B,Performance!$F$2,Data!D:D,Performance!N6)*10^6,SUMIFS(Data!Q:Q,Data!B:B,Performance!$F$2,Data!D:D,Performance!N6))</f>
        <v>2010000000</v>
      </c>
      <c r="P6" s="59">
        <f ca="1">IF($K$2="USD",SUMIFS(Data!AD:AD,Data!B:B,Performance!$E$2,Data!D:D,Performance!N6)*10^6,SUMIFS(Data!AD:AD,Data!B:B,Performance!$E$2,Data!D:D,Performance!N6))</f>
        <v>22840000000</v>
      </c>
      <c r="Q6" s="59">
        <f ca="1">IF($K$2="USD",SUMIFS(Data!AR:AR,Data!B:B,Performance!$F$2,Data!D:D,Performance!N6)*10^6,SUMIFS(Data!AR:AR,Data!B:B,Performance!$F$2,Data!D:D,Performance!N6))</f>
        <v>34340000000</v>
      </c>
      <c r="R6" s="59">
        <f t="shared" ca="1" si="1"/>
        <v>11500000000</v>
      </c>
      <c r="S6" s="60">
        <f t="shared" ca="1" si="2"/>
        <v>0.50350262697022763</v>
      </c>
      <c r="T6" s="61"/>
      <c r="U6" s="62">
        <v>3</v>
      </c>
      <c r="V6" s="46" t="str">
        <f>IF(K1="EN","EBITDA margin","Tỷ suất EBITDA")</f>
        <v>Tỷ suất EBITDA</v>
      </c>
      <c r="W6" s="47">
        <f ca="1">IFERROR(G35/G6,0)</f>
        <v>2.3923692470888516E-2</v>
      </c>
      <c r="X6" s="47">
        <f ca="1">IFERROR(H35/H6,0)</f>
        <v>0.1021150177446615</v>
      </c>
      <c r="Y6" s="48">
        <f ca="1">IFERROR(I35/I6,0)</f>
        <v>1.843224993053932E-2</v>
      </c>
      <c r="Z6" s="63">
        <v>0.2</v>
      </c>
      <c r="AA6" s="31"/>
      <c r="AB6" s="8" t="s">
        <v>13</v>
      </c>
      <c r="AC6" s="33">
        <f ca="1">P19-P20</f>
        <v>650000000000</v>
      </c>
      <c r="AD6" s="33">
        <f ca="1">Q19-Q20</f>
        <v>650000000000</v>
      </c>
      <c r="AE6" s="65"/>
      <c r="AF6" s="34"/>
      <c r="AG6" s="34"/>
    </row>
    <row r="7" spans="2:33" ht="16.399999999999999" customHeight="1">
      <c r="E7" s="71" t="s">
        <v>14</v>
      </c>
      <c r="F7" s="72" t="s">
        <v>15</v>
      </c>
      <c r="G7" s="73">
        <f ca="1">IF(J2="USD",SUMIFS(Data!Q:Q,Data!B:B,Performance!$E$2,Data!D:D,Performance!E7)*10^6,SUMIFS(Data!Q:Q,Data!B:B,Performance!$E$2,Data!D:D,Performance!E7))</f>
        <v>410615873525</v>
      </c>
      <c r="H7" s="73">
        <f ca="1">IF(K2="USD",SUMIFS(Data!AD:AD,Data!B:B,Performance!$E$2,Data!D:D,Performance!E7)*10^6,SUMIFS(Data!AD:AD,Data!B:B,Performance!$E$2,Data!D:D,Performance!E7))</f>
        <v>518069151644</v>
      </c>
      <c r="I7" s="73">
        <f ca="1">IF(K2="USD",SUMIFS(Data!AR:AR,Data!B:B,Performance!$E$2,Data!D:D,Performance!E7)*10^6,SUMIFS(Data!AR:AR,Data!B:B,Performance!$E$2,Data!D:D,Performance!E7))</f>
        <v>364524912433</v>
      </c>
      <c r="J7" s="73">
        <f t="shared" ca="1" si="0"/>
        <v>-153544239211</v>
      </c>
      <c r="K7" s="40">
        <f ca="1">IFERROR(J7/H7,"")</f>
        <v>-0.29637788454254566</v>
      </c>
      <c r="L7" s="57"/>
      <c r="M7" s="58" t="str">
        <f>IF($K$1="EN",N7,"Các khoản phải thu")</f>
        <v>Các khoản phải thu</v>
      </c>
      <c r="N7" s="58" t="s">
        <v>16</v>
      </c>
      <c r="O7" s="59">
        <f ca="1">IF($K$2="USD",SUMIFS(Data!Q:Q,Data!B:B,Performance!$F$2,Data!D:D,Performance!N7)*10^6,SUMIFS(Data!Q:Q,Data!B:B,Performance!$F$2,Data!D:D,Performance!N7))</f>
        <v>304477407097</v>
      </c>
      <c r="P7" s="59">
        <f ca="1">IF($K$2="USD",SUMIFS(Data!AD:AD,Data!B:B,Performance!$E$2,Data!D:D,Performance!N7)*10^6,SUMIFS(Data!AD:AD,Data!B:B,Performance!$E$2,Data!D:D,Performance!N7))</f>
        <v>355551041672</v>
      </c>
      <c r="Q7" s="59">
        <f ca="1">IF($K$2="USD",SUMIFS(Data!AR:AR,Data!B:B,Performance!$F$2,Data!D:D,Performance!N7)*10^6,SUMIFS(Data!AR:AR,Data!B:B,Performance!$F$2,Data!D:D,Performance!N7))</f>
        <v>417392857129</v>
      </c>
      <c r="R7" s="59">
        <f t="shared" ca="1" si="1"/>
        <v>61841815457</v>
      </c>
      <c r="S7" s="60">
        <f t="shared" ca="1" si="2"/>
        <v>0.17393231409528481</v>
      </c>
      <c r="T7" s="61"/>
      <c r="U7" s="62">
        <v>4</v>
      </c>
      <c r="V7" s="46" t="str">
        <f>IF(K1="EN","Net profit margin (ROS)","Tỷ suất lợi nhuận sau thuế (ROS)")</f>
        <v>Tỷ suất lợi nhuận sau thuế (ROS)</v>
      </c>
      <c r="W7" s="47">
        <f ca="1">IFERROR(G38/G6,0)</f>
        <v>-1.7472065116975008E-2</v>
      </c>
      <c r="X7" s="47">
        <f ca="1">IFERROR(H38/H6,0)</f>
        <v>5.844509329990414E-2</v>
      </c>
      <c r="Y7" s="48">
        <f ca="1">IFERROR(I38/I6,0)</f>
        <v>-3.9828288308886208E-3</v>
      </c>
      <c r="Z7" s="63">
        <v>0.1</v>
      </c>
      <c r="AA7" s="31"/>
      <c r="AB7" s="8" t="s">
        <v>17</v>
      </c>
      <c r="AC7" s="33">
        <f ca="1">P20</f>
        <v>247436969996</v>
      </c>
      <c r="AD7" s="33">
        <f ca="1">Q20</f>
        <v>227649509332</v>
      </c>
      <c r="AE7" s="65">
        <f ca="1">AD7-AC7</f>
        <v>-19787460664</v>
      </c>
      <c r="AF7" s="34"/>
      <c r="AG7" s="34"/>
    </row>
    <row r="8" spans="2:33" ht="16.399999999999999" customHeight="1">
      <c r="E8" s="71" t="s">
        <v>18</v>
      </c>
      <c r="F8" s="74" t="s">
        <v>19</v>
      </c>
      <c r="G8" s="75">
        <f ca="1">IF(J2="USD",SUMIFS(Data!Q:Q,Data!B:B,Performance!$E$2,Data!D:D,Performance!E8)*10^6,SUMIFS(Data!Q:Q,Data!B:B,Performance!$E$2,Data!D:D,Performance!E8))</f>
        <v>161696678485</v>
      </c>
      <c r="H8" s="75">
        <f ca="1">IF(K2="USD",SUMIFS(Data!AD:AD,Data!B:B,Performance!$E$2,Data!D:D,Performance!E8)*10^6,SUMIFS(Data!AD:AD,Data!B:B,Performance!$E$2,Data!D:D,Performance!E8))</f>
        <v>211963572602</v>
      </c>
      <c r="I8" s="75">
        <f ca="1">IF(K2="USD",SUMIFS(Data!AR:AR,Data!B:B,Performance!$E$2,Data!D:D,Performance!E8)*10^6,SUMIFS(Data!AR:AR,Data!B:B,Performance!$E$2,Data!D:D,Performance!E8))</f>
        <v>346764544100</v>
      </c>
      <c r="J8" s="75">
        <f t="shared" ca="1" si="0"/>
        <v>134800971498</v>
      </c>
      <c r="K8" s="76">
        <f ca="1">IFERROR(J8/H8,"")</f>
        <v>0.63596291496328583</v>
      </c>
      <c r="L8" s="57"/>
      <c r="M8" s="58" t="str">
        <f>IF($K$1="EN",N8,"Hàng tồn kho")</f>
        <v>Hàng tồn kho</v>
      </c>
      <c r="N8" s="58" t="s">
        <v>20</v>
      </c>
      <c r="O8" s="59">
        <f ca="1">IF($K$2="USD",SUMIFS(Data!Q:Q,Data!B:B,Performance!$F$2,Data!D:D,Performance!N8)*10^6,SUMIFS(Data!Q:Q,Data!B:B,Performance!$F$2,Data!D:D,Performance!N8))</f>
        <v>541180364701</v>
      </c>
      <c r="P8" s="59">
        <f ca="1">IF($K$2="USD",SUMIFS(Data!AD:AD,Data!B:B,Performance!$E$2,Data!D:D,Performance!N8)*10^6,SUMIFS(Data!AD:AD,Data!B:B,Performance!$E$2,Data!D:D,Performance!N8))</f>
        <v>526499028418</v>
      </c>
      <c r="Q8" s="59">
        <f ca="1">IF($K$2="USD",SUMIFS(Data!AR:AR,Data!B:B,Performance!$F$2,Data!D:D,Performance!N8)*10^6,SUMIFS(Data!AR:AR,Data!B:B,Performance!$F$2,Data!D:D,Performance!N8))</f>
        <v>361880765551</v>
      </c>
      <c r="R8" s="59">
        <f t="shared" ca="1" si="1"/>
        <v>-164618262867</v>
      </c>
      <c r="S8" s="60">
        <f t="shared" ca="1" si="2"/>
        <v>-0.31266584358500599</v>
      </c>
      <c r="T8" s="61"/>
      <c r="U8" s="62">
        <v>5</v>
      </c>
      <c r="V8" s="46" t="str">
        <f>IF(K1="EN","Net contribution margin","Tỷ suất lãi biến phí")</f>
        <v>Tỷ suất lãi biến phí</v>
      </c>
      <c r="W8" s="47">
        <f ca="1">IFERROR((G6-G11-G12-G13-G29-G21-G27-G28-G22)/G6,0)</f>
        <v>0.35666236760043202</v>
      </c>
      <c r="X8" s="47">
        <f ca="1">IFERROR((H6-H11-H12-H13-H29-H21-H27-H28-H22)/H6,0)</f>
        <v>0.29301472609096874</v>
      </c>
      <c r="Y8" s="48">
        <f ca="1">IFERROR((I6-I11-I12-I13-I29-I21-I28-I27-I22)/I6,0)</f>
        <v>0.23303561389420113</v>
      </c>
      <c r="Z8" s="63">
        <v>0.4</v>
      </c>
      <c r="AA8" s="31"/>
      <c r="AB8" s="77" t="s">
        <v>21</v>
      </c>
      <c r="AC8" s="33">
        <f ca="1">SUM(AC5:AC7)</f>
        <v>1280979662011</v>
      </c>
      <c r="AD8" s="33">
        <f ca="1">SUM(AD5:AD7)</f>
        <v>1251902380916</v>
      </c>
      <c r="AE8" s="65"/>
    </row>
    <row r="9" spans="2:33" ht="16.399999999999999" customHeight="1">
      <c r="E9" s="71" t="s">
        <v>22</v>
      </c>
      <c r="F9" s="78" t="s">
        <v>23</v>
      </c>
      <c r="G9" s="79">
        <f ca="1">IF(J2="USD",SUMIFS(Data!Q:Q,Data!B:B,Performance!$E$2,Data!D:D,Performance!E9)*10^6,SUMIFS(Data!Q:Q,Data!B:B,Performance!$E$2,Data!D:D,Performance!E9))</f>
        <v>0</v>
      </c>
      <c r="H9" s="79">
        <f ca="1">IF(K2="USD",SUMIFS(Data!AD:AD,Data!B:B,Performance!$E$2,Data!D:D,Performance!E9)*10^6,SUMIFS(Data!AD:AD,Data!B:B,Performance!$E$2,Data!D:D,Performance!E9))</f>
        <v>179372602</v>
      </c>
      <c r="I9" s="79">
        <f ca="1">IF(K2="USD",SUMIFS(Data!AR:AR,Data!B:B,Performance!$E$2,Data!D:D,Performance!E9)*10^6,SUMIFS(Data!AR:AR,Data!B:B,Performance!$E$2,Data!D:D,Performance!E9))</f>
        <v>3504372145</v>
      </c>
      <c r="J9" s="79">
        <f t="shared" ca="1" si="0"/>
        <v>3324999543</v>
      </c>
      <c r="K9" s="80">
        <f ca="1">IFERROR(J9/H9,0)</f>
        <v>18.536830630354572</v>
      </c>
      <c r="L9" s="81"/>
      <c r="M9" s="41" t="str">
        <f>IF($K$1="EN",N9,"Tài sản dài hạn")</f>
        <v>Tài sản dài hạn</v>
      </c>
      <c r="N9" s="41" t="s">
        <v>24</v>
      </c>
      <c r="O9" s="42">
        <f ca="1">IF($K$2="USD",SUMIFS(Data!Q:Q,Data!B:B,Performance!$F$2,Data!D:D,Performance!N9)*10^6,SUMIFS(Data!Q:Q,Data!B:B,Performance!$F$2,Data!D:D,Performance!N9))</f>
        <v>269907328559</v>
      </c>
      <c r="P9" s="42">
        <f ca="1">IF($K$2="USD",SUMIFS(Data!AD:AD,Data!B:B,Performance!$E$2,Data!D:D,Performance!N9)*10^6,SUMIFS(Data!AD:AD,Data!B:B,Performance!$E$2,Data!D:D,Performance!N9))</f>
        <v>299380289162</v>
      </c>
      <c r="Q9" s="42">
        <f ca="1">IF($K$2="USD",SUMIFS(Data!AR:AR,Data!B:B,Performance!$F$2,Data!D:D,Performance!N9)*10^6,SUMIFS(Data!AR:AR,Data!B:B,Performance!$F$2,Data!D:D,Performance!N9))</f>
        <v>365314011891</v>
      </c>
      <c r="R9" s="42">
        <f t="shared" ca="1" si="1"/>
        <v>65933722729</v>
      </c>
      <c r="S9" s="43">
        <f t="shared" ca="1" si="2"/>
        <v>0.22023401378078733</v>
      </c>
      <c r="T9" s="44"/>
      <c r="U9" s="62">
        <v>6</v>
      </c>
      <c r="V9" s="82" t="str">
        <f>IF(K1="EN","D/E","Nợ / Vốn chủ sở hữu")</f>
        <v>Nợ / Vốn chủ sở hữu</v>
      </c>
      <c r="W9" s="83">
        <f ca="1">(O14+O17-O6)/O19</f>
        <v>0.50776938654020787</v>
      </c>
      <c r="X9" s="83">
        <f ca="1">(P14+P17)/P19</f>
        <v>0.42737563175797127</v>
      </c>
      <c r="Y9" s="84">
        <f ca="1">(Q14+Q17)/Q19</f>
        <v>0.42642634400702029</v>
      </c>
      <c r="Z9" s="85">
        <v>1</v>
      </c>
      <c r="AA9" s="20"/>
      <c r="AB9" s="77"/>
      <c r="AC9" s="81"/>
      <c r="AE9" s="65"/>
    </row>
    <row r="10" spans="2:33" ht="16.399999999999999" customHeight="1">
      <c r="E10" s="86" t="s">
        <v>25</v>
      </c>
      <c r="F10" s="87" t="str">
        <f>IF($K$1="EN",E10,"Giá vốn hàng bán")</f>
        <v>Giá vốn hàng bán</v>
      </c>
      <c r="G10" s="88">
        <f ca="1">IF(J2="USD",SUMIFS(Data!Q:Q,Data!B:B,Performance!$E$2,Data!D:D,Performance!E10)*10^6,SUMIFS(Data!Q:Q,Data!B:B,Performance!$E$2,Data!D:D,Performance!E10))</f>
        <v>426098287597</v>
      </c>
      <c r="H10" s="88">
        <f ca="1">IF(K2="USD",SUMIFS(Data!AD:AD,Data!B:B,Performance!$E$2,Data!D:D,Performance!E10)*10^6,SUMIFS(Data!AD:AD,Data!B:B,Performance!$E$2,Data!D:D,Performance!E10))</f>
        <v>619927281523</v>
      </c>
      <c r="I10" s="88">
        <f ca="1">IF(K2="USD",SUMIFS(Data!AR:AR,Data!B:B,Performance!$E$2,Data!D:D,Performance!E10)*10^6,SUMIFS(Data!AR:AR,Data!B:B,Performance!$E$2,Data!D:D,Performance!E10))</f>
        <v>650002358474</v>
      </c>
      <c r="J10" s="89">
        <f t="shared" ca="1" si="0"/>
        <v>30075076951</v>
      </c>
      <c r="K10" s="90">
        <f ca="1">IFERROR(J10/H10,0)</f>
        <v>4.8513878719957867E-2</v>
      </c>
      <c r="L10" s="81"/>
      <c r="M10" s="58" t="str">
        <f>IF($K$1="EN",N10,"Tài sản cố định")</f>
        <v>Tài sản cố định</v>
      </c>
      <c r="N10" s="58" t="s">
        <v>26</v>
      </c>
      <c r="O10" s="59">
        <f ca="1">IF($K$2="USD",SUMIFS(Data!Q:Q,Data!B:B,Performance!$F$2,Data!D:D,Performance!N10)*10^6,SUMIFS(Data!Q:Q,Data!B:B,Performance!$F$2,Data!D:D,Performance!N10))</f>
        <v>224673388970</v>
      </c>
      <c r="P10" s="59">
        <f ca="1">IF($K$2="USD",SUMIFS(Data!AD:AD,Data!B:B,Performance!$E$2,Data!D:D,Performance!N10)*10^6,SUMIFS(Data!AD:AD,Data!B:B,Performance!$E$2,Data!D:D,Performance!N10))</f>
        <v>237349552865</v>
      </c>
      <c r="Q10" s="59">
        <f ca="1">IF($K$2="USD",SUMIFS(Data!AR:AR,Data!B:B,Performance!$F$2,Data!D:D,Performance!N10)*10^6,SUMIFS(Data!AR:AR,Data!B:B,Performance!$F$2,Data!D:D,Performance!N10))</f>
        <v>268070715296</v>
      </c>
      <c r="R10" s="59">
        <f t="shared" ca="1" si="1"/>
        <v>30721162431</v>
      </c>
      <c r="S10" s="60">
        <f t="shared" ca="1" si="2"/>
        <v>0.12943425450004375</v>
      </c>
      <c r="T10" s="61"/>
      <c r="U10" s="62">
        <v>7</v>
      </c>
      <c r="V10" s="82" t="str">
        <f>IF(K1="EN","Debt / EBITDA","Nợ vay / EBITDA")</f>
        <v>Nợ vay / EBITDA</v>
      </c>
      <c r="W10" s="83">
        <f ca="1">(O15+O18)/G35</f>
        <v>23.250062345739178</v>
      </c>
      <c r="X10" s="83">
        <v>0.58194404752330475</v>
      </c>
      <c r="Y10" s="84">
        <v>7.9845739499306871</v>
      </c>
      <c r="Z10" s="85">
        <v>4</v>
      </c>
      <c r="AA10" s="31"/>
      <c r="AB10" s="91" t="s">
        <v>27</v>
      </c>
      <c r="AC10" s="33">
        <f t="shared" ref="AC10:AD12" ca="1" si="3">P7</f>
        <v>355551041672</v>
      </c>
      <c r="AD10" s="33">
        <f t="shared" ca="1" si="3"/>
        <v>417392857129</v>
      </c>
      <c r="AE10" s="92">
        <f ca="1">AD10-AC10</f>
        <v>61841815457</v>
      </c>
      <c r="AF10" s="92">
        <f ca="1">SUM(AE10:AE12)</f>
        <v>-36842724681</v>
      </c>
    </row>
    <row r="11" spans="2:33" ht="16.399999999999999" customHeight="1">
      <c r="D11" s="1" t="s">
        <v>28</v>
      </c>
      <c r="E11" s="71" t="s">
        <v>29</v>
      </c>
      <c r="F11" s="93" t="str">
        <f>IF($K$1="EN",E11,"Chi phí nguyên vật liệu")</f>
        <v>Chi phí nguyên vật liệu</v>
      </c>
      <c r="G11" s="94">
        <f ca="1">IF(J2="USD",SUMIFS(Data!Q:Q,Data!B:B,Performance!$E$2,Data!D:D,Performance!E11)*10^6,SUMIFS(Data!Q:Q,Data!B:B,Performance!$E$2,Data!D:D,Performance!E11))</f>
        <v>286506119216.03717</v>
      </c>
      <c r="H11" s="94">
        <f ca="1">IF(K2="USD",SUMIFS(Data!AD:AD,Data!B:B,Performance!$E$2,Data!D:D,Performance!E11)*10^6,SUMIFS(Data!AD:AD,Data!B:B,Performance!$E$2,Data!D:D,Performance!E11))</f>
        <v>455342061539.99792</v>
      </c>
      <c r="I11" s="94">
        <f ca="1">IF(K2="USD",SUMIFS(Data!AR:AR,Data!B:B,Performance!$E$2,Data!D:D,Performance!E11)*10^6,SUMIFS(Data!AR:AR,Data!B:B,Performance!$E$2,Data!D:D,Performance!E11))</f>
        <v>465214349735.87518</v>
      </c>
      <c r="J11" s="95">
        <f t="shared" ca="1" si="0"/>
        <v>9872288195.8772583</v>
      </c>
      <c r="K11" s="96">
        <f t="shared" ref="K11:K22" ca="1" si="4">IFERROR(J11/H11,"")</f>
        <v>2.1681037245908068E-2</v>
      </c>
      <c r="L11" s="81"/>
      <c r="M11" s="97" t="str">
        <f>IF($K$1="EN",N11,"Nguyên giá")</f>
        <v>Nguyên giá</v>
      </c>
      <c r="N11" s="97" t="s">
        <v>30</v>
      </c>
      <c r="O11" s="98">
        <f ca="1">IF($K$2="USD",SUMIFS(Data!Q:Q,Data!B:B,Performance!$F$2,Data!D:D,Performance!N11)*10^6,SUMIFS(Data!Q:Q,Data!B:B,Performance!$F$2,Data!D:D,Performance!N11))</f>
        <v>299394448651</v>
      </c>
      <c r="P11" s="98">
        <f ca="1">IF($K$2="USD",SUMIFS(Data!AD:AD,Data!B:B,Performance!$E$2,Data!D:D,Performance!N11)*10^6,SUMIFS(Data!AD:AD,Data!B:B,Performance!$E$2,Data!D:D,Performance!N11))</f>
        <v>338856847837</v>
      </c>
      <c r="Q11" s="98">
        <f ca="1">IF($K$2="USD",SUMIFS(Data!AR:AR,Data!B:B,Performance!$F$2,Data!D:D,Performance!N11)*10^6,SUMIFS(Data!AR:AR,Data!B:B,Performance!$F$2,Data!D:D,Performance!N11))</f>
        <v>409700584982</v>
      </c>
      <c r="R11" s="98">
        <f t="shared" ca="1" si="1"/>
        <v>70843737145</v>
      </c>
      <c r="S11" s="99">
        <f t="shared" ca="1" si="2"/>
        <v>0.20906685993572691</v>
      </c>
      <c r="T11" s="100"/>
      <c r="U11" s="62">
        <v>8</v>
      </c>
      <c r="V11" s="46" t="str">
        <f>IF(K1="EN","Current liquidity","Khả năng thanh toán hiện hành")</f>
        <v>Khả năng thanh toán hiện hành</v>
      </c>
      <c r="W11" s="83">
        <f ca="1">O4/O14</f>
        <v>2.8161068758636456</v>
      </c>
      <c r="X11" s="83">
        <f ca="1">P4/P14</f>
        <v>3.4377215915369064</v>
      </c>
      <c r="Y11" s="84">
        <f ca="1">Q4/Q14</f>
        <v>4.0424486769815484</v>
      </c>
      <c r="Z11" s="101">
        <v>1.5</v>
      </c>
      <c r="AA11" s="31"/>
      <c r="AB11" s="102" t="s">
        <v>31</v>
      </c>
      <c r="AC11" s="33">
        <f t="shared" ca="1" si="3"/>
        <v>526499028418</v>
      </c>
      <c r="AD11" s="33">
        <f t="shared" ca="1" si="3"/>
        <v>361880765551</v>
      </c>
      <c r="AE11" s="92">
        <f ca="1">AD11-AC11</f>
        <v>-164618262867</v>
      </c>
    </row>
    <row r="12" spans="2:33" ht="16.399999999999999" customHeight="1">
      <c r="B12" s="1" t="s">
        <v>32</v>
      </c>
      <c r="D12" s="1" t="s">
        <v>28</v>
      </c>
      <c r="E12" s="71" t="s">
        <v>33</v>
      </c>
      <c r="F12" s="93" t="str">
        <f>IF($K$1="EN",E12,"Chi phí điện")</f>
        <v>Chi phí điện</v>
      </c>
      <c r="G12" s="94">
        <f ca="1">IF(J2="USD",SUMIFS(Data!Q:Q,Data!B:B,Performance!$E$2,Data!D:D,Performance!E12)*10^6,SUMIFS(Data!Q:Q,Data!B:B,Performance!$E$2,Data!D:D,Performance!E12))</f>
        <v>26054054069</v>
      </c>
      <c r="H12" s="94">
        <f ca="1">IF(K2="USD",SUMIFS(Data!AD:AD,Data!B:B,Performance!$E$2,Data!D:D,Performance!E12)*10^6,SUMIFS(Data!AD:AD,Data!B:B,Performance!$E$2,Data!D:D,Performance!E12))</f>
        <v>26358956271</v>
      </c>
      <c r="I12" s="94">
        <f ca="1">IF(K2="USD",SUMIFS(Data!AR:AR,Data!B:B,Performance!$E$2,Data!D:D,Performance!E12)*10^6,SUMIFS(Data!AR:AR,Data!B:B,Performance!$E$2,Data!D:D,Performance!E12))</f>
        <v>23524568050</v>
      </c>
      <c r="J12" s="95">
        <f t="shared" ca="1" si="0"/>
        <v>-2834388221</v>
      </c>
      <c r="K12" s="96">
        <f t="shared" ca="1" si="4"/>
        <v>-0.10753036622009123</v>
      </c>
      <c r="L12" s="81"/>
      <c r="M12" s="97" t="str">
        <f>IF($K$1="EN",N12,"Hao mòn lũy kế")</f>
        <v>Hao mòn lũy kế</v>
      </c>
      <c r="N12" s="97" t="s">
        <v>34</v>
      </c>
      <c r="O12" s="103">
        <f ca="1">IF($K$2="USD",SUMIFS(Data!Q:Q,Data!B:B,Performance!$F$2,Data!D:D,Performance!N12)*10^6,SUMIFS(Data!Q:Q,Data!B:B,Performance!$F$2,Data!D:D,Performance!N12))</f>
        <v>-74721059681</v>
      </c>
      <c r="P12" s="103">
        <f ca="1">IF($K$2="USD",SUMIFS(Data!AD:AD,Data!B:B,Performance!$E$2,Data!D:D,Performance!N12)*10^6,SUMIFS(Data!AD:AD,Data!B:B,Performance!$E$2,Data!D:D,Performance!N12))</f>
        <v>-101507294972</v>
      </c>
      <c r="Q12" s="103">
        <f ca="1">IF($K$2="USD",SUMIFS(Data!AR:AR,Data!B:B,Performance!$F$2,Data!D:D,Performance!N12)*10^6,SUMIFS(Data!AR:AR,Data!B:B,Performance!$F$2,Data!D:D,Performance!N12))</f>
        <v>-141629869686</v>
      </c>
      <c r="R12" s="103">
        <f t="shared" ca="1" si="1"/>
        <v>-40122574714</v>
      </c>
      <c r="S12" s="99">
        <f t="shared" ca="1" si="2"/>
        <v>0.39526789404709783</v>
      </c>
      <c r="T12" s="100"/>
      <c r="U12" s="62">
        <v>9</v>
      </c>
      <c r="V12" s="46" t="str">
        <f>IF(K1="EN","Quick liquidity","Khả năng thanh toán nhanh")</f>
        <v>Khả năng thanh toán nhanh</v>
      </c>
      <c r="W12" s="83">
        <f ca="1">(O4-O8)/O14</f>
        <v>1.174117586096262</v>
      </c>
      <c r="X12" s="83">
        <f ca="1">(P4-P8)/P14</f>
        <v>1.5938358597617002</v>
      </c>
      <c r="Y12" s="84">
        <f ca="1">(Q4-Q8)/Q14</f>
        <v>2.3924333225781576</v>
      </c>
      <c r="Z12" s="101">
        <v>1</v>
      </c>
      <c r="AA12" s="31"/>
      <c r="AB12" s="102" t="s">
        <v>35</v>
      </c>
      <c r="AC12" s="33">
        <f t="shared" ca="1" si="3"/>
        <v>299380289162</v>
      </c>
      <c r="AD12" s="33">
        <f t="shared" ca="1" si="3"/>
        <v>365314011891</v>
      </c>
      <c r="AE12" s="92">
        <f ca="1">AD12-AC12</f>
        <v>65933722729</v>
      </c>
    </row>
    <row r="13" spans="2:33" ht="16.399999999999999" customHeight="1">
      <c r="B13" s="1" t="s">
        <v>32</v>
      </c>
      <c r="D13" s="1" t="s">
        <v>28</v>
      </c>
      <c r="E13" s="71" t="s">
        <v>36</v>
      </c>
      <c r="F13" s="93" t="str">
        <f>IF($K$1="EN",E13,"Lương ngoài giờ")</f>
        <v>Lương ngoài giờ</v>
      </c>
      <c r="G13" s="94">
        <f ca="1">IF(J2="USD",SUMIFS(Data!Q:Q,Data!B:B,Performance!$E$2,Data!D:D,Performance!E13)*10^6,SUMIFS(Data!Q:Q,Data!B:B,Performance!$E$2,Data!D:D,Performance!E13))</f>
        <v>4297992394</v>
      </c>
      <c r="H13" s="94">
        <f ca="1">IF(K2="USD",SUMIFS(Data!AD:AD,Data!B:B,Performance!$E$2,Data!D:D,Performance!E13)*10^6,SUMIFS(Data!AD:AD,Data!B:B,Performance!$E$2,Data!D:D,Performance!E13))</f>
        <v>1932148253</v>
      </c>
      <c r="I13" s="94">
        <f ca="1">IF(K2="USD",SUMIFS(Data!AR:AR,Data!B:B,Performance!$E$2,Data!D:D,Performance!E13)*10^6,SUMIFS(Data!AR:AR,Data!B:B,Performance!$E$2,Data!D:D,Performance!E13))</f>
        <v>1809482234</v>
      </c>
      <c r="J13" s="95">
        <f t="shared" ca="1" si="0"/>
        <v>-122666019</v>
      </c>
      <c r="K13" s="96">
        <f t="shared" ca="1" si="4"/>
        <v>-6.3486856564727592E-2</v>
      </c>
      <c r="L13" s="81"/>
      <c r="M13" s="87" t="str">
        <f>IF($K$1="EN",N13,"Tổng tài sản")</f>
        <v>Tổng tài sản</v>
      </c>
      <c r="N13" s="87" t="s">
        <v>37</v>
      </c>
      <c r="O13" s="104">
        <f ca="1">O4+O9</f>
        <v>1198063045295</v>
      </c>
      <c r="P13" s="104">
        <f ca="1">P4+P9</f>
        <v>1280979662011</v>
      </c>
      <c r="Q13" s="104">
        <f ca="1">Q4+Q9</f>
        <v>1251902380916</v>
      </c>
      <c r="R13" s="104">
        <f t="shared" ca="1" si="1"/>
        <v>-29077281095</v>
      </c>
      <c r="S13" s="105">
        <f ca="1">IFERROR(R13/P13,"")</f>
        <v>-2.2699252733920695E-2</v>
      </c>
      <c r="T13" s="44"/>
      <c r="U13" s="62">
        <v>10</v>
      </c>
      <c r="V13" s="46" t="str">
        <f>IF(K1="EN","DWC (days)","Ngày vốn lưu động (ngày)")</f>
        <v>Ngày vốn lưu động (ngày)</v>
      </c>
      <c r="W13" s="106">
        <f ca="1">IFERROR((O7+O8-O16)*30*G2/G6,0)</f>
        <v>589.67502927893258</v>
      </c>
      <c r="X13" s="106">
        <f ca="1">IFERROR((P7+P8-P16)*30*H2/H6,0)</f>
        <v>173.6385794702783</v>
      </c>
      <c r="Y13" s="107">
        <f ca="1">IFERROR((Q7+Q8-Q16)*30*I2/I6,0)</f>
        <v>149.74002322159987</v>
      </c>
      <c r="Z13" s="108">
        <v>90</v>
      </c>
      <c r="AA13" s="31"/>
      <c r="AB13" s="102" t="s">
        <v>38</v>
      </c>
      <c r="AC13" s="33">
        <f ca="1">IF(F2="MIDA",P5,P5+P6)</f>
        <v>44708727527</v>
      </c>
      <c r="AD13" s="33">
        <f ca="1">IF(F2="MIDA",Q5,Q5+Q6)</f>
        <v>75354004605</v>
      </c>
      <c r="AE13" s="65">
        <f ca="1">AD13-AC13</f>
        <v>30645277078</v>
      </c>
    </row>
    <row r="14" spans="2:33" ht="16.399999999999999" customHeight="1">
      <c r="B14" s="1" t="s">
        <v>32</v>
      </c>
      <c r="C14" s="1" t="s">
        <v>39</v>
      </c>
      <c r="D14" s="1" t="s">
        <v>40</v>
      </c>
      <c r="E14" s="71" t="s">
        <v>41</v>
      </c>
      <c r="F14" s="109" t="str">
        <f>IF($K$1="EN",E14,"Lương nhân công trực tiếp")</f>
        <v>Lương nhân công trực tiếp</v>
      </c>
      <c r="G14" s="110">
        <f ca="1">IF(J2="USD",SUMIFS(Data!Q:Q,Data!B:B,Performance!$E$2,Data!D:D,Performance!E14)*10^6,SUMIFS(Data!Q:Q,Data!B:B,Performance!$E$2,Data!D:D,Performance!E14))</f>
        <v>6496977417</v>
      </c>
      <c r="H14" s="110">
        <f ca="1">IF(K2="USD",SUMIFS(Data!AD:AD,Data!B:B,Performance!$E$2,Data!D:D,Performance!E14)*10^6,SUMIFS(Data!AD:AD,Data!B:B,Performance!$E$2,Data!D:D,Performance!E14))</f>
        <v>10924942546</v>
      </c>
      <c r="I14" s="110">
        <f ca="1">IF(K2="USD",SUMIFS(Data!AR:AR,Data!B:B,Performance!$E$2,Data!D:D,Performance!E14)*10^6,SUMIFS(Data!AR:AR,Data!B:B,Performance!$E$2,Data!D:D,Performance!E14))</f>
        <v>11177167097</v>
      </c>
      <c r="J14" s="111">
        <f t="shared" ca="1" si="0"/>
        <v>252224551</v>
      </c>
      <c r="K14" s="112">
        <f t="shared" ca="1" si="4"/>
        <v>2.3087036836852579E-2</v>
      </c>
      <c r="L14" s="81"/>
      <c r="M14" s="113" t="str">
        <f>IF($K$1="EN",N14,"Nợ ngắn hạn")</f>
        <v>Nợ ngắn hạn</v>
      </c>
      <c r="N14" s="113" t="s">
        <v>42</v>
      </c>
      <c r="O14" s="114">
        <f ca="1">IF($K$2="USD",SUMIFS(Data!Q:Q,Data!B:B,Performance!$F$2,Data!D:D,Performance!N14)*10^6,SUMIFS(Data!Q:Q,Data!B:B,Performance!$F$2,Data!D:D,Performance!N14))</f>
        <v>329588242794</v>
      </c>
      <c r="P14" s="114">
        <f ca="1">IF($K$2="USD",SUMIFS(Data!AD:AD,Data!B:B,Performance!$E$2,Data!D:D,Performance!N14)*10^6,SUMIFS(Data!AD:AD,Data!B:B,Performance!$E$2,Data!D:D,Performance!N14))</f>
        <v>285537774573</v>
      </c>
      <c r="Q14" s="114">
        <f ca="1">IF($K$2="USD",SUMIFS(Data!AR:AR,Data!B:B,Performance!$F$2,Data!D:D,Performance!N14)*10^6,SUMIFS(Data!AR:AR,Data!B:B,Performance!$F$2,Data!D:D,Performance!N14))</f>
        <v>219319635169</v>
      </c>
      <c r="R14" s="114">
        <f t="shared" ca="1" si="1"/>
        <v>-66218139404</v>
      </c>
      <c r="S14" s="115">
        <f ca="1">IFERROR(R14/P14,"")</f>
        <v>-0.231906757356445</v>
      </c>
      <c r="T14" s="116"/>
      <c r="U14" s="62">
        <v>11</v>
      </c>
      <c r="V14" s="46" t="str">
        <f>IF(K1="EN","ROE","Lợi nhuận / Vốn chủ sở hữu (ROE)")</f>
        <v>Lợi nhuận / Vốn chủ sở hữu (ROE)</v>
      </c>
      <c r="W14" s="117">
        <f ca="1">O20/O19</f>
        <v>0.18059645840422481</v>
      </c>
      <c r="X14" s="118">
        <v>0.1111470569336937</v>
      </c>
      <c r="Y14" s="119">
        <v>-2.0898469856061475E-2</v>
      </c>
      <c r="Z14" s="63">
        <v>0.2</v>
      </c>
      <c r="AA14" s="31"/>
      <c r="AB14" s="102" t="s">
        <v>43</v>
      </c>
      <c r="AC14" s="33">
        <f ca="1">P12</f>
        <v>-101507294972</v>
      </c>
      <c r="AD14" s="33">
        <f ca="1">Q12</f>
        <v>-141629869686</v>
      </c>
      <c r="AE14" s="34">
        <f ca="1">-(AD14-AC14)/10^3</f>
        <v>40122574.714000002</v>
      </c>
    </row>
    <row r="15" spans="2:33" ht="16.399999999999999" customHeight="1">
      <c r="B15" s="1" t="s">
        <v>32</v>
      </c>
      <c r="C15" s="1" t="s">
        <v>39</v>
      </c>
      <c r="D15" s="1" t="s">
        <v>40</v>
      </c>
      <c r="E15" s="71" t="s">
        <v>44</v>
      </c>
      <c r="F15" s="109" t="str">
        <f>IF($K$1="EN",E15,"Lương nhân công gián tiếp")</f>
        <v>Lương nhân công gián tiếp</v>
      </c>
      <c r="G15" s="110">
        <f ca="1">IF(J2="USD",SUMIFS(Data!Q:Q,Data!B:B,Performance!$E$2,Data!D:D,Performance!E15)*10^6,SUMIFS(Data!Q:Q,Data!B:B,Performance!$E$2,Data!D:D,Performance!E15))</f>
        <v>14365408991</v>
      </c>
      <c r="H15" s="110">
        <f ca="1">IF(K2="USD",SUMIFS(Data!AD:AD,Data!B:B,Performance!$E$2,Data!D:D,Performance!E15)*10^6,SUMIFS(Data!AD:AD,Data!B:B,Performance!$E$2,Data!D:D,Performance!E15))</f>
        <v>19333674244</v>
      </c>
      <c r="I15" s="110">
        <f ca="1">IF(K2="USD",SUMIFS(Data!AR:AR,Data!B:B,Performance!$E$2,Data!D:D,Performance!E15)*10^6,SUMIFS(Data!AR:AR,Data!B:B,Performance!$E$2,Data!D:D,Performance!E15))</f>
        <v>20071879576</v>
      </c>
      <c r="J15" s="111">
        <f t="shared" ca="1" si="0"/>
        <v>738205332</v>
      </c>
      <c r="K15" s="112">
        <f t="shared" ca="1" si="4"/>
        <v>3.8182361132369558E-2</v>
      </c>
      <c r="L15" s="81"/>
      <c r="M15" s="58" t="str">
        <f>IF($K$1="EN",N15,"Vay ngắn hạn")</f>
        <v>Vay ngắn hạn</v>
      </c>
      <c r="N15" s="58" t="s">
        <v>45</v>
      </c>
      <c r="O15" s="59">
        <f ca="1">IF($K$2="USD",SUMIFS(Data!Q:Q,Data!B:B,Performance!$F$2,Data!D:D,Performance!N15)*10^6,SUMIFS(Data!Q:Q,Data!B:B,Performance!$F$2,Data!D:D,Performance!N15))</f>
        <v>178905916168</v>
      </c>
      <c r="P15" s="59">
        <f ca="1">IF($K$2="USD",SUMIFS(Data!AD:AD,Data!B:B,Performance!$E$2,Data!D:D,Performance!N15)*10^6,SUMIFS(Data!AD:AD,Data!B:B,Performance!$E$2,Data!D:D,Performance!N15))</f>
        <v>200666324688</v>
      </c>
      <c r="Q15" s="59">
        <f ca="1">IF($K$2="USD",SUMIFS(Data!AR:AR,Data!B:B,Performance!$F$2,Data!D:D,Performance!N15)*10^6,SUMIFS(Data!AR:AR,Data!B:B,Performance!$F$2,Data!D:D,Performance!N15))</f>
        <v>116595603825</v>
      </c>
      <c r="R15" s="59">
        <f t="shared" ca="1" si="1"/>
        <v>-84070720863</v>
      </c>
      <c r="S15" s="60">
        <f t="shared" ref="S15:S21" ca="1" si="5">IFERROR(R15/P15,"")</f>
        <v>-0.41895779470578748</v>
      </c>
      <c r="T15" s="61"/>
      <c r="U15" s="62">
        <v>12</v>
      </c>
      <c r="V15" s="120" t="str">
        <f>IF(K1="EN","ROA","Lợi nhuận / Tài sản (ROA)")</f>
        <v>Lợi nhuận / Tài sản (ROA)</v>
      </c>
      <c r="W15" s="121">
        <f ca="1">O20/O13</f>
        <v>0.11957629056801848</v>
      </c>
      <c r="X15" s="122">
        <v>7.6189954141249128E-2</v>
      </c>
      <c r="Y15" s="123">
        <v>-1.4554774307595187E-2</v>
      </c>
      <c r="Z15" s="124">
        <v>0.15</v>
      </c>
      <c r="AA15" s="31"/>
      <c r="AB15" s="77"/>
      <c r="AC15" s="81"/>
    </row>
    <row r="16" spans="2:33" ht="16.399999999999999" customHeight="1">
      <c r="B16" s="1" t="s">
        <v>32</v>
      </c>
      <c r="C16" s="1" t="s">
        <v>39</v>
      </c>
      <c r="D16" s="1" t="s">
        <v>40</v>
      </c>
      <c r="E16" s="71" t="s">
        <v>46</v>
      </c>
      <c r="F16" s="109" t="str">
        <f>IF($K$1="EN",E16,"Phúc lợi nhân viên")</f>
        <v>Phúc lợi nhân viên</v>
      </c>
      <c r="G16" s="110">
        <f ca="1">IF(J2="USD",SUMIFS(Data!Q:Q,Data!B:B,Performance!$E$2,Data!D:D,Performance!E16)*10^6,SUMIFS(Data!Q:Q,Data!B:B,Performance!$E$2,Data!D:D,Performance!E16))</f>
        <v>4887723770</v>
      </c>
      <c r="H16" s="110">
        <f ca="1">IF(K2="USD",SUMIFS(Data!AD:AD,Data!B:B,Performance!$E$2,Data!D:D,Performance!E16)*10^6,SUMIFS(Data!AD:AD,Data!B:B,Performance!$E$2,Data!D:D,Performance!E16))</f>
        <v>6473941109</v>
      </c>
      <c r="I16" s="110">
        <f ca="1">IF(K2="USD",SUMIFS(Data!AR:AR,Data!B:B,Performance!$E$2,Data!D:D,Performance!E16)*10^6,SUMIFS(Data!AR:AR,Data!B:B,Performance!$E$2,Data!D:D,Performance!E16))</f>
        <v>6450663123</v>
      </c>
      <c r="J16" s="111">
        <f t="shared" ca="1" si="0"/>
        <v>-23277986</v>
      </c>
      <c r="K16" s="112">
        <f t="shared" ca="1" si="4"/>
        <v>-3.5956437675404873E-3</v>
      </c>
      <c r="L16" s="81"/>
      <c r="M16" s="58" t="str">
        <f>IF($K$1="EN",N16,"Các khoản phải trả")</f>
        <v>Các khoản phải trả</v>
      </c>
      <c r="N16" s="58" t="s">
        <v>47</v>
      </c>
      <c r="O16" s="59">
        <f ca="1">IF($K$2="USD",SUMIFS(Data!Q:Q,Data!B:B,Performance!$F$2,Data!D:D,Performance!N16)*10^6,SUMIFS(Data!Q:Q,Data!B:B,Performance!$F$2,Data!D:D,Performance!N16))</f>
        <v>97319270425</v>
      </c>
      <c r="P16" s="59">
        <f ca="1">IF($K$2="USD",SUMIFS(Data!AD:AD,Data!B:B,Performance!$E$2,Data!D:D,Performance!N16)*10^6,SUMIFS(Data!AD:AD,Data!B:B,Performance!$E$2,Data!D:D,Performance!N16))</f>
        <v>36763462032</v>
      </c>
      <c r="Q16" s="59">
        <f ca="1">IF($K$2="USD",SUMIFS(Data!AR:AR,Data!B:B,Performance!$F$2,Data!D:D,Performance!N16)*10^6,SUMIFS(Data!AR:AR,Data!B:B,Performance!$F$2,Data!D:D,Performance!N16))</f>
        <v>65718659314</v>
      </c>
      <c r="R16" s="59">
        <f t="shared" ca="1" si="1"/>
        <v>28955197282</v>
      </c>
      <c r="S16" s="60">
        <f t="shared" ca="1" si="5"/>
        <v>0.78760801299933458</v>
      </c>
      <c r="T16" s="61"/>
      <c r="U16" s="125" t="s">
        <v>48</v>
      </c>
      <c r="V16" s="28" t="str">
        <f>IF(K1="EN","CASH FLOW","DÒNG TIỀN")</f>
        <v>DÒNG TIỀN</v>
      </c>
      <c r="W16" s="29" t="str">
        <f>W3</f>
        <v>Năm 2024</v>
      </c>
      <c r="X16" s="29" t="str">
        <f>X3</f>
        <v>LK 2025</v>
      </c>
      <c r="Y16" s="30" t="str">
        <f>Y3</f>
        <v>LK 2026</v>
      </c>
      <c r="Z16" s="126"/>
      <c r="AA16" s="31"/>
      <c r="AB16" s="77"/>
      <c r="AC16" s="81"/>
    </row>
    <row r="17" spans="2:34" ht="16.399999999999999" customHeight="1">
      <c r="B17" s="1" t="s">
        <v>32</v>
      </c>
      <c r="C17" s="1" t="s">
        <v>39</v>
      </c>
      <c r="D17" s="1" t="s">
        <v>40</v>
      </c>
      <c r="E17" s="71" t="s">
        <v>49</v>
      </c>
      <c r="F17" s="109" t="str">
        <f>IF($K$1="EN",E17,"Sửa chữa, bảo trì")</f>
        <v>Sửa chữa, bảo trì</v>
      </c>
      <c r="G17" s="110">
        <f ca="1">IF(J2="USD",SUMIFS(Data!Q:Q,Data!B:B,Performance!$E$2,Data!D:D,Performance!E17)*10^6,SUMIFS(Data!Q:Q,Data!B:B,Performance!$E$2,Data!D:D,Performance!E17))</f>
        <v>2592205996</v>
      </c>
      <c r="H17" s="110">
        <f ca="1">IF(K2="USD",SUMIFS(Data!AD:AD,Data!B:B,Performance!$E$2,Data!D:D,Performance!E17)*10^6,SUMIFS(Data!AD:AD,Data!B:B,Performance!$E$2,Data!D:D,Performance!E17))</f>
        <v>3558171258</v>
      </c>
      <c r="I17" s="110">
        <f ca="1">IF(K2="USD",SUMIFS(Data!AR:AR,Data!B:B,Performance!$E$2,Data!D:D,Performance!E17)*10^6,SUMIFS(Data!AR:AR,Data!B:B,Performance!$E$2,Data!D:D,Performance!E17))</f>
        <v>3158106760</v>
      </c>
      <c r="J17" s="111">
        <f t="shared" ca="1" si="0"/>
        <v>-400064498</v>
      </c>
      <c r="K17" s="112">
        <f t="shared" ca="1" si="4"/>
        <v>-0.11243542510791649</v>
      </c>
      <c r="L17" s="127"/>
      <c r="M17" s="113" t="str">
        <f>IF($K$1="EN",N17,"Nợ dài hạn")</f>
        <v>Nợ dài hạn</v>
      </c>
      <c r="N17" s="113" t="s">
        <v>50</v>
      </c>
      <c r="O17" s="114">
        <f ca="1">IF($K$2="USD",SUMIFS(Data!Q:Q,Data!B:B,Performance!$F$2,Data!D:D,Performance!N17)*10^6,SUMIFS(Data!Q:Q,Data!B:B,Performance!$F$2,Data!D:D,Performance!N17))</f>
        <v>75214867678</v>
      </c>
      <c r="P17" s="114">
        <f ca="1">IF($K$2="USD",SUMIFS(Data!AD:AD,Data!B:B,Performance!$E$2,Data!D:D,Performance!N17)*10^6,SUMIFS(Data!AD:AD,Data!B:B,Performance!$E$2,Data!D:D,Performance!N17))</f>
        <v>98004917442</v>
      </c>
      <c r="Q17" s="114">
        <f ca="1">IF($K$2="USD",SUMIFS(Data!AR:AR,Data!B:B,Performance!$F$2,Data!D:D,Performance!N17)*10^6,SUMIFS(Data!AR:AR,Data!B:B,Performance!$F$2,Data!D:D,Performance!N17))</f>
        <v>154933236415</v>
      </c>
      <c r="R17" s="114">
        <f t="shared" ca="1" si="1"/>
        <v>56928318973</v>
      </c>
      <c r="S17" s="115">
        <f t="shared" ca="1" si="5"/>
        <v>0.58087206702347949</v>
      </c>
      <c r="T17" s="116"/>
      <c r="U17" s="128" t="s">
        <v>51</v>
      </c>
      <c r="V17" s="46" t="str">
        <f>IF(K1="EN","Cash flow from operation","Dòng tiền hoạt động kinh doanh")</f>
        <v>Dòng tiền hoạt động kinh doanh</v>
      </c>
      <c r="W17" s="129">
        <f>Data!AC18</f>
        <v>-22475023560</v>
      </c>
      <c r="X17" s="129">
        <f ca="1">IF($K$2="USD",SUMIFS(Data!$AD:$AD,Data!$B:$B,Performance!$E$2,Data!$D:$D,Performance!$U17)*10^6,SUMIFS(Data!$AD:$AD,Data!$B:$B,Performance!$E$2,Data!$D:$D,Performance!$U17))</f>
        <v>55101774784</v>
      </c>
      <c r="Y17" s="130">
        <f ca="1">IF($K$2="USD",SUMIFS(Data!$AR:$AR,Data!$B:$B,Performance!$E$2,Data!$D:$D,Performance!$U17)*10^6,SUMIFS(Data!$AR:$AR,Data!$B:$B,Performance!$E$2,Data!$D:$D,Performance!$U17))</f>
        <v>135903187315</v>
      </c>
      <c r="Z17" s="131">
        <f ca="1">Y17-X17</f>
        <v>80801412531</v>
      </c>
      <c r="AB17" s="8"/>
      <c r="AD17" s="33"/>
      <c r="AE17" s="34"/>
    </row>
    <row r="18" spans="2:34" ht="16.399999999999999" customHeight="1">
      <c r="B18" s="1" t="s">
        <v>32</v>
      </c>
      <c r="C18" s="1" t="s">
        <v>39</v>
      </c>
      <c r="D18" s="1" t="s">
        <v>40</v>
      </c>
      <c r="E18" s="71" t="s">
        <v>52</v>
      </c>
      <c r="F18" s="109" t="str">
        <f>IF($K$1="EN",E18,"Chi phí chung phân xưởng")</f>
        <v>Chi phí chung phân xưởng</v>
      </c>
      <c r="G18" s="110">
        <f ca="1">IF(J2="USD",SUMIFS(Data!Q:Q,Data!B:B,Performance!$E$2,Data!D:D,Performance!E18)*10^6,SUMIFS(Data!Q:Q,Data!B:B,Performance!$E$2,Data!D:D,Performance!E18))</f>
        <v>35211653392</v>
      </c>
      <c r="H18" s="110">
        <f ca="1">IF(K2="USD",SUMIFS(Data!AD:AD,Data!B:B,Performance!$E$2,Data!D:D,Performance!E18)*10^6,SUMIFS(Data!AD:AD,Data!B:B,Performance!$E$2,Data!D:D,Performance!E18))</f>
        <v>36726436636</v>
      </c>
      <c r="I18" s="110">
        <f ca="1">IF(K2="USD",SUMIFS(Data!AR:AR,Data!B:B,Performance!$E$2,Data!D:D,Performance!E18)*10^6,SUMIFS(Data!AR:AR,Data!B:B,Performance!$E$2,Data!D:D,Performance!E18))</f>
        <v>41164807588</v>
      </c>
      <c r="J18" s="111">
        <f t="shared" ca="1" si="0"/>
        <v>4438370952</v>
      </c>
      <c r="K18" s="112">
        <f t="shared" ca="1" si="4"/>
        <v>0.12084948496335794</v>
      </c>
      <c r="L18" s="81"/>
      <c r="M18" s="58" t="str">
        <f>IF($K$1="EN",N15,"Vay dài hạn")</f>
        <v>Vay dài hạn</v>
      </c>
      <c r="N18" s="58" t="s">
        <v>53</v>
      </c>
      <c r="O18" s="59">
        <f ca="1">IF($K$2="USD",SUMIFS(Data!Q:Q,Data!B:B,Performance!$F$2,Data!D:D,Performance!N18)*10^6,SUMIFS(Data!Q:Q,Data!B:B,Performance!$F$2,Data!D:D,Performance!N18))</f>
        <v>75214867678</v>
      </c>
      <c r="P18" s="59">
        <f ca="1">IF($K$2="USD",SUMIFS(Data!AD:AD,Data!B:B,Performance!$E$2,Data!D:D,Performance!N18)*10^6,SUMIFS(Data!AD:AD,Data!B:B,Performance!$E$2,Data!D:D,Performance!N18))</f>
        <v>98004917442</v>
      </c>
      <c r="Q18" s="59">
        <f ca="1">IF($K$2="USD",SUMIFS(Data!AR:AR,Data!B:B,Performance!$F$2,Data!D:D,Performance!N18)*10^6,SUMIFS(Data!AR:AR,Data!B:B,Performance!$F$2,Data!D:D,Performance!N18))</f>
        <v>154933236415</v>
      </c>
      <c r="R18" s="59">
        <f ca="1">Q18-P18</f>
        <v>56928318973</v>
      </c>
      <c r="S18" s="60">
        <f ca="1">IFERROR(R18/P18,"")</f>
        <v>0.58087206702347949</v>
      </c>
      <c r="T18" s="61"/>
      <c r="U18" s="128" t="s">
        <v>54</v>
      </c>
      <c r="V18" s="46" t="str">
        <f>IF(K1="EN","Cash flow from investment","Dòng tiền hoạt động đầu tư")</f>
        <v>Dòng tiền hoạt động đầu tư</v>
      </c>
      <c r="W18" s="129">
        <f>Data!AC21</f>
        <v>15615882426</v>
      </c>
      <c r="X18" s="129">
        <f ca="1">IF($K$2="USD",SUMIFS(Data!$AD:$AD,Data!$B:$B,Performance!$E$2,Data!$D:$D,Performance!$U18)*10^6,SUMIFS(Data!$AD:$AD,Data!$B:$B,Performance!$E$2,Data!$D:$D,Performance!$U18))</f>
        <v>-100725871241</v>
      </c>
      <c r="Y18" s="130">
        <f ca="1">IF($K$2="USD",SUMIFS(Data!$AR:$AR,Data!$B:$B,Performance!$E$2,Data!$D:$D,Performance!$U18)*10^6,SUMIFS(Data!$AR:$AR,Data!$B:$B,Performance!$E$2,Data!$D:$D,Performance!$U18))</f>
        <v>-92531166165</v>
      </c>
      <c r="Z18" s="132"/>
    </row>
    <row r="19" spans="2:34" ht="16.399999999999999" customHeight="1">
      <c r="D19" s="1" t="s">
        <v>40</v>
      </c>
      <c r="E19" s="133" t="s">
        <v>55</v>
      </c>
      <c r="F19" s="134" t="str">
        <f>IF($K$1="EN",E19,"Khấu hao (sản xuất)")</f>
        <v>Khấu hao (sản xuất)</v>
      </c>
      <c r="G19" s="135">
        <f ca="1">IF(J2="USD",SUMIFS(Data!Q:Q,Data!B:B,Performance!$E$2,Data!D:D,Performance!E19)*10^6,SUMIFS(Data!Q:Q,Data!B:B,Performance!$E$2,Data!D:D,Performance!E19))</f>
        <v>20052559894</v>
      </c>
      <c r="H19" s="135">
        <f ca="1">IF(K2="USD",SUMIFS(Data!AD:AD,Data!B:B,Performance!$E$2,Data!D:D,Performance!E19)*10^6,SUMIFS(Data!AD:AD,Data!B:B,Performance!$E$2,Data!D:D,Performance!E19))</f>
        <v>31961594702</v>
      </c>
      <c r="I19" s="135">
        <f ca="1">IF(K2="USD",SUMIFS(Data!AR:AR,Data!B:B,Performance!$E$2,Data!D:D,Performance!E19)*10^6,SUMIFS(Data!AR:AR,Data!B:B,Performance!$E$2,Data!D:D,Performance!E19))</f>
        <v>28122702259</v>
      </c>
      <c r="J19" s="136">
        <f t="shared" ca="1" si="0"/>
        <v>-3838892443</v>
      </c>
      <c r="K19" s="137">
        <f t="shared" ca="1" si="4"/>
        <v>-0.12010954017759887</v>
      </c>
      <c r="L19" s="81"/>
      <c r="M19" s="41" t="str">
        <f>IF($K$1="EN",N19,"Vốn chủ sở hữu")</f>
        <v>Vốn chủ sở hữu</v>
      </c>
      <c r="N19" s="41" t="s">
        <v>56</v>
      </c>
      <c r="O19" s="42">
        <f ca="1">IF($K$2="USD",SUMIFS(Data!Q:Q,Data!B:B,Performance!$F$2,Data!D:D,Performance!N19)*10^6,SUMIFS(Data!Q:Q,Data!B:B,Performance!$F$2,Data!D:D,Performance!N19))</f>
        <v>793259934823</v>
      </c>
      <c r="P19" s="42">
        <f ca="1">IF($K$2="USD",SUMIFS(Data!AD:AD,Data!B:B,Performance!$E$2,Data!D:D,Performance!N19)*10^6,SUMIFS(Data!AD:AD,Data!B:B,Performance!$E$2,Data!D:D,Performance!N19))</f>
        <v>897436969996</v>
      </c>
      <c r="Q19" s="42">
        <f ca="1">IF($K$2="USD",SUMIFS(Data!AR:AR,Data!B:B,Performance!$F$2,Data!D:D,Performance!N19)*10^6,SUMIFS(Data!AR:AR,Data!B:B,Performance!$F$2,Data!D:D,Performance!N19))</f>
        <v>877649509332</v>
      </c>
      <c r="R19" s="42">
        <f t="shared" ca="1" si="1"/>
        <v>-19787460664</v>
      </c>
      <c r="S19" s="43">
        <f t="shared" ca="1" si="5"/>
        <v>-2.2048858388448379E-2</v>
      </c>
      <c r="T19" s="44"/>
      <c r="U19" s="138" t="s">
        <v>57</v>
      </c>
      <c r="V19" s="120" t="str">
        <f>IF(K1="EN","Cash flow from finance","Dòng tiền hoạt động tài chính")</f>
        <v>Dòng tiền hoạt động tài chính</v>
      </c>
      <c r="W19" s="139"/>
      <c r="X19" s="139">
        <f ca="1">IF($K$2="USD",SUMIFS(Data!$AD:$AD,Data!$B:$B,Performance!$E$2,Data!$D:$D,Performance!$U19)*10^6,SUMIFS(Data!$AD:$AD,Data!$B:$B,Performance!$E$2,Data!$D:$D,Performance!$U19))</f>
        <v>23143016200</v>
      </c>
      <c r="Y19" s="140">
        <f ca="1">IF($K$2="USD",SUMIFS(Data!$AR:$AR,Data!$B:$B,Performance!$E$2,Data!$D:$D,Performance!$U19)*10^6,SUMIFS(Data!$AR:$AR,Data!$B:$B,Performance!$E$2,Data!$D:$D,Performance!$U19))</f>
        <v>-41079393352</v>
      </c>
      <c r="Z19" s="141"/>
    </row>
    <row r="20" spans="2:34" ht="16.399999999999999" customHeight="1">
      <c r="D20" s="1" t="s">
        <v>40</v>
      </c>
      <c r="E20" s="133" t="s">
        <v>58</v>
      </c>
      <c r="F20" s="74" t="str">
        <f>IF($K$1="EN",E20,"Giá vốn Khác")</f>
        <v>Giá vốn Khác</v>
      </c>
      <c r="G20" s="75">
        <f ca="1">IF(J2="USD",SUMIFS(Data!Q:Q,Data!B:B,Performance!$E$2,Data!D:D,Performance!E20)*10^6,SUMIFS(Data!Q:Q,Data!B:B,Performance!$E$2,Data!D:D,Performance!E20))</f>
        <v>60188636051</v>
      </c>
      <c r="H20" s="75">
        <f ca="1">IF(K2="USD",SUMIFS(Data!AD:AD,Data!B:B,Performance!$E$2,Data!D:D,Performance!E20)*10^6,SUMIFS(Data!AD:AD,Data!B:B,Performance!$E$2,Data!D:D,Performance!E20))</f>
        <v>12231229580.228571</v>
      </c>
      <c r="I20" s="75">
        <f ca="1">IF(K2="USD",SUMIFS(Data!AR:AR,Data!B:B,Performance!$E$2,Data!D:D,Performance!E20)*10^6,SUMIFS(Data!AR:AR,Data!B:B,Performance!$E$2,Data!D:D,Performance!E20))</f>
        <v>9701770604.7641754</v>
      </c>
      <c r="J20" s="142">
        <f t="shared" ca="1" si="0"/>
        <v>-2529458975.4643955</v>
      </c>
      <c r="K20" s="76">
        <f t="shared" ca="1" si="4"/>
        <v>-0.20680332740652607</v>
      </c>
      <c r="L20" s="81"/>
      <c r="M20" s="58" t="str">
        <f>IF($K$1="EN",N20,"Lợi nhuận chưa phân phối")</f>
        <v>Lợi nhuận chưa phân phối</v>
      </c>
      <c r="N20" s="58" t="s">
        <v>59</v>
      </c>
      <c r="O20" s="59">
        <f ca="1">IF($K$2="USD",SUMIFS(Data!Q:Q,Data!B:B,Performance!$F$2,Data!D:D,Performance!N20)*10^6,SUMIFS(Data!Q:Q,Data!B:B,Performance!$F$2,Data!D:D,Performance!N20))</f>
        <v>143259934823</v>
      </c>
      <c r="P20" s="59">
        <f ca="1">IF($K$2="USD",SUMIFS(Data!AD:AD,Data!B:B,Performance!$E$2,Data!D:D,Performance!N20)*10^6,SUMIFS(Data!AD:AD,Data!B:B,Performance!$E$2,Data!D:D,Performance!N20))</f>
        <v>247436969996</v>
      </c>
      <c r="Q20" s="59">
        <f ca="1">IF($K$2="USD",SUMIFS(Data!AR:AR,Data!B:B,Performance!$F$2,Data!D:D,Performance!N20)*10^6,SUMIFS(Data!AR:AR,Data!B:B,Performance!$F$2,Data!D:D,Performance!N20))</f>
        <v>227649509332</v>
      </c>
      <c r="R20" s="59">
        <f t="shared" ca="1" si="1"/>
        <v>-19787460664</v>
      </c>
      <c r="S20" s="60">
        <f t="shared" ca="1" si="5"/>
        <v>-7.9969701634803714E-2</v>
      </c>
      <c r="T20" s="61"/>
      <c r="U20" s="138"/>
      <c r="V20" s="143" t="str">
        <f>IF(K1="EN","Productivity KPI","KPI năng suất")</f>
        <v>KPI năng suất</v>
      </c>
      <c r="W20" s="144" t="str">
        <f>W3</f>
        <v>Năm 2024</v>
      </c>
      <c r="X20" s="144" t="str">
        <f>X3</f>
        <v>LK 2025</v>
      </c>
      <c r="Y20" s="144" t="str">
        <f>Y3</f>
        <v>LK 2026</v>
      </c>
      <c r="Z20" s="145"/>
    </row>
    <row r="21" spans="2:34" ht="16.399999999999999" customHeight="1">
      <c r="D21" s="1" t="s">
        <v>28</v>
      </c>
      <c r="E21" s="133" t="s">
        <v>60</v>
      </c>
      <c r="F21" s="93" t="str">
        <f>IF($K$1="EN",E21,"Phí gia công")</f>
        <v>Phí gia công</v>
      </c>
      <c r="G21" s="94">
        <f ca="1">IF(J2="USD",SUMIFS(Data!Q:Q,Data!B:B,Performance!$E$2,Data!D:D,Performance!E21)*10^6,SUMIFS(Data!Q:Q,Data!B:B,Performance!$E$2,Data!D:D,Performance!E21))</f>
        <v>5461823200</v>
      </c>
      <c r="H21" s="94">
        <f ca="1">IF(K2="USD",SUMIFS(Data!AD:AD,Data!B:B,Performance!$E$2,Data!D:D,Performance!E21)*10^6,SUMIFS(Data!AD:AD,Data!B:B,Performance!$E$2,Data!D:D,Performance!E21))</f>
        <v>4762024734</v>
      </c>
      <c r="I21" s="94">
        <f ca="1">IF(K2="USD",SUMIFS(Data!AR:AR,Data!B:B,Performance!$E$2,Data!D:D,Performance!E21)*10^6,SUMIFS(Data!AR:AR,Data!B:B,Performance!$E$2,Data!D:D,Performance!E21))</f>
        <v>387853873</v>
      </c>
      <c r="J21" s="95">
        <f t="shared" ca="1" si="0"/>
        <v>-4374170861</v>
      </c>
      <c r="K21" s="96">
        <f t="shared" ca="1" si="4"/>
        <v>-0.91855273866370468</v>
      </c>
      <c r="L21" s="81"/>
      <c r="M21" s="87" t="str">
        <f>IF($K$1="EN",N21,"Tổng nguồn vốn")</f>
        <v>Tổng nguồn vốn</v>
      </c>
      <c r="N21" s="87" t="s">
        <v>61</v>
      </c>
      <c r="O21" s="104">
        <f ca="1">O14+O17+O19</f>
        <v>1198063045295</v>
      </c>
      <c r="P21" s="104">
        <f ca="1">P14+P17+P19</f>
        <v>1280979662011</v>
      </c>
      <c r="Q21" s="104">
        <f ca="1">Q14+Q17+Q19</f>
        <v>1251902380916</v>
      </c>
      <c r="R21" s="104">
        <f t="shared" ca="1" si="1"/>
        <v>-29077281095</v>
      </c>
      <c r="S21" s="105">
        <f t="shared" ca="1" si="5"/>
        <v>-2.2699252733920695E-2</v>
      </c>
      <c r="T21" s="44"/>
      <c r="U21" s="138"/>
      <c r="V21" s="1" t="s">
        <v>62</v>
      </c>
      <c r="W21" s="146">
        <f ca="1">IFERROR(G6/IFERROR(SUMIFS(Data!Q:Q,Data!B:B,Performance!$E$2,Data!D:D,"Total Headcount"),0)/10^6,0)</f>
        <v>970.73559112177054</v>
      </c>
      <c r="X21" s="146">
        <f ca="1">IFERROR(H6/IFERROR(SUMIFS(Data!AD:AD,Data!B:B,Performance!$E$2,Data!D:D,"Total Headcount"),0)/10^6,0)</f>
        <v>1198.5589642758162</v>
      </c>
      <c r="Y21" s="146">
        <f ca="1">IFERROR(I6/IFERROR(SUMIFS(Data!AR:AR,Data!B:B,Performance!$E$2,Data!D:D,"Total Headcount"),0)/10^6,0)</f>
        <v>1146.2533970275147</v>
      </c>
      <c r="Z21" s="147">
        <f ca="1">Y21-X21</f>
        <v>-52.305567248301486</v>
      </c>
      <c r="AA21" s="8"/>
      <c r="AB21" s="8"/>
      <c r="AC21" s="8"/>
      <c r="AD21" s="8"/>
      <c r="AE21" s="8"/>
    </row>
    <row r="22" spans="2:34" ht="16.399999999999999" customHeight="1">
      <c r="E22" s="133" t="s">
        <v>63</v>
      </c>
      <c r="F22" s="148" t="str">
        <f>IF($K$1="EN",E22,"Giá vốn trong thành phẩm &amp; bán TP")</f>
        <v>Giá vốn trong thành phẩm &amp; bán TP</v>
      </c>
      <c r="G22" s="149">
        <f ca="1">IF(J2="USD",SUMIFS(Data!Q:Q,Data!B:B,Performance!$E$2,Data!D:D,Performance!E22)*10^6,SUMIFS(Data!Q:Q,Data!B:B,Performance!$E$2,Data!D:D,Performance!E22))</f>
        <v>-40016866793.03717</v>
      </c>
      <c r="H22" s="149">
        <f ca="1">IF(K2="USD",SUMIFS(Data!AD:AD,Data!B:B,Performance!$E$2,Data!D:D,Performance!E22)*10^6,SUMIFS(Data!AD:AD,Data!B:B,Performance!$E$2,Data!D:D,Performance!E22))</f>
        <v>10322100649.773453</v>
      </c>
      <c r="I22" s="149">
        <f ca="1">IF(K2="USD",SUMIFS(Data!AR:AR,Data!B:B,Performance!$E$2,Data!D:D,Performance!E22)*10^6,SUMIFS(Data!AR:AR,Data!B:B,Performance!$E$2,Data!D:D,Performance!E22))</f>
        <v>39219007573.360641</v>
      </c>
      <c r="J22" s="150">
        <f t="shared" ca="1" si="0"/>
        <v>28896906923.587189</v>
      </c>
      <c r="K22" s="151">
        <f t="shared" ca="1" si="4"/>
        <v>2.7995180345602821</v>
      </c>
      <c r="L22" s="81"/>
      <c r="M22" s="152" t="str">
        <f>IF($K$1="EN","Man-day (8 hrs)","Giờ công (8 giờ)")</f>
        <v>Giờ công (8 giờ)</v>
      </c>
      <c r="N22" s="152" t="s">
        <v>64</v>
      </c>
      <c r="O22" s="153">
        <f ca="1">SUMIFS(Data!Q:Q,Data!B:B,Performance!$E$2,Data!D:D,Performance!N22)</f>
        <v>41220.642500000002</v>
      </c>
      <c r="P22" s="153">
        <f ca="1">SUMIFS(Data!AD:AD,Data!B:B,Performance!$E$2,Data!D:D,Performance!N22)</f>
        <v>44236.176250000004</v>
      </c>
      <c r="Q22" s="153">
        <f ca="1">SUMIFS(Data!AR:AR,Data!B:B,Performance!$E$2,Data!D:D,Performance!N22)</f>
        <v>40735.577499999999</v>
      </c>
      <c r="R22" s="153">
        <f ca="1">Q22-P22</f>
        <v>-3500.5987500000047</v>
      </c>
      <c r="S22" s="154">
        <f ca="1">IFERROR(R22/P22,"")</f>
        <v>-7.9134297915272558E-2</v>
      </c>
      <c r="T22" s="155"/>
      <c r="U22" s="138"/>
      <c r="V22" s="156" t="s">
        <v>65</v>
      </c>
      <c r="W22" s="157">
        <f ca="1">IFERROR((G13+G14+G15+G16+G25+G26)/G6,0)</f>
        <v>0.10752671122850965</v>
      </c>
      <c r="X22" s="157">
        <f ca="1">IFERROR((H13+H14+H15+H16+H25+H26)/H6,0)</f>
        <v>8.9225434094064679E-2</v>
      </c>
      <c r="Y22" s="157">
        <f ca="1">IFERROR((I13+I14+I15+I16+I25+I26)/I6,0)</f>
        <v>0.1000171758005</v>
      </c>
      <c r="Z22" s="158">
        <f ca="1">Y22-X22</f>
        <v>1.079174170643532E-2</v>
      </c>
      <c r="AA22" s="8"/>
      <c r="AB22" s="8"/>
      <c r="AC22" s="159"/>
      <c r="AD22" s="159"/>
      <c r="AE22" s="8"/>
    </row>
    <row r="23" spans="2:34" ht="17">
      <c r="E23" s="160" t="s">
        <v>66</v>
      </c>
      <c r="F23" s="41" t="str">
        <f>IF($K$1="EN",E23,"Lợi nhuận gộp")</f>
        <v>Lợi nhuận gộp</v>
      </c>
      <c r="G23" s="161">
        <f ca="1">G6-G10</f>
        <v>30766675506</v>
      </c>
      <c r="H23" s="161">
        <f ca="1">H6-H10</f>
        <v>110284815325</v>
      </c>
      <c r="I23" s="161">
        <f ca="1">I6-I10</f>
        <v>64791470204</v>
      </c>
      <c r="J23" s="162">
        <f t="shared" ca="1" si="0"/>
        <v>-45493345121</v>
      </c>
      <c r="K23" s="163">
        <f ca="1">IFERROR(J23/H23,0)</f>
        <v>-0.41250778710500596</v>
      </c>
      <c r="L23" s="81"/>
      <c r="M23" s="156" t="str">
        <f>IF($K$1="EN",N23,"Số lượng nhân sự sản xuất")</f>
        <v>Số lượng nhân sự sản xuất</v>
      </c>
      <c r="N23" s="156" t="s">
        <v>67</v>
      </c>
      <c r="O23" s="146">
        <f ca="1">IFERROR(SUMIFS(Data!Q:Q,Data!B:B,Performance!$E$2,Data!D:D,Performance!N23),0)</f>
        <v>259.2379031339031</v>
      </c>
      <c r="P23" s="146">
        <f ca="1">IFERROR(SUMIFS(Data!AD:AD,Data!B:B,Performance!$E$2,Data!D:D,Performance!N23),0)</f>
        <v>340.04169658119656</v>
      </c>
      <c r="Q23" s="146">
        <f ca="1">IFERROR(SUMIFS(Data!AR:AR,Data!B:B,Performance!$E$2,Data!D:D,Performance!N23),0)</f>
        <v>341.3914593855219</v>
      </c>
      <c r="R23" s="146">
        <f ca="1">Q23-P23</f>
        <v>1.3497628043253371</v>
      </c>
      <c r="S23" s="157">
        <f ca="1">IFERROR(R23/P23,"")</f>
        <v>3.96940380516845E-3</v>
      </c>
      <c r="T23" s="164"/>
      <c r="U23" s="138"/>
      <c r="V23" s="156"/>
      <c r="W23" s="7"/>
      <c r="X23" s="7"/>
      <c r="Y23" s="7"/>
      <c r="Z23" s="7"/>
      <c r="AA23" s="8"/>
      <c r="AB23" s="8"/>
      <c r="AC23" s="33"/>
      <c r="AD23" s="33"/>
      <c r="AE23" s="8"/>
    </row>
    <row r="24" spans="2:34" ht="17.5" thickBot="1">
      <c r="E24" s="86" t="s">
        <v>68</v>
      </c>
      <c r="F24" s="87" t="str">
        <f>IF($K$1="EN",E24,"Chi phí bán hàng &amp; quản lý")</f>
        <v>Chi phí bán hàng &amp; quản lý</v>
      </c>
      <c r="G24" s="89">
        <f ca="1">IF(J2="USD",SUMIFS(Data!Q:Q,Data!B:B,Performance!$E$2,Data!D:D,Performance!E24)*10^6,SUMIFS(Data!Q:Q,Data!B:B,Performance!$E$2,Data!D:D,Performance!E24))</f>
        <v>39586252838</v>
      </c>
      <c r="H24" s="89">
        <f ca="1">IF(K2="USD",SUMIFS(Data!AD:AD,Data!B:B,Performance!$E$2,Data!D:D,Performance!E24)*10^6,SUMIFS(Data!AD:AD,Data!B:B,Performance!$E$2,Data!D:D,Performance!E24))</f>
        <v>61264901433</v>
      </c>
      <c r="I24" s="89">
        <f ca="1">IF(K2="USD",SUMIFS(Data!AR:AR,Data!B:B,Performance!$E$2,Data!D:D,Performance!E24)*10^6,SUMIFS(Data!AR:AR,Data!B:B,Performance!$E$2,Data!D:D,Performance!E24))</f>
        <v>64760343520</v>
      </c>
      <c r="J24" s="89">
        <f t="shared" ca="1" si="0"/>
        <v>3495442087</v>
      </c>
      <c r="K24" s="90">
        <f ca="1">J24/H24</f>
        <v>5.7054561506520267E-2</v>
      </c>
      <c r="L24" s="81"/>
      <c r="M24" s="165" t="str">
        <f>IF($K$1="EN",N24,"PHÂN TÍCH LỢI NHUẬN")</f>
        <v>PHÂN TÍCH LỢI NHUẬN</v>
      </c>
      <c r="N24" s="165" t="s">
        <v>69</v>
      </c>
      <c r="O24" s="166" t="str">
        <f>G3</f>
        <v>Năm 2024</v>
      </c>
      <c r="P24" s="166" t="str">
        <f>H3</f>
        <v>LK 2025</v>
      </c>
      <c r="Q24" s="166" t="str">
        <f>I3</f>
        <v>LK 2026</v>
      </c>
      <c r="R24" s="167" t="str">
        <f>R3</f>
        <v>So với năm trước</v>
      </c>
      <c r="S24" s="167"/>
      <c r="T24" s="168"/>
      <c r="U24" s="138"/>
      <c r="V24" s="7"/>
      <c r="W24" s="7"/>
      <c r="X24" s="7"/>
      <c r="Y24" s="7"/>
      <c r="Z24" s="7"/>
      <c r="AA24" s="8"/>
      <c r="AB24" s="8"/>
      <c r="AC24" s="8"/>
      <c r="AD24" s="8"/>
      <c r="AE24" s="8"/>
    </row>
    <row r="25" spans="2:34" ht="16.399999999999999" customHeight="1">
      <c r="B25" s="1" t="s">
        <v>70</v>
      </c>
      <c r="D25" s="1" t="s">
        <v>40</v>
      </c>
      <c r="E25" s="71" t="s">
        <v>71</v>
      </c>
      <c r="F25" s="109" t="str">
        <f>IF($K$1="EN",E25,"Lương quản lý")</f>
        <v>Lương quản lý</v>
      </c>
      <c r="G25" s="110">
        <f ca="1">IF(J2="USD",SUMIFS(Data!Q:Q,Data!B:B,Performance!$E$2,Data!D:D,Performance!E25)*10^6,SUMIFS(Data!Q:Q,Data!B:B,Performance!$E$2,Data!D:D,Performance!E25))</f>
        <v>15564591994</v>
      </c>
      <c r="H25" s="110">
        <f ca="1">IF(K2="USD",SUMIFS(Data!AD:AD,Data!B:B,Performance!$E$2,Data!D:D,Performance!E25)*10^6,SUMIFS(Data!AD:AD,Data!B:B,Performance!$E$2,Data!D:D,Performance!E25))</f>
        <v>21108428439</v>
      </c>
      <c r="I25" s="110">
        <f ca="1">IF(K2="USD",SUMIFS(Data!AR:AR,Data!B:B,Performance!$E$2,Data!D:D,Performance!E25)*10^6,SUMIFS(Data!AR:AR,Data!B:B,Performance!$E$2,Data!D:D,Performance!E25))</f>
        <v>25157743581</v>
      </c>
      <c r="J25" s="111">
        <f t="shared" ca="1" si="0"/>
        <v>4049315142</v>
      </c>
      <c r="K25" s="112">
        <f t="shared" ref="K25:K31" ca="1" si="6">IFERROR(J25/H25,"")</f>
        <v>0.19183404172896512</v>
      </c>
      <c r="L25" s="57"/>
      <c r="M25" s="169" t="str">
        <f>F5</f>
        <v>Sản lượng bán (Tấn)</v>
      </c>
      <c r="N25" s="169" t="s">
        <v>72</v>
      </c>
      <c r="O25" s="170">
        <f ca="1">G5</f>
        <v>15468.960999999999</v>
      </c>
      <c r="P25" s="170">
        <f ca="1">H5</f>
        <v>23446.448600000003</v>
      </c>
      <c r="Q25" s="170">
        <f ca="1">I5</f>
        <v>25012.587</v>
      </c>
      <c r="R25" s="170">
        <f t="shared" ref="R25:R39" ca="1" si="7">Q25-P25</f>
        <v>1566.1383999999962</v>
      </c>
      <c r="S25" s="171">
        <f ca="1">IFERROR(R25/P25,"")</f>
        <v>6.6796401737361455E-2</v>
      </c>
      <c r="T25" s="172"/>
      <c r="U25" s="138"/>
      <c r="V25" s="7"/>
      <c r="W25" s="7"/>
      <c r="X25" s="7"/>
      <c r="Y25" s="7"/>
      <c r="Z25" s="7"/>
      <c r="AA25" s="173"/>
      <c r="AB25" s="174" t="s">
        <v>73</v>
      </c>
      <c r="AC25" s="175" t="s">
        <v>74</v>
      </c>
      <c r="AD25" s="175" t="str">
        <f>IF(K1="EN","Total cost","Tổng chi phí")</f>
        <v>Tổng chi phí</v>
      </c>
      <c r="AE25" s="175" t="str">
        <f>IF(K1="EN","Revenue","Doanh thu")</f>
        <v>Doanh thu</v>
      </c>
      <c r="AF25" s="8"/>
      <c r="AH25" s="34"/>
    </row>
    <row r="26" spans="2:34" ht="16.399999999999999" customHeight="1" thickBot="1">
      <c r="B26" s="1" t="s">
        <v>70</v>
      </c>
      <c r="D26" s="1" t="s">
        <v>40</v>
      </c>
      <c r="E26" s="71" t="s">
        <v>75</v>
      </c>
      <c r="F26" s="109" t="str">
        <f>IF($K$1="EN",E26,"Phúc lợi nhân viên quản lý")</f>
        <v>Phúc lợi nhân viên quản lý</v>
      </c>
      <c r="G26" s="110">
        <f ca="1">IF(J2="USD",SUMIFS(Data!Q:Q,Data!B:B,Performance!$E$2,Data!D:D,Performance!E26)*10^6,SUMIFS(Data!Q:Q,Data!B:B,Performance!$E$2,Data!D:D,Performance!E26))</f>
        <v>3512492392</v>
      </c>
      <c r="H26" s="110">
        <f ca="1">IF(K2="USD",SUMIFS(Data!AD:AD,Data!B:B,Performance!$E$2,Data!D:D,Performance!E26)*10^6,SUMIFS(Data!AD:AD,Data!B:B,Performance!$E$2,Data!D:D,Performance!E26))</f>
        <v>5380356731</v>
      </c>
      <c r="I26" s="110">
        <f ca="1">IF(K2="USD",SUMIFS(Data!AR:AR,Data!B:B,Performance!$E$2,Data!D:D,Performance!E26)*10^6,SUMIFS(Data!AR:AR,Data!B:B,Performance!$E$2,Data!D:D,Performance!E26))</f>
        <v>6824724413</v>
      </c>
      <c r="J26" s="111">
        <f t="shared" ca="1" si="0"/>
        <v>1444367682</v>
      </c>
      <c r="K26" s="112">
        <f t="shared" ca="1" si="6"/>
        <v>0.26845202915226551</v>
      </c>
      <c r="L26" s="127"/>
      <c r="M26" s="176" t="str">
        <f>IF($K$1="EN","Variable Cost/" &amp; IF(F2="DTPM","mold(m VND/mold)","Ton(m VND/Ton)"),"Biến phí / " &amp; IF(F2="DTPM","Cái (triệu đồng/cái) ","Tấn (Triệu đồng /tấn)"))</f>
        <v>Biến phí / Tấn (Triệu đồng /tấn)</v>
      </c>
      <c r="N26" s="176" t="s">
        <v>76</v>
      </c>
      <c r="O26" s="177">
        <f ca="1">IFERROR(IF(E2="DTPM",(G11+G12+G13+G21+G27+G28+G29)/G5,(G11+G12+G13+G21)/G4+(G27+G28+G29)/G5),0)</f>
        <v>15731707.289443536</v>
      </c>
      <c r="P26" s="177">
        <f ca="1">IFERROR(IF(F2="DTPM",(H11+H12+H13+H21+H27+H28+H29)/H5,(H11+H12+H13+H21)/H4+(H27+H28+H29)/H5),0)</f>
        <v>27096015.184365809</v>
      </c>
      <c r="Q26" s="177">
        <f ca="1">IFERROR(IF(F2="DTPM",(I11+I12+I13+I21+I27+I28+I29)/I4,(I11+I12+I13+I21+I27+I28+I29)/I5),0)</f>
        <v>20349850.354578484</v>
      </c>
      <c r="R26" s="177">
        <f t="shared" ca="1" si="7"/>
        <v>-6746164.8297873251</v>
      </c>
      <c r="S26" s="178">
        <f t="shared" ref="S26:S32" ca="1" si="8">IFERROR(R26/P26,"")</f>
        <v>-0.24897258079777759</v>
      </c>
      <c r="T26" s="179"/>
      <c r="U26" s="138"/>
      <c r="V26" s="7"/>
      <c r="W26" s="7"/>
      <c r="X26" s="7"/>
      <c r="Y26" s="7"/>
      <c r="Z26" s="7"/>
      <c r="AA26" s="173"/>
      <c r="AB26" s="174">
        <v>0</v>
      </c>
      <c r="AC26" s="180">
        <f t="shared" ref="AC26:AC35" ca="1" si="9">$Q$33/$I$2</f>
        <v>32931969553.599998</v>
      </c>
      <c r="AD26" s="180">
        <f t="shared" ref="AD26:AD35" ca="1" si="10">AC26+AB26*($Q$26+$I$22/$I$5)</f>
        <v>32931969553.599998</v>
      </c>
      <c r="AE26" s="180">
        <f ca="1">AB26*($I$6/$I$5)</f>
        <v>0</v>
      </c>
      <c r="AF26" s="8"/>
    </row>
    <row r="27" spans="2:34" ht="16.399999999999999" customHeight="1">
      <c r="B27" s="1" t="s">
        <v>77</v>
      </c>
      <c r="D27" s="1" t="s">
        <v>28</v>
      </c>
      <c r="E27" s="71" t="s">
        <v>78</v>
      </c>
      <c r="F27" s="93" t="str">
        <f>IF($K$1="EN",E27,"Hoa hồng bán hàng")</f>
        <v>Hoa hồng bán hàng</v>
      </c>
      <c r="G27" s="94">
        <f ca="1">IF(J2="USD",SUMIFS(Data!Q:Q,Data!B:B,Performance!$E$2,Data!D:D,Performance!E27)*10^6,SUMIFS(Data!Q:Q,Data!B:B,Performance!$E$2,Data!D:D,Performance!E27))</f>
        <v>2775360992</v>
      </c>
      <c r="H27" s="94">
        <f ca="1">IF(K2="USD",SUMIFS(Data!AD:AD,Data!B:B,Performance!$E$2,Data!D:D,Performance!E27)*10^6,SUMIFS(Data!AD:AD,Data!B:B,Performance!$E$2,Data!D:D,Performance!E27))</f>
        <v>4947114404</v>
      </c>
      <c r="I27" s="94">
        <f ca="1">IF(K2="USD",SUMIFS(Data!AR:AR,Data!B:B,Performance!$E$2,Data!D:D,Performance!E27)*10^6,SUMIFS(Data!AR:AR,Data!B:B,Performance!$E$2,Data!D:D,Performance!E27))</f>
        <v>8553891209</v>
      </c>
      <c r="J27" s="95">
        <f t="shared" ca="1" si="0"/>
        <v>3606776805</v>
      </c>
      <c r="K27" s="96">
        <f t="shared" ca="1" si="6"/>
        <v>0.72906678731418317</v>
      </c>
      <c r="L27" s="81"/>
      <c r="M27" s="181" t="str">
        <f>IF($K$1="EN","Material cost /" &amp; IF(F2="DTPM"," mold"," Ton"),"Chi phí nguyên vật liệu / " &amp; IF(F2="DTPM","Cái","Tấn"))</f>
        <v>Chi phí nguyên vật liệu / Tấn</v>
      </c>
      <c r="N27" s="182" t="s">
        <v>79</v>
      </c>
      <c r="O27" s="183">
        <f ca="1">IFERROR(IF(E2="DTPM",G11/G4,G11/G4),0)</f>
        <v>13316267.768113242</v>
      </c>
      <c r="P27" s="183">
        <f ca="1">IFERROR(IF(F2="DTPM",H11/H5,H11/H4),0)</f>
        <v>24565100.136020675</v>
      </c>
      <c r="Q27" s="183">
        <f ca="1">IFERROR(I11/I5,0)</f>
        <v>18599209.659355715</v>
      </c>
      <c r="R27" s="183">
        <f t="shared" ca="1" si="7"/>
        <v>-5965890.4766649604</v>
      </c>
      <c r="S27" s="184">
        <f t="shared" ca="1" si="8"/>
        <v>-0.24286041756927196</v>
      </c>
      <c r="T27" s="185"/>
      <c r="V27" s="7"/>
      <c r="W27" s="7"/>
      <c r="X27" s="7"/>
      <c r="Y27" s="7"/>
      <c r="Z27" s="7"/>
      <c r="AA27" s="8"/>
      <c r="AB27" s="186">
        <f ca="1">I5/I2</f>
        <v>5002.5173999999997</v>
      </c>
      <c r="AC27" s="180">
        <f t="shared" ca="1" si="9"/>
        <v>32931969553.599998</v>
      </c>
      <c r="AD27" s="180">
        <f ca="1">AC27+AB27*($Q$26+$I$22/$I$5)</f>
        <v>142576251554.44714</v>
      </c>
      <c r="AE27" s="180">
        <f ca="1">AB27*($I$6/$I$5)</f>
        <v>142958765735.60001</v>
      </c>
      <c r="AF27" s="8"/>
    </row>
    <row r="28" spans="2:34" ht="16.399999999999999" customHeight="1">
      <c r="B28" s="1" t="s">
        <v>77</v>
      </c>
      <c r="D28" s="1" t="s">
        <v>28</v>
      </c>
      <c r="E28" s="71" t="s">
        <v>80</v>
      </c>
      <c r="F28" s="93" t="str">
        <f>IF($K$1="EN",E28,"Chi phí vận chuyển trong nước")</f>
        <v>Chi phí vận chuyển trong nước</v>
      </c>
      <c r="G28" s="94">
        <f ca="1">IF(J2="USD",SUMIFS(Data!Q:Q,Data!B:B,Performance!$E$2,Data!D:D,Performance!E28)*10^6,SUMIFS(Data!Q:Q,Data!B:B,Performance!$E$2,Data!D:D,Performance!E28))</f>
        <v>558268174</v>
      </c>
      <c r="H28" s="94">
        <f ca="1">IF(K2="USD",SUMIFS(Data!AD:AD,Data!B:B,Performance!$E$2,Data!D:D,Performance!E28)*10^6,SUMIFS(Data!AD:AD,Data!B:B,Performance!$E$2,Data!D:D,Performance!E28))</f>
        <v>1630704741</v>
      </c>
      <c r="I28" s="94">
        <f ca="1">IF(K2="USD",SUMIFS(Data!AR:AR,Data!B:B,Performance!$E$2,Data!D:D,Performance!E28)*10^6,SUMIFS(Data!AR:AR,Data!B:B,Performance!$E$2,Data!D:D,Performance!E28))</f>
        <v>2535633671</v>
      </c>
      <c r="J28" s="95">
        <f t="shared" ca="1" si="0"/>
        <v>904928930</v>
      </c>
      <c r="K28" s="96">
        <f t="shared" ca="1" si="6"/>
        <v>0.55493119462268126</v>
      </c>
      <c r="L28" s="81"/>
      <c r="M28" s="181" t="str">
        <f>IF($K$1="EN","Electricity cost / " &amp; IF(F2="DTPM","mold","Ton"),"Chi phí điện / " &amp; IF(F2="DTPM","Cái","Tấn"))</f>
        <v>Chi phí điện / Tấn</v>
      </c>
      <c r="N28" s="182" t="s">
        <v>81</v>
      </c>
      <c r="O28" s="183">
        <f ca="1">IFERROR(IF(E2="DTPM",G12/G4,G12/G4),0)</f>
        <v>1210943.6314206454</v>
      </c>
      <c r="P28" s="183">
        <f ca="1">IFERROR(IF(F2="DTPM",H12/H4,H12/H4),0)</f>
        <v>1422030.7214496741</v>
      </c>
      <c r="Q28" s="183">
        <f ca="1">IFERROR(I12/I4,0)</f>
        <v>1420940.0255590435</v>
      </c>
      <c r="R28" s="183">
        <f t="shared" ca="1" si="7"/>
        <v>-1090.6958906305954</v>
      </c>
      <c r="S28" s="184">
        <f t="shared" ca="1" si="8"/>
        <v>-7.6699882370944632E-4</v>
      </c>
      <c r="T28" s="185"/>
      <c r="V28" s="7"/>
      <c r="W28" s="7"/>
      <c r="X28" s="7"/>
      <c r="Y28" s="7"/>
      <c r="Z28" s="7"/>
      <c r="AA28" s="8"/>
      <c r="AB28" s="186">
        <f ca="1">AB27*(1+12%)</f>
        <v>5602.8194880000001</v>
      </c>
      <c r="AC28" s="180">
        <f t="shared" ca="1" si="9"/>
        <v>32931969553.599998</v>
      </c>
      <c r="AD28" s="180">
        <f t="shared" ca="1" si="10"/>
        <v>155733565394.54883</v>
      </c>
      <c r="AE28" s="180">
        <f t="shared" ref="AE28:AE35" ca="1" si="11">AB28*($I$6/$I$5)</f>
        <v>160113817623.87201</v>
      </c>
      <c r="AF28" s="8"/>
    </row>
    <row r="29" spans="2:34" ht="16.399999999999999" customHeight="1">
      <c r="B29" s="1" t="s">
        <v>77</v>
      </c>
      <c r="D29" s="1" t="s">
        <v>28</v>
      </c>
      <c r="E29" s="71" t="s">
        <v>82</v>
      </c>
      <c r="F29" s="93" t="str">
        <f>IF($K$1="EN",E29,"Cước xuất khẩu")</f>
        <v>Cước xuất khẩu</v>
      </c>
      <c r="G29" s="94">
        <f ca="1">IF(J2="USD",SUMIFS(Data!Q:Q,Data!B:B,Performance!$E$2,Data!D:D,Performance!E29)*10^6,SUMIFS(Data!Q:Q,Data!B:B,Performance!$E$2,Data!D:D,Performance!E29))</f>
        <v>8281672437</v>
      </c>
      <c r="H29" s="94">
        <f ca="1">IF(K2="USD",SUMIFS(Data!AD:AD,Data!B:B,Performance!$E$2,Data!D:D,Performance!E29)*10^6,SUMIFS(Data!AD:AD,Data!B:B,Performance!$E$2,Data!D:D,Performance!E29))</f>
        <v>10954088709</v>
      </c>
      <c r="I29" s="94">
        <f ca="1">IF(K2="USD",SUMIFS(Data!AR:AR,Data!B:B,Performance!$E$2,Data!D:D,Performance!E29)*10^6,SUMIFS(Data!AR:AR,Data!B:B,Performance!$E$2,Data!D:D,Performance!E29))</f>
        <v>6976623658</v>
      </c>
      <c r="J29" s="95">
        <f t="shared" ca="1" si="0"/>
        <v>-3977465051</v>
      </c>
      <c r="K29" s="96">
        <f t="shared" ca="1" si="6"/>
        <v>-0.36310323539118966</v>
      </c>
      <c r="L29" s="57"/>
      <c r="M29" s="181" t="str">
        <f>IF($K$1="EN","Overtime cost / " &amp; IF(F2="DTPM","mold","Ton"),"Lương ngoài giờ / " &amp; IF(F2="DTPM","Cái","Tấn"))</f>
        <v>Lương ngoài giờ / Tấn</v>
      </c>
      <c r="N29" s="182" t="s">
        <v>83</v>
      </c>
      <c r="O29" s="183">
        <f ca="1">IFERROR(IF(E2="DTPM",G13/G4,G13/G4),0)</f>
        <v>199762.63592702508</v>
      </c>
      <c r="P29" s="183">
        <f ca="1">IFERROR(IF(F2="DTPM",H13/H4,H13/H4),0)</f>
        <v>104236.83494570632</v>
      </c>
      <c r="Q29" s="183">
        <f ca="1">IFERROR(I13/I4,0)</f>
        <v>109297.04325978454</v>
      </c>
      <c r="R29" s="183">
        <f t="shared" ca="1" si="7"/>
        <v>5060.2083140782197</v>
      </c>
      <c r="S29" s="184">
        <f t="shared" ca="1" si="8"/>
        <v>4.854529895035592E-2</v>
      </c>
      <c r="T29" s="185"/>
      <c r="V29" s="7"/>
      <c r="W29" s="7"/>
      <c r="X29" s="7"/>
      <c r="Y29" s="7"/>
      <c r="Z29" s="7"/>
      <c r="AA29" s="8"/>
      <c r="AB29" s="186">
        <f t="shared" ref="AB29:AB35" ca="1" si="12">AB28*(1+12%)</f>
        <v>6275.157826560001</v>
      </c>
      <c r="AC29" s="180">
        <f t="shared" ca="1" si="9"/>
        <v>32931969553.599998</v>
      </c>
      <c r="AD29" s="180">
        <f t="shared" ca="1" si="10"/>
        <v>170469756895.46271</v>
      </c>
      <c r="AE29" s="180">
        <f t="shared" ca="1" si="11"/>
        <v>179327475738.73666</v>
      </c>
      <c r="AF29" s="8"/>
    </row>
    <row r="30" spans="2:34" ht="16.399999999999999" customHeight="1">
      <c r="B30" s="1" t="s">
        <v>70</v>
      </c>
      <c r="D30" s="1" t="s">
        <v>40</v>
      </c>
      <c r="E30" s="71" t="s">
        <v>84</v>
      </c>
      <c r="F30" s="134" t="str">
        <f>IF($K$1="EN",E30,"Khấu hao (quản lý)")</f>
        <v>Khấu hao (quản lý)</v>
      </c>
      <c r="G30" s="135">
        <f ca="1">IF(J2="USD",SUMIFS(Data!Q:Q,Data!B:B,Performance!$E$2,Data!D:D,Performance!E30)*10^6,SUMIFS(Data!Q:Q,Data!B:B,Performance!$E$2,Data!D:D,Performance!E30))</f>
        <v>930972362</v>
      </c>
      <c r="H30" s="135">
        <f ca="1">IF(K2="USD",SUMIFS(Data!AD:AD,Data!B:B,Performance!$E$2,Data!D:D,Performance!E30)*10^6,SUMIFS(Data!AD:AD,Data!B:B,Performance!$E$2,Data!D:D,Performance!E30))</f>
        <v>2274537180</v>
      </c>
      <c r="I30" s="135">
        <f ca="1">IF(K2="USD",SUMIFS(Data!AR:AR,Data!B:B,Performance!$E$2,Data!D:D,Performance!E30)*10^6,SUMIFS(Data!AR:AR,Data!B:B,Performance!$E$2,Data!D:D,Performance!E30))</f>
        <v>424659097</v>
      </c>
      <c r="J30" s="136">
        <f t="shared" ca="1" si="0"/>
        <v>-1849878083</v>
      </c>
      <c r="K30" s="137">
        <f t="shared" ca="1" si="6"/>
        <v>-0.81329867863492122</v>
      </c>
      <c r="L30" s="127"/>
      <c r="M30" s="181" t="str">
        <f>IF(K1="EN","Processing cost / " &amp; IF(F2="DTPM","mold","Ton"),"Phí gia công /" &amp; IF(F2="DTPM"," Cái"," Tấn"))</f>
        <v>Phí gia công / Tấn</v>
      </c>
      <c r="N30" s="182" t="s">
        <v>85</v>
      </c>
      <c r="O30" s="183">
        <f ca="1">IFERROR(IF(E2="DTPM",G21/G4,G21/G4),0)</f>
        <v>253855.31182477449</v>
      </c>
      <c r="P30" s="183">
        <f ca="1">IFERROR(IF(F2="DTPM",H21/H4,H21/H4),0)</f>
        <v>256904.9168119549</v>
      </c>
      <c r="Q30" s="183">
        <f ca="1">IFERROR(I21/I4,0)</f>
        <v>23427.299113098656</v>
      </c>
      <c r="R30" s="183">
        <f t="shared" ca="1" si="7"/>
        <v>-233477.61769885625</v>
      </c>
      <c r="S30" s="184">
        <f t="shared" ca="1" si="8"/>
        <v>-0.90880945602825269</v>
      </c>
      <c r="T30" s="185"/>
      <c r="V30" s="7"/>
      <c r="W30" s="7"/>
      <c r="X30" s="7"/>
      <c r="Y30" s="7"/>
      <c r="Z30" s="7"/>
      <c r="AA30" s="8"/>
      <c r="AB30" s="186">
        <f t="shared" ca="1" si="12"/>
        <v>7028.1767657472019</v>
      </c>
      <c r="AC30" s="180">
        <f t="shared" ca="1" si="9"/>
        <v>32931969553.599998</v>
      </c>
      <c r="AD30" s="180">
        <f t="shared" ca="1" si="10"/>
        <v>186974291376.48624</v>
      </c>
      <c r="AE30" s="180">
        <f t="shared" ca="1" si="11"/>
        <v>200846772827.3851</v>
      </c>
      <c r="AF30" s="8"/>
    </row>
    <row r="31" spans="2:34" ht="15.65" customHeight="1">
      <c r="B31" s="1" t="s">
        <v>70</v>
      </c>
      <c r="D31" s="1" t="s">
        <v>40</v>
      </c>
      <c r="E31" s="71" t="s">
        <v>86</v>
      </c>
      <c r="F31" s="109" t="str">
        <f>IF($K$1="EN",E31,"Chi phí còn lại khác")</f>
        <v>Chi phí còn lại khác</v>
      </c>
      <c r="G31" s="110">
        <f ca="1">IF(J2="USD",SUMIFS(Data!Q:Q,Data!B:B,Performance!$E$2,Data!D:D,Performance!E31)*10^6,SUMIFS(Data!Q:Q,Data!B:B,Performance!$E$2,Data!D:D,Performance!E31))</f>
        <v>7962894487</v>
      </c>
      <c r="H31" s="110">
        <f ca="1">IF(K2="USD",SUMIFS(Data!AD:AD,Data!B:B,Performance!$E$2,Data!D:D,Performance!E31)*10^6,SUMIFS(Data!AD:AD,Data!B:B,Performance!$E$2,Data!D:D,Performance!E31))</f>
        <v>14969671229</v>
      </c>
      <c r="I31" s="110">
        <f ca="1">IF(K2="USD",SUMIFS(Data!AR:AR,Data!B:B,Performance!$E$2,Data!D:D,Performance!E31)*10^6,SUMIFS(Data!AR:AR,Data!B:B,Performance!$E$2,Data!D:D,Performance!E31))</f>
        <v>14287067891</v>
      </c>
      <c r="J31" s="111">
        <f t="shared" ca="1" si="0"/>
        <v>-682603338</v>
      </c>
      <c r="K31" s="112">
        <f t="shared" ca="1" si="6"/>
        <v>-4.5599086817459722E-2</v>
      </c>
      <c r="L31" s="127"/>
      <c r="M31" s="181" t="str">
        <f>IF(K1="EN","Direct selling /  " &amp; IF(F2="DTPM","mold","Ton"),"CP bán hàng trực tiếp /" &amp; IF(F2="DTPM"," Cái"," Tấn"))</f>
        <v>CP bán hàng trực tiếp / Tấn</v>
      </c>
      <c r="N31" s="182" t="s">
        <v>87</v>
      </c>
      <c r="O31" s="187">
        <f ca="1">IFERROR(SUM(G27:G29)/G5/10^6,0)</f>
        <v>0.75087794215784753</v>
      </c>
      <c r="P31" s="187">
        <f ca="1">IFERROR(SUM(H27:H29)/H5/10^6,0)</f>
        <v>0.74774257513779707</v>
      </c>
      <c r="Q31" s="187">
        <f ca="1">IFERROR(SUM(I27:I29)/I5/10^6,0)</f>
        <v>0.72228228683422468</v>
      </c>
      <c r="R31" s="187">
        <f t="shared" ca="1" si="7"/>
        <v>-2.5460288303572387E-2</v>
      </c>
      <c r="S31" s="184">
        <f t="shared" ca="1" si="8"/>
        <v>-3.4049536765885589E-2</v>
      </c>
      <c r="T31" s="185"/>
      <c r="V31" s="7"/>
      <c r="W31" s="7"/>
      <c r="X31" s="7"/>
      <c r="Y31" s="7"/>
      <c r="Z31" s="7"/>
      <c r="AA31" s="8"/>
      <c r="AB31" s="186">
        <f t="shared" ca="1" si="12"/>
        <v>7871.5579776368668</v>
      </c>
      <c r="AC31" s="180">
        <f t="shared" ca="1" si="9"/>
        <v>32931969553.599998</v>
      </c>
      <c r="AD31" s="180">
        <f t="shared" ca="1" si="10"/>
        <v>205459369995.2326</v>
      </c>
      <c r="AE31" s="180">
        <f t="shared" ca="1" si="11"/>
        <v>224948385566.67133</v>
      </c>
      <c r="AF31" s="8"/>
    </row>
    <row r="32" spans="2:34" ht="16.399999999999999" customHeight="1">
      <c r="D32" s="1" t="s">
        <v>40</v>
      </c>
      <c r="E32" s="188" t="s">
        <v>88</v>
      </c>
      <c r="F32" s="189" t="str">
        <f>IF($K$1="EN",E32,"Chi phí tài chính")</f>
        <v>Chi phí tài chính</v>
      </c>
      <c r="G32" s="190">
        <f ca="1">IF(J2="USD",SUMIFS(Data!Q:Q,Data!B:B,Performance!$E$2,Data!D:D,Performance!E32)*10^6,SUMIFS(Data!Q:Q,Data!B:B,Performance!$E$2,Data!D:D,Performance!E32))</f>
        <v>4652566598</v>
      </c>
      <c r="H32" s="190">
        <f ca="1">IF(K2="USD",SUMIFS(Data!AD:AD,Data!B:B,Performance!$E$2,Data!D:D,Performance!E32)*10^6,SUMIFS(Data!AD:AD,Data!B:B,Performance!$E$2,Data!D:D,Performance!E32))</f>
        <v>6090227204</v>
      </c>
      <c r="I32" s="190">
        <f ca="1">IF(K2="USD",SUMIFS(Data!AR:AR,Data!B:B,Performance!$E$2,Data!D:D,Performance!E32)*10^6,SUMIFS(Data!AR:AR,Data!B:B,Performance!$E$2,Data!D:D,Performance!E32))</f>
        <v>7820326383</v>
      </c>
      <c r="J32" s="191">
        <f t="shared" ca="1" si="0"/>
        <v>1730099179</v>
      </c>
      <c r="K32" s="192">
        <f ca="1">IFERROR(J32/H32,0)</f>
        <v>0.28407793684013766</v>
      </c>
      <c r="L32" s="127"/>
      <c r="M32" s="181" t="str">
        <f>IF(K1="EN","Others / " &amp; IF(F2="DTPM","mold","Ton"),"CP khác /" &amp; IF(F2="DTPM"," Cái"," Tấn"))</f>
        <v>CP khác / Tấn</v>
      </c>
      <c r="N32" s="182"/>
      <c r="O32" s="183">
        <f ca="1">IFERROR(G20/G5,0)</f>
        <v>3890929.4587399894</v>
      </c>
      <c r="P32" s="183">
        <f ca="1">IFERROR(H20/H5,0)</f>
        <v>521666.61949087546</v>
      </c>
      <c r="Q32" s="183">
        <f ca="1">IFERROR(I20/I5,0)</f>
        <v>387875.5366153919</v>
      </c>
      <c r="R32" s="183">
        <f t="shared" ca="1" si="7"/>
        <v>-133791.08287548355</v>
      </c>
      <c r="S32" s="184">
        <f t="shared" ca="1" si="8"/>
        <v>-0.25646855266694651</v>
      </c>
      <c r="T32" s="185"/>
      <c r="V32" s="7"/>
      <c r="W32" s="7"/>
      <c r="X32" s="7"/>
      <c r="Y32" s="7"/>
      <c r="Z32" s="7"/>
      <c r="AA32" s="8"/>
      <c r="AB32" s="186">
        <f t="shared" ca="1" si="12"/>
        <v>8816.1449349532922</v>
      </c>
      <c r="AC32" s="180">
        <f t="shared" ca="1" si="9"/>
        <v>32931969553.599998</v>
      </c>
      <c r="AD32" s="180">
        <f t="shared" ca="1" si="10"/>
        <v>226162658048.22855</v>
      </c>
      <c r="AE32" s="180">
        <f t="shared" ca="1" si="11"/>
        <v>251942191834.67191</v>
      </c>
      <c r="AF32" s="8"/>
    </row>
    <row r="33" spans="1:33" ht="16.399999999999999" customHeight="1" thickBot="1">
      <c r="E33" s="193" t="s">
        <v>89</v>
      </c>
      <c r="F33" s="134" t="str">
        <f>IF($K$1="EN",E33,"Chi phí lãi vay")</f>
        <v>Chi phí lãi vay</v>
      </c>
      <c r="G33" s="135">
        <f ca="1">IF(J2="USD",SUMIFS(Data!Q:Q,Data!B:B,Performance!$E$2,Data!D:D,Performance!E33)*10^6,SUMIFS(Data!Q:Q,Data!B:B,Performance!$E$2,Data!D:D,Performance!E33))</f>
        <v>3491705382</v>
      </c>
      <c r="H33" s="135">
        <f ca="1">IF(K2="USD",SUMIFS(Data!AD:AD,Data!B:B,Performance!$E$2,Data!D:D,Performance!E33)*10^6,SUMIFS(Data!AD:AD,Data!B:B,Performance!$E$2,Data!D:D,Performance!E33))</f>
        <v>4792152527</v>
      </c>
      <c r="I33" s="135">
        <f ca="1">IF(K2="USD",SUMIFS(Data!AR:AR,Data!B:B,Performance!$E$2,Data!D:D,Performance!E33)*10^6,SUMIFS(Data!AR:AR,Data!B:B,Performance!$E$2,Data!D:D,Performance!E33))</f>
        <v>5257034313</v>
      </c>
      <c r="J33" s="136">
        <f t="shared" ca="1" si="0"/>
        <v>464881786</v>
      </c>
      <c r="K33" s="137">
        <f ca="1">IFERROR(J33/H33,"")</f>
        <v>9.7008971100305708E-2</v>
      </c>
      <c r="L33" s="127"/>
      <c r="M33" s="194" t="str">
        <f>IF($K$1="EN",N33,"Định phí")</f>
        <v>Định phí</v>
      </c>
      <c r="N33" s="194" t="s">
        <v>74</v>
      </c>
      <c r="O33" s="194">
        <f ca="1">SUM(G14:G18)+G26+G25+G31+G32+G30+G19</f>
        <v>116230047293</v>
      </c>
      <c r="P33" s="194">
        <f ca="1">SUM(H14:H18)+H26+H25+H31+H32+H30+H19</f>
        <v>158801981278</v>
      </c>
      <c r="Q33" s="194">
        <f ca="1">SUM(I14:I18)+I26+I25+I31+I32+I30+I19</f>
        <v>164659847768</v>
      </c>
      <c r="R33" s="194">
        <f t="shared" ca="1" si="7"/>
        <v>5857866490</v>
      </c>
      <c r="S33" s="195">
        <f ca="1">IFERROR(R33/P33,0)</f>
        <v>3.6887867788911101E-2</v>
      </c>
      <c r="T33" s="196"/>
      <c r="V33" s="197" t="str">
        <f>IF(K1="EN","Break even","SL hòa vốn")</f>
        <v>SL hòa vốn</v>
      </c>
      <c r="W33" s="197"/>
      <c r="X33" s="197">
        <f ca="1">I6/I2</f>
        <v>142958765735.60001</v>
      </c>
      <c r="Y33" s="198"/>
      <c r="Z33" s="199"/>
      <c r="AA33" s="8"/>
      <c r="AB33" s="186">
        <f t="shared" ca="1" si="12"/>
        <v>9874.0823271476875</v>
      </c>
      <c r="AC33" s="180">
        <f t="shared" ca="1" si="9"/>
        <v>32931969553.599998</v>
      </c>
      <c r="AD33" s="180">
        <f t="shared" ca="1" si="10"/>
        <v>249350340667.58398</v>
      </c>
      <c r="AE33" s="180">
        <f t="shared" ca="1" si="11"/>
        <v>282175254854.83258</v>
      </c>
      <c r="AF33" s="8"/>
    </row>
    <row r="34" spans="1:33" ht="16" customHeight="1">
      <c r="E34" s="200" t="s">
        <v>90</v>
      </c>
      <c r="F34" s="113" t="str">
        <f>IF($K$1="EN",E34,"Thu nhập khác")</f>
        <v>Thu nhập khác</v>
      </c>
      <c r="G34" s="201">
        <f ca="1">IF(J2="USD",SUMIFS(Data!Q:Q,Data!B:B,Performance!$E$2,Data!D:D,Performance!E34)*10^6,SUMIFS(Data!Q:Q,Data!B:B,Performance!$E$2,Data!D:D,Performance!E34))</f>
        <v>5489769545</v>
      </c>
      <c r="H34" s="201">
        <f ca="1">IF(K2="USD",SUMIFS(Data!AD:AD,Data!B:B,Performance!$E$2,Data!D:D,Performance!E34)*10^6,SUMIFS(Data!AD:AD,Data!B:B,Performance!$E$2,Data!D:D,Performance!E34))</f>
        <v>7236244341</v>
      </c>
      <c r="I34" s="201">
        <f ca="1">IF(K2="USD",SUMIFS(Data!AR:AR,Data!B:B,Performance!$E$2,Data!D:D,Performance!E34)*10^6,SUMIFS(Data!AR:AR,Data!B:B,Performance!$E$2,Data!D:D,Performance!E34))</f>
        <v>4743395864</v>
      </c>
      <c r="J34" s="202">
        <f t="shared" ca="1" si="0"/>
        <v>-2492848477</v>
      </c>
      <c r="K34" s="203">
        <f ca="1">IFERROR(J34/H34,"")</f>
        <v>-0.34449479032593106</v>
      </c>
      <c r="M34" s="204" t="str">
        <f>IF(K1="EN","Operating Expense (OpEx)","Chi phí hoạt động")</f>
        <v>Chi phí hoạt động</v>
      </c>
      <c r="N34" s="205"/>
      <c r="O34" s="205">
        <f ca="1">O33-O36-O37</f>
        <v>90593948439</v>
      </c>
      <c r="P34" s="206">
        <f ca="1">P33-P36-P37</f>
        <v>118475622192</v>
      </c>
      <c r="Q34" s="206">
        <f ca="1">Q33-Q36-Q37</f>
        <v>128292160029</v>
      </c>
      <c r="R34" s="206">
        <f t="shared" ca="1" si="7"/>
        <v>9816537837</v>
      </c>
      <c r="S34" s="207">
        <f ca="1">IFERROR(R34/P34,0)</f>
        <v>8.2857027086057009E-2</v>
      </c>
      <c r="T34" s="208"/>
      <c r="V34" s="128">
        <f ca="1">H38</f>
        <v>42677314129</v>
      </c>
      <c r="W34" s="8"/>
      <c r="X34" s="8"/>
      <c r="Y34" s="8"/>
      <c r="Z34" s="209"/>
      <c r="AA34" s="8"/>
      <c r="AB34" s="186">
        <f t="shared" ca="1" si="12"/>
        <v>11058.972206405411</v>
      </c>
      <c r="AC34" s="180">
        <f t="shared" ca="1" si="9"/>
        <v>32931969553.599998</v>
      </c>
      <c r="AD34" s="180">
        <f t="shared" ca="1" si="10"/>
        <v>275320545201.26208</v>
      </c>
      <c r="AE34" s="180">
        <f t="shared" ca="1" si="11"/>
        <v>316036285437.41248</v>
      </c>
      <c r="AF34" s="8"/>
      <c r="AG34" s="8"/>
    </row>
    <row r="35" spans="1:33" s="213" customFormat="1" ht="16" customHeight="1">
      <c r="A35" s="210"/>
      <c r="B35" s="1"/>
      <c r="C35" s="1"/>
      <c r="D35" s="1"/>
      <c r="E35" s="21" t="s">
        <v>91</v>
      </c>
      <c r="F35" s="66" t="str">
        <f>IF($K$1="EN",E35,"EBITDA")</f>
        <v>EBITDA</v>
      </c>
      <c r="G35" s="68">
        <f ca="1">IF(J2="USD",SUMIFS(Data!Q:Q,Data!B:B,Performance!$E$2,Data!D:D,Performance!E35)*10^6,SUMIFS(Data!Q:Q,Data!B:B,Performance!$E$2,Data!D:D,Performance!E35))</f>
        <v>10929896878</v>
      </c>
      <c r="H35" s="68">
        <f ca="1">IF(K2="USD",SUMIFS(Data!AD:AD,Data!B:B,Performance!$E$2,Data!D:D,Performance!E35)*10^6,SUMIFS(Data!AD:AD,Data!B:B,Performance!$E$2,Data!D:D,Performance!E35))</f>
        <v>74565621227</v>
      </c>
      <c r="I35" s="68">
        <f ca="1">IF(K2="USD",SUMIFS(Data!AR:AR,Data!B:B,Performance!$E$2,Data!D:D,Performance!E35)*10^6,SUMIFS(Data!AR:AR,Data!B:B,Performance!$E$2,Data!D:D,Performance!E35))</f>
        <v>13175258499</v>
      </c>
      <c r="J35" s="69">
        <f t="shared" ca="1" si="0"/>
        <v>-61390362728</v>
      </c>
      <c r="K35" s="70">
        <f ca="1">IFERROR(J35/H35,"")</f>
        <v>-0.82330652809971794</v>
      </c>
      <c r="L35" s="7"/>
      <c r="M35" s="211" t="s">
        <v>92</v>
      </c>
      <c r="N35" s="205"/>
      <c r="O35" s="205">
        <f ca="1">G14+G15+G16+G25+G26</f>
        <v>44827194564</v>
      </c>
      <c r="P35" s="206">
        <f ca="1">H14+H15+H16+H25+H26</f>
        <v>63221343069</v>
      </c>
      <c r="Q35" s="206">
        <f ca="1">I14+I15+I16+I25+I26</f>
        <v>69682177790</v>
      </c>
      <c r="R35" s="206">
        <f ca="1">Q35-P35</f>
        <v>6460834721</v>
      </c>
      <c r="S35" s="207">
        <f ca="1">R35/P35</f>
        <v>0.10219388591521414</v>
      </c>
      <c r="T35" s="208"/>
      <c r="U35" s="7"/>
      <c r="V35" s="128"/>
      <c r="W35" s="212"/>
      <c r="X35" s="212"/>
      <c r="Y35" s="8"/>
      <c r="Z35" s="209"/>
      <c r="AA35" s="8"/>
      <c r="AB35" s="186">
        <f t="shared" ca="1" si="12"/>
        <v>12386.048871174062</v>
      </c>
      <c r="AC35" s="180">
        <f t="shared" ca="1" si="9"/>
        <v>32931969553.599998</v>
      </c>
      <c r="AD35" s="180">
        <f t="shared" ca="1" si="10"/>
        <v>304407174278.98151</v>
      </c>
      <c r="AE35" s="180">
        <f t="shared" ca="1" si="11"/>
        <v>353960639689.90204</v>
      </c>
    </row>
    <row r="36" spans="1:33" ht="16" customHeight="1">
      <c r="E36" s="160" t="s">
        <v>93</v>
      </c>
      <c r="F36" s="41" t="str">
        <f>IF($K$1="EN",E36,"Lợi nhuận trước thuế")</f>
        <v>Lợi nhuận trước thuế</v>
      </c>
      <c r="G36" s="161">
        <f ca="1">IF(J2="USD",SUMIFS(Data!Q:Q,Data!B:B,Performance!$E$2,Data!D:D,Performance!E36)*10^6,SUMIFS(Data!Q:Q,Data!B:B,Performance!$E$2,Data!D:D,Performance!E36))</f>
        <v>-7982374385</v>
      </c>
      <c r="H36" s="161">
        <f ca="1">IF(K2="USD",SUMIFS(Data!AD:AD,Data!B:B,Performance!$E$2,Data!D:D,Performance!E36)*10^6,SUMIFS(Data!AD:AD,Data!B:B,Performance!$E$2,Data!D:D,Performance!E36))</f>
        <v>50165931029</v>
      </c>
      <c r="I36" s="161">
        <f ca="1">IF(K2="USD",SUMIFS(Data!AR:AR,Data!B:B,Performance!$E$2,Data!D:D,Performance!E36)*10^6,SUMIFS(Data!AR:AR,Data!B:B,Performance!$E$2,Data!D:D,Performance!E36))</f>
        <v>-3045803835</v>
      </c>
      <c r="J36" s="162">
        <f t="shared" ca="1" si="0"/>
        <v>-53211734864</v>
      </c>
      <c r="K36" s="163">
        <f ca="1">IFERROR(J36/H36,"")</f>
        <v>-1.060714588018695</v>
      </c>
      <c r="M36" s="214" t="str">
        <f>IF(K1="EN","Depreciation","Khấu hao")</f>
        <v>Khấu hao</v>
      </c>
      <c r="N36" s="215"/>
      <c r="O36" s="215">
        <f ca="1">G19+G30</f>
        <v>20983532256</v>
      </c>
      <c r="P36" s="216">
        <f ca="1">H19+H30</f>
        <v>34236131882</v>
      </c>
      <c r="Q36" s="216">
        <f ca="1">I19+I30</f>
        <v>28547361356</v>
      </c>
      <c r="R36" s="216">
        <f t="shared" ca="1" si="7"/>
        <v>-5688770526</v>
      </c>
      <c r="S36" s="217">
        <f ca="1">IFERROR(R36/P36,0)</f>
        <v>-0.16616277053748965</v>
      </c>
      <c r="T36" s="218"/>
      <c r="V36" s="33"/>
      <c r="W36" s="212"/>
      <c r="X36" s="212"/>
      <c r="Y36" s="8"/>
      <c r="Z36" s="209"/>
      <c r="AA36" s="8"/>
      <c r="AB36" s="186" t="str">
        <f>IF(K1="EN","Actual volume","SL thực tế")</f>
        <v>SL thực tế</v>
      </c>
      <c r="AC36" s="219">
        <f ca="1">I5/I2</f>
        <v>5002.5173999999997</v>
      </c>
      <c r="AD36" s="220"/>
      <c r="AE36" s="180"/>
      <c r="AG36" s="8"/>
    </row>
    <row r="37" spans="1:33" ht="17">
      <c r="B37" s="210"/>
      <c r="C37" s="210"/>
      <c r="D37" s="210"/>
      <c r="E37" s="200" t="s">
        <v>94</v>
      </c>
      <c r="F37" s="113" t="str">
        <f>IF($K$1="EN",E37,"Thuế TNDN")</f>
        <v>Thuế TNDN</v>
      </c>
      <c r="G37" s="201">
        <f ca="1">IF(J2="USD",SUMIFS(Data!Q:Q,Data!B:B,Performance!$E$2,Data!D:D,Performance!E37)*10^6,SUMIFS(Data!Q:Q,Data!B:B,Performance!$E$2,Data!D:D,Performance!E37))</f>
        <v>0</v>
      </c>
      <c r="H37" s="201">
        <f ca="1">IF(K2="USD",SUMIFS(Data!AD:AD,Data!B:B,Performance!$E$2,Data!D:D,Performance!E37)*10^6,SUMIFS(Data!AD:AD,Data!B:B,Performance!$E$2,Data!D:D,Performance!E37))</f>
        <v>7488616900</v>
      </c>
      <c r="I37" s="201">
        <f ca="1">IF(K2="USD",SUMIFS(Data!AR:AR,Data!B:B,Performance!$E$2,Data!D:D,Performance!E37)*10^6,SUMIFS(Data!AR:AR,Data!B:B,Performance!$E$2,Data!D:D,Performance!E37))</f>
        <v>-198902366</v>
      </c>
      <c r="J37" s="202">
        <f t="shared" ca="1" si="0"/>
        <v>-7687519266</v>
      </c>
      <c r="K37" s="203">
        <f ca="1">IFERROR(J37/H37,"")</f>
        <v>-1.0265606277709305</v>
      </c>
      <c r="M37" s="221" t="str">
        <f>IF(K1="EN","Financial expense","Chi phí tài chính")</f>
        <v>Chi phí tài chính</v>
      </c>
      <c r="N37" s="222"/>
      <c r="O37" s="222">
        <f ca="1">G32</f>
        <v>4652566598</v>
      </c>
      <c r="P37" s="223">
        <f ca="1">H32</f>
        <v>6090227204</v>
      </c>
      <c r="Q37" s="223">
        <f ca="1">I32</f>
        <v>7820326383</v>
      </c>
      <c r="R37" s="223">
        <f t="shared" ca="1" si="7"/>
        <v>1730099179</v>
      </c>
      <c r="S37" s="224">
        <f ca="1">IFERROR(R37/P37,0)</f>
        <v>0.28407793684013766</v>
      </c>
      <c r="T37" s="225"/>
      <c r="V37" s="33"/>
      <c r="W37" s="212"/>
      <c r="X37" s="212"/>
      <c r="Y37" s="8"/>
      <c r="Z37" s="209"/>
    </row>
    <row r="38" spans="1:33" ht="17">
      <c r="E38" s="226" t="s">
        <v>95</v>
      </c>
      <c r="F38" s="66" t="str">
        <f>IF($K$1="EN",E38,"Lợi nhuận sau thuế")</f>
        <v>Lợi nhuận sau thuế</v>
      </c>
      <c r="G38" s="68">
        <f ca="1">IF(J2="USD",SUMIFS(Data!Q:Q,Data!B:B,Performance!$E$2,Data!D:D,Performance!E38)*10^6,SUMIFS(Data!Q:Q,Data!B:B,Performance!$E$2,Data!D:D,Performance!E38))</f>
        <v>-7982374385</v>
      </c>
      <c r="H38" s="68">
        <f ca="1">IF(K2="USD",SUMIFS(Data!AD:AD,Data!B:B,Performance!$E$2,Data!D:D,Performance!E38)*10^6,SUMIFS(Data!AD:AD,Data!B:B,Performance!$E$2,Data!D:D,Performance!E38))</f>
        <v>42677314129</v>
      </c>
      <c r="I38" s="68">
        <f ca="1">IF(K2="USD",SUMIFS(Data!AR:AR,Data!B:B,Performance!$E$2,Data!D:D,Performance!E38)*10^6,SUMIFS(Data!AR:AR,Data!B:B,Performance!$E$2,Data!D:D,Performance!E38))</f>
        <v>-2846901469</v>
      </c>
      <c r="J38" s="69">
        <f t="shared" ca="1" si="0"/>
        <v>-45524215598</v>
      </c>
      <c r="K38" s="70">
        <f ca="1">J38/H38</f>
        <v>-1.0667076063033094</v>
      </c>
      <c r="L38" s="128" t="str">
        <f>M40</f>
        <v>Phân tích lợi nhuận sau thuế</v>
      </c>
      <c r="M38" s="209" t="str">
        <f>IF(K1="EN","Breakeven Volume/month","Sản lượng hòa vốn/tháng ")</f>
        <v xml:space="preserve">Sản lượng hòa vốn/tháng </v>
      </c>
      <c r="N38" s="209"/>
      <c r="O38" s="209"/>
      <c r="P38" s="153">
        <f ca="1">IFERROR(P33/X8/(H6/H5)/H2,0)</f>
        <v>3480.3627491615248</v>
      </c>
      <c r="Q38" s="153">
        <f ca="1">IFERROR((Q33)/Y8/(I6/I5)/I2,0)</f>
        <v>4945.0789038132007</v>
      </c>
      <c r="R38" s="153">
        <f t="shared" ca="1" si="7"/>
        <v>1464.7161546516759</v>
      </c>
      <c r="S38" s="227">
        <f ca="1">IFERROR(R38/P38,"")</f>
        <v>0.42085157790076611</v>
      </c>
      <c r="T38" s="172"/>
      <c r="V38" s="33"/>
      <c r="W38" s="212"/>
      <c r="X38" s="212"/>
      <c r="Y38" s="8"/>
      <c r="Z38" s="209"/>
    </row>
    <row r="39" spans="1:33" ht="15.65" customHeight="1">
      <c r="E39" s="228"/>
      <c r="H39" s="229"/>
      <c r="J39" s="34"/>
      <c r="L39" s="7" t="str">
        <f>IF(K1="EN","Volume","Sản lượng")</f>
        <v>Sản lượng</v>
      </c>
      <c r="M39" s="209" t="str">
        <f>IF(K1="EN","Breakeven Sales (m VND)/month","Doanh thu hòa vốn (Triệu)/tháng ")</f>
        <v xml:space="preserve">Doanh thu hòa vốn (Triệu)/tháng </v>
      </c>
      <c r="N39" s="209"/>
      <c r="O39" s="209"/>
      <c r="P39" s="152">
        <f ca="1">IFERROR(P38*(H6/H5),0)</f>
        <v>108391809105.66159</v>
      </c>
      <c r="Q39" s="152">
        <f ca="1">IFERROR(Q38*(I6/I5),0)</f>
        <v>141317324864.13519</v>
      </c>
      <c r="R39" s="152">
        <f t="shared" ca="1" si="7"/>
        <v>32925515758.473602</v>
      </c>
      <c r="S39" s="230">
        <f ca="1">IFERROR(R39/P39,"")</f>
        <v>0.3037638732127575</v>
      </c>
      <c r="T39" s="230"/>
      <c r="U39" s="231">
        <f ca="1">SUM(U40:U49)</f>
        <v>-1.0667076063033107</v>
      </c>
      <c r="V39" s="33"/>
      <c r="W39" s="212"/>
      <c r="X39" s="212"/>
      <c r="Y39" s="8"/>
      <c r="Z39" s="209"/>
    </row>
    <row r="40" spans="1:33" ht="15.65" customHeight="1">
      <c r="E40" s="232"/>
      <c r="L40" s="7" t="str">
        <f>IF(K1="EN","Selling price","Giá bán")</f>
        <v>Giá bán</v>
      </c>
      <c r="M40" s="233" t="str">
        <f>IF(K1="EN","Net profit analysis by Factors","Phân tích lợi nhuận sau thuế")</f>
        <v>Phân tích lợi nhuận sau thuế</v>
      </c>
      <c r="N40" s="234"/>
      <c r="O40" s="235" t="str">
        <f t="shared" ref="O40:Q41" si="13">O24</f>
        <v>Năm 2024</v>
      </c>
      <c r="P40" s="236" t="str">
        <f t="shared" si="13"/>
        <v>LK 2025</v>
      </c>
      <c r="Q40" s="236" t="str">
        <f t="shared" si="13"/>
        <v>LK 2026</v>
      </c>
      <c r="R40" s="237" t="str">
        <f>IF(K1="EN","Change","Thay đổi")</f>
        <v>Thay đổi</v>
      </c>
      <c r="S40" s="238" t="str">
        <f>IF(K1="EN","Impact","Ảnh hưởng")</f>
        <v>Ảnh hưởng</v>
      </c>
      <c r="T40" s="239"/>
      <c r="U40" s="240">
        <f t="shared" ref="U40:U50" ca="1" si="14">S41*10^6/$H$38</f>
        <v>0.31574033679519864</v>
      </c>
      <c r="V40" s="33"/>
      <c r="W40" s="212"/>
      <c r="X40" s="212"/>
      <c r="Y40" s="8"/>
      <c r="Z40" s="209"/>
      <c r="AB40" s="241" t="str">
        <f>IF(K1="EN","Net profit 2025","LNST 2025")</f>
        <v>LNST 2025</v>
      </c>
      <c r="AC40" s="241"/>
      <c r="AD40" s="242">
        <f ca="1">H38/10^6</f>
        <v>42677.314128999999</v>
      </c>
      <c r="AE40" s="243">
        <v>1</v>
      </c>
    </row>
    <row r="41" spans="1:33" ht="15.65" customHeight="1">
      <c r="E41" s="244"/>
      <c r="F41" s="245"/>
      <c r="G41" s="245"/>
      <c r="H41" s="246"/>
      <c r="I41" s="246"/>
      <c r="J41" s="247"/>
      <c r="K41" s="248"/>
      <c r="L41" s="7" t="str">
        <f>IF(K1="EN","Direct selling","CP bán hàng")</f>
        <v>CP bán hàng</v>
      </c>
      <c r="M41" s="249" t="str">
        <f>IF(K1="EN","1. Sales volume "&amp; IF(F2="DTPM"," (molds)"," (Ton)"),"1.Sản lượng bán "&amp;IF(F2="DTPM","(Khuôn)","(Tấn)"))</f>
        <v>1.Sản lượng bán (Tấn)</v>
      </c>
      <c r="N41" s="249" t="s">
        <v>8</v>
      </c>
      <c r="O41" s="250">
        <f t="shared" ca="1" si="13"/>
        <v>15468.960999999999</v>
      </c>
      <c r="P41" s="250">
        <f t="shared" ca="1" si="13"/>
        <v>23446.448600000003</v>
      </c>
      <c r="Q41" s="250">
        <f t="shared" ca="1" si="13"/>
        <v>25012.587</v>
      </c>
      <c r="R41" s="251">
        <f t="shared" ref="R41:R50" ca="1" si="15">Q41-P41</f>
        <v>1566.1383999999962</v>
      </c>
      <c r="S41" s="252">
        <f ca="1">IFERROR(R41*((H6-H11-H12-H13-H29-H20-H22-H21-H27-H28)/H5/10^6),0)</f>
        <v>13474.94953660495</v>
      </c>
      <c r="T41" s="253"/>
      <c r="U41" s="240">
        <f t="shared" ca="1" si="14"/>
        <v>-1.5041670277211572</v>
      </c>
      <c r="V41" s="33"/>
      <c r="W41" s="212"/>
      <c r="X41" s="212"/>
      <c r="Y41" s="8"/>
      <c r="Z41" s="209"/>
      <c r="AB41" s="152" t="str">
        <f>IF(K1="EN","Sales volume","Sản lượng bán")</f>
        <v>Sản lượng bán</v>
      </c>
      <c r="AC41" s="152"/>
      <c r="AD41" s="242">
        <f t="shared" ref="AD41:AD50" ca="1" si="16">S41</f>
        <v>13474.94953660495</v>
      </c>
      <c r="AE41" s="254">
        <f t="shared" ref="AE41:AE50" ca="1" si="17">U40</f>
        <v>0.31574033679519864</v>
      </c>
    </row>
    <row r="42" spans="1:33" ht="15.65" customHeight="1">
      <c r="E42" s="255"/>
      <c r="F42" s="232"/>
      <c r="G42" s="232"/>
      <c r="H42" s="256"/>
      <c r="I42" s="256"/>
      <c r="J42" s="257"/>
      <c r="K42" s="258"/>
      <c r="L42" s="7" t="str">
        <f>IF(K1="EN","VCOGs","Biến phí hàng bán")</f>
        <v>Biến phí hàng bán</v>
      </c>
      <c r="M42" s="259" t="str">
        <f ca="1">IF(K1="EN","2. Selling price " &amp; IF(I5=0,"(m VND","(m VND/Ton)"),"2.Đơn giá bán " &amp; IF(I5=0,"(Triệu)","(Triệu/Tấn)"))</f>
        <v>2.Đơn giá bán (Triệu/Tấn)</v>
      </c>
      <c r="N42" s="260" t="s">
        <v>96</v>
      </c>
      <c r="O42" s="261">
        <f ca="1">IFERROR(G6/G5/10^6,G6/10^6)</f>
        <v>29.534301825636515</v>
      </c>
      <c r="P42" s="261">
        <f ca="1">IFERROR(H6/H5/10^6,H6/10^6)</f>
        <v>31.143825203788001</v>
      </c>
      <c r="Q42" s="261">
        <f ca="1">IFERROR(I6/I5/10^6,I6/10^6)</f>
        <v>28.577365015382057</v>
      </c>
      <c r="R42" s="262">
        <f t="shared" ca="1" si="15"/>
        <v>-2.5664601884059444</v>
      </c>
      <c r="S42" s="263">
        <f ca="1">IF(R42*Q41=0,R42,R42*Q41)</f>
        <v>-64193.808744540074</v>
      </c>
      <c r="T42" s="253"/>
      <c r="U42" s="240">
        <f t="shared" ca="1" si="14"/>
        <v>1.4921924896989965E-2</v>
      </c>
      <c r="V42" s="33"/>
      <c r="W42" s="212"/>
      <c r="X42" s="212"/>
      <c r="Y42" s="8"/>
      <c r="Z42" s="209"/>
      <c r="AB42" s="152" t="str">
        <f>IF(K1="EN","Selling price","Giá bán")</f>
        <v>Giá bán</v>
      </c>
      <c r="AC42" s="152"/>
      <c r="AD42" s="242">
        <f t="shared" ca="1" si="16"/>
        <v>-64193.808744540074</v>
      </c>
      <c r="AE42" s="254">
        <f t="shared" ca="1" si="17"/>
        <v>-1.5041670277211572</v>
      </c>
    </row>
    <row r="43" spans="1:33" ht="15.65" customHeight="1">
      <c r="F43" s="244"/>
      <c r="G43" s="244"/>
      <c r="H43" s="256"/>
      <c r="I43" s="256"/>
      <c r="J43" s="256"/>
      <c r="K43" s="264"/>
      <c r="L43" s="7" t="str">
        <f>IF(K1="EN","FOH","CP Sản xuất")</f>
        <v>CP Sản xuất</v>
      </c>
      <c r="M43" s="260" t="str">
        <f>IF(K1="EN","3. Direct selling  " &amp; IF(F2="DTPM","(m VND/mold)","(m VND/Ton)"),"3.CP bán hàng trực tiếp " &amp; IF(F2="DTPM","(Triệu/Cái)","(Triệu/Tấn)"))</f>
        <v>3.CP bán hàng trực tiếp (Triệu/Tấn)</v>
      </c>
      <c r="N43" s="260" t="s">
        <v>87</v>
      </c>
      <c r="O43" s="265">
        <f ca="1">IFERROR(SUM(G27:G29)/G5/10^6,SUM(G27:G29)/10^6)</f>
        <v>0.75087794215784753</v>
      </c>
      <c r="P43" s="265">
        <f ca="1">IFERROR(SUM(H27:H29)/H5/10^6,SUM(H27:H29)/10^6)</f>
        <v>0.74774257513779707</v>
      </c>
      <c r="Q43" s="265">
        <f ca="1">IFERROR(SUM(I27:I29)/I5/10^6,SUM(I27:I29)/10^6)</f>
        <v>0.72228228683422468</v>
      </c>
      <c r="R43" s="266">
        <f t="shared" ca="1" si="15"/>
        <v>-2.5460288303572387E-2</v>
      </c>
      <c r="S43" s="267">
        <f ca="1">IF(-R43*Q41=0,-R43,-R43*Q41)</f>
        <v>636.82767623818677</v>
      </c>
      <c r="T43" s="253"/>
      <c r="U43" s="240">
        <f t="shared" ca="1" si="14"/>
        <v>0.1223369310194969</v>
      </c>
      <c r="V43" s="33"/>
      <c r="W43" s="212"/>
      <c r="X43" s="212"/>
      <c r="Y43" s="8"/>
      <c r="Z43" s="209"/>
      <c r="AB43" s="152" t="str">
        <f>IF(K1="EN","Direct selling","Vận chuyển")</f>
        <v>Vận chuyển</v>
      </c>
      <c r="AC43" s="152"/>
      <c r="AD43" s="242">
        <f t="shared" ca="1" si="16"/>
        <v>636.82767623818677</v>
      </c>
      <c r="AE43" s="254">
        <f t="shared" ca="1" si="17"/>
        <v>1.4921924896989965E-2</v>
      </c>
    </row>
    <row r="44" spans="1:33" ht="15.65" customHeight="1">
      <c r="F44" s="255"/>
      <c r="G44" s="255"/>
      <c r="H44" s="9"/>
      <c r="I44" s="9"/>
      <c r="J44" s="268"/>
      <c r="K44" s="34"/>
      <c r="L44" s="7" t="str">
        <f>IF(K1="EN","MKT &amp; ADM","CP bán hàng&amp;quản lý")</f>
        <v>CP bán hàng&amp;quản lý</v>
      </c>
      <c r="M44" s="259" t="str">
        <f>IF(K1="EN","4. VCOGS "&amp;IF(F2="DTPM","(m VND/mold)","(m VND/Ton)"),"4.Biến phí hàng bán "&amp;IF(F2="DTPM","(Triệu/Cái)","(Triệu/Tấn)"))</f>
        <v>4.Biến phí hàng bán (Triệu/Tấn)</v>
      </c>
      <c r="N44" s="260" t="s">
        <v>97</v>
      </c>
      <c r="O44" s="269">
        <f ca="1">IF(O25=0,(SUM(G11:G13)+SUM(G20:G22))/10^6,(SUM(G11:G13)+SUM(G20:G22))/O25/10^6)</f>
        <v>22.140579327661374</v>
      </c>
      <c r="P44" s="269">
        <f ca="1">IF(P25=0,(SUM(H11:H13)+SUM(H20:H22))/10^6,(SUM(H11:H13)+SUM(H20:H22))/P25/10^6)</f>
        <v>21.792149836628131</v>
      </c>
      <c r="Q44" s="269">
        <f ca="1">IF(Q25=0,(SUM(I11:I13)+SUM(I20:I22))/10^6,(SUM(I11:I13)+SUM(I20:I22))/Q25/10^6)</f>
        <v>21.583414465324999</v>
      </c>
      <c r="R44" s="262">
        <f t="shared" ca="1" si="15"/>
        <v>-0.20873537130313125</v>
      </c>
      <c r="S44" s="263">
        <f ca="1">IF(-R44*Q41=0,-R44,-R44*Q41)</f>
        <v>5221.0116346968734</v>
      </c>
      <c r="T44" s="253"/>
      <c r="U44" s="240">
        <f t="shared" ca="1" si="14"/>
        <v>-0.117286161351909</v>
      </c>
      <c r="V44" s="33"/>
      <c r="W44" s="212"/>
      <c r="X44" s="212"/>
      <c r="Y44" s="8"/>
      <c r="Z44" s="209"/>
      <c r="AB44" s="152" t="str">
        <f>IF(K1="EN","VCOGS","Giá vốn")</f>
        <v>Giá vốn</v>
      </c>
      <c r="AC44" s="152"/>
      <c r="AD44" s="242">
        <f t="shared" ca="1" si="16"/>
        <v>5221.0116346968734</v>
      </c>
      <c r="AE44" s="254">
        <f t="shared" ca="1" si="17"/>
        <v>0.1223369310194969</v>
      </c>
    </row>
    <row r="45" spans="1:33" ht="15.65" customHeight="1">
      <c r="E45" s="270"/>
      <c r="H45" s="271"/>
      <c r="L45" s="7" t="str">
        <f>IF(K1="EN","Depreciation","Khấu hao")</f>
        <v>Khấu hao</v>
      </c>
      <c r="M45" s="260" t="str">
        <f>IF(K1="EN","5. FOH (m VND)","5.Chi phí sản xuất ((Triệu)")</f>
        <v>5.Chi phí sản xuất ((Triệu)</v>
      </c>
      <c r="N45" s="260" t="s">
        <v>39</v>
      </c>
      <c r="O45" s="272">
        <f ca="1">SUM(G14:G18)</f>
        <v>63553969566</v>
      </c>
      <c r="P45" s="272">
        <f ca="1">SUM(H14:H18)</f>
        <v>77017165793</v>
      </c>
      <c r="Q45" s="272">
        <f ca="1">SUM(I14:I18)</f>
        <v>82022624144</v>
      </c>
      <c r="R45" s="273">
        <f t="shared" ca="1" si="15"/>
        <v>5005458351</v>
      </c>
      <c r="S45" s="267">
        <f ca="1">-R45/10^6</f>
        <v>-5005.4583510000002</v>
      </c>
      <c r="T45" s="253"/>
      <c r="U45" s="240">
        <f t="shared" ca="1" si="14"/>
        <v>-0.1127315433079418</v>
      </c>
      <c r="V45" s="33"/>
      <c r="W45" s="8"/>
      <c r="X45" s="8"/>
      <c r="Y45" s="8"/>
      <c r="Z45" s="209"/>
      <c r="AA45" s="8"/>
      <c r="AB45" s="152" t="str">
        <f>IF(K1="EN","FOH","CP Sản xuất")</f>
        <v>CP Sản xuất</v>
      </c>
      <c r="AC45" s="152"/>
      <c r="AD45" s="242">
        <f t="shared" ca="1" si="16"/>
        <v>-5005.4583510000002</v>
      </c>
      <c r="AE45" s="254">
        <f t="shared" ca="1" si="17"/>
        <v>-0.117286161351909</v>
      </c>
    </row>
    <row r="46" spans="1:33" ht="15.65" customHeight="1">
      <c r="E46" s="274"/>
      <c r="H46" s="275"/>
      <c r="I46" s="275"/>
      <c r="L46" s="7" t="str">
        <f>IF(K1="EN","Interest","Lãi vay")</f>
        <v>Lãi vay</v>
      </c>
      <c r="M46" s="259" t="str">
        <f>IF(K1="EN","6. MKT &amp; ADM (m VND)","6.CP bán hàng &amp; quản lý (Triệu)")</f>
        <v>6.CP bán hàng &amp; quản lý (Triệu)</v>
      </c>
      <c r="N46" s="260" t="s">
        <v>98</v>
      </c>
      <c r="O46" s="276">
        <f ca="1">G25+G26+G31</f>
        <v>27039978873</v>
      </c>
      <c r="P46" s="276">
        <f ca="1">H25+H26+H31</f>
        <v>41458456399</v>
      </c>
      <c r="Q46" s="276">
        <f ca="1">I25+I26+I31</f>
        <v>46269535885</v>
      </c>
      <c r="R46" s="277">
        <f t="shared" ca="1" si="15"/>
        <v>4811079486</v>
      </c>
      <c r="S46" s="263">
        <f ca="1">-R46/10^6</f>
        <v>-4811.0794859999996</v>
      </c>
      <c r="T46" s="253"/>
      <c r="U46" s="240">
        <f t="shared" ca="1" si="14"/>
        <v>0.13329729487672651</v>
      </c>
      <c r="V46" s="33"/>
      <c r="W46" s="8"/>
      <c r="X46" s="8"/>
      <c r="Y46" s="7"/>
      <c r="Z46" s="125"/>
      <c r="AB46" s="152" t="str">
        <f>IF(K1="EN","MKT &amp; ADM","CP BH &amp; Quản lý")</f>
        <v>CP BH &amp; Quản lý</v>
      </c>
      <c r="AC46" s="152"/>
      <c r="AD46" s="242">
        <f t="shared" ca="1" si="16"/>
        <v>-4811.0794859999996</v>
      </c>
      <c r="AE46" s="254">
        <f t="shared" ca="1" si="17"/>
        <v>-0.1127315433079418</v>
      </c>
    </row>
    <row r="47" spans="1:33" ht="15.65" customHeight="1">
      <c r="E47" s="278"/>
      <c r="F47" s="270"/>
      <c r="G47" s="270"/>
      <c r="H47" s="279"/>
      <c r="I47" s="279"/>
      <c r="L47" s="7" t="str">
        <f>IF(K1="EN","CIT","Thuế TNDN")</f>
        <v>Thuế TNDN</v>
      </c>
      <c r="M47" s="260" t="str">
        <f>IF(K1="EN","7. Depreciation (m VND)","7.Khấu hao (Triệu)")</f>
        <v>7.Khấu hao (Triệu)</v>
      </c>
      <c r="N47" s="260" t="s">
        <v>84</v>
      </c>
      <c r="O47" s="272">
        <f ca="1">G19+G30</f>
        <v>20983532256</v>
      </c>
      <c r="P47" s="272">
        <f ca="1">H19+H30</f>
        <v>34236131882</v>
      </c>
      <c r="Q47" s="272">
        <f ca="1">I19+I30</f>
        <v>28547361356</v>
      </c>
      <c r="R47" s="273">
        <f t="shared" ca="1" si="15"/>
        <v>-5688770526</v>
      </c>
      <c r="S47" s="267">
        <f ca="1">-R47/10^6</f>
        <v>5688.7705260000002</v>
      </c>
      <c r="T47" s="253"/>
      <c r="U47" s="240">
        <f t="shared" ca="1" si="14"/>
        <v>-1.0892948525176856E-2</v>
      </c>
      <c r="V47" s="33"/>
      <c r="W47" s="8"/>
      <c r="X47" s="8"/>
      <c r="Y47" s="7"/>
      <c r="Z47" s="125"/>
      <c r="AB47" s="152" t="str">
        <f>IF(K1="EN","Depreciation","Khấu hao")</f>
        <v>Khấu hao</v>
      </c>
      <c r="AC47" s="152"/>
      <c r="AD47" s="242">
        <f t="shared" ca="1" si="16"/>
        <v>5688.7705260000002</v>
      </c>
      <c r="AE47" s="254">
        <f t="shared" ca="1" si="17"/>
        <v>0.13329729487672651</v>
      </c>
    </row>
    <row r="48" spans="1:33" ht="15.65" customHeight="1">
      <c r="E48" s="280"/>
      <c r="F48" s="274"/>
      <c r="G48" s="274"/>
      <c r="H48" s="281"/>
      <c r="I48" s="281"/>
      <c r="L48" s="7" t="str">
        <f>IF(K1="EN","Others","Thu nhập khác")</f>
        <v>Thu nhập khác</v>
      </c>
      <c r="M48" s="259" t="str">
        <f>IF(K1="EN","8. Interest (m VND)","8.Lãi vay (Triệu)")</f>
        <v>8.Lãi vay (Triệu)</v>
      </c>
      <c r="N48" s="260" t="s">
        <v>99</v>
      </c>
      <c r="O48" s="276">
        <f ca="1">G33</f>
        <v>3491705382</v>
      </c>
      <c r="P48" s="276">
        <f ca="1">H33</f>
        <v>4792152527</v>
      </c>
      <c r="Q48" s="276">
        <f ca="1">I33</f>
        <v>5257034313</v>
      </c>
      <c r="R48" s="277">
        <f t="shared" ca="1" si="15"/>
        <v>464881786</v>
      </c>
      <c r="S48" s="263">
        <f ca="1">-R48/10^6</f>
        <v>-464.88178599999998</v>
      </c>
      <c r="T48" s="253"/>
      <c r="U48" s="240">
        <f t="shared" ca="1" si="14"/>
        <v>0.18013128105398257</v>
      </c>
      <c r="V48" s="5"/>
      <c r="W48" s="33"/>
      <c r="X48" s="33"/>
      <c r="Y48" s="241"/>
      <c r="Z48" s="146"/>
      <c r="AB48" s="152" t="str">
        <f>IF(K1="EN","Interest","Lãi vay")</f>
        <v>Lãi vay</v>
      </c>
      <c r="AC48" s="152"/>
      <c r="AD48" s="242">
        <f t="shared" ca="1" si="16"/>
        <v>-464.88178599999998</v>
      </c>
      <c r="AE48" s="254">
        <f t="shared" ca="1" si="17"/>
        <v>-1.0892948525176856E-2</v>
      </c>
    </row>
    <row r="49" spans="1:31" s="7" customFormat="1" ht="17">
      <c r="A49" s="125"/>
      <c r="B49" s="1"/>
      <c r="C49" s="1"/>
      <c r="D49" s="1"/>
      <c r="E49" s="282"/>
      <c r="F49" s="278"/>
      <c r="G49" s="278"/>
      <c r="H49" s="279"/>
      <c r="I49" s="279"/>
      <c r="J49" s="9"/>
      <c r="K49" s="9"/>
      <c r="M49" s="260" t="str">
        <f>IF(K1="EN","9. CIT (m VND)","9.Thuế TNDN (Triệu)")</f>
        <v>9.Thuế TNDN (Triệu)</v>
      </c>
      <c r="N49" s="260" t="s">
        <v>94</v>
      </c>
      <c r="O49" s="272">
        <f ca="1">G37</f>
        <v>0</v>
      </c>
      <c r="P49" s="272">
        <f ca="1">H37</f>
        <v>7488616900</v>
      </c>
      <c r="Q49" s="272">
        <f ca="1">I37</f>
        <v>-198902366</v>
      </c>
      <c r="R49" s="273">
        <f t="shared" ca="1" si="15"/>
        <v>-7687519266</v>
      </c>
      <c r="S49" s="267">
        <f ca="1">-R49/10^6</f>
        <v>7687.5192660000002</v>
      </c>
      <c r="T49" s="253"/>
      <c r="U49" s="240">
        <f t="shared" ca="1" si="14"/>
        <v>-8.8057694039520795E-2</v>
      </c>
      <c r="V49" s="8"/>
      <c r="W49" s="34"/>
      <c r="X49" s="34"/>
      <c r="Y49" s="283"/>
      <c r="Z49" s="1"/>
      <c r="AB49" s="152" t="str">
        <f>IF(K1="EN","CIT","Thuế")</f>
        <v>Thuế</v>
      </c>
      <c r="AC49" s="152"/>
      <c r="AD49" s="242">
        <f t="shared" ca="1" si="16"/>
        <v>7687.5192660000002</v>
      </c>
      <c r="AE49" s="254">
        <f t="shared" ca="1" si="17"/>
        <v>0.18013128105398257</v>
      </c>
    </row>
    <row r="50" spans="1:31" s="7" customFormat="1" ht="17">
      <c r="A50" s="125"/>
      <c r="B50" s="125"/>
      <c r="C50" s="125"/>
      <c r="D50" s="125"/>
      <c r="F50" s="278"/>
      <c r="G50" s="278"/>
      <c r="H50" s="279"/>
      <c r="I50" s="279"/>
      <c r="J50" s="9"/>
      <c r="K50" s="9"/>
      <c r="L50" s="7" t="str">
        <f>M51</f>
        <v>Lợi nhuận sau thuế(2026)</v>
      </c>
      <c r="M50" s="284" t="str">
        <f>IF(K1="EN","10. Others (m VND)","10.Khác (Triệu)")</f>
        <v>10.Khác (Triệu)</v>
      </c>
      <c r="N50" s="285" t="s">
        <v>22</v>
      </c>
      <c r="O50" s="286">
        <f ca="1">G34-(G32-G33)</f>
        <v>4328908329</v>
      </c>
      <c r="P50" s="286">
        <f ca="1">H34-(H32-H33)</f>
        <v>5938169664</v>
      </c>
      <c r="Q50" s="286">
        <f ca="1">I34-(I32-I33)</f>
        <v>2180103794</v>
      </c>
      <c r="R50" s="287">
        <f t="shared" ca="1" si="15"/>
        <v>-3758065870</v>
      </c>
      <c r="S50" s="288">
        <f ca="1">R50/10^6</f>
        <v>-3758.0658699999999</v>
      </c>
      <c r="T50" s="253"/>
      <c r="U50" s="230">
        <f t="shared" ca="1" si="14"/>
        <v>0</v>
      </c>
      <c r="V50" s="8"/>
      <c r="W50" s="34"/>
      <c r="X50" s="34"/>
      <c r="Y50" s="283"/>
      <c r="Z50" s="1"/>
      <c r="AB50" s="152" t="str">
        <f>IF(K1="EN","Others","Khác")</f>
        <v>Khác</v>
      </c>
      <c r="AC50" s="152"/>
      <c r="AD50" s="242">
        <f t="shared" ca="1" si="16"/>
        <v>-3758.0658699999999</v>
      </c>
      <c r="AE50" s="254">
        <f t="shared" ca="1" si="17"/>
        <v>-8.8057694039520795E-2</v>
      </c>
    </row>
    <row r="51" spans="1:31" s="241" customFormat="1">
      <c r="A51" s="146"/>
      <c r="B51" s="146"/>
      <c r="C51" s="146"/>
      <c r="D51" s="146"/>
      <c r="F51" s="278"/>
      <c r="G51" s="278"/>
      <c r="H51" s="279"/>
      <c r="I51" s="279"/>
      <c r="J51" s="9"/>
      <c r="K51" s="9"/>
      <c r="L51" s="7"/>
      <c r="M51" s="7" t="str">
        <f>F38&amp;"("&amp;I1&amp;")"</f>
        <v>Lợi nhuận sau thuế(2026)</v>
      </c>
      <c r="N51" s="197" t="s">
        <v>100</v>
      </c>
      <c r="O51" s="197"/>
      <c r="P51" s="7"/>
      <c r="Q51" s="289"/>
      <c r="R51" s="290"/>
      <c r="S51" s="33"/>
      <c r="T51" s="33"/>
      <c r="V51" s="8"/>
      <c r="W51" s="34"/>
      <c r="X51" s="34"/>
      <c r="Y51" s="283"/>
      <c r="Z51" s="1"/>
      <c r="AB51" s="9" t="str">
        <f>IF(K1="EN","Net profit 2026","LNST 2026")</f>
        <v>LNST 2026</v>
      </c>
      <c r="AC51" s="9"/>
      <c r="AD51" s="242">
        <f ca="1">SUM(AD40:AD50)</f>
        <v>-2846.9014690000627</v>
      </c>
      <c r="AE51" s="291">
        <f ca="1">SUM(AE40:AE50)</f>
        <v>-6.6707606303310935E-2</v>
      </c>
    </row>
    <row r="52" spans="1:31">
      <c r="F52" s="278"/>
      <c r="G52" s="278"/>
      <c r="H52" s="279"/>
      <c r="I52" s="279"/>
      <c r="L52" s="241"/>
      <c r="M52" s="241"/>
      <c r="N52" s="241"/>
      <c r="O52" s="241"/>
      <c r="P52" s="241"/>
      <c r="Q52" s="241"/>
      <c r="R52" s="241"/>
      <c r="S52" s="283"/>
      <c r="T52" s="292"/>
      <c r="U52" s="9"/>
      <c r="V52" s="8"/>
      <c r="W52" s="34"/>
      <c r="X52" s="34"/>
      <c r="Y52" s="283"/>
    </row>
    <row r="53" spans="1:31">
      <c r="F53" s="293"/>
      <c r="G53" s="293"/>
      <c r="H53" s="294"/>
      <c r="I53" s="294"/>
      <c r="J53" s="7"/>
      <c r="K53" s="7"/>
      <c r="L53" s="9"/>
      <c r="U53" s="9"/>
      <c r="V53" s="8"/>
      <c r="W53" s="34"/>
      <c r="X53" s="34"/>
      <c r="Y53" s="283"/>
    </row>
    <row r="54" spans="1:31">
      <c r="J54" s="241"/>
      <c r="K54" s="241"/>
      <c r="L54" s="9"/>
      <c r="U54" s="9"/>
      <c r="V54" s="8"/>
      <c r="W54" s="34"/>
      <c r="X54" s="34"/>
      <c r="Y54" s="283"/>
    </row>
    <row r="55" spans="1:31">
      <c r="J55" s="34"/>
      <c r="K55" s="295"/>
      <c r="L55" s="9"/>
      <c r="U55" s="9"/>
      <c r="V55" s="8"/>
      <c r="Y55" s="283"/>
    </row>
    <row r="56" spans="1:31">
      <c r="L56" s="9"/>
      <c r="U56" s="9"/>
      <c r="V56" s="8"/>
    </row>
    <row r="57" spans="1:31">
      <c r="L57" s="9"/>
      <c r="U57" s="9"/>
      <c r="V57" s="8"/>
    </row>
    <row r="58" spans="1:31">
      <c r="L58" s="9"/>
      <c r="V58" s="8"/>
    </row>
    <row r="59" spans="1:31">
      <c r="K59" s="295"/>
      <c r="V59" s="8"/>
    </row>
    <row r="60" spans="1:31">
      <c r="V60" s="8"/>
    </row>
    <row r="61" spans="1:31">
      <c r="V61" s="8"/>
    </row>
    <row r="62" spans="1:31">
      <c r="V62" s="8"/>
    </row>
    <row r="63" spans="1:31">
      <c r="K63" s="295"/>
    </row>
    <row r="64" spans="1:31">
      <c r="K64" s="295"/>
    </row>
    <row r="65" spans="10:10">
      <c r="J65" s="296"/>
    </row>
    <row r="84" spans="16:16">
      <c r="P84" s="283"/>
    </row>
  </sheetData>
  <mergeCells count="2">
    <mergeCell ref="J3:K3"/>
    <mergeCell ref="R3:S3"/>
  </mergeCells>
  <conditionalFormatting sqref="R41">
    <cfRule type="iconSet" priority="11">
      <iconSet iconSet="3Symbols">
        <cfvo type="percent" val="0"/>
        <cfvo type="num" val="0"/>
        <cfvo type="num" val="0" gte="0"/>
      </iconSet>
    </cfRule>
  </conditionalFormatting>
  <conditionalFormatting sqref="R42">
    <cfRule type="iconSet" priority="12">
      <iconSet iconSet="3Symbols">
        <cfvo type="percent" val="0"/>
        <cfvo type="num" val="0"/>
        <cfvo type="num" val="0" gte="0"/>
      </iconSet>
    </cfRule>
  </conditionalFormatting>
  <conditionalFormatting sqref="R50">
    <cfRule type="iconSet" priority="10">
      <iconSet iconSet="3Symbols">
        <cfvo type="percent" val="0"/>
        <cfvo type="num" val="0"/>
        <cfvo type="num" val="0" gte="0"/>
      </iconSet>
    </cfRule>
  </conditionalFormatting>
  <conditionalFormatting sqref="S41:T50">
    <cfRule type="colorScale" priority="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Z21">
    <cfRule type="iconSet" priority="30">
      <iconSet iconSet="3Arrows" showValue="0">
        <cfvo type="percent" val="0"/>
        <cfvo type="num" val="0"/>
        <cfvo type="num" val="0" gte="0"/>
      </iconSet>
    </cfRule>
  </conditionalFormatting>
  <conditionalFormatting sqref="AB25">
    <cfRule type="iconSet" priority="26">
      <iconSet iconSet="3Arrows" showValue="0">
        <cfvo type="percent" val="0"/>
        <cfvo type="num" val="0"/>
        <cfvo type="num" val="0" gte="0"/>
      </iconSet>
    </cfRule>
    <cfRule type="containsText" dxfId="2" priority="27" operator="containsText" text="Decrease">
      <formula>NOT(ISERROR(SEARCH("Decrease",AB25)))</formula>
    </cfRule>
  </conditionalFormatting>
  <conditionalFormatting sqref="AE10:AE12">
    <cfRule type="cellIs" dxfId="1" priority="2" operator="lessThan">
      <formula>0</formula>
    </cfRule>
  </conditionalFormatting>
  <conditionalFormatting sqref="AF10">
    <cfRule type="cellIs" dxfId="0" priority="1" operator="lessThan">
      <formula>0</formula>
    </cfRule>
  </conditionalFormatting>
  <dataValidations count="2">
    <dataValidation type="list" allowBlank="1" showInputMessage="1" showErrorMessage="1" sqref="K2" xr:uid="{18187884-9CD9-4CF9-8192-19EA86A65E5A}">
      <formula1>"Triệu VND,USD"</formula1>
    </dataValidation>
    <dataValidation type="list" allowBlank="1" showInputMessage="1" showErrorMessage="1" sqref="K1" xr:uid="{26BFA304-1A1F-4C99-B5D1-15F94ABED1F1}">
      <formula1>"EN,VN"</formula1>
    </dataValidation>
  </dataValidations>
  <printOptions horizontalCentered="1"/>
  <pageMargins left="0.118110236220472" right="0.118110236220472" top="0" bottom="0" header="0.31496062992126" footer="0.31496062992126"/>
  <pageSetup paperSize="8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" id="{39BA5715-D0DB-41A0-A411-02F8C96B28A6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2"/>
              <x14:cfIcon iconSet="NoIcons" iconId="0"/>
              <x14:cfIcon iconSet="3Symbols" iconId="0"/>
            </x14:iconSet>
          </x14:cfRule>
          <xm:sqref>R43</xm:sqref>
        </x14:conditionalFormatting>
        <x14:conditionalFormatting xmlns:xm="http://schemas.microsoft.com/office/excel/2006/main">
          <x14:cfRule type="iconSet" priority="14" id="{F619F9B0-1A3C-45FC-89A1-79C9C334E8A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2"/>
              <x14:cfIcon iconSet="NoIcons" iconId="0"/>
              <x14:cfIcon iconSet="3Symbols" iconId="0"/>
            </x14:iconSet>
          </x14:cfRule>
          <xm:sqref>R44:R48</xm:sqref>
        </x14:conditionalFormatting>
        <x14:conditionalFormatting xmlns:xm="http://schemas.microsoft.com/office/excel/2006/main">
          <x14:cfRule type="iconSet" priority="9" id="{ABFCC42E-D57E-485B-824D-A784E2F7DC3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2"/>
              <x14:cfIcon iconSet="3Symbols" iconId="1"/>
              <x14:cfIcon iconSet="3Symbols" iconId="0"/>
            </x14:iconSet>
          </x14:cfRule>
          <xm:sqref>R49</xm:sqref>
        </x14:conditionalFormatting>
        <x14:conditionalFormatting xmlns:xm="http://schemas.microsoft.com/office/excel/2006/main">
          <x14:cfRule type="iconSet" priority="6" id="{5F1EEBFE-4AC9-40CC-8782-B4A1FDF05993}">
            <x14:iconSet iconSet="3ArrowsGray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Gray" iconId="0"/>
              <x14:cfIcon iconSet="NoIcons" iconId="0"/>
              <x14:cfIcon iconSet="3ArrowsGray" iconId="2"/>
            </x14:iconSet>
          </x14:cfRule>
          <xm:sqref>S25:T25</xm:sqref>
        </x14:conditionalFormatting>
        <x14:conditionalFormatting xmlns:xm="http://schemas.microsoft.com/office/excel/2006/main">
          <x14:cfRule type="iconSet" priority="8" id="{B104B3EA-A51E-466F-9626-1CCDD2BBB50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Gray" iconId="0"/>
              <x14:cfIcon iconSet="NoIcons" iconId="0"/>
              <x14:cfIcon iconSet="3ArrowsGray" iconId="2"/>
            </x14:iconSet>
          </x14:cfRule>
          <xm:sqref>S26:T26</xm:sqref>
        </x14:conditionalFormatting>
        <x14:conditionalFormatting xmlns:xm="http://schemas.microsoft.com/office/excel/2006/main">
          <x14:cfRule type="iconSet" priority="5" id="{E3769CD9-6F94-41DF-89A9-34D377D38EA8}">
            <x14:iconSet iconSet="3ArrowsGray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Gray" iconId="0"/>
              <x14:cfIcon iconSet="NoIcons" iconId="0"/>
              <x14:cfIcon iconSet="3ArrowsGray" iconId="2"/>
            </x14:iconSet>
          </x14:cfRule>
          <xm:sqref>S27:T33</xm:sqref>
        </x14:conditionalFormatting>
        <x14:conditionalFormatting xmlns:xm="http://schemas.microsoft.com/office/excel/2006/main">
          <x14:cfRule type="iconSet" priority="29" id="{BD431DA2-C47B-4058-BA32-AC953BEAEED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Gray" iconId="0"/>
              <x14:cfIcon iconSet="NoIcons" iconId="0"/>
              <x14:cfIcon iconSet="3ArrowsGray" iconId="2"/>
            </x14:iconSet>
          </x14:cfRule>
          <xm:sqref>S34:T37</xm:sqref>
        </x14:conditionalFormatting>
        <x14:conditionalFormatting xmlns:xm="http://schemas.microsoft.com/office/excel/2006/main">
          <x14:cfRule type="iconSet" priority="25" id="{7DEFED82-B184-4FA8-AC30-BA6C7A7676FF}">
            <x14:iconSet custom="1">
              <x14:cfvo type="percent">
                <xm:f>0</xm:f>
              </x14:cfvo>
              <x14:cfvo type="formula">
                <xm:f>$Y$4</xm:f>
              </x14:cfvo>
              <x14:cfvo type="formula" gte="0">
                <xm:f>$Y$4</xm:f>
              </x14:cfvo>
              <x14:cfIcon iconSet="3TrafficLights1" iconId="0"/>
              <x14:cfIcon iconSet="3Symbols" iconId="1"/>
              <x14:cfIcon iconSet="3Symbols2" iconId="2"/>
            </x14:iconSet>
          </x14:cfRule>
          <xm:sqref>Z4</xm:sqref>
        </x14:conditionalFormatting>
        <x14:conditionalFormatting xmlns:xm="http://schemas.microsoft.com/office/excel/2006/main">
          <x14:cfRule type="iconSet" priority="24" id="{5FF40745-6E6C-487C-B846-C42C11E7F6DE}">
            <x14:iconSet custom="1">
              <x14:cfvo type="percent">
                <xm:f>0</xm:f>
              </x14:cfvo>
              <x14:cfvo type="formula">
                <xm:f>$Y$5</xm:f>
              </x14:cfvo>
              <x14:cfvo type="formula" gte="0">
                <xm:f>$Y$5</xm:f>
              </x14:cfvo>
              <x14:cfIcon iconSet="3Symbols2" iconId="2"/>
              <x14:cfIcon iconSet="3Symbols" iconId="1"/>
              <x14:cfIcon iconSet="3TrafficLights1" iconId="0"/>
            </x14:iconSet>
          </x14:cfRule>
          <xm:sqref>Z5</xm:sqref>
        </x14:conditionalFormatting>
        <x14:conditionalFormatting xmlns:xm="http://schemas.microsoft.com/office/excel/2006/main">
          <x14:cfRule type="iconSet" priority="23" id="{0CEFDC7B-A19A-4725-A9A5-CE9267C43411}">
            <x14:iconSet custom="1">
              <x14:cfvo type="percent">
                <xm:f>0</xm:f>
              </x14:cfvo>
              <x14:cfvo type="formula">
                <xm:f>$Y$6</xm:f>
              </x14:cfvo>
              <x14:cfvo type="formula" gte="0">
                <xm:f>$Y$6</xm:f>
              </x14:cfvo>
              <x14:cfIcon iconSet="3Symbols2" iconId="2"/>
              <x14:cfIcon iconSet="3Symbols" iconId="1"/>
              <x14:cfIcon iconSet="3TrafficLights1" iconId="0"/>
            </x14:iconSet>
          </x14:cfRule>
          <xm:sqref>Z6</xm:sqref>
        </x14:conditionalFormatting>
        <x14:conditionalFormatting xmlns:xm="http://schemas.microsoft.com/office/excel/2006/main">
          <x14:cfRule type="iconSet" priority="22" id="{0CC55291-5BCC-4417-8A60-AC909DA566FA}">
            <x14:iconSet custom="1">
              <x14:cfvo type="percent">
                <xm:f>0</xm:f>
              </x14:cfvo>
              <x14:cfvo type="formula">
                <xm:f>$Y$7</xm:f>
              </x14:cfvo>
              <x14:cfvo type="formula" gte="0">
                <xm:f>$Y$7</xm:f>
              </x14:cfvo>
              <x14:cfIcon iconSet="3Symbols2" iconId="2"/>
              <x14:cfIcon iconSet="3Symbols" iconId="1"/>
              <x14:cfIcon iconSet="3TrafficLights1" iconId="0"/>
            </x14:iconSet>
          </x14:cfRule>
          <xm:sqref>Z7</xm:sqref>
        </x14:conditionalFormatting>
        <x14:conditionalFormatting xmlns:xm="http://schemas.microsoft.com/office/excel/2006/main">
          <x14:cfRule type="iconSet" priority="21" id="{CE67C088-3EC6-4A9E-8185-D40241CF4DDA}">
            <x14:iconSet custom="1">
              <x14:cfvo type="percent">
                <xm:f>0</xm:f>
              </x14:cfvo>
              <x14:cfvo type="formula">
                <xm:f>$Y$8</xm:f>
              </x14:cfvo>
              <x14:cfvo type="formula" gte="0">
                <xm:f>$Y$8</xm:f>
              </x14:cfvo>
              <x14:cfIcon iconSet="3Symbols2" iconId="2"/>
              <x14:cfIcon iconSet="3Symbols" iconId="1"/>
              <x14:cfIcon iconSet="3TrafficLights1" iconId="0"/>
            </x14:iconSet>
          </x14:cfRule>
          <xm:sqref>Z8</xm:sqref>
        </x14:conditionalFormatting>
        <x14:conditionalFormatting xmlns:xm="http://schemas.microsoft.com/office/excel/2006/main">
          <x14:cfRule type="iconSet" priority="7" id="{A00FD48F-FE95-4B83-A471-FC1077011FBB}">
            <x14:iconSet iconSet="3Flags" custom="1">
              <x14:cfvo type="percent">
                <xm:f>0</xm:f>
              </x14:cfvo>
              <x14:cfvo type="formula">
                <xm:f>$Y$9</xm:f>
              </x14:cfvo>
              <x14:cfvo type="formula">
                <xm:f>$Y$9</xm:f>
              </x14:cfvo>
              <x14:cfIcon iconSet="3TrafficLights1" iconId="0"/>
              <x14:cfIcon iconSet="3Flags" iconId="1"/>
              <x14:cfIcon iconSet="3Symbols2" iconId="2"/>
            </x14:iconSet>
          </x14:cfRule>
          <xm:sqref>Z9</xm:sqref>
        </x14:conditionalFormatting>
        <x14:conditionalFormatting xmlns:xm="http://schemas.microsoft.com/office/excel/2006/main">
          <x14:cfRule type="iconSet" priority="28" id="{4CCAA5DD-1A07-48BD-A203-CDE6B8048FAE}">
            <x14:iconSet custom="1">
              <x14:cfvo type="percent">
                <xm:f>0</xm:f>
              </x14:cfvo>
              <x14:cfvo type="formula">
                <xm:f>$Y$10</xm:f>
              </x14:cfvo>
              <x14:cfvo type="formula" gte="0">
                <xm:f>$Y$10</xm:f>
              </x14:cfvo>
              <x14:cfIcon iconSet="3TrafficLights1" iconId="0"/>
              <x14:cfIcon iconSet="3Symbols2" iconId="1"/>
              <x14:cfIcon iconSet="3Symbols2" iconId="2"/>
            </x14:iconSet>
          </x14:cfRule>
          <xm:sqref>Z10</xm:sqref>
        </x14:conditionalFormatting>
        <x14:conditionalFormatting xmlns:xm="http://schemas.microsoft.com/office/excel/2006/main">
          <x14:cfRule type="iconSet" priority="20" id="{462C5BE9-C97F-498E-B1E1-264D3FA20F83}">
            <x14:iconSet custom="1">
              <x14:cfvo type="percent">
                <xm:f>0</xm:f>
              </x14:cfvo>
              <x14:cfvo type="formula">
                <xm:f>$Y$11</xm:f>
              </x14:cfvo>
              <x14:cfvo type="formula" gte="0">
                <xm:f>$Y$11</xm:f>
              </x14:cfvo>
              <x14:cfIcon iconSet="3Symbols2" iconId="2"/>
              <x14:cfIcon iconSet="3Symbols2" iconId="1"/>
              <x14:cfIcon iconSet="3Flags" iconId="0"/>
            </x14:iconSet>
          </x14:cfRule>
          <xm:sqref>Z11</xm:sqref>
        </x14:conditionalFormatting>
        <x14:conditionalFormatting xmlns:xm="http://schemas.microsoft.com/office/excel/2006/main">
          <x14:cfRule type="iconSet" priority="19" id="{4A2D53BB-1E01-46F1-AFDA-7016D44BBF87}">
            <x14:iconSet custom="1">
              <x14:cfvo type="percent">
                <xm:f>0</xm:f>
              </x14:cfvo>
              <x14:cfvo type="formula">
                <xm:f>$Y$12</xm:f>
              </x14:cfvo>
              <x14:cfvo type="formula" gte="0">
                <xm:f>$Y$12</xm:f>
              </x14:cfvo>
              <x14:cfIcon iconSet="3Symbols2" iconId="2"/>
              <x14:cfIcon iconSet="3Symbols2" iconId="1"/>
              <x14:cfIcon iconSet="3Flags" iconId="0"/>
            </x14:iconSet>
          </x14:cfRule>
          <xm:sqref>Z12</xm:sqref>
        </x14:conditionalFormatting>
        <x14:conditionalFormatting xmlns:xm="http://schemas.microsoft.com/office/excel/2006/main">
          <x14:cfRule type="iconSet" priority="18" id="{731DEC23-4C4E-4FBB-9FA8-53ED997819FB}">
            <x14:iconSet custom="1">
              <x14:cfvo type="percent">
                <xm:f>0</xm:f>
              </x14:cfvo>
              <x14:cfvo type="formula">
                <xm:f>$Y$13</xm:f>
              </x14:cfvo>
              <x14:cfvo type="formula" gte="0">
                <xm:f>$Y$13</xm:f>
              </x14:cfvo>
              <x14:cfIcon iconSet="3TrafficLights1" iconId="0"/>
              <x14:cfIcon iconSet="3Symbols2" iconId="1"/>
              <x14:cfIcon iconSet="3Symbols2" iconId="2"/>
            </x14:iconSet>
          </x14:cfRule>
          <xm:sqref>Z13</xm:sqref>
        </x14:conditionalFormatting>
        <x14:conditionalFormatting xmlns:xm="http://schemas.microsoft.com/office/excel/2006/main">
          <x14:cfRule type="iconSet" priority="17" id="{786726A0-DD08-4FF6-BE19-00A2BE0D529F}">
            <x14:iconSet custom="1">
              <x14:cfvo type="percent">
                <xm:f>0</xm:f>
              </x14:cfvo>
              <x14:cfvo type="formula">
                <xm:f>$Y$14</xm:f>
              </x14:cfvo>
              <x14:cfvo type="formula" gte="0">
                <xm:f>$Y$14</xm:f>
              </x14:cfvo>
              <x14:cfIcon iconSet="3Symbols2" iconId="2"/>
              <x14:cfIcon iconSet="3Symbols2" iconId="1"/>
              <x14:cfIcon iconSet="3TrafficLights1" iconId="0"/>
            </x14:iconSet>
          </x14:cfRule>
          <xm:sqref>Z14</xm:sqref>
        </x14:conditionalFormatting>
        <x14:conditionalFormatting xmlns:xm="http://schemas.microsoft.com/office/excel/2006/main">
          <x14:cfRule type="iconSet" priority="16" id="{8A980B69-65D2-4F33-ABD0-9BE957226B5D}">
            <x14:iconSet custom="1">
              <x14:cfvo type="percent">
                <xm:f>0</xm:f>
              </x14:cfvo>
              <x14:cfvo type="formula">
                <xm:f>$Y$15</xm:f>
              </x14:cfvo>
              <x14:cfvo type="formula" gte="0">
                <xm:f>$Y$15</xm:f>
              </x14:cfvo>
              <x14:cfIcon iconSet="3Symbols2" iconId="2"/>
              <x14:cfIcon iconSet="3Symbols2" iconId="1"/>
              <x14:cfIcon iconSet="3TrafficLights1" iconId="0"/>
            </x14:iconSet>
          </x14:cfRule>
          <xm:sqref>Z15</xm:sqref>
        </x14:conditionalFormatting>
        <x14:conditionalFormatting xmlns:xm="http://schemas.microsoft.com/office/excel/2006/main">
          <x14:cfRule type="iconSet" priority="15" id="{F927E533-BC87-4E35-ABAC-5E26F303424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Z17</xm:sqref>
        </x14:conditionalFormatting>
        <x14:conditionalFormatting xmlns:xm="http://schemas.microsoft.com/office/excel/2006/main">
          <x14:cfRule type="iconSet" priority="3" id="{124E965C-EBCE-421F-8AF5-1A2EE458A61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Z22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0B58F5D-F68C-42AF-AE17-C4056F16A104}">
          <x14:formula1>
            <xm:f>Data!$R$28:$AC$28</xm:f>
          </x14:formula1>
          <xm:sqref>G2:I2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A37C-0CA8-4EE5-8EB6-43E9E122A63C}">
  <dimension ref="A1:BH209"/>
  <sheetViews>
    <sheetView showGridLines="0" zoomScale="80" zoomScaleNormal="80" workbookViewId="0">
      <pane xSplit="4" ySplit="28" topLeftCell="AA29" activePane="bottomRight" state="frozen"/>
      <selection activeCell="M2" sqref="M2"/>
      <selection pane="topRight" activeCell="M2" sqref="M2"/>
      <selection pane="bottomLeft" activeCell="M2" sqref="M2"/>
      <selection pane="bottomRight" activeCell="AD35" sqref="AD35"/>
    </sheetView>
  </sheetViews>
  <sheetFormatPr defaultRowHeight="14.5" outlineLevelRow="1" outlineLevelCol="1"/>
  <cols>
    <col min="1" max="1" width="6.1796875" customWidth="1"/>
    <col min="2" max="2" width="11.54296875" customWidth="1"/>
    <col min="3" max="3" width="24.1796875" bestFit="1" customWidth="1"/>
    <col min="4" max="4" width="30.54296875" customWidth="1"/>
    <col min="5" max="7" width="18.1796875" style="297" customWidth="1" outlineLevel="1"/>
    <col min="8" max="16" width="19.26953125" style="297" customWidth="1" outlineLevel="1"/>
    <col min="17" max="17" width="19.26953125" style="297" bestFit="1" customWidth="1"/>
    <col min="18" max="25" width="19.26953125" style="297" customWidth="1" outlineLevel="1"/>
    <col min="26" max="27" width="18.26953125" style="297" customWidth="1" outlineLevel="1"/>
    <col min="28" max="29" width="19.26953125" style="297" customWidth="1" outlineLevel="1"/>
    <col min="30" max="30" width="18.1796875" style="297" bestFit="1" customWidth="1"/>
    <col min="31" max="31" width="19.54296875" style="297" bestFit="1" customWidth="1"/>
    <col min="32" max="43" width="19.26953125" style="297" customWidth="1" outlineLevel="1"/>
    <col min="44" max="44" width="18.1796875" bestFit="1" customWidth="1"/>
    <col min="45" max="45" width="18.26953125" bestFit="1" customWidth="1"/>
    <col min="46" max="46" width="14.1796875" customWidth="1"/>
    <col min="47" max="47" width="13.54296875" customWidth="1"/>
    <col min="48" max="57" width="12.81640625" customWidth="1"/>
    <col min="58" max="58" width="14.54296875" customWidth="1"/>
  </cols>
  <sheetData>
    <row r="1" spans="1:43">
      <c r="D1" t="s">
        <v>101</v>
      </c>
    </row>
    <row r="2" spans="1:43" s="298" customFormat="1">
      <c r="E2" s="299">
        <v>1</v>
      </c>
      <c r="F2" s="300">
        <v>2</v>
      </c>
      <c r="G2" s="300">
        <v>3</v>
      </c>
      <c r="H2" s="300">
        <v>4</v>
      </c>
      <c r="I2" s="300">
        <v>5</v>
      </c>
      <c r="J2" s="300">
        <v>6</v>
      </c>
      <c r="K2" s="300">
        <v>7</v>
      </c>
      <c r="L2" s="300">
        <v>8</v>
      </c>
      <c r="M2" s="300">
        <v>9</v>
      </c>
      <c r="N2" s="300">
        <v>10</v>
      </c>
      <c r="O2" s="300">
        <v>11</v>
      </c>
      <c r="P2" s="300">
        <v>12</v>
      </c>
      <c r="Q2" s="300">
        <v>2024</v>
      </c>
      <c r="R2" s="300">
        <v>1</v>
      </c>
      <c r="S2" s="300">
        <v>2</v>
      </c>
      <c r="T2" s="300">
        <v>3</v>
      </c>
      <c r="U2" s="300">
        <v>4</v>
      </c>
      <c r="V2" s="300">
        <v>5</v>
      </c>
      <c r="W2" s="300">
        <v>6</v>
      </c>
      <c r="X2" s="300">
        <v>7</v>
      </c>
      <c r="Y2" s="300">
        <v>8</v>
      </c>
      <c r="Z2" s="300">
        <v>9</v>
      </c>
      <c r="AA2" s="300">
        <v>10</v>
      </c>
      <c r="AB2" s="300">
        <v>11</v>
      </c>
      <c r="AC2" s="300">
        <v>12</v>
      </c>
      <c r="AD2" s="300">
        <v>2025</v>
      </c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</row>
    <row r="3" spans="1:43" hidden="1" outlineLevel="1">
      <c r="A3" t="str">
        <f>Performance!$K$1</f>
        <v>VN</v>
      </c>
      <c r="B3" t="str">
        <f>Performance!K2</f>
        <v>Triệu VND</v>
      </c>
      <c r="D3" t="str">
        <f>IF(B3="USD","nghìn USD","Triệu đồng")</f>
        <v>Triệu đồng</v>
      </c>
    </row>
    <row r="4" spans="1:43" hidden="1" outlineLevel="1">
      <c r="B4" s="298" t="str">
        <f>Performance!F2</f>
        <v>DTR</v>
      </c>
      <c r="D4" s="298" t="s">
        <v>102</v>
      </c>
      <c r="E4" s="301"/>
      <c r="F4" s="301"/>
      <c r="G4" s="301"/>
      <c r="H4" s="301"/>
      <c r="I4" s="301"/>
      <c r="J4" s="301"/>
      <c r="K4" s="301"/>
      <c r="L4" s="301"/>
      <c r="M4" s="301"/>
      <c r="N4" s="301"/>
      <c r="O4" s="301"/>
      <c r="P4" s="301"/>
      <c r="Q4" s="301"/>
      <c r="R4" s="301">
        <v>1</v>
      </c>
      <c r="S4" s="301">
        <v>2</v>
      </c>
      <c r="T4" s="301">
        <v>3</v>
      </c>
      <c r="U4" s="301">
        <v>4</v>
      </c>
      <c r="V4" s="301">
        <v>5</v>
      </c>
      <c r="W4" s="301">
        <v>6</v>
      </c>
      <c r="X4" s="301">
        <v>7</v>
      </c>
      <c r="Y4" s="301">
        <v>8</v>
      </c>
      <c r="Z4" s="301">
        <v>9</v>
      </c>
      <c r="AA4" s="301">
        <v>10</v>
      </c>
      <c r="AB4" s="301">
        <v>11</v>
      </c>
      <c r="AC4" s="301">
        <v>12</v>
      </c>
      <c r="AD4" s="302" t="str">
        <f>IF('FS matrix'!A1="EN","YTD","Lũy kế")</f>
        <v>Lũy kế</v>
      </c>
      <c r="AE4" s="302"/>
      <c r="AF4" s="301"/>
      <c r="AG4" s="301"/>
      <c r="AH4" s="301"/>
      <c r="AI4" s="301"/>
      <c r="AJ4" s="301"/>
      <c r="AK4" s="301"/>
      <c r="AL4" s="301"/>
      <c r="AM4" s="301"/>
      <c r="AN4" s="301"/>
      <c r="AO4" s="301"/>
      <c r="AP4" s="301"/>
      <c r="AQ4" s="301"/>
    </row>
    <row r="5" spans="1:43" hidden="1" outlineLevel="1">
      <c r="B5">
        <f>Performance!H1</f>
        <v>2025</v>
      </c>
      <c r="D5" t="str">
        <f>IF(A3="EN","Last year","Năm trước")</f>
        <v>Năm trước</v>
      </c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4">
        <f t="shared" ref="R5:AC5" si="0">IF($B$3="USD",SUMIFS(E$28:E$359,$B$28:$B$359,$B$4,$D$28:$D$359,$D$4),SUMIFS(E$28:E$359,$B$28:$B$359,$B$4,$D$28:$D$359,$D$4)/10^6)</f>
        <v>15301.449343</v>
      </c>
      <c r="S5" s="304">
        <f t="shared" si="0"/>
        <v>13873.740836999999</v>
      </c>
      <c r="T5" s="304">
        <f t="shared" si="0"/>
        <v>20712.853308999998</v>
      </c>
      <c r="U5" s="304">
        <f t="shared" si="0"/>
        <v>19330.106722</v>
      </c>
      <c r="V5" s="304">
        <f t="shared" si="0"/>
        <v>21375.798228</v>
      </c>
      <c r="W5" s="304">
        <f t="shared" si="0"/>
        <v>20743.137065999999</v>
      </c>
      <c r="X5" s="304">
        <f t="shared" si="0"/>
        <v>19696.084735</v>
      </c>
      <c r="Y5" s="304">
        <f t="shared" si="0"/>
        <v>21459.303344</v>
      </c>
      <c r="Z5" s="304">
        <f t="shared" si="0"/>
        <v>23167.883422999999</v>
      </c>
      <c r="AA5" s="304">
        <f t="shared" si="0"/>
        <v>22887.389478000001</v>
      </c>
      <c r="AB5" s="305">
        <f t="shared" si="0"/>
        <v>22905.05746</v>
      </c>
      <c r="AC5" s="305">
        <f t="shared" si="0"/>
        <v>25170.049427000002</v>
      </c>
      <c r="AD5" s="305">
        <f ca="1">SUM(OFFSET(R5:AC5,0,0,1,Performance!H2))</f>
        <v>90593.948439</v>
      </c>
      <c r="AE5" s="305"/>
      <c r="AF5" s="305"/>
      <c r="AG5" s="305"/>
      <c r="AH5" s="305"/>
      <c r="AI5" s="305"/>
      <c r="AJ5" s="305"/>
      <c r="AK5" s="305"/>
      <c r="AL5" s="305"/>
      <c r="AM5" s="305"/>
      <c r="AN5" s="305"/>
      <c r="AO5" s="305"/>
      <c r="AP5" s="305"/>
      <c r="AQ5" s="305"/>
    </row>
    <row r="6" spans="1:43" hidden="1" outlineLevel="1">
      <c r="B6">
        <f>Performance!I1</f>
        <v>2026</v>
      </c>
      <c r="D6" t="str">
        <f>IF(A3="EN","Current year","Năm nay")</f>
        <v>Năm nay</v>
      </c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R6" s="304">
        <f t="shared" ref="R6:AC6" si="1">IF($B$3="USD",SUMIFS(R$28:R$359,$B$28:$B$359,$B$4,$D$28:$D$359,$D$4),SUMIFS(R$28:R$359,$B$28:$B$359,$B$4,$D$28:$D$359,$D$4)/10^6)</f>
        <v>23429.032257999999</v>
      </c>
      <c r="S6" s="304">
        <f t="shared" si="1"/>
        <v>22438.832555000001</v>
      </c>
      <c r="T6" s="304">
        <f t="shared" si="1"/>
        <v>24091.469238000001</v>
      </c>
      <c r="U6" s="304">
        <f t="shared" si="1"/>
        <v>24143.191428999999</v>
      </c>
      <c r="V6" s="304">
        <f t="shared" si="1"/>
        <v>24373.096711999999</v>
      </c>
      <c r="W6" s="304">
        <f t="shared" si="1"/>
        <v>24531.919150999998</v>
      </c>
      <c r="X6" s="304">
        <f t="shared" si="1"/>
        <v>25277.267822999998</v>
      </c>
      <c r="Y6" s="304">
        <f t="shared" si="1"/>
        <v>25871.125736999998</v>
      </c>
      <c r="Z6" s="304">
        <f t="shared" si="1"/>
        <v>27374.808433999999</v>
      </c>
      <c r="AA6" s="304">
        <f t="shared" si="1"/>
        <v>24985.487155999999</v>
      </c>
      <c r="AB6" s="305">
        <f t="shared" si="1"/>
        <v>26745.872180999999</v>
      </c>
      <c r="AC6" s="305">
        <f t="shared" si="1"/>
        <v>33123.811976999998</v>
      </c>
      <c r="AD6" s="305">
        <f ca="1">SUM(OFFSET(R6:AC6,0,0,1,Performance!I2))</f>
        <v>118475.622192</v>
      </c>
      <c r="AE6" s="305"/>
      <c r="AF6" s="305"/>
      <c r="AG6" s="305"/>
      <c r="AH6" s="305"/>
      <c r="AI6" s="305"/>
      <c r="AJ6" s="305"/>
      <c r="AK6" s="305"/>
      <c r="AL6" s="305"/>
      <c r="AM6" s="305"/>
      <c r="AN6" s="305"/>
      <c r="AO6" s="305"/>
      <c r="AP6" s="305"/>
      <c r="AQ6" s="305"/>
    </row>
    <row r="7" spans="1:43" hidden="1" outlineLevel="1">
      <c r="D7" s="298" t="s">
        <v>8</v>
      </c>
      <c r="E7" s="303"/>
      <c r="F7" s="303"/>
      <c r="G7" s="303"/>
      <c r="H7" s="303"/>
      <c r="I7" s="303"/>
      <c r="J7" s="303"/>
      <c r="K7" s="303"/>
      <c r="L7" s="303"/>
      <c r="M7" s="303"/>
      <c r="N7" s="303"/>
      <c r="O7" s="303"/>
      <c r="P7" s="303"/>
      <c r="Q7" s="303"/>
      <c r="R7" s="303"/>
      <c r="S7" s="303"/>
      <c r="T7" s="303"/>
      <c r="U7" s="303"/>
      <c r="V7" s="303"/>
      <c r="W7" s="303"/>
      <c r="X7" s="303"/>
      <c r="Y7" s="303"/>
      <c r="Z7" s="303"/>
      <c r="AA7" s="303"/>
      <c r="AB7" s="306"/>
      <c r="AC7" s="306"/>
      <c r="AD7" s="306"/>
      <c r="AE7" s="306"/>
      <c r="AF7" s="306"/>
      <c r="AG7" s="306"/>
      <c r="AH7" s="306"/>
      <c r="AI7" s="306"/>
      <c r="AJ7" s="306"/>
      <c r="AK7" s="306"/>
      <c r="AL7" s="306"/>
      <c r="AM7" s="306"/>
      <c r="AN7" s="306"/>
      <c r="AO7" s="306"/>
      <c r="AP7" s="306"/>
      <c r="AQ7" s="306"/>
    </row>
    <row r="8" spans="1:43" hidden="1" outlineLevel="1">
      <c r="B8">
        <v>2024</v>
      </c>
      <c r="D8" t="str">
        <f>D5</f>
        <v>Năm trước</v>
      </c>
      <c r="E8" s="303"/>
      <c r="F8" s="303"/>
      <c r="G8" s="303"/>
      <c r="H8" s="303"/>
      <c r="I8" s="303"/>
      <c r="J8" s="303"/>
      <c r="K8" s="303"/>
      <c r="L8" s="303"/>
      <c r="M8" s="303"/>
      <c r="N8" s="303"/>
      <c r="O8" s="303"/>
      <c r="P8" s="303"/>
      <c r="Q8" s="303"/>
      <c r="R8" s="304">
        <f t="shared" ref="R8:AC8" si="2">SUMIFS(E$28:E$359,$B$28:$B$359,$B$4,$D$28:$D$359,$D$7)</f>
        <v>3553.2</v>
      </c>
      <c r="S8" s="304">
        <f t="shared" si="2"/>
        <v>2285.0509999999999</v>
      </c>
      <c r="T8" s="304">
        <f t="shared" si="2"/>
        <v>2972.0680000000002</v>
      </c>
      <c r="U8" s="304">
        <f t="shared" si="2"/>
        <v>3202.752</v>
      </c>
      <c r="V8" s="304">
        <f t="shared" si="2"/>
        <v>3455.89</v>
      </c>
      <c r="W8" s="304">
        <f t="shared" si="2"/>
        <v>2432.3249999999998</v>
      </c>
      <c r="X8" s="304">
        <f t="shared" si="2"/>
        <v>1986.8530000000001</v>
      </c>
      <c r="Y8" s="304">
        <f t="shared" si="2"/>
        <v>5184.5942000000005</v>
      </c>
      <c r="Z8" s="304">
        <f t="shared" si="2"/>
        <v>4932.5069999999996</v>
      </c>
      <c r="AA8" s="304">
        <f t="shared" si="2"/>
        <v>4058.203</v>
      </c>
      <c r="AB8" s="305">
        <f t="shared" si="2"/>
        <v>2606.2530000000002</v>
      </c>
      <c r="AC8" s="305">
        <f t="shared" si="2"/>
        <v>3375.1480000000001</v>
      </c>
      <c r="AD8" s="305">
        <f ca="1">SUM(OFFSET(R8:AC8,0,0,1,Performance!H2))</f>
        <v>15468.960999999999</v>
      </c>
      <c r="AE8" s="305"/>
      <c r="AF8" s="305"/>
      <c r="AG8" s="305"/>
      <c r="AH8" s="305"/>
      <c r="AI8" s="305"/>
      <c r="AJ8" s="305"/>
      <c r="AK8" s="305"/>
      <c r="AL8" s="305"/>
      <c r="AM8" s="305"/>
      <c r="AN8" s="305"/>
      <c r="AO8" s="305"/>
      <c r="AP8" s="305"/>
      <c r="AQ8" s="305"/>
    </row>
    <row r="9" spans="1:43" hidden="1" outlineLevel="1">
      <c r="B9">
        <v>2025</v>
      </c>
      <c r="D9" t="str">
        <f>D6</f>
        <v>Năm nay</v>
      </c>
      <c r="E9" s="303"/>
      <c r="F9" s="303"/>
      <c r="G9" s="303"/>
      <c r="H9" s="303"/>
      <c r="I9" s="303"/>
      <c r="J9" s="303"/>
      <c r="K9" s="303"/>
      <c r="L9" s="303"/>
      <c r="M9" s="303"/>
      <c r="N9" s="303"/>
      <c r="O9" s="303"/>
      <c r="P9" s="303"/>
      <c r="Q9" s="303"/>
      <c r="R9" s="304">
        <f t="shared" ref="R9:AC9" si="3">SUMIFS(R$28:R$359,$B$28:$B$359,$B$4,$D$28:$D$359,$D$7)</f>
        <v>3612.7512999999999</v>
      </c>
      <c r="S9" s="304">
        <f t="shared" si="3"/>
        <v>6002.0379999999996</v>
      </c>
      <c r="T9" s="304">
        <f t="shared" si="3"/>
        <v>4985.5379999999996</v>
      </c>
      <c r="U9" s="304">
        <f t="shared" si="3"/>
        <v>4060.3609999999999</v>
      </c>
      <c r="V9" s="304">
        <f t="shared" si="3"/>
        <v>4785.7602999999999</v>
      </c>
      <c r="W9" s="304">
        <f t="shared" si="3"/>
        <v>3895.6950000000002</v>
      </c>
      <c r="X9" s="304">
        <f t="shared" si="3"/>
        <v>4652.4191000000001</v>
      </c>
      <c r="Y9" s="304">
        <f t="shared" si="3"/>
        <v>5655.27</v>
      </c>
      <c r="Z9" s="304">
        <f t="shared" si="3"/>
        <v>3106.2919999999999</v>
      </c>
      <c r="AA9" s="304">
        <f t="shared" si="3"/>
        <v>3393.5369999999998</v>
      </c>
      <c r="AB9" s="305">
        <f t="shared" si="3"/>
        <v>3040.82</v>
      </c>
      <c r="AC9" s="305">
        <f t="shared" si="3"/>
        <v>3185.6790000000001</v>
      </c>
      <c r="AD9" s="305">
        <f ca="1">SUM(OFFSET(R9:AC9,0,0,1,Performance!H2))</f>
        <v>23446.448600000003</v>
      </c>
      <c r="AE9" s="305"/>
      <c r="AF9" s="305"/>
      <c r="AG9" s="305"/>
      <c r="AH9" s="305"/>
      <c r="AI9" s="305"/>
      <c r="AJ9" s="305"/>
      <c r="AK9" s="305"/>
      <c r="AL9" s="305"/>
      <c r="AM9" s="305"/>
      <c r="AN9" s="305"/>
      <c r="AO9" s="305"/>
      <c r="AP9" s="305"/>
      <c r="AQ9" s="305"/>
    </row>
    <row r="10" spans="1:43" hidden="1" outlineLevel="1">
      <c r="B10" t="str">
        <f>IF(A3="EN","Net sales (B VND)","Doanh thu thuần (Tỷ)")</f>
        <v>Doanh thu thuần (Tỷ)</v>
      </c>
      <c r="D10" s="298" t="s">
        <v>103</v>
      </c>
      <c r="AB10" s="307"/>
      <c r="AC10" s="307"/>
      <c r="AD10" s="306"/>
      <c r="AE10" s="306"/>
      <c r="AF10" s="307"/>
      <c r="AG10" s="307"/>
      <c r="AH10" s="307"/>
      <c r="AI10" s="307"/>
      <c r="AJ10" s="307"/>
      <c r="AK10" s="307"/>
      <c r="AL10" s="307"/>
      <c r="AM10" s="307"/>
      <c r="AN10" s="307"/>
      <c r="AO10" s="307"/>
      <c r="AP10" s="307"/>
      <c r="AQ10" s="307"/>
    </row>
    <row r="11" spans="1:43" hidden="1" outlineLevel="1">
      <c r="B11">
        <f>B5</f>
        <v>2025</v>
      </c>
      <c r="D11" t="str">
        <f>IF(A3="EN","Last year","Năm trước")</f>
        <v>Năm trước</v>
      </c>
      <c r="E11" s="303"/>
      <c r="F11" s="303"/>
      <c r="G11" s="303"/>
      <c r="H11" s="303"/>
      <c r="I11" s="303"/>
      <c r="J11" s="303"/>
      <c r="K11" s="303"/>
      <c r="L11" s="303"/>
      <c r="M11" s="303"/>
      <c r="N11" s="303"/>
      <c r="O11" s="303"/>
      <c r="P11" s="303"/>
      <c r="Q11" s="303"/>
      <c r="R11" s="304">
        <f t="shared" ref="R11:AC11" si="4">SUMIFS(E$28:E$359,$B$28:$B$359,$B$4,$D$28:$D$359,$D$10)</f>
        <v>95961616736</v>
      </c>
      <c r="S11" s="304">
        <f t="shared" si="4"/>
        <v>68939746996</v>
      </c>
      <c r="T11" s="304">
        <f t="shared" si="4"/>
        <v>92109508133</v>
      </c>
      <c r="U11" s="304">
        <f t="shared" si="4"/>
        <v>97489092894</v>
      </c>
      <c r="V11" s="304">
        <f t="shared" si="4"/>
        <v>102364998344</v>
      </c>
      <c r="W11" s="304">
        <f t="shared" si="4"/>
        <v>68093170109</v>
      </c>
      <c r="X11" s="304">
        <f t="shared" si="4"/>
        <v>56451269692</v>
      </c>
      <c r="Y11" s="304">
        <f t="shared" si="4"/>
        <v>154027868172</v>
      </c>
      <c r="Z11" s="304">
        <f t="shared" si="4"/>
        <v>156829896725</v>
      </c>
      <c r="AA11" s="304">
        <f t="shared" si="4"/>
        <v>116812598746</v>
      </c>
      <c r="AB11" s="305">
        <f t="shared" si="4"/>
        <v>76126139834</v>
      </c>
      <c r="AC11" s="305">
        <f t="shared" si="4"/>
        <v>106210088680</v>
      </c>
      <c r="AD11" s="305">
        <f ca="1">SUM(OFFSET(R11:AC11,0,0,1,Performance!$H$2))</f>
        <v>456864963103</v>
      </c>
      <c r="AE11" s="305"/>
      <c r="AF11" s="305"/>
      <c r="AG11" s="305"/>
      <c r="AH11" s="305"/>
      <c r="AI11" s="305"/>
      <c r="AJ11" s="305"/>
      <c r="AK11" s="305"/>
      <c r="AL11" s="305"/>
      <c r="AM11" s="305"/>
      <c r="AN11" s="305"/>
      <c r="AO11" s="305"/>
      <c r="AP11" s="305"/>
      <c r="AQ11" s="305"/>
    </row>
    <row r="12" spans="1:43" hidden="1" outlineLevel="1">
      <c r="B12">
        <f>B6</f>
        <v>2026</v>
      </c>
      <c r="D12" t="str">
        <f>IF(A3="EN","Current year","Năm nay")</f>
        <v>Năm nay</v>
      </c>
      <c r="E12" s="303"/>
      <c r="F12" s="303"/>
      <c r="G12" s="303"/>
      <c r="H12" s="303"/>
      <c r="I12" s="303"/>
      <c r="J12" s="303"/>
      <c r="K12" s="303"/>
      <c r="L12" s="303"/>
      <c r="M12" s="303"/>
      <c r="N12" s="303"/>
      <c r="O12" s="303"/>
      <c r="P12" s="303"/>
      <c r="Q12" s="303"/>
      <c r="R12" s="304">
        <f t="shared" ref="R12:AC12" si="5">SUMIFS(R$28:R$359,$B$28:$B$359,$B$4,$D$28:$D$359,$D$10)</f>
        <v>114462510402</v>
      </c>
      <c r="S12" s="304">
        <f t="shared" si="5"/>
        <v>187999461059</v>
      </c>
      <c r="T12" s="304">
        <f t="shared" si="5"/>
        <v>150253332680</v>
      </c>
      <c r="U12" s="304">
        <f t="shared" si="5"/>
        <v>125429649855</v>
      </c>
      <c r="V12" s="304">
        <f t="shared" si="5"/>
        <v>152067142852</v>
      </c>
      <c r="W12" s="304">
        <f t="shared" si="5"/>
        <v>119134672797</v>
      </c>
      <c r="X12" s="304">
        <f t="shared" si="5"/>
        <v>137991406898</v>
      </c>
      <c r="Y12" s="304">
        <f t="shared" si="5"/>
        <v>168442653383</v>
      </c>
      <c r="Z12" s="304">
        <f t="shared" si="5"/>
        <v>84710435067</v>
      </c>
      <c r="AA12" s="304">
        <f t="shared" si="5"/>
        <v>108928556660</v>
      </c>
      <c r="AB12" s="305">
        <f t="shared" si="5"/>
        <v>88347880802</v>
      </c>
      <c r="AC12" s="305">
        <f t="shared" si="5"/>
        <v>99758121581</v>
      </c>
      <c r="AD12" s="305">
        <f ca="1">SUM(OFFSET(R12:AC12,0,0,1,Performance!$I$2))</f>
        <v>730212096848</v>
      </c>
      <c r="AE12" s="305"/>
      <c r="AF12" s="305"/>
      <c r="AG12" s="305"/>
      <c r="AH12" s="305"/>
      <c r="AI12" s="305"/>
      <c r="AJ12" s="305"/>
      <c r="AK12" s="305"/>
      <c r="AL12" s="305"/>
      <c r="AM12" s="305"/>
      <c r="AN12" s="305"/>
      <c r="AO12" s="305"/>
      <c r="AP12" s="305"/>
      <c r="AQ12" s="305"/>
    </row>
    <row r="13" spans="1:43" hidden="1" outlineLevel="1">
      <c r="D13" s="298" t="s">
        <v>91</v>
      </c>
      <c r="E13" s="303"/>
      <c r="F13" s="303"/>
      <c r="G13" s="303"/>
      <c r="H13" s="303"/>
      <c r="I13" s="303"/>
      <c r="J13" s="303"/>
      <c r="K13" s="303"/>
      <c r="L13" s="303"/>
      <c r="M13" s="303"/>
      <c r="N13" s="303"/>
      <c r="O13" s="303"/>
      <c r="P13" s="303"/>
      <c r="Q13" s="303"/>
      <c r="R13" s="303"/>
      <c r="S13" s="303"/>
      <c r="T13" s="303"/>
      <c r="U13" s="303"/>
      <c r="V13" s="303"/>
      <c r="W13" s="303"/>
      <c r="X13" s="303"/>
      <c r="Y13" s="303"/>
      <c r="Z13" s="303"/>
      <c r="AA13" s="303"/>
      <c r="AB13" s="306"/>
      <c r="AC13" s="306"/>
      <c r="AD13" s="306"/>
      <c r="AE13" s="306"/>
      <c r="AF13" s="306"/>
      <c r="AG13" s="306"/>
      <c r="AH13" s="306"/>
      <c r="AI13" s="306"/>
      <c r="AJ13" s="306"/>
      <c r="AK13" s="306"/>
      <c r="AL13" s="306"/>
      <c r="AM13" s="306"/>
      <c r="AN13" s="306"/>
      <c r="AO13" s="306"/>
      <c r="AP13" s="306"/>
      <c r="AQ13" s="306"/>
    </row>
    <row r="14" spans="1:43" hidden="1" outlineLevel="1">
      <c r="B14">
        <f>B11</f>
        <v>2025</v>
      </c>
      <c r="D14" t="str">
        <f>D13&amp;"_"&amp;D5</f>
        <v>EBITDA_Năm trước</v>
      </c>
      <c r="E14" s="303"/>
      <c r="F14" s="303"/>
      <c r="G14" s="303"/>
      <c r="H14" s="303"/>
      <c r="I14" s="303"/>
      <c r="J14" s="303"/>
      <c r="K14" s="303"/>
      <c r="L14" s="303"/>
      <c r="M14" s="303"/>
      <c r="N14" s="303"/>
      <c r="O14" s="303"/>
      <c r="P14" s="303"/>
      <c r="Q14" s="303"/>
      <c r="R14" s="304">
        <f t="shared" ref="R14:AC14" si="6">SUMIFS(E$28:E$359,$B$28:$B$359,$B$4,$D$28:$D$359,$D$13)</f>
        <v>5384680897</v>
      </c>
      <c r="S14" s="304">
        <f t="shared" si="6"/>
        <v>-1703380519</v>
      </c>
      <c r="T14" s="304">
        <f t="shared" si="6"/>
        <v>626985252</v>
      </c>
      <c r="U14" s="304">
        <f t="shared" si="6"/>
        <v>6561979281</v>
      </c>
      <c r="V14" s="304">
        <f t="shared" si="6"/>
        <v>59631967</v>
      </c>
      <c r="W14" s="304">
        <f t="shared" si="6"/>
        <v>-5859951964</v>
      </c>
      <c r="X14" s="304">
        <f t="shared" si="6"/>
        <v>-9089366006</v>
      </c>
      <c r="Y14" s="304">
        <f t="shared" si="6"/>
        <v>-4047933145</v>
      </c>
      <c r="Z14" s="304">
        <f t="shared" si="6"/>
        <v>13967423844</v>
      </c>
      <c r="AA14" s="304">
        <f t="shared" si="6"/>
        <v>-703227311</v>
      </c>
      <c r="AB14" s="305">
        <f t="shared" si="6"/>
        <v>1096125496</v>
      </c>
      <c r="AC14" s="305">
        <f t="shared" si="6"/>
        <v>110198971178</v>
      </c>
      <c r="AD14" s="305">
        <f ca="1">SUM(OFFSET(R14:AC14,0,0,1,Performance!H2))</f>
        <v>10929896878</v>
      </c>
      <c r="AE14" s="305"/>
      <c r="AF14" s="305"/>
      <c r="AG14" s="305"/>
      <c r="AH14" s="305"/>
      <c r="AI14" s="305"/>
      <c r="AJ14" s="305"/>
      <c r="AK14" s="305"/>
      <c r="AL14" s="305"/>
      <c r="AM14" s="305"/>
      <c r="AN14" s="305"/>
      <c r="AO14" s="305"/>
      <c r="AP14" s="305"/>
      <c r="AQ14" s="305"/>
    </row>
    <row r="15" spans="1:43" hidden="1" outlineLevel="1">
      <c r="B15">
        <f>B12</f>
        <v>2026</v>
      </c>
      <c r="D15" t="str">
        <f>D13&amp;"_"&amp;D6</f>
        <v>EBITDA_Năm nay</v>
      </c>
      <c r="E15" s="303"/>
      <c r="F15" s="303"/>
      <c r="G15" s="303"/>
      <c r="H15" s="303"/>
      <c r="I15" s="303"/>
      <c r="J15" s="303"/>
      <c r="K15" s="303"/>
      <c r="L15" s="303"/>
      <c r="M15" s="303"/>
      <c r="N15" s="303"/>
      <c r="O15" s="303"/>
      <c r="P15" s="303"/>
      <c r="Q15" s="303"/>
      <c r="R15" s="304">
        <f t="shared" ref="R15:AC15" si="7">SUMIFS(R$28:R$359,$B$28:$B$359,$B$4,$D$28:$D$359,$D$13)</f>
        <v>10679249682</v>
      </c>
      <c r="S15" s="304">
        <f t="shared" si="7"/>
        <v>25146574404</v>
      </c>
      <c r="T15" s="304">
        <f t="shared" si="7"/>
        <v>13027482010</v>
      </c>
      <c r="U15" s="304">
        <f t="shared" si="7"/>
        <v>9221866353</v>
      </c>
      <c r="V15" s="304">
        <f t="shared" si="7"/>
        <v>16490448778</v>
      </c>
      <c r="W15" s="304">
        <f t="shared" si="7"/>
        <v>6798133756</v>
      </c>
      <c r="X15" s="304">
        <f t="shared" si="7"/>
        <v>3536012394</v>
      </c>
      <c r="Y15" s="304">
        <f t="shared" si="7"/>
        <v>5693975403</v>
      </c>
      <c r="Z15" s="304">
        <f t="shared" si="7"/>
        <v>-5548061094</v>
      </c>
      <c r="AA15" s="304">
        <f t="shared" si="7"/>
        <v>428312446</v>
      </c>
      <c r="AB15" s="305">
        <f t="shared" si="7"/>
        <v>-2096448071</v>
      </c>
      <c r="AC15" s="305">
        <f t="shared" si="7"/>
        <v>11690093189</v>
      </c>
      <c r="AD15" s="305">
        <f ca="1">SUM(OFFSET(R15:AC15,0,0,1,Performance!H2))</f>
        <v>74565621227</v>
      </c>
      <c r="AE15" s="305"/>
      <c r="AF15" s="305"/>
      <c r="AG15" s="305"/>
      <c r="AH15" s="305"/>
      <c r="AI15" s="305"/>
      <c r="AJ15" s="305"/>
      <c r="AK15" s="305"/>
      <c r="AL15" s="305"/>
      <c r="AM15" s="305"/>
      <c r="AN15" s="305"/>
      <c r="AO15" s="305"/>
      <c r="AP15" s="305"/>
      <c r="AQ15" s="305"/>
    </row>
    <row r="16" spans="1:43" hidden="1" outlineLevel="1">
      <c r="D16" s="298"/>
      <c r="E16" s="303"/>
      <c r="F16" s="303"/>
      <c r="G16" s="303"/>
      <c r="H16" s="303"/>
      <c r="I16" s="303"/>
      <c r="J16" s="303"/>
      <c r="K16" s="303"/>
      <c r="L16" s="303"/>
      <c r="M16" s="303"/>
      <c r="N16" s="303"/>
      <c r="O16" s="303"/>
      <c r="P16" s="303"/>
      <c r="Q16" s="303"/>
      <c r="R16" s="303"/>
      <c r="S16" s="303"/>
      <c r="T16" s="303"/>
      <c r="U16" s="303"/>
      <c r="V16" s="303"/>
      <c r="W16" s="303"/>
      <c r="X16" s="303"/>
      <c r="Y16" s="303"/>
      <c r="Z16" s="303"/>
      <c r="AA16" s="303"/>
      <c r="AB16" s="306"/>
      <c r="AC16" s="306"/>
      <c r="AD16" s="306"/>
      <c r="AE16" s="306"/>
      <c r="AF16" s="306"/>
      <c r="AG16" s="306"/>
      <c r="AH16" s="306"/>
      <c r="AI16" s="306"/>
      <c r="AJ16" s="306"/>
      <c r="AK16" s="306"/>
      <c r="AL16" s="306"/>
      <c r="AM16" s="306"/>
      <c r="AN16" s="306"/>
      <c r="AO16" s="306"/>
      <c r="AP16" s="306"/>
      <c r="AQ16" s="306"/>
    </row>
    <row r="17" spans="1:58" hidden="1" outlineLevel="1">
      <c r="D17" s="298" t="s">
        <v>51</v>
      </c>
      <c r="E17" s="303"/>
      <c r="F17" s="303"/>
      <c r="G17" s="303"/>
      <c r="H17" s="303"/>
      <c r="I17" s="303"/>
      <c r="J17" s="303"/>
      <c r="K17" s="303"/>
      <c r="L17" s="303"/>
      <c r="M17" s="303"/>
      <c r="N17" s="303"/>
      <c r="O17" s="303"/>
      <c r="P17" s="303"/>
      <c r="Q17" s="303"/>
      <c r="R17" s="303"/>
      <c r="S17" s="303"/>
      <c r="T17" s="303"/>
      <c r="U17" s="303"/>
      <c r="V17" s="303"/>
      <c r="W17" s="303"/>
      <c r="X17" s="303"/>
      <c r="Y17" s="303"/>
      <c r="Z17" s="303"/>
      <c r="AA17" s="303"/>
      <c r="AB17" s="306"/>
      <c r="AC17" s="306"/>
      <c r="AD17" s="306"/>
      <c r="AE17" s="306"/>
      <c r="AF17" s="306"/>
      <c r="AG17" s="306"/>
      <c r="AH17" s="306"/>
      <c r="AI17" s="306"/>
      <c r="AJ17" s="306"/>
      <c r="AK17" s="306"/>
      <c r="AL17" s="306"/>
      <c r="AM17" s="306"/>
      <c r="AN17" s="306"/>
      <c r="AO17" s="306"/>
      <c r="AP17" s="306"/>
      <c r="AQ17" s="306"/>
    </row>
    <row r="18" spans="1:58" hidden="1" outlineLevel="1">
      <c r="B18">
        <f>B14</f>
        <v>2025</v>
      </c>
      <c r="D18" t="str">
        <f>D11</f>
        <v>Năm trước</v>
      </c>
      <c r="E18" s="303"/>
      <c r="F18" s="303"/>
      <c r="G18" s="303"/>
      <c r="H18" s="303"/>
      <c r="I18" s="303"/>
      <c r="J18" s="303"/>
      <c r="K18" s="303"/>
      <c r="L18" s="303"/>
      <c r="M18" s="303"/>
      <c r="N18" s="303"/>
      <c r="O18" s="303"/>
      <c r="P18" s="303"/>
      <c r="Q18" s="303"/>
      <c r="R18" s="304">
        <f t="shared" ref="R18:AC18" si="8">SUMIFS(R$29:R$359,$B$29:$B$359,$B$4,$D$29:$D$359,$D$17)</f>
        <v>77939030716</v>
      </c>
      <c r="S18" s="304">
        <f t="shared" si="8"/>
        <v>52466748566</v>
      </c>
      <c r="T18" s="304">
        <f t="shared" si="8"/>
        <v>-20916557445</v>
      </c>
      <c r="U18" s="304">
        <f t="shared" si="8"/>
        <v>-32579374222</v>
      </c>
      <c r="V18" s="304">
        <f t="shared" si="8"/>
        <v>-21808072831</v>
      </c>
      <c r="W18" s="304">
        <f t="shared" si="8"/>
        <v>-2281933617</v>
      </c>
      <c r="X18" s="304">
        <f t="shared" si="8"/>
        <v>-27735233437</v>
      </c>
      <c r="Y18" s="304">
        <f t="shared" si="8"/>
        <v>-40414033126</v>
      </c>
      <c r="Z18" s="304">
        <f t="shared" si="8"/>
        <v>20032593261</v>
      </c>
      <c r="AA18" s="304">
        <f t="shared" si="8"/>
        <v>64968693462</v>
      </c>
      <c r="AB18" s="304">
        <f t="shared" si="8"/>
        <v>2742715530</v>
      </c>
      <c r="AC18" s="304">
        <f t="shared" si="8"/>
        <v>-22475023560</v>
      </c>
      <c r="AD18" s="305">
        <f ca="1">SUM(OFFSET(R18:AC18,0,0,1,Performance!$H$2))</f>
        <v>55101774784</v>
      </c>
      <c r="AE18" s="305"/>
      <c r="AF18" s="305"/>
      <c r="AG18" s="305"/>
      <c r="AH18" s="305"/>
      <c r="AI18" s="305"/>
      <c r="AJ18" s="305"/>
      <c r="AK18" s="305"/>
      <c r="AL18" s="305"/>
      <c r="AM18" s="305"/>
      <c r="AN18" s="305"/>
      <c r="AO18" s="305"/>
      <c r="AP18" s="305"/>
      <c r="AQ18" s="305"/>
    </row>
    <row r="19" spans="1:58" hidden="1" outlineLevel="1">
      <c r="B19">
        <f>B15</f>
        <v>2026</v>
      </c>
      <c r="D19" t="str">
        <f>D12</f>
        <v>Năm nay</v>
      </c>
      <c r="E19" s="303"/>
      <c r="F19" s="303"/>
      <c r="G19" s="303"/>
      <c r="H19" s="303"/>
      <c r="I19" s="303"/>
      <c r="J19" s="303"/>
      <c r="K19" s="303"/>
      <c r="L19" s="303"/>
      <c r="M19" s="303"/>
      <c r="N19" s="303"/>
      <c r="O19" s="303"/>
      <c r="P19" s="303"/>
      <c r="Q19" s="303"/>
      <c r="R19" s="304">
        <f t="shared" ref="R19:AC19" si="9">SUMIFS(AF$29:AF$359,$B$29:$B$359,$B$4,$D$29:$D$359,$D$17)</f>
        <v>52850277689</v>
      </c>
      <c r="S19" s="304">
        <f t="shared" si="9"/>
        <v>1381288086</v>
      </c>
      <c r="T19" s="304">
        <f t="shared" si="9"/>
        <v>52119683826</v>
      </c>
      <c r="U19" s="304">
        <f t="shared" si="9"/>
        <v>82694562008</v>
      </c>
      <c r="V19" s="304">
        <f t="shared" si="9"/>
        <v>-53142624294</v>
      </c>
      <c r="W19" s="304">
        <f t="shared" si="9"/>
        <v>0</v>
      </c>
      <c r="X19" s="304">
        <f t="shared" si="9"/>
        <v>0</v>
      </c>
      <c r="Y19" s="304">
        <f t="shared" si="9"/>
        <v>0</v>
      </c>
      <c r="Z19" s="304">
        <f t="shared" si="9"/>
        <v>0</v>
      </c>
      <c r="AA19" s="304">
        <f t="shared" si="9"/>
        <v>0</v>
      </c>
      <c r="AB19" s="304">
        <f t="shared" si="9"/>
        <v>0</v>
      </c>
      <c r="AC19" s="304">
        <f t="shared" si="9"/>
        <v>0</v>
      </c>
      <c r="AD19" s="305">
        <f ca="1">SUM(OFFSET(R19:AC19,0,0,1,Performance!$I$2))</f>
        <v>135903187315</v>
      </c>
      <c r="AE19" s="305"/>
      <c r="AF19" s="305"/>
      <c r="AG19" s="305"/>
      <c r="AH19" s="305"/>
      <c r="AI19" s="305"/>
      <c r="AJ19" s="305"/>
      <c r="AK19" s="305"/>
      <c r="AL19" s="305"/>
      <c r="AM19" s="305"/>
      <c r="AN19" s="305"/>
      <c r="AO19" s="305"/>
      <c r="AP19" s="305"/>
      <c r="AQ19" s="305"/>
    </row>
    <row r="20" spans="1:58" hidden="1" outlineLevel="1">
      <c r="D20" s="298" t="s">
        <v>54</v>
      </c>
      <c r="E20" s="303"/>
      <c r="F20" s="303"/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6"/>
      <c r="AC20" s="306"/>
      <c r="AD20" s="306"/>
      <c r="AE20" s="306"/>
      <c r="AF20" s="306"/>
      <c r="AG20" s="306"/>
      <c r="AH20" s="306"/>
      <c r="AI20" s="306"/>
      <c r="AJ20" s="306"/>
      <c r="AK20" s="306"/>
      <c r="AL20" s="306"/>
      <c r="AM20" s="306"/>
      <c r="AN20" s="306"/>
      <c r="AO20" s="306"/>
      <c r="AP20" s="306"/>
      <c r="AQ20" s="306"/>
    </row>
    <row r="21" spans="1:58" hidden="1" outlineLevel="1">
      <c r="B21">
        <f>B18</f>
        <v>2025</v>
      </c>
      <c r="D21" t="str">
        <f>D18</f>
        <v>Năm trước</v>
      </c>
      <c r="E21" s="303"/>
      <c r="F21" s="303"/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4">
        <f t="shared" ref="R21:AC21" si="10">SUMIFS(R$29:R$359,$B$29:$B$359,$B$4,$D$29:$D$359,$D$20)</f>
        <v>-9422603254</v>
      </c>
      <c r="S21" s="304">
        <f t="shared" si="10"/>
        <v>-1409744554</v>
      </c>
      <c r="T21" s="304">
        <f t="shared" si="10"/>
        <v>-42949753759</v>
      </c>
      <c r="U21" s="304">
        <f t="shared" si="10"/>
        <v>-27896985790</v>
      </c>
      <c r="V21" s="304">
        <f t="shared" si="10"/>
        <v>-19046783884</v>
      </c>
      <c r="W21" s="304">
        <f t="shared" si="10"/>
        <v>-4600165478</v>
      </c>
      <c r="X21" s="304">
        <f t="shared" si="10"/>
        <v>14056363160</v>
      </c>
      <c r="Y21" s="304">
        <f t="shared" si="10"/>
        <v>-3771779405</v>
      </c>
      <c r="Z21" s="304">
        <f t="shared" si="10"/>
        <v>-298252844</v>
      </c>
      <c r="AA21" s="304">
        <f t="shared" si="10"/>
        <v>-25294615507</v>
      </c>
      <c r="AB21" s="304">
        <f t="shared" si="10"/>
        <v>6231656722</v>
      </c>
      <c r="AC21" s="304">
        <f t="shared" si="10"/>
        <v>15615882426</v>
      </c>
      <c r="AD21" s="305">
        <f ca="1">SUM(OFFSET(R21:AC21,0,0,1,Performance!$H$2))</f>
        <v>-100725871241</v>
      </c>
      <c r="AE21" s="305"/>
      <c r="AF21" s="305"/>
      <c r="AG21" s="305"/>
      <c r="AH21" s="305"/>
      <c r="AI21" s="305"/>
      <c r="AJ21" s="305"/>
      <c r="AK21" s="305"/>
      <c r="AL21" s="305"/>
      <c r="AM21" s="305"/>
      <c r="AN21" s="305"/>
      <c r="AO21" s="305"/>
      <c r="AP21" s="305"/>
      <c r="AQ21" s="305"/>
    </row>
    <row r="22" spans="1:58" hidden="1" outlineLevel="1">
      <c r="B22">
        <f>B19</f>
        <v>2026</v>
      </c>
      <c r="D22" t="str">
        <f>D19</f>
        <v>Năm nay</v>
      </c>
      <c r="R22" s="304">
        <f t="shared" ref="R22:AC22" si="11">SUMIFS(AF$29:AF$359,$B$29:$B$359,$B$4,$D$29:$D$359,$D$20)</f>
        <v>-1524383164</v>
      </c>
      <c r="S22" s="304">
        <f t="shared" si="11"/>
        <v>-34677649362</v>
      </c>
      <c r="T22" s="304">
        <f t="shared" si="11"/>
        <v>-21851806644</v>
      </c>
      <c r="U22" s="304">
        <f t="shared" si="11"/>
        <v>-36965946130</v>
      </c>
      <c r="V22" s="304">
        <f t="shared" si="11"/>
        <v>2488619135</v>
      </c>
      <c r="W22" s="304">
        <f t="shared" si="11"/>
        <v>0</v>
      </c>
      <c r="X22" s="304">
        <f t="shared" si="11"/>
        <v>0</v>
      </c>
      <c r="Y22" s="304">
        <f t="shared" si="11"/>
        <v>0</v>
      </c>
      <c r="Z22" s="304">
        <f t="shared" si="11"/>
        <v>0</v>
      </c>
      <c r="AA22" s="304">
        <f t="shared" si="11"/>
        <v>0</v>
      </c>
      <c r="AB22" s="304">
        <f t="shared" si="11"/>
        <v>0</v>
      </c>
      <c r="AC22" s="304">
        <f t="shared" si="11"/>
        <v>0</v>
      </c>
      <c r="AD22" s="305">
        <f ca="1">SUM(OFFSET(R22:AC22,0,0,1,Performance!$I$2))</f>
        <v>-92531166165</v>
      </c>
      <c r="AE22" s="305"/>
      <c r="AF22" s="305"/>
      <c r="AG22" s="305"/>
      <c r="AH22" s="305"/>
      <c r="AI22" s="305"/>
      <c r="AJ22" s="305"/>
      <c r="AK22" s="305"/>
      <c r="AL22" s="305"/>
      <c r="AM22" s="305"/>
      <c r="AN22" s="305"/>
      <c r="AO22" s="305"/>
      <c r="AP22" s="305"/>
      <c r="AQ22" s="305"/>
    </row>
    <row r="23" spans="1:58" hidden="1" outlineLevel="1">
      <c r="D23" s="298" t="s">
        <v>57</v>
      </c>
      <c r="R23" s="304"/>
      <c r="S23" s="304"/>
      <c r="T23" s="304"/>
      <c r="U23" s="304"/>
      <c r="V23" s="304"/>
      <c r="W23" s="304"/>
      <c r="X23" s="304"/>
      <c r="Y23" s="304"/>
      <c r="Z23" s="304"/>
      <c r="AA23" s="304"/>
      <c r="AB23" s="305"/>
      <c r="AC23" s="305"/>
      <c r="AD23" s="305"/>
      <c r="AE23" s="305"/>
      <c r="AF23" s="305"/>
      <c r="AG23" s="305"/>
      <c r="AH23" s="305"/>
      <c r="AI23" s="305"/>
      <c r="AJ23" s="305"/>
      <c r="AK23" s="305"/>
      <c r="AL23" s="305"/>
      <c r="AM23" s="305"/>
      <c r="AN23" s="305"/>
      <c r="AO23" s="305"/>
      <c r="AP23" s="305"/>
      <c r="AQ23" s="305"/>
    </row>
    <row r="24" spans="1:58" hidden="1" outlineLevel="1">
      <c r="B24">
        <f>B21</f>
        <v>2025</v>
      </c>
      <c r="D24" t="str">
        <f>D21</f>
        <v>Năm trước</v>
      </c>
      <c r="R24" s="304">
        <f t="shared" ref="R24:AC24" si="12">SUMIFS(R$29:R$359,$B$29:$B$359,$B$4,$D$29:$D$359,$D$23)</f>
        <v>-32192329733</v>
      </c>
      <c r="S24" s="304">
        <f t="shared" si="12"/>
        <v>-95561562751</v>
      </c>
      <c r="T24" s="304">
        <f t="shared" si="12"/>
        <v>53554413425</v>
      </c>
      <c r="U24" s="304">
        <f t="shared" si="12"/>
        <v>73852915769</v>
      </c>
      <c r="V24" s="304">
        <f t="shared" si="12"/>
        <v>23489579490</v>
      </c>
      <c r="W24" s="304">
        <f t="shared" si="12"/>
        <v>16839228535</v>
      </c>
      <c r="X24" s="304">
        <f t="shared" si="12"/>
        <v>11111720339</v>
      </c>
      <c r="Y24" s="304">
        <f t="shared" si="12"/>
        <v>42673563192</v>
      </c>
      <c r="Z24" s="304">
        <f t="shared" si="12"/>
        <v>13947478232</v>
      </c>
      <c r="AA24" s="304">
        <f t="shared" si="12"/>
        <v>-51335281894</v>
      </c>
      <c r="AB24" s="304">
        <f t="shared" si="12"/>
        <v>-7575872913</v>
      </c>
      <c r="AC24" s="304">
        <f t="shared" si="12"/>
        <v>-11723844029</v>
      </c>
      <c r="AD24" s="305">
        <f ca="1">SUM(OFFSET(R24:AC24,0,0,1,Performance!$I$2))</f>
        <v>23143016200</v>
      </c>
      <c r="AE24" s="305"/>
      <c r="AF24" s="305"/>
      <c r="AG24" s="305"/>
      <c r="AH24" s="305"/>
      <c r="AI24" s="305"/>
      <c r="AJ24" s="305"/>
      <c r="AK24" s="305"/>
      <c r="AL24" s="305"/>
      <c r="AM24" s="305"/>
      <c r="AN24" s="305"/>
      <c r="AO24" s="305"/>
      <c r="AP24" s="305"/>
      <c r="AQ24" s="305"/>
    </row>
    <row r="25" spans="1:58" hidden="1" outlineLevel="1">
      <c r="B25">
        <f>B22</f>
        <v>2026</v>
      </c>
      <c r="D25" t="str">
        <f>D22</f>
        <v>Năm nay</v>
      </c>
      <c r="R25" s="304">
        <f t="shared" ref="R25:AC25" si="13">SUMIFS(AF$29:AF$359,$B$29:$B$359,$B$4,$D$29:$D$359,$D$23)</f>
        <v>-46316594032</v>
      </c>
      <c r="S25" s="304">
        <f t="shared" si="13"/>
        <v>36955208932</v>
      </c>
      <c r="T25" s="304">
        <f t="shared" si="13"/>
        <v>-43409395667</v>
      </c>
      <c r="U25" s="304">
        <f t="shared" si="13"/>
        <v>-32222541860</v>
      </c>
      <c r="V25" s="304">
        <f t="shared" si="13"/>
        <v>43913929275</v>
      </c>
      <c r="W25" s="304">
        <f t="shared" si="13"/>
        <v>0</v>
      </c>
      <c r="X25" s="304">
        <f t="shared" si="13"/>
        <v>0</v>
      </c>
      <c r="Y25" s="304">
        <f t="shared" si="13"/>
        <v>0</v>
      </c>
      <c r="Z25" s="304">
        <f t="shared" si="13"/>
        <v>0</v>
      </c>
      <c r="AA25" s="304">
        <f t="shared" si="13"/>
        <v>0</v>
      </c>
      <c r="AB25" s="304">
        <f t="shared" si="13"/>
        <v>0</v>
      </c>
      <c r="AC25" s="304">
        <f t="shared" si="13"/>
        <v>0</v>
      </c>
      <c r="AD25" s="305">
        <f ca="1">SUM(OFFSET(R25:AC25,0,0,1,Performance!$I$2))</f>
        <v>-41079393352</v>
      </c>
      <c r="AE25" s="305"/>
      <c r="AF25" s="305"/>
      <c r="AG25" s="305"/>
      <c r="AH25" s="305"/>
      <c r="AI25" s="305"/>
      <c r="AJ25" s="305"/>
      <c r="AK25" s="305"/>
      <c r="AL25" s="305"/>
      <c r="AM25" s="305"/>
      <c r="AN25" s="305"/>
      <c r="AO25" s="305"/>
      <c r="AP25" s="305"/>
      <c r="AQ25" s="305"/>
    </row>
    <row r="26" spans="1:58" collapsed="1">
      <c r="Q26" s="301">
        <f>Performance!H2</f>
        <v>5</v>
      </c>
      <c r="AD26" s="301">
        <f>Performance!H2</f>
        <v>5</v>
      </c>
      <c r="AE26" s="301"/>
      <c r="AR26" s="308">
        <f>Performance!I2</f>
        <v>5</v>
      </c>
    </row>
    <row r="27" spans="1:58">
      <c r="Q27" s="304"/>
      <c r="AD27" s="301"/>
      <c r="AE27" s="301"/>
      <c r="AF27" s="304" t="e">
        <f>SUM(#REF!,#REF!)/10^9</f>
        <v>#REF!</v>
      </c>
      <c r="AG27" s="304" t="e">
        <f>SUM(#REF!,#REF!)/10^9</f>
        <v>#REF!</v>
      </c>
      <c r="AH27" s="304" t="e">
        <f>SUM(#REF!,#REF!)/10^9</f>
        <v>#REF!</v>
      </c>
      <c r="AI27" s="304" t="e">
        <f>SUM(#REF!,#REF!)/10^9</f>
        <v>#REF!</v>
      </c>
    </row>
    <row r="28" spans="1:58">
      <c r="A28" s="309" t="s">
        <v>104</v>
      </c>
      <c r="B28" s="309" t="s">
        <v>105</v>
      </c>
      <c r="C28" s="309"/>
      <c r="D28" s="309" t="s">
        <v>106</v>
      </c>
      <c r="E28" s="310">
        <v>1</v>
      </c>
      <c r="F28" s="310">
        <v>2</v>
      </c>
      <c r="G28" s="310">
        <v>3</v>
      </c>
      <c r="H28" s="310">
        <v>4</v>
      </c>
      <c r="I28" s="310">
        <v>5</v>
      </c>
      <c r="J28" s="310">
        <v>6</v>
      </c>
      <c r="K28" s="310">
        <v>7</v>
      </c>
      <c r="L28" s="310">
        <v>8</v>
      </c>
      <c r="M28" s="310">
        <v>9</v>
      </c>
      <c r="N28" s="310">
        <v>10</v>
      </c>
      <c r="O28" s="310">
        <v>11</v>
      </c>
      <c r="P28" s="310">
        <v>12</v>
      </c>
      <c r="Q28" s="311">
        <v>2024</v>
      </c>
      <c r="R28" s="310">
        <v>1</v>
      </c>
      <c r="S28" s="310">
        <v>2</v>
      </c>
      <c r="T28" s="310">
        <v>3</v>
      </c>
      <c r="U28" s="310">
        <v>4</v>
      </c>
      <c r="V28" s="310">
        <v>5</v>
      </c>
      <c r="W28" s="310">
        <v>6</v>
      </c>
      <c r="X28" s="310">
        <v>7</v>
      </c>
      <c r="Y28" s="310">
        <v>8</v>
      </c>
      <c r="Z28" s="310">
        <v>9</v>
      </c>
      <c r="AA28" s="310">
        <v>10</v>
      </c>
      <c r="AB28" s="310">
        <v>11</v>
      </c>
      <c r="AC28" s="310">
        <v>12</v>
      </c>
      <c r="AD28" s="311">
        <v>2025</v>
      </c>
      <c r="AE28" s="300" t="s">
        <v>107</v>
      </c>
      <c r="AF28" s="310">
        <v>1</v>
      </c>
      <c r="AG28" s="310">
        <v>2</v>
      </c>
      <c r="AH28" s="310">
        <v>3</v>
      </c>
      <c r="AI28" s="310">
        <v>4</v>
      </c>
      <c r="AJ28" s="310">
        <v>5</v>
      </c>
      <c r="AK28" s="310">
        <v>6</v>
      </c>
      <c r="AL28" s="310">
        <v>7</v>
      </c>
      <c r="AM28" s="310">
        <v>8</v>
      </c>
      <c r="AN28" s="310">
        <v>9</v>
      </c>
      <c r="AO28" s="310">
        <v>10</v>
      </c>
      <c r="AP28" s="310">
        <v>11</v>
      </c>
      <c r="AQ28" s="310">
        <v>12</v>
      </c>
      <c r="AR28" s="311">
        <v>2026</v>
      </c>
      <c r="AS28" s="311" t="s">
        <v>107</v>
      </c>
      <c r="AT28" s="310">
        <v>1</v>
      </c>
      <c r="AU28" s="310">
        <v>2</v>
      </c>
      <c r="AV28" s="310">
        <v>3</v>
      </c>
      <c r="AW28" s="310">
        <v>4</v>
      </c>
      <c r="AX28" s="310">
        <v>5</v>
      </c>
      <c r="AY28" s="310">
        <v>6</v>
      </c>
      <c r="AZ28" s="310">
        <v>7</v>
      </c>
      <c r="BA28" s="310">
        <v>8</v>
      </c>
      <c r="BB28" s="310">
        <v>9</v>
      </c>
      <c r="BC28" s="310">
        <v>10</v>
      </c>
      <c r="BD28" s="310">
        <v>11</v>
      </c>
      <c r="BE28" s="310">
        <v>12</v>
      </c>
      <c r="BF28" s="311"/>
    </row>
    <row r="29" spans="1:58">
      <c r="A29" s="312"/>
      <c r="B29" t="s">
        <v>108</v>
      </c>
      <c r="D29" t="s">
        <v>103</v>
      </c>
      <c r="E29" s="305" t="e">
        <f>E39+#REF!+#REF!+#REF!</f>
        <v>#REF!</v>
      </c>
      <c r="F29" s="305" t="e">
        <f>F39+#REF!+#REF!+#REF!</f>
        <v>#REF!</v>
      </c>
      <c r="G29" s="305" t="e">
        <f>G39+#REF!+#REF!+#REF!</f>
        <v>#REF!</v>
      </c>
      <c r="H29" s="305" t="e">
        <f>H39+#REF!+#REF!+#REF!</f>
        <v>#REF!</v>
      </c>
      <c r="I29" s="305" t="e">
        <f>I39+#REF!+#REF!+#REF!</f>
        <v>#REF!</v>
      </c>
      <c r="J29" s="305" t="e">
        <f>J39+#REF!+#REF!+#REF!</f>
        <v>#REF!</v>
      </c>
      <c r="K29" s="305" t="e">
        <f>K39+#REF!+#REF!+#REF!</f>
        <v>#REF!</v>
      </c>
      <c r="L29" s="305" t="e">
        <f>L39+#REF!+#REF!+#REF!</f>
        <v>#REF!</v>
      </c>
      <c r="M29" s="305" t="e">
        <f>M39+#REF!+#REF!+#REF!</f>
        <v>#REF!</v>
      </c>
      <c r="N29" s="305" t="e">
        <f>N39+#REF!+#REF!+#REF!</f>
        <v>#REF!</v>
      </c>
      <c r="O29" s="305" t="e">
        <f>O39+#REF!+#REF!+#REF!</f>
        <v>#REF!</v>
      </c>
      <c r="P29" s="305" t="e">
        <f>P39+#REF!+#REF!+#REF!</f>
        <v>#REF!</v>
      </c>
      <c r="Q29" s="305" t="e">
        <f ca="1">Q39+#REF!+#REF!+#REF!</f>
        <v>#REF!</v>
      </c>
      <c r="R29" s="305" t="e">
        <f>R39+#REF!+#REF!+#REF!</f>
        <v>#REF!</v>
      </c>
      <c r="S29" s="305" t="e">
        <f>S39+#REF!+#REF!+#REF!</f>
        <v>#REF!</v>
      </c>
      <c r="T29" s="305" t="e">
        <f>T39+#REF!+#REF!+#REF!</f>
        <v>#REF!</v>
      </c>
      <c r="U29" s="305" t="e">
        <f>U39+#REF!+#REF!+#REF!</f>
        <v>#REF!</v>
      </c>
      <c r="V29" s="305" t="e">
        <f>V39+#REF!+#REF!+#REF!</f>
        <v>#REF!</v>
      </c>
      <c r="W29" s="305" t="e">
        <f>W39+#REF!+#REF!+#REF!</f>
        <v>#REF!</v>
      </c>
      <c r="X29" s="305" t="e">
        <f>X39+#REF!+#REF!+#REF!</f>
        <v>#REF!</v>
      </c>
      <c r="Y29" s="305" t="e">
        <f>Y39+#REF!+#REF!+#REF!</f>
        <v>#REF!</v>
      </c>
      <c r="Z29" s="305" t="e">
        <f>Z39+#REF!+#REF!+#REF!</f>
        <v>#REF!</v>
      </c>
      <c r="AA29" s="305" t="e">
        <f>AA39+#REF!+#REF!+#REF!</f>
        <v>#REF!</v>
      </c>
      <c r="AB29" s="305" t="e">
        <f>AB39+#REF!+#REF!+#REF!</f>
        <v>#REF!</v>
      </c>
      <c r="AC29" s="305" t="e">
        <f>AC39+#REF!+#REF!+#REF!</f>
        <v>#REF!</v>
      </c>
      <c r="AD29" s="305" t="e">
        <f ca="1">AD39+#REF!+#REF!+#REF!</f>
        <v>#REF!</v>
      </c>
      <c r="AE29" s="300"/>
      <c r="AF29" s="305"/>
      <c r="AG29" s="305"/>
      <c r="AH29" s="305"/>
      <c r="AI29" s="305"/>
      <c r="AJ29" s="305"/>
      <c r="AK29" s="305"/>
      <c r="AL29" s="305"/>
      <c r="AM29" s="305"/>
      <c r="AN29" s="305"/>
      <c r="AO29" s="305"/>
      <c r="AP29" s="305"/>
      <c r="AQ29" s="305"/>
      <c r="AR29" s="300"/>
      <c r="AS29" s="300"/>
      <c r="AT29" s="313"/>
      <c r="AU29" s="313"/>
      <c r="AV29" s="313"/>
      <c r="AW29" s="313"/>
      <c r="AX29" s="313"/>
      <c r="AY29" s="313"/>
      <c r="AZ29" s="313"/>
      <c r="BA29" s="313"/>
      <c r="BB29" s="313"/>
      <c r="BC29" s="313"/>
      <c r="BD29" s="313"/>
      <c r="BE29" s="313"/>
      <c r="BF29" s="313"/>
    </row>
    <row r="30" spans="1:58">
      <c r="A30" s="312"/>
      <c r="B30" t="s">
        <v>108</v>
      </c>
      <c r="D30" t="s">
        <v>109</v>
      </c>
      <c r="E30" s="314" t="e">
        <f>E71+#REF!+#REF!+#REF!</f>
        <v>#REF!</v>
      </c>
      <c r="F30" s="314" t="e">
        <f>F71+#REF!+#REF!+#REF!</f>
        <v>#REF!</v>
      </c>
      <c r="G30" s="314" t="e">
        <f>G71+#REF!+#REF!+#REF!</f>
        <v>#REF!</v>
      </c>
      <c r="H30" s="314" t="e">
        <f>H71+#REF!+#REF!+#REF!</f>
        <v>#REF!</v>
      </c>
      <c r="I30" s="314" t="e">
        <f>I71+#REF!+#REF!+#REF!</f>
        <v>#REF!</v>
      </c>
      <c r="J30" s="314" t="e">
        <f>J71+#REF!+#REF!+#REF!</f>
        <v>#REF!</v>
      </c>
      <c r="K30" s="314" t="e">
        <f>K71+#REF!+#REF!+#REF!</f>
        <v>#REF!</v>
      </c>
      <c r="L30" s="314" t="e">
        <f>L71+#REF!+#REF!+#REF!</f>
        <v>#REF!</v>
      </c>
      <c r="M30" s="314" t="e">
        <f>M71+#REF!+#REF!+#REF!</f>
        <v>#REF!</v>
      </c>
      <c r="N30" s="314" t="e">
        <f>N71+#REF!+#REF!+#REF!</f>
        <v>#REF!</v>
      </c>
      <c r="O30" s="314" t="e">
        <f>O71+#REF!+#REF!+#REF!</f>
        <v>#REF!</v>
      </c>
      <c r="P30" s="314" t="e">
        <f>P71+#REF!+#REF!+#REF!</f>
        <v>#REF!</v>
      </c>
      <c r="Q30" s="315" t="e">
        <f ca="1">Q71+#REF!+#REF!+#REF!</f>
        <v>#REF!</v>
      </c>
      <c r="R30" s="314" t="e">
        <f>R71+#REF!+#REF!+#REF!</f>
        <v>#REF!</v>
      </c>
      <c r="S30" s="314" t="e">
        <f>S71+#REF!+#REF!+#REF!</f>
        <v>#REF!</v>
      </c>
      <c r="T30" s="314" t="e">
        <f>T71+#REF!+#REF!+#REF!</f>
        <v>#REF!</v>
      </c>
      <c r="U30" s="314" t="e">
        <f>U71+#REF!+#REF!+#REF!</f>
        <v>#REF!</v>
      </c>
      <c r="V30" s="314" t="e">
        <f>V71+#REF!+#REF!+#REF!</f>
        <v>#REF!</v>
      </c>
      <c r="W30" s="314" t="e">
        <f>W71+#REF!+#REF!+#REF!</f>
        <v>#REF!</v>
      </c>
      <c r="X30" s="314" t="e">
        <f>X71+#REF!+#REF!+#REF!</f>
        <v>#REF!</v>
      </c>
      <c r="Y30" s="314" t="e">
        <f>Y71+#REF!+#REF!+#REF!</f>
        <v>#REF!</v>
      </c>
      <c r="Z30" s="314" t="e">
        <f>Z71+#REF!+#REF!+#REF!</f>
        <v>#REF!</v>
      </c>
      <c r="AA30" s="314" t="e">
        <f>AA71+#REF!+#REF!+#REF!</f>
        <v>#REF!</v>
      </c>
      <c r="AB30" s="314" t="e">
        <f>AB71+#REF!+#REF!+#REF!</f>
        <v>#REF!</v>
      </c>
      <c r="AC30" s="314" t="e">
        <f>AC71+#REF!+#REF!+#REF!</f>
        <v>#REF!</v>
      </c>
      <c r="AD30" s="314" t="e">
        <f ca="1">AD71+#REF!+#REF!+#REF!</f>
        <v>#REF!</v>
      </c>
      <c r="AE30" s="300"/>
      <c r="AF30" s="314"/>
      <c r="AG30" s="314"/>
      <c r="AH30" s="314"/>
      <c r="AI30" s="314"/>
      <c r="AJ30" s="314"/>
      <c r="AK30" s="314"/>
      <c r="AL30" s="314"/>
      <c r="AM30" s="314"/>
      <c r="AN30" s="314"/>
      <c r="AO30" s="314"/>
      <c r="AP30" s="314"/>
      <c r="AQ30" s="314"/>
      <c r="AR30" s="300"/>
      <c r="AS30" s="300"/>
      <c r="AT30" s="313"/>
      <c r="AU30" s="313"/>
      <c r="AV30" s="313"/>
      <c r="AW30" s="313"/>
      <c r="AX30" s="313"/>
      <c r="AY30" s="313"/>
      <c r="AZ30" s="313"/>
      <c r="BA30" s="313"/>
      <c r="BB30" s="313"/>
      <c r="BC30" s="313"/>
      <c r="BD30" s="313"/>
      <c r="BE30" s="313"/>
      <c r="BF30" s="313"/>
    </row>
    <row r="31" spans="1:58">
      <c r="A31" s="312"/>
      <c r="B31" t="s">
        <v>108</v>
      </c>
      <c r="D31" t="s">
        <v>91</v>
      </c>
      <c r="E31" s="305" t="e">
        <f>E68+#REF!+#REF!+#REF!</f>
        <v>#REF!</v>
      </c>
      <c r="F31" s="305" t="e">
        <f>F68+#REF!+#REF!+#REF!</f>
        <v>#REF!</v>
      </c>
      <c r="G31" s="305" t="e">
        <f>G68+#REF!+#REF!+#REF!</f>
        <v>#REF!</v>
      </c>
      <c r="H31" s="305" t="e">
        <f>H68+#REF!+#REF!+#REF!</f>
        <v>#REF!</v>
      </c>
      <c r="I31" s="305" t="e">
        <f>I68+#REF!+#REF!+#REF!</f>
        <v>#REF!</v>
      </c>
      <c r="J31" s="305" t="e">
        <f>J68+#REF!+#REF!+#REF!</f>
        <v>#REF!</v>
      </c>
      <c r="K31" s="305" t="e">
        <f>K68+#REF!+#REF!+#REF!</f>
        <v>#REF!</v>
      </c>
      <c r="L31" s="305" t="e">
        <f>L68+#REF!+#REF!+#REF!</f>
        <v>#REF!</v>
      </c>
      <c r="M31" s="305" t="e">
        <f>M68+#REF!+#REF!+#REF!</f>
        <v>#REF!</v>
      </c>
      <c r="N31" s="305" t="e">
        <f>N68+#REF!+#REF!+#REF!</f>
        <v>#REF!</v>
      </c>
      <c r="O31" s="305" t="e">
        <f>O68+#REF!+#REF!+#REF!</f>
        <v>#REF!</v>
      </c>
      <c r="P31" s="305" t="e">
        <f>P68+#REF!+#REF!+#REF!</f>
        <v>#REF!</v>
      </c>
      <c r="Q31" s="305" t="e">
        <f ca="1">Q68+#REF!+#REF!+#REF!</f>
        <v>#REF!</v>
      </c>
      <c r="R31" s="305" t="e">
        <f>R68+#REF!+#REF!+#REF!</f>
        <v>#REF!</v>
      </c>
      <c r="S31" s="305" t="e">
        <f>S68+#REF!+#REF!+#REF!</f>
        <v>#REF!</v>
      </c>
      <c r="T31" s="305" t="e">
        <f>T68+#REF!+#REF!+#REF!</f>
        <v>#REF!</v>
      </c>
      <c r="U31" s="305" t="e">
        <f>U68+#REF!+#REF!+#REF!</f>
        <v>#REF!</v>
      </c>
      <c r="V31" s="305" t="e">
        <f>V68+#REF!+#REF!+#REF!</f>
        <v>#REF!</v>
      </c>
      <c r="W31" s="305" t="e">
        <f>W68+#REF!+#REF!+#REF!</f>
        <v>#REF!</v>
      </c>
      <c r="X31" s="305" t="e">
        <f>X68+#REF!+#REF!+#REF!</f>
        <v>#REF!</v>
      </c>
      <c r="Y31" s="305" t="e">
        <f>Y68+#REF!+#REF!+#REF!</f>
        <v>#REF!</v>
      </c>
      <c r="Z31" s="305" t="e">
        <f>Z68+#REF!+#REF!+#REF!</f>
        <v>#REF!</v>
      </c>
      <c r="AA31" s="305" t="e">
        <f>AA68+#REF!+#REF!+#REF!</f>
        <v>#REF!</v>
      </c>
      <c r="AB31" s="305" t="e">
        <f>AB68+#REF!+#REF!+#REF!</f>
        <v>#REF!</v>
      </c>
      <c r="AC31" s="305" t="e">
        <f>AC68+#REF!+#REF!+#REF!</f>
        <v>#REF!</v>
      </c>
      <c r="AD31" s="305" t="e">
        <f ca="1">AD68+#REF!+#REF!+#REF!</f>
        <v>#REF!</v>
      </c>
      <c r="AE31" s="300"/>
      <c r="AF31" s="305"/>
      <c r="AG31" s="305"/>
      <c r="AH31" s="305"/>
      <c r="AI31" s="305"/>
      <c r="AJ31" s="305"/>
      <c r="AK31" s="305"/>
      <c r="AL31" s="305"/>
      <c r="AM31" s="305"/>
      <c r="AN31" s="305"/>
      <c r="AO31" s="305"/>
      <c r="AP31" s="305"/>
      <c r="AQ31" s="305"/>
      <c r="AR31" s="300"/>
      <c r="AS31" s="300"/>
      <c r="AT31" s="313"/>
      <c r="AU31" s="313"/>
      <c r="AV31" s="313"/>
      <c r="AW31" s="313"/>
      <c r="AX31" s="313"/>
      <c r="AY31" s="313"/>
      <c r="AZ31" s="313"/>
      <c r="BA31" s="313"/>
      <c r="BB31" s="313"/>
      <c r="BC31" s="313"/>
      <c r="BD31" s="313"/>
      <c r="BE31" s="313"/>
      <c r="BF31" s="313"/>
    </row>
    <row r="32" spans="1:58">
      <c r="A32" s="312"/>
      <c r="B32" s="312"/>
      <c r="C32" s="312"/>
      <c r="D32" s="312"/>
      <c r="E32" s="316"/>
      <c r="F32" s="316"/>
      <c r="G32" s="316"/>
      <c r="H32" s="316"/>
      <c r="I32" s="316"/>
      <c r="J32" s="316"/>
      <c r="K32" s="316"/>
      <c r="L32" s="316"/>
      <c r="M32" s="316"/>
      <c r="N32" s="316"/>
      <c r="O32" s="316"/>
      <c r="P32" s="316"/>
      <c r="Q32" s="300"/>
      <c r="R32" s="316"/>
      <c r="S32" s="316"/>
      <c r="T32" s="316"/>
      <c r="U32" s="316"/>
      <c r="V32" s="316"/>
      <c r="W32" s="316"/>
      <c r="X32" s="316"/>
      <c r="Y32" s="316"/>
      <c r="Z32" s="316"/>
      <c r="AA32" s="316"/>
      <c r="AB32" s="316"/>
      <c r="AC32" s="316"/>
      <c r="AD32" s="300"/>
      <c r="AE32" s="300"/>
      <c r="AF32" s="316"/>
      <c r="AG32" s="316"/>
      <c r="AH32" s="316"/>
      <c r="AI32" s="316"/>
      <c r="AJ32" s="316"/>
      <c r="AK32" s="316"/>
      <c r="AL32" s="316"/>
      <c r="AM32" s="316"/>
      <c r="AN32" s="316"/>
      <c r="AO32" s="316"/>
      <c r="AP32" s="316"/>
      <c r="AQ32" s="316"/>
      <c r="AR32" s="300"/>
      <c r="AS32" s="300"/>
      <c r="AT32" s="313"/>
      <c r="AU32" s="313"/>
      <c r="AV32" s="313"/>
      <c r="AW32" s="313"/>
      <c r="AX32" s="313"/>
      <c r="AY32" s="313"/>
      <c r="AZ32" s="313"/>
      <c r="BA32" s="313"/>
      <c r="BB32" s="313"/>
      <c r="BC32" s="313"/>
      <c r="BD32" s="313"/>
      <c r="BE32" s="313"/>
      <c r="BF32" s="313"/>
    </row>
    <row r="33" spans="1:60">
      <c r="A33" s="312"/>
      <c r="B33" s="312"/>
      <c r="C33" s="312"/>
      <c r="D33" s="312"/>
      <c r="E33" s="316"/>
      <c r="F33" s="316"/>
      <c r="G33" s="316"/>
      <c r="H33" s="316"/>
      <c r="I33" s="316"/>
      <c r="J33" s="316"/>
      <c r="K33" s="316"/>
      <c r="L33" s="316"/>
      <c r="M33" s="316"/>
      <c r="N33" s="316"/>
      <c r="O33" s="316"/>
      <c r="P33" s="316"/>
      <c r="Q33" s="300"/>
      <c r="R33" s="316"/>
      <c r="S33" s="316"/>
      <c r="T33" s="316"/>
      <c r="U33" s="316"/>
      <c r="V33" s="316"/>
      <c r="W33" s="316"/>
      <c r="X33" s="316"/>
      <c r="Y33" s="316"/>
      <c r="Z33" s="316"/>
      <c r="AA33" s="316"/>
      <c r="AB33" s="316"/>
      <c r="AC33" s="316"/>
      <c r="AD33" s="300"/>
      <c r="AE33" s="300"/>
      <c r="AF33" s="316"/>
      <c r="AG33" s="316"/>
      <c r="AH33" s="316"/>
      <c r="AI33" s="316"/>
      <c r="AJ33" s="316"/>
      <c r="AK33" s="316"/>
      <c r="AL33" s="316"/>
      <c r="AM33" s="316"/>
      <c r="AN33" s="316"/>
      <c r="AO33" s="316"/>
      <c r="AP33" s="316"/>
      <c r="AQ33" s="316"/>
      <c r="AR33" s="300"/>
      <c r="AS33" s="300"/>
      <c r="AT33" s="313"/>
      <c r="AU33" s="313"/>
      <c r="AV33" s="313"/>
      <c r="AW33" s="313"/>
      <c r="AX33" s="313"/>
      <c r="AY33" s="313"/>
      <c r="AZ33" s="313"/>
      <c r="BA33" s="313"/>
      <c r="BB33" s="313"/>
      <c r="BC33" s="313"/>
      <c r="BD33" s="313"/>
      <c r="BE33" s="313"/>
      <c r="BF33" s="313"/>
    </row>
    <row r="34" spans="1:60">
      <c r="A34" s="317"/>
      <c r="B34" s="317" t="s">
        <v>2</v>
      </c>
      <c r="C34" s="317"/>
      <c r="D34" s="317" t="s">
        <v>67</v>
      </c>
      <c r="E34" s="313">
        <f>DTR!C200</f>
        <v>248.32407407407408</v>
      </c>
      <c r="F34" s="313">
        <f>DTR!D200</f>
        <v>228.94230769230768</v>
      </c>
      <c r="G34" s="313">
        <f>DTR!E200</f>
        <v>262.77</v>
      </c>
      <c r="H34" s="313">
        <f>DTR!F200</f>
        <v>275.26851851851853</v>
      </c>
      <c r="I34" s="313">
        <f>DTR!G200</f>
        <v>280.88461538461536</v>
      </c>
      <c r="J34" s="313">
        <f>DTR!H200</f>
        <v>291.61538461538464</v>
      </c>
      <c r="K34" s="313">
        <f>DTR!I200</f>
        <v>294.125</v>
      </c>
      <c r="L34" s="313">
        <f>DTR!J200</f>
        <v>289.92307692307691</v>
      </c>
      <c r="M34" s="313">
        <f>DTR!K200</f>
        <v>315</v>
      </c>
      <c r="N34" s="313">
        <f>DTR!L200</f>
        <v>329.61057692307691</v>
      </c>
      <c r="O34" s="313">
        <f>DTR!M200</f>
        <v>361.78846153846155</v>
      </c>
      <c r="P34" s="313">
        <f>DTR!N200</f>
        <v>360.65384615384613</v>
      </c>
      <c r="Q34" s="313">
        <f ca="1">AVERAGE(OFFSET(E34:P34,0,0,1,$AD$26))</f>
        <v>259.2379031339031</v>
      </c>
      <c r="R34" s="313">
        <f>DTR!O200</f>
        <v>333.7037037037037</v>
      </c>
      <c r="S34" s="313">
        <f>DTR!P200</f>
        <v>337.96153846153845</v>
      </c>
      <c r="T34" s="313">
        <f>DTR!Q200</f>
        <v>344.22916666666669</v>
      </c>
      <c r="U34" s="313">
        <f>DTR!R200</f>
        <v>347.57407407407408</v>
      </c>
      <c r="V34" s="313">
        <f>DTR!S200</f>
        <v>336.74</v>
      </c>
      <c r="W34" s="313">
        <f>DTR!T200</f>
        <v>351.75480769230768</v>
      </c>
      <c r="X34" s="313">
        <f>DTR!U200</f>
        <v>406.15384615384613</v>
      </c>
      <c r="Y34" s="313">
        <f>DTR!V200</f>
        <v>409.73076923076923</v>
      </c>
      <c r="Z34" s="313">
        <f>DTR!W200</f>
        <v>418.2037037037037</v>
      </c>
      <c r="AA34" s="313">
        <f>DTR!X200</f>
        <v>384.40865384615387</v>
      </c>
      <c r="AB34" s="313">
        <f>DTR!Y200</f>
        <v>357.38461538461536</v>
      </c>
      <c r="AC34" s="313">
        <f>DTR!Z200</f>
        <v>340.42788461538464</v>
      </c>
      <c r="AD34" s="313">
        <f ca="1">AVERAGE(OFFSET(R34:AC34,0,0,1,$AD$26))</f>
        <v>340.04169658119656</v>
      </c>
      <c r="AE34" s="318">
        <f t="shared" ref="AE34:AE46" ca="1" si="14">IF($AD$26=1,R34,SUM(OFFSET(R34:AC34,0,0,1,$AD$26))-SUM(OFFSET(R34:AC34,0,0,1,$AD$26-1)))</f>
        <v>336.74</v>
      </c>
      <c r="AF34" s="313">
        <f>DTR!AA$200</f>
        <v>326.32</v>
      </c>
      <c r="AG34" s="313">
        <f>DTR!AB$200</f>
        <v>348.40909090909088</v>
      </c>
      <c r="AH34" s="313">
        <f>DTR!AC$200</f>
        <v>335.09635416666669</v>
      </c>
      <c r="AI34" s="313">
        <f>DTR!AD$200</f>
        <v>342.35185185185185</v>
      </c>
      <c r="AJ34" s="313">
        <f>DTR!AE$200</f>
        <v>354.78</v>
      </c>
      <c r="AK34" s="313">
        <f>DTR!AF$200</f>
        <v>369</v>
      </c>
      <c r="AL34" s="313">
        <f>DTR!AG$200</f>
        <v>369</v>
      </c>
      <c r="AM34" s="313">
        <f>DTR!AH$200</f>
        <v>369</v>
      </c>
      <c r="AN34" s="313">
        <f>DTR!AI$200</f>
        <v>370</v>
      </c>
      <c r="AO34" s="313">
        <f>DTR!AJ$200</f>
        <v>370</v>
      </c>
      <c r="AP34" s="313">
        <f>DTR!AK$200</f>
        <v>370</v>
      </c>
      <c r="AQ34" s="313">
        <f>DTR!AL$200</f>
        <v>370</v>
      </c>
      <c r="AR34" s="313">
        <f ca="1">AVERAGE(OFFSET(AF34:AQ34,0,0,1,$AR$26))</f>
        <v>341.3914593855219</v>
      </c>
      <c r="AS34" s="313">
        <f t="shared" ref="AS34:AS46" ca="1" si="15">IF($AR$26=1,AF34,SUM(OFFSET(AF34:AQ34,0,0,1,$AR$26))-SUM(OFFSET(AF34:AQ34,0,0,1,$AR$26-1)))</f>
        <v>354.78</v>
      </c>
    </row>
    <row r="35" spans="1:60">
      <c r="A35" s="317"/>
      <c r="B35" s="317" t="s">
        <v>2</v>
      </c>
      <c r="C35" s="317"/>
      <c r="D35" s="317" t="s">
        <v>64</v>
      </c>
      <c r="E35" s="313">
        <f>DTR!C201</f>
        <v>8313.125</v>
      </c>
      <c r="F35" s="313">
        <f>DTR!D201</f>
        <v>5751.2562500000004</v>
      </c>
      <c r="G35" s="313">
        <f>DTR!E201</f>
        <v>8410.5487499999999</v>
      </c>
      <c r="H35" s="313">
        <f>DTR!F201</f>
        <v>9674.7637500000001</v>
      </c>
      <c r="I35" s="313">
        <f>DTR!G201</f>
        <v>9070.9487499999996</v>
      </c>
      <c r="J35" s="313">
        <f>DTR!H201</f>
        <v>9978.34</v>
      </c>
      <c r="K35" s="313">
        <f>DTR!I201</f>
        <v>9880.3887500000001</v>
      </c>
      <c r="L35" s="313">
        <f>DTR!J201</f>
        <v>8027.2775000000001</v>
      </c>
      <c r="M35" s="313">
        <f>DTR!K201</f>
        <v>7669.3125</v>
      </c>
      <c r="N35" s="313">
        <f>DTR!L201</f>
        <v>9098.2224999999999</v>
      </c>
      <c r="O35" s="313">
        <f>DTR!M201</f>
        <v>10053.99</v>
      </c>
      <c r="P35" s="313">
        <f>DTR!N201</f>
        <v>9981.5949999999993</v>
      </c>
      <c r="Q35" s="313">
        <f ca="1">SUM(OFFSET(E35:P35,0,0,1,$AD$26))</f>
        <v>41220.642500000002</v>
      </c>
      <c r="R35" s="313">
        <f>DTR!O201</f>
        <v>8888.6762500000004</v>
      </c>
      <c r="S35" s="313">
        <f>DTR!P201</f>
        <v>7373.15</v>
      </c>
      <c r="T35" s="313">
        <f>DTR!Q201</f>
        <v>8885.2450000000008</v>
      </c>
      <c r="U35" s="313">
        <f>DTR!R201</f>
        <v>9712.6712499999994</v>
      </c>
      <c r="V35" s="313">
        <f>DTR!S201</f>
        <v>9376.4337500000001</v>
      </c>
      <c r="W35" s="313">
        <f>DTR!T201</f>
        <v>10781.004999999999</v>
      </c>
      <c r="X35" s="313">
        <f>DTR!U201</f>
        <v>11002.8375</v>
      </c>
      <c r="Y35" s="313">
        <f>DTR!V201</f>
        <v>10746.68</v>
      </c>
      <c r="Z35" s="313">
        <f>DTR!W201</f>
        <v>11568.86</v>
      </c>
      <c r="AA35" s="313">
        <f>DTR!X201</f>
        <v>10863.221250000001</v>
      </c>
      <c r="AB35" s="313">
        <f>DTR!Y201</f>
        <v>9705.3449999999993</v>
      </c>
      <c r="AC35" s="313">
        <f>DTR!Z201</f>
        <v>9400.6362499999996</v>
      </c>
      <c r="AD35" s="313">
        <f ca="1">SUM(OFFSET(R35:AC35,0,0,1,$AD$26))</f>
        <v>44236.176250000004</v>
      </c>
      <c r="AE35" s="318">
        <f t="shared" ca="1" si="14"/>
        <v>9376.4337500000038</v>
      </c>
      <c r="AF35" s="313">
        <f>DTR!AA$201</f>
        <v>8272.098750000001</v>
      </c>
      <c r="AG35" s="313">
        <f>DTR!AB$201</f>
        <v>6904.42</v>
      </c>
      <c r="AH35" s="313">
        <f>DTR!AC$201</f>
        <v>8481.5962499999987</v>
      </c>
      <c r="AI35" s="313">
        <f>DTR!AD$201</f>
        <v>10303.626249999999</v>
      </c>
      <c r="AJ35" s="313">
        <f>DTR!AE$201</f>
        <v>6773.8362500000003</v>
      </c>
      <c r="AK35" s="313">
        <f>DTR!AF$201</f>
        <v>9225</v>
      </c>
      <c r="AL35" s="313">
        <f>DTR!AG$201</f>
        <v>9225</v>
      </c>
      <c r="AM35" s="313">
        <f>DTR!AH$201</f>
        <v>9225</v>
      </c>
      <c r="AN35" s="313">
        <f>DTR!AI$201</f>
        <v>9250</v>
      </c>
      <c r="AO35" s="313">
        <f>DTR!AJ$201</f>
        <v>9250</v>
      </c>
      <c r="AP35" s="313">
        <f>DTR!AK$201</f>
        <v>9250</v>
      </c>
      <c r="AQ35" s="313">
        <f>DTR!AL$201</f>
        <v>9250</v>
      </c>
      <c r="AR35" s="313">
        <f ca="1">SUM(OFFSET(AF35:AQ35,0,0,1,$AR$26))</f>
        <v>40735.577499999999</v>
      </c>
      <c r="AS35">
        <f t="shared" ca="1" si="15"/>
        <v>6773.8362500000003</v>
      </c>
    </row>
    <row r="36" spans="1:60">
      <c r="A36" s="320" t="s">
        <v>111</v>
      </c>
      <c r="B36" s="317" t="s">
        <v>2</v>
      </c>
      <c r="C36" s="317"/>
      <c r="D36" s="317" t="s">
        <v>6</v>
      </c>
      <c r="E36" s="313">
        <f>DTR!C202</f>
        <v>4748.3130000000001</v>
      </c>
      <c r="F36" s="313">
        <f>DTR!D202</f>
        <v>2926.502</v>
      </c>
      <c r="G36" s="313">
        <f>DTR!E202</f>
        <v>4896.4380000000001</v>
      </c>
      <c r="H36" s="313">
        <f>DTR!F202</f>
        <v>4526.3689999999997</v>
      </c>
      <c r="I36" s="313">
        <f>DTR!G202</f>
        <v>4417.875</v>
      </c>
      <c r="J36" s="313">
        <f>DTR!H202</f>
        <v>3495.0745000000002</v>
      </c>
      <c r="K36" s="313">
        <f>DTR!I202</f>
        <v>1866.424</v>
      </c>
      <c r="L36" s="313">
        <f>DTR!J202</f>
        <v>2192.5825</v>
      </c>
      <c r="M36" s="313">
        <f>DTR!K202</f>
        <v>2799.3997000000004</v>
      </c>
      <c r="N36" s="313">
        <f>DTR!L202</f>
        <v>4293.2714999999998</v>
      </c>
      <c r="O36" s="313">
        <f>DTR!M202</f>
        <v>4775.3969999999999</v>
      </c>
      <c r="P36" s="313">
        <f>DTR!N202</f>
        <v>3318.6421</v>
      </c>
      <c r="Q36" s="313">
        <f ca="1">SUM(OFFSET(E36:P36,0,0,1,$AD$26))</f>
        <v>21515.496999999999</v>
      </c>
      <c r="R36" s="313">
        <f>DTR!O202</f>
        <v>1839.731</v>
      </c>
      <c r="S36" s="313">
        <f>DTR!P202</f>
        <v>2957.2660000000001</v>
      </c>
      <c r="T36" s="313">
        <f>DTR!Q202</f>
        <v>4821.92</v>
      </c>
      <c r="U36" s="313">
        <f>DTR!R202</f>
        <v>4088.2489999999998</v>
      </c>
      <c r="V36" s="313">
        <f>DTR!S202</f>
        <v>4828.9709999999995</v>
      </c>
      <c r="W36" s="313">
        <f>DTR!T202</f>
        <v>4232.4530000000004</v>
      </c>
      <c r="X36" s="313">
        <f>DTR!U202</f>
        <v>4561.6409999999996</v>
      </c>
      <c r="Y36" s="313">
        <f>DTR!V202</f>
        <v>4570.5645000000004</v>
      </c>
      <c r="Z36" s="313">
        <f>DTR!W202</f>
        <v>4555.5079999999998</v>
      </c>
      <c r="AA36" s="313">
        <f>DTR!X202</f>
        <v>3173.9180000000001</v>
      </c>
      <c r="AB36" s="313">
        <f>DTR!Y202</f>
        <v>2323.2629999999999</v>
      </c>
      <c r="AC36" s="313">
        <f>DTR!Z202</f>
        <v>3552.8618000000001</v>
      </c>
      <c r="AD36" s="313">
        <f ca="1">SUM(OFFSET(R36:AC36,0,0,1,$AD$26))</f>
        <v>18536.137000000002</v>
      </c>
      <c r="AE36" s="318">
        <f t="shared" ca="1" si="14"/>
        <v>4828.9710000000014</v>
      </c>
      <c r="AF36" s="313">
        <f>DTR!AA$202</f>
        <v>2868.56925</v>
      </c>
      <c r="AG36" s="313">
        <f>DTR!AB$202</f>
        <v>1811.1</v>
      </c>
      <c r="AH36" s="313">
        <f>DTR!AC$202</f>
        <v>4279.4889999999996</v>
      </c>
      <c r="AI36" s="313">
        <f>DTR!AD$202</f>
        <v>4003.7973046143684</v>
      </c>
      <c r="AJ36" s="313">
        <f>DTR!AE$202</f>
        <v>3592.6819999999998</v>
      </c>
      <c r="AK36" s="313">
        <f>DTR!AF$202</f>
        <v>4284.8144134292879</v>
      </c>
      <c r="AL36" s="313">
        <f>DTR!AG$202</f>
        <v>4264.7783844271753</v>
      </c>
      <c r="AM36" s="313">
        <f>DTR!AH$202</f>
        <v>4161.473212798478</v>
      </c>
      <c r="AN36" s="313">
        <f>DTR!AI$202</f>
        <v>4366.0900727482203</v>
      </c>
      <c r="AO36" s="313">
        <f>DTR!AJ$202</f>
        <v>4073.6191944065081</v>
      </c>
      <c r="AP36" s="313">
        <f>DTR!AK$202</f>
        <v>4294.6592745360449</v>
      </c>
      <c r="AQ36" s="313">
        <f>DTR!AL$202</f>
        <v>4380.6502413697199</v>
      </c>
      <c r="AR36" s="313">
        <f ca="1">SUM(OFFSET(AF36:AQ36,0,0,1,$AR$26))</f>
        <v>16555.637554614368</v>
      </c>
      <c r="AS36" s="313">
        <f t="shared" ca="1" si="15"/>
        <v>3592.6819999999989</v>
      </c>
    </row>
    <row r="37" spans="1:60">
      <c r="A37" s="317"/>
      <c r="B37" s="317" t="s">
        <v>2</v>
      </c>
      <c r="C37" s="317"/>
      <c r="D37" s="317" t="s">
        <v>110</v>
      </c>
      <c r="E37" s="313">
        <f>DTR!C199</f>
        <v>449.32407407407408</v>
      </c>
      <c r="F37" s="313">
        <f>DTR!D199</f>
        <v>426.94230769230768</v>
      </c>
      <c r="G37" s="313">
        <f>DTR!E199</f>
        <v>469.77</v>
      </c>
      <c r="H37" s="313">
        <f>DTR!F199</f>
        <v>495.26851851851853</v>
      </c>
      <c r="I37" s="313">
        <f>DTR!G199</f>
        <v>511.88461538461536</v>
      </c>
      <c r="J37" s="313">
        <f>DTR!H199</f>
        <v>520.61538461538464</v>
      </c>
      <c r="K37" s="313">
        <f>DTR!I199</f>
        <v>525.125</v>
      </c>
      <c r="L37" s="313">
        <f>DTR!J199</f>
        <v>518.92307692307691</v>
      </c>
      <c r="M37" s="313">
        <f>DTR!K199</f>
        <v>552</v>
      </c>
      <c r="N37" s="313">
        <f>DTR!L199</f>
        <v>571.61057692307691</v>
      </c>
      <c r="O37" s="313">
        <f>DTR!M199</f>
        <v>608.78846153846155</v>
      </c>
      <c r="P37" s="313">
        <f>DTR!N199</f>
        <v>615.65384615384619</v>
      </c>
      <c r="Q37" s="313">
        <f ca="1">AVERAGE(OFFSET(E37:P37,0,0,1,$AD$26))</f>
        <v>470.63790313390308</v>
      </c>
      <c r="R37" s="313">
        <f>DTR!O199</f>
        <v>593.7037037037037</v>
      </c>
      <c r="S37" s="313">
        <f>DTR!P199</f>
        <v>594.96153846153845</v>
      </c>
      <c r="T37" s="313">
        <f>DTR!Q199</f>
        <v>615.22916666666663</v>
      </c>
      <c r="U37" s="313">
        <f>DTR!R199</f>
        <v>624.57407407407402</v>
      </c>
      <c r="V37" s="313">
        <f>DTR!S199</f>
        <v>617.74</v>
      </c>
      <c r="W37" s="313">
        <f>DTR!T199</f>
        <v>637.75480769230774</v>
      </c>
      <c r="X37" s="313">
        <f>DTR!U199</f>
        <v>691.15384615384619</v>
      </c>
      <c r="Y37" s="313">
        <f>DTR!V199</f>
        <v>697.73076923076928</v>
      </c>
      <c r="Z37" s="313">
        <f>DTR!W199</f>
        <v>705.2037037037037</v>
      </c>
      <c r="AA37" s="313">
        <f>DTR!X199</f>
        <v>675.40865384615381</v>
      </c>
      <c r="AB37" s="313">
        <f>DTR!Y199</f>
        <v>650.38461538461536</v>
      </c>
      <c r="AC37" s="313">
        <f>DTR!Z199</f>
        <v>634.42788461538464</v>
      </c>
      <c r="AD37" s="313">
        <f ca="1">AVERAGE(OFFSET(R37:AC37,0,0,1,$AD$26))</f>
        <v>609.24169658119649</v>
      </c>
      <c r="AE37" s="318">
        <f t="shared" ca="1" si="14"/>
        <v>617.73999999999978</v>
      </c>
      <c r="AF37" s="313">
        <f>DTR!AA$199</f>
        <v>616.32000000000005</v>
      </c>
      <c r="AG37" s="313">
        <f>DTR!AB$199</f>
        <v>628.40909090909088</v>
      </c>
      <c r="AH37" s="313">
        <f>DTR!AC$199</f>
        <v>616.09635416666663</v>
      </c>
      <c r="AI37" s="313">
        <f>DTR!AD$199</f>
        <v>619.35185185185185</v>
      </c>
      <c r="AJ37" s="313">
        <f>DTR!AE$199</f>
        <v>637.78</v>
      </c>
      <c r="AK37" s="313">
        <f>DTR!AF$199</f>
        <v>674</v>
      </c>
      <c r="AL37" s="313">
        <f>DTR!AG$199</f>
        <v>674</v>
      </c>
      <c r="AM37" s="313">
        <f>DTR!AH$199</f>
        <v>674</v>
      </c>
      <c r="AN37" s="313">
        <f>DTR!AI$199</f>
        <v>675</v>
      </c>
      <c r="AO37" s="313">
        <f>DTR!AJ$199</f>
        <v>675</v>
      </c>
      <c r="AP37" s="313">
        <f>DTR!AK$199</f>
        <v>675</v>
      </c>
      <c r="AQ37" s="313">
        <f>DTR!AL$199</f>
        <v>675</v>
      </c>
      <c r="AR37" s="313">
        <f ca="1">AVERAGE(OFFSET(AF37:AQ37,0,0,1,$AR$26))</f>
        <v>623.59145938552194</v>
      </c>
      <c r="AS37" s="313">
        <f t="shared" ca="1" si="15"/>
        <v>637.7800000000002</v>
      </c>
    </row>
    <row r="38" spans="1:60">
      <c r="A38" s="320" t="s">
        <v>112</v>
      </c>
      <c r="B38" s="321" t="s">
        <v>2</v>
      </c>
      <c r="C38" s="321"/>
      <c r="D38" s="321" t="s">
        <v>8</v>
      </c>
      <c r="E38" s="319">
        <f>DTR!C134</f>
        <v>3553.2</v>
      </c>
      <c r="F38" s="319">
        <f>DTR!D134</f>
        <v>2285.0509999999999</v>
      </c>
      <c r="G38" s="319">
        <f>DTR!E134</f>
        <v>2972.0680000000002</v>
      </c>
      <c r="H38" s="319">
        <f>DTR!F134</f>
        <v>3202.752</v>
      </c>
      <c r="I38" s="319">
        <f>DTR!G134</f>
        <v>3455.89</v>
      </c>
      <c r="J38" s="319">
        <f>DTR!H134</f>
        <v>2432.3249999999998</v>
      </c>
      <c r="K38" s="319">
        <f>DTR!I134</f>
        <v>1986.8530000000001</v>
      </c>
      <c r="L38" s="319">
        <f>DTR!J134</f>
        <v>5184.5942000000005</v>
      </c>
      <c r="M38" s="319">
        <f>DTR!K134</f>
        <v>4932.5069999999996</v>
      </c>
      <c r="N38" s="319">
        <f>DTR!L134</f>
        <v>4058.203</v>
      </c>
      <c r="O38" s="319">
        <f>DTR!M134</f>
        <v>2606.2530000000002</v>
      </c>
      <c r="P38" s="319">
        <f>DTR!N134</f>
        <v>3375.1480000000001</v>
      </c>
      <c r="Q38" s="319">
        <f ca="1">SUM(OFFSET(E38:P38,0,0,1,$AD$26))</f>
        <v>15468.960999999999</v>
      </c>
      <c r="R38" s="319">
        <f>DTR!O134</f>
        <v>3612.7512999999999</v>
      </c>
      <c r="S38" s="319">
        <f>DTR!P134</f>
        <v>6002.0379999999996</v>
      </c>
      <c r="T38" s="319">
        <f>DTR!Q134</f>
        <v>4985.5379999999996</v>
      </c>
      <c r="U38" s="319">
        <f>DTR!R134</f>
        <v>4060.3609999999999</v>
      </c>
      <c r="V38" s="319">
        <f>DTR!S134</f>
        <v>4785.7602999999999</v>
      </c>
      <c r="W38" s="319">
        <f>DTR!T134</f>
        <v>3895.6950000000002</v>
      </c>
      <c r="X38" s="319">
        <f>DTR!U134</f>
        <v>4652.4191000000001</v>
      </c>
      <c r="Y38" s="319">
        <f>DTR!V134</f>
        <v>5655.27</v>
      </c>
      <c r="Z38" s="319">
        <f>DTR!W134</f>
        <v>3106.2919999999999</v>
      </c>
      <c r="AA38" s="319">
        <f>DTR!X134</f>
        <v>3393.5369999999998</v>
      </c>
      <c r="AB38" s="319">
        <f>DTR!Y134</f>
        <v>3040.82</v>
      </c>
      <c r="AC38" s="319">
        <f>DTR!Z134</f>
        <v>3185.6790000000001</v>
      </c>
      <c r="AD38" s="319">
        <f t="shared" ref="AD38:AD71" ca="1" si="16">SUM(OFFSET(R38:AC38,0,0,1,$AD$26))</f>
        <v>23446.448600000003</v>
      </c>
      <c r="AE38" s="318">
        <f t="shared" ca="1" si="14"/>
        <v>4785.7603000000017</v>
      </c>
      <c r="AF38" s="319">
        <f>DTR!AA$134</f>
        <v>4409.9920000000002</v>
      </c>
      <c r="AG38" s="319">
        <f>DTR!AB$134</f>
        <v>3267.6</v>
      </c>
      <c r="AH38" s="319">
        <f>DTR!AC$134</f>
        <v>6445.4459999999999</v>
      </c>
      <c r="AI38" s="319">
        <f>DTR!AD$134</f>
        <v>5748.625</v>
      </c>
      <c r="AJ38" s="319">
        <f>DTR!AE$134</f>
        <v>5140.924</v>
      </c>
      <c r="AK38" s="319">
        <f>DTR!AF$134</f>
        <v>0</v>
      </c>
      <c r="AL38" s="319">
        <f>DTR!AG$134</f>
        <v>0</v>
      </c>
      <c r="AM38" s="319">
        <f>DTR!AH$134</f>
        <v>0</v>
      </c>
      <c r="AN38" s="319">
        <f>DTR!AI$134</f>
        <v>0</v>
      </c>
      <c r="AO38" s="319">
        <f>DTR!AJ$134</f>
        <v>0</v>
      </c>
      <c r="AP38" s="319">
        <f>DTR!AK$134</f>
        <v>0</v>
      </c>
      <c r="AQ38" s="319">
        <f>DTR!AL$134</f>
        <v>0</v>
      </c>
      <c r="AR38" s="313">
        <f t="shared" ref="AR38:AR71" ca="1" si="17">SUM(OFFSET(AF38:AQ38,0,0,1,$AR$26))</f>
        <v>25012.587</v>
      </c>
      <c r="AS38" s="313">
        <f t="shared" ca="1" si="15"/>
        <v>5140.9239999999991</v>
      </c>
    </row>
    <row r="39" spans="1:60">
      <c r="A39" s="320" t="s">
        <v>113</v>
      </c>
      <c r="B39" s="321" t="s">
        <v>2</v>
      </c>
      <c r="C39" s="321"/>
      <c r="D39" s="321" t="s">
        <v>103</v>
      </c>
      <c r="E39" s="319">
        <f>DTR!C137</f>
        <v>95961616736</v>
      </c>
      <c r="F39" s="319">
        <f>DTR!D137</f>
        <v>68939746996</v>
      </c>
      <c r="G39" s="319">
        <f>DTR!E137</f>
        <v>92109508133</v>
      </c>
      <c r="H39" s="319">
        <f>DTR!F137</f>
        <v>97489092894</v>
      </c>
      <c r="I39" s="319">
        <f>DTR!G137</f>
        <v>102364998344</v>
      </c>
      <c r="J39" s="319">
        <f>DTR!H137</f>
        <v>68093170109</v>
      </c>
      <c r="K39" s="319">
        <f>DTR!I137</f>
        <v>56451269692</v>
      </c>
      <c r="L39" s="319">
        <f>DTR!J137</f>
        <v>154027868172</v>
      </c>
      <c r="M39" s="319">
        <f>DTR!K137</f>
        <v>156829896725</v>
      </c>
      <c r="N39" s="319">
        <f>DTR!L137</f>
        <v>116812598746</v>
      </c>
      <c r="O39" s="319">
        <f>DTR!M137</f>
        <v>76126139834</v>
      </c>
      <c r="P39" s="319">
        <f>DTR!N137</f>
        <v>106210088680</v>
      </c>
      <c r="Q39" s="319">
        <f t="shared" ref="Q39:Q71" ca="1" si="18">SUM(OFFSET(E39:P39,0,0,1,$AD$26))</f>
        <v>456864963103</v>
      </c>
      <c r="R39" s="319">
        <f>DTR!O137</f>
        <v>114462510402</v>
      </c>
      <c r="S39" s="319">
        <f>DTR!P137</f>
        <v>187999461059</v>
      </c>
      <c r="T39" s="319">
        <f>DTR!Q137</f>
        <v>150253332680</v>
      </c>
      <c r="U39" s="319">
        <f>DTR!R137</f>
        <v>125429649855</v>
      </c>
      <c r="V39" s="319">
        <f>DTR!S137</f>
        <v>152067142852</v>
      </c>
      <c r="W39" s="319">
        <f>DTR!T137</f>
        <v>119134672797</v>
      </c>
      <c r="X39" s="319">
        <f>DTR!U137</f>
        <v>137991406898</v>
      </c>
      <c r="Y39" s="319">
        <f>DTR!V137</f>
        <v>168442653383</v>
      </c>
      <c r="Z39" s="319">
        <f>DTR!W137</f>
        <v>84710435067</v>
      </c>
      <c r="AA39" s="319">
        <f>DTR!X137</f>
        <v>108928556660</v>
      </c>
      <c r="AB39" s="319">
        <f>DTR!Y137</f>
        <v>88347880802</v>
      </c>
      <c r="AC39" s="319">
        <f>DTR!Z137</f>
        <v>99758121581</v>
      </c>
      <c r="AD39" s="319">
        <f t="shared" ca="1" si="16"/>
        <v>730212096848</v>
      </c>
      <c r="AE39" s="318">
        <f t="shared" ca="1" si="14"/>
        <v>152067142852</v>
      </c>
      <c r="AF39" s="319">
        <f>DTR!AA$137</f>
        <v>126099036923</v>
      </c>
      <c r="AG39" s="319">
        <f>DTR!AB$137</f>
        <v>96566805360</v>
      </c>
      <c r="AH39" s="319">
        <f>DTR!AC$137</f>
        <v>173305822529</v>
      </c>
      <c r="AI39" s="319">
        <f>DTR!AD$137</f>
        <v>159056854829</v>
      </c>
      <c r="AJ39" s="319">
        <f>DTR!AE$137</f>
        <v>159765309037</v>
      </c>
      <c r="AK39" s="319">
        <f>DTR!AF$137</f>
        <v>0</v>
      </c>
      <c r="AL39" s="319">
        <f>DTR!AG$137</f>
        <v>0</v>
      </c>
      <c r="AM39" s="319">
        <f>DTR!AH$137</f>
        <v>0</v>
      </c>
      <c r="AN39" s="319">
        <f>DTR!AI$137</f>
        <v>0</v>
      </c>
      <c r="AO39" s="319">
        <f>DTR!AJ$137</f>
        <v>0</v>
      </c>
      <c r="AP39" s="319">
        <f>DTR!AK$137</f>
        <v>0</v>
      </c>
      <c r="AQ39" s="319">
        <f>DTR!AL$137</f>
        <v>0</v>
      </c>
      <c r="AR39" s="319">
        <f t="shared" ca="1" si="17"/>
        <v>714793828678</v>
      </c>
      <c r="AS39" s="319">
        <f t="shared" ca="1" si="15"/>
        <v>159765309037</v>
      </c>
      <c r="BH39" s="340">
        <f ca="1">(AD39-Q39)/Q39</f>
        <v>0.5983105639978219</v>
      </c>
    </row>
    <row r="40" spans="1:60">
      <c r="A40" s="320" t="s">
        <v>114</v>
      </c>
      <c r="B40" s="321" t="s">
        <v>2</v>
      </c>
      <c r="C40" s="321"/>
      <c r="D40" s="338" t="s">
        <v>14</v>
      </c>
      <c r="E40" s="319">
        <f>DTR!C208</f>
        <v>82123174705</v>
      </c>
      <c r="F40" s="319">
        <f>DTR!D208</f>
        <v>82123174705</v>
      </c>
      <c r="G40" s="319">
        <f>DTR!E208</f>
        <v>82123174705</v>
      </c>
      <c r="H40" s="319">
        <f>DTR!F208</f>
        <v>82123174705</v>
      </c>
      <c r="I40" s="319">
        <f>DTR!G208</f>
        <v>82123174705</v>
      </c>
      <c r="J40" s="319">
        <f>DTR!H208</f>
        <v>82123174705</v>
      </c>
      <c r="K40" s="319">
        <f>DTR!I208</f>
        <v>82123174705</v>
      </c>
      <c r="L40" s="319">
        <f>DTR!J208</f>
        <v>82123174705</v>
      </c>
      <c r="M40" s="319">
        <f>DTR!K208</f>
        <v>82123174705</v>
      </c>
      <c r="N40" s="319">
        <f>DTR!L208</f>
        <v>82123174705</v>
      </c>
      <c r="O40" s="319">
        <f>DTR!M208</f>
        <v>82123174705</v>
      </c>
      <c r="P40" s="319">
        <f>DTR!N208</f>
        <v>82123174705</v>
      </c>
      <c r="Q40" s="319">
        <f t="shared" ca="1" si="18"/>
        <v>410615873525</v>
      </c>
      <c r="R40" s="319">
        <f>DTR!O208</f>
        <v>82123174705</v>
      </c>
      <c r="S40" s="319">
        <f>DTR!P208</f>
        <v>127754884829</v>
      </c>
      <c r="T40" s="319">
        <f>DTR!Q208</f>
        <v>103667980875</v>
      </c>
      <c r="U40" s="319">
        <f>DTR!R208</f>
        <v>89699052245</v>
      </c>
      <c r="V40" s="319">
        <f>DTR!S208</f>
        <v>114824058990</v>
      </c>
      <c r="W40" s="319">
        <f>DTR!T208</f>
        <v>70054412500</v>
      </c>
      <c r="X40" s="319">
        <f>DTR!U208</f>
        <v>88123126474</v>
      </c>
      <c r="Y40" s="319">
        <f>DTR!V208</f>
        <v>94069028914</v>
      </c>
      <c r="Z40" s="319">
        <f>DTR!W208</f>
        <v>24953975916</v>
      </c>
      <c r="AA40" s="319">
        <f>DTR!X208</f>
        <v>27056388040</v>
      </c>
      <c r="AB40" s="319">
        <f>DTR!Y208</f>
        <v>21625208400</v>
      </c>
      <c r="AC40" s="319">
        <f>DTR!Z208</f>
        <v>30893476900</v>
      </c>
      <c r="AD40" s="319">
        <f t="shared" ca="1" si="16"/>
        <v>518069151644</v>
      </c>
      <c r="AE40" s="318">
        <f t="shared" ca="1" si="14"/>
        <v>114824058990</v>
      </c>
      <c r="AF40" s="319">
        <f>DTR!AA$208</f>
        <v>70701288516</v>
      </c>
      <c r="AG40" s="319">
        <f>DTR!AB$208</f>
        <v>58540341826</v>
      </c>
      <c r="AH40" s="319">
        <f>DTR!AC$208</f>
        <v>80759624796</v>
      </c>
      <c r="AI40" s="319">
        <f>DTR!AD$208</f>
        <v>67176948835</v>
      </c>
      <c r="AJ40" s="319">
        <f>DTR!AE$208</f>
        <v>87346708460</v>
      </c>
      <c r="AK40" s="319">
        <f>DTR!AF$208</f>
        <v>84694024090.909088</v>
      </c>
      <c r="AL40" s="319">
        <f>DTR!AG$208</f>
        <v>81755188545.454544</v>
      </c>
      <c r="AM40" s="319">
        <f>DTR!AH$208</f>
        <v>74361264545.454559</v>
      </c>
      <c r="AN40" s="319">
        <f>DTR!AI$208</f>
        <v>89651870545.454559</v>
      </c>
      <c r="AO40" s="319">
        <f>DTR!AJ$208</f>
        <v>75481684545.454559</v>
      </c>
      <c r="AP40" s="319">
        <f>DTR!AK$208</f>
        <v>82304374545.454544</v>
      </c>
      <c r="AQ40" s="319">
        <f>DTR!AL$208</f>
        <v>82308031545.454544</v>
      </c>
      <c r="AR40" s="319">
        <f t="shared" ca="1" si="17"/>
        <v>364524912433</v>
      </c>
      <c r="AS40" s="319">
        <f t="shared" ca="1" si="15"/>
        <v>87346708460</v>
      </c>
    </row>
    <row r="41" spans="1:60">
      <c r="A41" s="320" t="s">
        <v>115</v>
      </c>
      <c r="B41" s="321" t="s">
        <v>2</v>
      </c>
      <c r="C41" s="321"/>
      <c r="D41" s="338" t="s">
        <v>18</v>
      </c>
      <c r="E41" s="319">
        <f>DTR!C209</f>
        <v>32339335697</v>
      </c>
      <c r="F41" s="319">
        <f>DTR!D209</f>
        <v>32339335697</v>
      </c>
      <c r="G41" s="319">
        <f>DTR!E209</f>
        <v>32339335697</v>
      </c>
      <c r="H41" s="319">
        <f>DTR!F209</f>
        <v>32339335697</v>
      </c>
      <c r="I41" s="319">
        <f>DTR!G209</f>
        <v>32339335697</v>
      </c>
      <c r="J41" s="319">
        <f>DTR!H209</f>
        <v>32339335697</v>
      </c>
      <c r="K41" s="319">
        <f>DTR!I209</f>
        <v>32339335697</v>
      </c>
      <c r="L41" s="319">
        <f>DTR!J209</f>
        <v>32339335697</v>
      </c>
      <c r="M41" s="319">
        <f>DTR!K209</f>
        <v>32339335697</v>
      </c>
      <c r="N41" s="319">
        <f>DTR!L209</f>
        <v>32339335697</v>
      </c>
      <c r="O41" s="319">
        <f>DTR!M209</f>
        <v>32339335697</v>
      </c>
      <c r="P41" s="319">
        <f>DTR!N209</f>
        <v>32339335697</v>
      </c>
      <c r="Q41" s="319">
        <f t="shared" ca="1" si="18"/>
        <v>161696678485</v>
      </c>
      <c r="R41" s="319">
        <f>DTR!O209</f>
        <v>32339335697</v>
      </c>
      <c r="S41" s="319">
        <f>DTR!P209</f>
        <v>60244576230</v>
      </c>
      <c r="T41" s="319">
        <f>DTR!Q209</f>
        <v>46405979203</v>
      </c>
      <c r="U41" s="319">
        <f>DTR!R209</f>
        <v>35730597610</v>
      </c>
      <c r="V41" s="319">
        <f>DTR!S209</f>
        <v>37243083862</v>
      </c>
      <c r="W41" s="319">
        <f>DTR!T209</f>
        <v>49080260297</v>
      </c>
      <c r="X41" s="319">
        <f>DTR!U209</f>
        <v>49868280424</v>
      </c>
      <c r="Y41" s="319">
        <f>DTR!V209</f>
        <v>74191430822</v>
      </c>
      <c r="Z41" s="319">
        <f>DTR!W209</f>
        <v>58338102351</v>
      </c>
      <c r="AA41" s="319">
        <f>DTR!X209</f>
        <v>72117222220</v>
      </c>
      <c r="AB41" s="319">
        <f>DTR!Y209</f>
        <v>63327421201</v>
      </c>
      <c r="AC41" s="319">
        <f>DTR!Z209</f>
        <v>62246318181</v>
      </c>
      <c r="AD41" s="319">
        <f t="shared" ca="1" si="16"/>
        <v>211963572602</v>
      </c>
      <c r="AE41" s="318">
        <f t="shared" ca="1" si="14"/>
        <v>37243083862</v>
      </c>
      <c r="AF41" s="319">
        <f>DTR!AA$209</f>
        <v>55230863407</v>
      </c>
      <c r="AG41" s="319">
        <f>DTR!AB$209</f>
        <v>37446516644</v>
      </c>
      <c r="AH41" s="319">
        <f>DTR!AC$209</f>
        <v>91465682733.000031</v>
      </c>
      <c r="AI41" s="319">
        <f>DTR!AD$209</f>
        <v>91879905994</v>
      </c>
      <c r="AJ41" s="319">
        <f>DTR!AE$209</f>
        <v>70741575322</v>
      </c>
      <c r="AK41" s="319">
        <f>DTR!AF$209</f>
        <v>58821048808.334557</v>
      </c>
      <c r="AL41" s="319">
        <f>DTR!AG$209</f>
        <v>60852250322.50544</v>
      </c>
      <c r="AM41" s="319">
        <f>DTR!AH$209</f>
        <v>64042688452.690079</v>
      </c>
      <c r="AN41" s="319">
        <f>DTR!AI$209</f>
        <v>55748010476.828041</v>
      </c>
      <c r="AO41" s="319">
        <f>DTR!AJ$209</f>
        <v>59630388177.709099</v>
      </c>
      <c r="AP41" s="319">
        <f>DTR!AK$209</f>
        <v>60830658973.372383</v>
      </c>
      <c r="AQ41" s="319">
        <f>DTR!AL$209</f>
        <v>62271076580.716881</v>
      </c>
      <c r="AR41" s="319">
        <f t="shared" ca="1" si="17"/>
        <v>346764544100</v>
      </c>
      <c r="AS41" s="319">
        <f t="shared" ca="1" si="15"/>
        <v>70741575322</v>
      </c>
    </row>
    <row r="42" spans="1:60">
      <c r="A42" s="320" t="s">
        <v>116</v>
      </c>
      <c r="B42" s="321" t="s">
        <v>2</v>
      </c>
      <c r="C42" s="321"/>
      <c r="D42" s="338" t="s">
        <v>22</v>
      </c>
      <c r="E42" s="319">
        <f>DTR!C210</f>
        <v>0</v>
      </c>
      <c r="F42" s="319">
        <f>DTR!D210</f>
        <v>0</v>
      </c>
      <c r="G42" s="319">
        <f>DTR!E210</f>
        <v>0</v>
      </c>
      <c r="H42" s="319">
        <f>DTR!F210</f>
        <v>0</v>
      </c>
      <c r="I42" s="319">
        <f>DTR!G210</f>
        <v>0</v>
      </c>
      <c r="J42" s="319">
        <f>DTR!H210</f>
        <v>0</v>
      </c>
      <c r="K42" s="319">
        <f>DTR!I210</f>
        <v>0</v>
      </c>
      <c r="L42" s="319">
        <f>DTR!J210</f>
        <v>0</v>
      </c>
      <c r="M42" s="319">
        <f>DTR!K210</f>
        <v>0</v>
      </c>
      <c r="N42" s="319">
        <f>DTR!L210</f>
        <v>0</v>
      </c>
      <c r="O42" s="319">
        <f>DTR!M210</f>
        <v>0</v>
      </c>
      <c r="P42" s="319">
        <f>DTR!N210</f>
        <v>0</v>
      </c>
      <c r="Q42" s="319">
        <f t="shared" ca="1" si="18"/>
        <v>0</v>
      </c>
      <c r="R42" s="319">
        <f>DTR!O210</f>
        <v>0</v>
      </c>
      <c r="S42" s="319">
        <f>DTR!P210</f>
        <v>0</v>
      </c>
      <c r="T42" s="319">
        <f>DTR!Q210</f>
        <v>179372602</v>
      </c>
      <c r="U42" s="319">
        <f>DTR!R210</f>
        <v>0</v>
      </c>
      <c r="V42" s="319">
        <f>DTR!S210</f>
        <v>0</v>
      </c>
      <c r="W42" s="319">
        <f>DTR!T210</f>
        <v>0</v>
      </c>
      <c r="X42" s="319">
        <f>DTR!U210</f>
        <v>0</v>
      </c>
      <c r="Y42" s="319">
        <f>DTR!V210</f>
        <v>182193647</v>
      </c>
      <c r="Z42" s="319">
        <f>DTR!W210</f>
        <v>1418356800</v>
      </c>
      <c r="AA42" s="319">
        <f>DTR!X210</f>
        <v>9754946400</v>
      </c>
      <c r="AB42" s="319">
        <f>DTR!Y210</f>
        <v>3395251201</v>
      </c>
      <c r="AC42" s="319">
        <f>DTR!Z210</f>
        <v>8295287500</v>
      </c>
      <c r="AD42" s="319">
        <f t="shared" ca="1" si="16"/>
        <v>179372602</v>
      </c>
      <c r="AE42" s="318">
        <f t="shared" ca="1" si="14"/>
        <v>0</v>
      </c>
      <c r="AF42" s="319">
        <f>DTR!AA$210</f>
        <v>166885000</v>
      </c>
      <c r="AG42" s="319">
        <f>DTR!AB$210</f>
        <v>579946890</v>
      </c>
      <c r="AH42" s="319">
        <f>DTR!AC$210</f>
        <v>1080515000</v>
      </c>
      <c r="AI42" s="319">
        <f>DTR!AD$210</f>
        <v>0</v>
      </c>
      <c r="AJ42" s="319">
        <f>DTR!AE$210</f>
        <v>1677025255</v>
      </c>
      <c r="AK42" s="319">
        <f>DTR!AF$210</f>
        <v>0</v>
      </c>
      <c r="AL42" s="319">
        <f>DTR!AG$210</f>
        <v>4925058000</v>
      </c>
      <c r="AM42" s="319">
        <f>DTR!AH$210</f>
        <v>4925058000</v>
      </c>
      <c r="AN42" s="319">
        <f>DTR!AI$210</f>
        <v>4925058000</v>
      </c>
      <c r="AO42" s="319">
        <f>DTR!AJ$210</f>
        <v>4925058000</v>
      </c>
      <c r="AP42" s="319">
        <f>DTR!AK$210</f>
        <v>4925058000</v>
      </c>
      <c r="AQ42" s="319">
        <f>DTR!AL$210</f>
        <v>5243797200</v>
      </c>
      <c r="AR42" s="319">
        <f t="shared" ca="1" si="17"/>
        <v>3504372145</v>
      </c>
      <c r="AS42" s="319">
        <f t="shared" ca="1" si="15"/>
        <v>1677025255</v>
      </c>
    </row>
    <row r="43" spans="1:60">
      <c r="A43" s="320" t="s">
        <v>117</v>
      </c>
      <c r="B43" t="s">
        <v>2</v>
      </c>
      <c r="D43" t="s">
        <v>118</v>
      </c>
      <c r="E43" s="305">
        <f>DTR!C138</f>
        <v>85841765176</v>
      </c>
      <c r="F43" s="305">
        <f>DTR!D138</f>
        <v>68748321616</v>
      </c>
      <c r="G43" s="305">
        <f>DTR!E138</f>
        <v>86824377307</v>
      </c>
      <c r="H43" s="305">
        <f>DTR!F138</f>
        <v>85475594862</v>
      </c>
      <c r="I43" s="305">
        <f>DTR!G138</f>
        <v>99208228636</v>
      </c>
      <c r="J43" s="305">
        <f>DTR!H138</f>
        <v>69795611979</v>
      </c>
      <c r="K43" s="305">
        <f>DTR!I138</f>
        <v>61217801757</v>
      </c>
      <c r="L43" s="305">
        <f>DTR!J138</f>
        <v>147970813832</v>
      </c>
      <c r="M43" s="305">
        <f>DTR!K138</f>
        <v>132769623597</v>
      </c>
      <c r="N43" s="305">
        <f>DTR!L138</f>
        <v>112138441893</v>
      </c>
      <c r="O43" s="305">
        <f>DTR!M138</f>
        <v>70998442117</v>
      </c>
      <c r="P43" s="305">
        <f>DTR!N138</f>
        <v>-22758768790</v>
      </c>
      <c r="Q43" s="305">
        <f t="shared" ca="1" si="18"/>
        <v>426098287597</v>
      </c>
      <c r="R43" s="305">
        <f>DTR!O138</f>
        <v>96299447936</v>
      </c>
      <c r="S43" s="305">
        <f>DTR!P138</f>
        <v>154570631505</v>
      </c>
      <c r="T43" s="305">
        <f>DTR!Q138</f>
        <v>129509315823</v>
      </c>
      <c r="U43" s="305">
        <f>DTR!R138</f>
        <v>109641808151</v>
      </c>
      <c r="V43" s="305">
        <f>DTR!S138</f>
        <v>129906078108</v>
      </c>
      <c r="W43" s="305">
        <f>DTR!T138</f>
        <v>105463649620</v>
      </c>
      <c r="X43" s="305">
        <f>DTR!U138</f>
        <v>128673842020</v>
      </c>
      <c r="Y43" s="305">
        <f>DTR!V138</f>
        <v>155101842643</v>
      </c>
      <c r="Z43" s="305">
        <f>DTR!W138</f>
        <v>83113314505</v>
      </c>
      <c r="AA43" s="305">
        <f>DTR!X138</f>
        <v>99966937216</v>
      </c>
      <c r="AB43" s="305">
        <f>DTR!Y138</f>
        <v>80940600844</v>
      </c>
      <c r="AC43" s="305">
        <f>DTR!Z138</f>
        <v>70308328665</v>
      </c>
      <c r="AD43" s="305">
        <f t="shared" ca="1" si="16"/>
        <v>619927281523</v>
      </c>
      <c r="AE43" s="318">
        <f t="shared" ca="1" si="14"/>
        <v>129906078108</v>
      </c>
      <c r="AF43" s="305">
        <f>DTR!AA$138</f>
        <v>115080112871</v>
      </c>
      <c r="AG43" s="305">
        <f>DTR!AB$138</f>
        <v>90411470461</v>
      </c>
      <c r="AH43" s="305">
        <f>DTR!AC$138</f>
        <v>165844739865</v>
      </c>
      <c r="AI43" s="305">
        <f>DTR!AD$138</f>
        <v>141086003219</v>
      </c>
      <c r="AJ43" s="305">
        <f>DTR!AE$138</f>
        <v>137580032058</v>
      </c>
      <c r="AK43" s="305">
        <f>DTR!AF$138</f>
        <v>0</v>
      </c>
      <c r="AL43" s="305">
        <f>DTR!AG$138</f>
        <v>0</v>
      </c>
      <c r="AM43" s="305">
        <f>DTR!AH$138</f>
        <v>0</v>
      </c>
      <c r="AN43" s="305">
        <f>DTR!AI$138</f>
        <v>0</v>
      </c>
      <c r="AO43" s="305">
        <f>DTR!AJ$138</f>
        <v>0</v>
      </c>
      <c r="AP43" s="305">
        <f>DTR!AK$138</f>
        <v>0</v>
      </c>
      <c r="AQ43" s="305">
        <f>DTR!AL$138</f>
        <v>0</v>
      </c>
      <c r="AR43" s="305">
        <f t="shared" ca="1" si="17"/>
        <v>650002358474</v>
      </c>
      <c r="AS43" s="305">
        <f t="shared" ca="1" si="15"/>
        <v>137580032058</v>
      </c>
    </row>
    <row r="44" spans="1:60">
      <c r="A44" s="320" t="s">
        <v>119</v>
      </c>
      <c r="B44" s="317" t="s">
        <v>2</v>
      </c>
      <c r="C44" s="317" t="s">
        <v>120</v>
      </c>
      <c r="D44" s="317" t="s">
        <v>29</v>
      </c>
      <c r="E44" s="313">
        <f>DTR!C212</f>
        <v>59329689662.037117</v>
      </c>
      <c r="F44" s="313">
        <f>DTR!D212</f>
        <v>44670723974</v>
      </c>
      <c r="G44" s="313">
        <f>DTR!E212</f>
        <v>55370087445.000031</v>
      </c>
      <c r="H44" s="313">
        <f>DTR!F212</f>
        <v>58899111953.000015</v>
      </c>
      <c r="I44" s="313">
        <f>DTR!G212</f>
        <v>68236506182.000015</v>
      </c>
      <c r="J44" s="313">
        <f>DTR!H212</f>
        <v>46389174439.000008</v>
      </c>
      <c r="K44" s="313">
        <f>DTR!I212</f>
        <v>40923610688.000031</v>
      </c>
      <c r="L44" s="313">
        <f>DTR!J212</f>
        <v>103236605964.00002</v>
      </c>
      <c r="M44" s="313">
        <f>DTR!K212</f>
        <v>96300506935.999939</v>
      </c>
      <c r="N44" s="313">
        <f>DTR!L212</f>
        <v>77607107093.000031</v>
      </c>
      <c r="O44" s="313">
        <f>DTR!M212</f>
        <v>45879463528.000008</v>
      </c>
      <c r="P44" s="313">
        <f>DTR!N212</f>
        <v>58103730049.584564</v>
      </c>
      <c r="Q44" s="313">
        <f t="shared" ca="1" si="18"/>
        <v>286506119216.03717</v>
      </c>
      <c r="R44" s="313">
        <f>DTR!O212</f>
        <v>68221516405.415436</v>
      </c>
      <c r="S44" s="313">
        <f>DTR!P212</f>
        <v>113527505882.12552</v>
      </c>
      <c r="T44" s="313">
        <f>DTR!Q212</f>
        <v>96004841554.999969</v>
      </c>
      <c r="U44" s="313">
        <f>DTR!R212</f>
        <v>79931588096.999985</v>
      </c>
      <c r="V44" s="313">
        <f>DTR!S212</f>
        <v>97656609600.457062</v>
      </c>
      <c r="W44" s="313">
        <f>DTR!T212</f>
        <v>78658431769.503632</v>
      </c>
      <c r="X44" s="313">
        <f>DTR!U212</f>
        <v>95890721473.837784</v>
      </c>
      <c r="Y44" s="313">
        <f>DTR!V212</f>
        <v>114270744699.16875</v>
      </c>
      <c r="Z44" s="313">
        <f>DTR!W212</f>
        <v>60560947912.984756</v>
      </c>
      <c r="AA44" s="313">
        <f>DTR!X212</f>
        <v>67092922656.37043</v>
      </c>
      <c r="AB44" s="313">
        <f>DTR!Y212</f>
        <v>53898728166</v>
      </c>
      <c r="AC44" s="313">
        <f>DTR!Z212</f>
        <v>57953398051.406631</v>
      </c>
      <c r="AD44" s="313">
        <f t="shared" ca="1" si="16"/>
        <v>455342061539.99792</v>
      </c>
      <c r="AE44" s="318">
        <f t="shared" ca="1" si="14"/>
        <v>97656609600.457031</v>
      </c>
      <c r="AF44" s="313">
        <f>DTR!AA$212</f>
        <v>82659834144.875</v>
      </c>
      <c r="AG44" s="313">
        <f>DTR!AB$212</f>
        <v>60512615438.000191</v>
      </c>
      <c r="AH44" s="313">
        <f>DTR!AC$212</f>
        <v>119540135587.9998</v>
      </c>
      <c r="AI44" s="313">
        <f>DTR!AD$212</f>
        <v>101825654285.00024</v>
      </c>
      <c r="AJ44" s="313">
        <f>DTR!AE$212</f>
        <v>100676110279.99994</v>
      </c>
      <c r="AK44" s="313">
        <f>DTR!AF$212</f>
        <v>85107631632.138962</v>
      </c>
      <c r="AL44" s="313">
        <f>DTR!AG$212</f>
        <v>84284702919.148239</v>
      </c>
      <c r="AM44" s="313">
        <f>DTR!AH$212</f>
        <v>82266894131.756058</v>
      </c>
      <c r="AN44" s="313">
        <f>DTR!AI$212</f>
        <v>86457682527.52919</v>
      </c>
      <c r="AO44" s="313">
        <f>DTR!AJ$212</f>
        <v>80691825757.730774</v>
      </c>
      <c r="AP44" s="313">
        <f>DTR!AK$212</f>
        <v>85004052401.054535</v>
      </c>
      <c r="AQ44" s="313">
        <f>DTR!AL$212</f>
        <v>86852310764.981949</v>
      </c>
      <c r="AR44" s="313">
        <f t="shared" ca="1" si="17"/>
        <v>465214349735.87518</v>
      </c>
      <c r="AS44" s="313">
        <f t="shared" ca="1" si="15"/>
        <v>100676110279.99994</v>
      </c>
    </row>
    <row r="45" spans="1:60">
      <c r="A45" s="320" t="s">
        <v>121</v>
      </c>
      <c r="B45" s="317" t="s">
        <v>2</v>
      </c>
      <c r="C45" s="317" t="s">
        <v>120</v>
      </c>
      <c r="D45" s="317" t="s">
        <v>33</v>
      </c>
      <c r="E45" s="313">
        <f>DTR!C213</f>
        <v>5457667459</v>
      </c>
      <c r="F45" s="313">
        <f>DTR!D213</f>
        <v>4115002140</v>
      </c>
      <c r="G45" s="313">
        <f>DTR!E213</f>
        <v>5069779794</v>
      </c>
      <c r="H45" s="313">
        <f>DTR!F213</f>
        <v>5488644404</v>
      </c>
      <c r="I45" s="313">
        <f>DTR!G213</f>
        <v>5922960272</v>
      </c>
      <c r="J45" s="313">
        <f>DTR!H213</f>
        <v>4771803237</v>
      </c>
      <c r="K45" s="313">
        <f>DTR!I213</f>
        <v>2990887219</v>
      </c>
      <c r="L45" s="313">
        <f>DTR!J213</f>
        <v>3465068093</v>
      </c>
      <c r="M45" s="313">
        <f>DTR!K213</f>
        <v>4603448776</v>
      </c>
      <c r="N45" s="313">
        <f>DTR!L213</f>
        <v>5484150759</v>
      </c>
      <c r="O45" s="313">
        <f>DTR!M213</f>
        <v>6348864220</v>
      </c>
      <c r="P45" s="313">
        <f>DTR!N213</f>
        <v>4848607138</v>
      </c>
      <c r="Q45" s="313">
        <f t="shared" ca="1" si="18"/>
        <v>26054054069</v>
      </c>
      <c r="R45" s="313">
        <f>DTR!O213</f>
        <v>3115586041</v>
      </c>
      <c r="S45" s="313">
        <f>DTR!P213</f>
        <v>4131446442</v>
      </c>
      <c r="T45" s="313">
        <f>DTR!Q213</f>
        <v>6471627635</v>
      </c>
      <c r="U45" s="313">
        <f>DTR!R213</f>
        <v>6106208552</v>
      </c>
      <c r="V45" s="313">
        <f>DTR!S213</f>
        <v>6534087601</v>
      </c>
      <c r="W45" s="313">
        <f>DTR!T213</f>
        <v>6331091846</v>
      </c>
      <c r="X45" s="313">
        <f>DTR!U213</f>
        <v>7033711933</v>
      </c>
      <c r="Y45" s="313">
        <f>DTR!V213</f>
        <v>7206770412</v>
      </c>
      <c r="Z45" s="313">
        <f>DTR!W213</f>
        <v>6987173251</v>
      </c>
      <c r="AA45" s="313">
        <f>DTR!X213</f>
        <v>6199135410</v>
      </c>
      <c r="AB45" s="313">
        <f>DTR!Y213</f>
        <v>4260435206</v>
      </c>
      <c r="AC45" s="313">
        <f>DTR!Z213</f>
        <v>4839388132</v>
      </c>
      <c r="AD45" s="313">
        <f t="shared" ca="1" si="16"/>
        <v>26358956271</v>
      </c>
      <c r="AE45" s="318">
        <f t="shared" ca="1" si="14"/>
        <v>6534087601</v>
      </c>
      <c r="AF45" s="313">
        <f>DTR!AA$213</f>
        <v>4027863724</v>
      </c>
      <c r="AG45" s="313">
        <f>DTR!AB$213</f>
        <v>2451956924</v>
      </c>
      <c r="AH45" s="313">
        <f>DTR!AC$213</f>
        <v>5626303966</v>
      </c>
      <c r="AI45" s="313">
        <f>DTR!AD$213</f>
        <v>5649277552</v>
      </c>
      <c r="AJ45" s="313">
        <f>DTR!AE$213</f>
        <v>5769165884</v>
      </c>
      <c r="AK45" s="313">
        <f>DTR!AF$213</f>
        <v>5147240296.3601894</v>
      </c>
      <c r="AL45" s="313">
        <f>DTR!AG$213</f>
        <v>5282689343.1678486</v>
      </c>
      <c r="AM45" s="313">
        <f>DTR!AH$213</f>
        <v>5349632570.1678476</v>
      </c>
      <c r="AN45" s="313">
        <f>DTR!AI$213</f>
        <v>5325812842.6830482</v>
      </c>
      <c r="AO45" s="313">
        <f>DTR!AJ$213</f>
        <v>5508097200.2235899</v>
      </c>
      <c r="AP45" s="313">
        <f>DTR!AK$213</f>
        <v>5421679815.1673632</v>
      </c>
      <c r="AQ45" s="313">
        <f>DTR!AL$213</f>
        <v>5488468422.2235909</v>
      </c>
      <c r="AR45" s="313">
        <f t="shared" ca="1" si="17"/>
        <v>23524568050</v>
      </c>
      <c r="AS45" s="313">
        <f t="shared" ca="1" si="15"/>
        <v>5769165884</v>
      </c>
    </row>
    <row r="46" spans="1:60">
      <c r="A46" s="320" t="s">
        <v>122</v>
      </c>
      <c r="B46" s="317" t="s">
        <v>2</v>
      </c>
      <c r="C46" s="317" t="s">
        <v>123</v>
      </c>
      <c r="D46" s="317" t="s">
        <v>36</v>
      </c>
      <c r="E46" s="313">
        <f>DTR!C214</f>
        <v>673524358</v>
      </c>
      <c r="F46" s="313">
        <f>DTR!D214</f>
        <v>445330075</v>
      </c>
      <c r="G46" s="313">
        <f>DTR!E214</f>
        <v>646654899</v>
      </c>
      <c r="H46" s="313">
        <f>DTR!F214</f>
        <v>1789160297</v>
      </c>
      <c r="I46" s="313">
        <f>DTR!G214</f>
        <v>743322765</v>
      </c>
      <c r="J46" s="313">
        <f>DTR!H214</f>
        <v>710659695</v>
      </c>
      <c r="K46" s="313">
        <f>DTR!I214</f>
        <v>562555746</v>
      </c>
      <c r="L46" s="313">
        <f>DTR!J214</f>
        <v>273359738</v>
      </c>
      <c r="M46" s="313">
        <f>DTR!K214</f>
        <v>293591517</v>
      </c>
      <c r="N46" s="313">
        <f>DTR!L214</f>
        <v>342226346</v>
      </c>
      <c r="O46" s="313">
        <f>DTR!M214</f>
        <v>357205652</v>
      </c>
      <c r="P46" s="313">
        <f>DTR!N214</f>
        <v>352714337</v>
      </c>
      <c r="Q46" s="313">
        <f t="shared" ca="1" si="18"/>
        <v>4297992394</v>
      </c>
      <c r="R46" s="313">
        <f>DTR!O214</f>
        <v>326525959</v>
      </c>
      <c r="S46" s="313">
        <f>DTR!P214</f>
        <v>301395737</v>
      </c>
      <c r="T46" s="313">
        <f>DTR!Q214</f>
        <v>353064382</v>
      </c>
      <c r="U46" s="313">
        <f>DTR!R214</f>
        <v>367893640</v>
      </c>
      <c r="V46" s="313">
        <f>DTR!S214</f>
        <v>583268535</v>
      </c>
      <c r="W46" s="313">
        <f>DTR!T214</f>
        <v>409683221</v>
      </c>
      <c r="X46" s="313">
        <f>DTR!U214</f>
        <v>382580514</v>
      </c>
      <c r="Y46" s="313">
        <f>DTR!V214</f>
        <v>409675223</v>
      </c>
      <c r="Z46" s="313">
        <f>DTR!W214</f>
        <v>681336938</v>
      </c>
      <c r="AA46" s="313">
        <f>DTR!X214</f>
        <v>434513561</v>
      </c>
      <c r="AB46" s="313">
        <f>DTR!Y214</f>
        <v>359300470</v>
      </c>
      <c r="AC46" s="313">
        <f>DTR!Z214</f>
        <v>371608824</v>
      </c>
      <c r="AD46" s="313">
        <f t="shared" ca="1" si="16"/>
        <v>1932148253</v>
      </c>
      <c r="AE46" s="318">
        <f t="shared" ca="1" si="14"/>
        <v>583268535</v>
      </c>
      <c r="AF46" s="313">
        <f>DTR!AA$214</f>
        <v>368816619</v>
      </c>
      <c r="AG46" s="313">
        <f>DTR!AB$214</f>
        <v>248754636</v>
      </c>
      <c r="AH46" s="313">
        <f>DTR!AC$214</f>
        <v>337308264</v>
      </c>
      <c r="AI46" s="313">
        <f>DTR!AD$214</f>
        <v>499755909</v>
      </c>
      <c r="AJ46" s="313">
        <f>DTR!AE$214</f>
        <v>354846806</v>
      </c>
      <c r="AK46" s="313">
        <f>DTR!AF$214</f>
        <v>550521969</v>
      </c>
      <c r="AL46" s="313">
        <f>DTR!AG$214</f>
        <v>530132244</v>
      </c>
      <c r="AM46" s="313">
        <f>DTR!AH$214</f>
        <v>530132244</v>
      </c>
      <c r="AN46" s="313">
        <f>DTR!AI$214</f>
        <v>509742498</v>
      </c>
      <c r="AO46" s="313">
        <f>DTR!AJ$214</f>
        <v>509742498</v>
      </c>
      <c r="AP46" s="313">
        <f>DTR!AK$214</f>
        <v>550521969</v>
      </c>
      <c r="AQ46" s="313">
        <f>DTR!AL$214</f>
        <v>530132244</v>
      </c>
      <c r="AR46" s="313">
        <f t="shared" ca="1" si="17"/>
        <v>1809482234</v>
      </c>
      <c r="AS46" s="313">
        <f t="shared" ca="1" si="15"/>
        <v>354846806</v>
      </c>
    </row>
    <row r="47" spans="1:60">
      <c r="A47" s="320" t="s">
        <v>124</v>
      </c>
      <c r="B47" s="317" t="s">
        <v>2</v>
      </c>
      <c r="C47" s="317" t="s">
        <v>123</v>
      </c>
      <c r="D47" s="317" t="s">
        <v>41</v>
      </c>
      <c r="E47" s="313">
        <f>DTR!C215</f>
        <v>1708507014</v>
      </c>
      <c r="F47" s="313">
        <f>DTR!D215</f>
        <v>1230497207</v>
      </c>
      <c r="G47" s="313">
        <f>DTR!E215</f>
        <v>1379015197</v>
      </c>
      <c r="H47" s="313">
        <f>DTR!F215</f>
        <v>521248356</v>
      </c>
      <c r="I47" s="313">
        <f>DTR!G215</f>
        <v>1657709643</v>
      </c>
      <c r="J47" s="313">
        <f>DTR!H215</f>
        <v>1580786853</v>
      </c>
      <c r="K47" s="313">
        <f>DTR!I215</f>
        <v>1552872520</v>
      </c>
      <c r="L47" s="313">
        <f>DTR!J215</f>
        <v>1840092100</v>
      </c>
      <c r="M47" s="313">
        <f>DTR!K215</f>
        <v>1842453925</v>
      </c>
      <c r="N47" s="313">
        <f>DTR!L215</f>
        <v>2033072895</v>
      </c>
      <c r="O47" s="313">
        <f>DTR!M215</f>
        <v>2081813555</v>
      </c>
      <c r="P47" s="313">
        <f>DTR!N215</f>
        <v>2664027703</v>
      </c>
      <c r="Q47" s="313">
        <f t="shared" ca="1" si="18"/>
        <v>6496977417</v>
      </c>
      <c r="R47" s="313">
        <f>DTR!O215</f>
        <v>2102841120</v>
      </c>
      <c r="S47" s="313">
        <f>DTR!P215</f>
        <v>2139570280</v>
      </c>
      <c r="T47" s="313">
        <f>DTR!Q215</f>
        <v>2143336877</v>
      </c>
      <c r="U47" s="313">
        <f>DTR!R215</f>
        <v>2211173874</v>
      </c>
      <c r="V47" s="313">
        <f>DTR!S215</f>
        <v>2328020395</v>
      </c>
      <c r="W47" s="313">
        <f>DTR!T215</f>
        <v>2570077869</v>
      </c>
      <c r="X47" s="313">
        <f>DTR!U215</f>
        <v>3450671363</v>
      </c>
      <c r="Y47" s="313">
        <f>DTR!V215</f>
        <v>2893137111</v>
      </c>
      <c r="Z47" s="313">
        <f>DTR!W215</f>
        <v>3075521247</v>
      </c>
      <c r="AA47" s="313">
        <f>DTR!X215</f>
        <v>2805457512</v>
      </c>
      <c r="AB47" s="313">
        <f>DTR!Y215</f>
        <v>2486851728</v>
      </c>
      <c r="AC47" s="313">
        <f>DTR!Z215</f>
        <v>2339162817</v>
      </c>
      <c r="AD47" s="313">
        <f t="shared" ca="1" si="16"/>
        <v>10924942546</v>
      </c>
      <c r="AE47" s="318">
        <f t="shared" ref="AE47:AE110" ca="1" si="19">IF($AD$26=1,R47,SUM(OFFSET(R47:AC47,0,0,1,$AD$26))-SUM(OFFSET(R47:AC47,0,0,1,$AD$26-1)))</f>
        <v>2328020395</v>
      </c>
      <c r="AF47" s="313">
        <f>DTR!AA$215</f>
        <v>2314962109</v>
      </c>
      <c r="AG47" s="313">
        <f>DTR!AB$215</f>
        <v>1839461214</v>
      </c>
      <c r="AH47" s="313">
        <f>DTR!AC$215</f>
        <v>2152019625</v>
      </c>
      <c r="AI47" s="313">
        <f>DTR!AD$215</f>
        <v>2463187426</v>
      </c>
      <c r="AJ47" s="313">
        <f>DTR!AE$215</f>
        <v>2407536723</v>
      </c>
      <c r="AK47" s="313">
        <f>DTR!AF$215</f>
        <v>3324865254.6923079</v>
      </c>
      <c r="AL47" s="313">
        <f>DTR!AG$215</f>
        <v>3258165255</v>
      </c>
      <c r="AM47" s="313">
        <f>DTR!AH$215</f>
        <v>3258165255</v>
      </c>
      <c r="AN47" s="313">
        <f>DTR!AI$215</f>
        <v>3358110767.3076921</v>
      </c>
      <c r="AO47" s="313">
        <f>DTR!AJ$215</f>
        <v>3191465255.3076921</v>
      </c>
      <c r="AP47" s="313">
        <f>DTR!AK$215</f>
        <v>3324865254.6923079</v>
      </c>
      <c r="AQ47" s="313">
        <f>DTR!AL$215</f>
        <v>3258165255</v>
      </c>
      <c r="AR47" s="313">
        <f t="shared" ca="1" si="17"/>
        <v>11177167097</v>
      </c>
      <c r="AS47" s="313">
        <f t="shared" ref="AS47:AS110" ca="1" si="20">IF($AR$26=1,AF47,SUM(OFFSET(AF47:AQ47,0,0,1,$AR$26))-SUM(OFFSET(AF47:AQ47,0,0,1,$AR$26-1)))</f>
        <v>2407536723</v>
      </c>
    </row>
    <row r="48" spans="1:60">
      <c r="A48" s="320" t="s">
        <v>125</v>
      </c>
      <c r="B48" s="317" t="s">
        <v>2</v>
      </c>
      <c r="C48" s="317" t="s">
        <v>123</v>
      </c>
      <c r="D48" s="317" t="s">
        <v>44</v>
      </c>
      <c r="E48" s="313">
        <f>DTR!C216</f>
        <v>2782213759</v>
      </c>
      <c r="F48" s="313">
        <f>DTR!D216</f>
        <v>2629007193</v>
      </c>
      <c r="G48" s="313">
        <f>DTR!E216</f>
        <v>2770751785</v>
      </c>
      <c r="H48" s="313">
        <f>DTR!F216</f>
        <v>3041632252</v>
      </c>
      <c r="I48" s="313">
        <f>DTR!G216</f>
        <v>3141804002</v>
      </c>
      <c r="J48" s="313">
        <f>DTR!H216</f>
        <v>3245971482</v>
      </c>
      <c r="K48" s="313">
        <f>DTR!I216</f>
        <v>3110331141</v>
      </c>
      <c r="L48" s="313">
        <f>DTR!J216</f>
        <v>3202665604</v>
      </c>
      <c r="M48" s="313">
        <f>DTR!K216</f>
        <v>3369907026</v>
      </c>
      <c r="N48" s="313">
        <f>DTR!L216</f>
        <v>3488049090</v>
      </c>
      <c r="O48" s="313">
        <f>DTR!M216</f>
        <v>3537619794</v>
      </c>
      <c r="P48" s="313">
        <f>DTR!N216</f>
        <v>3622850142</v>
      </c>
      <c r="Q48" s="313">
        <f t="shared" ca="1" si="18"/>
        <v>14365408991</v>
      </c>
      <c r="R48" s="313">
        <f>DTR!O216</f>
        <v>3867069957</v>
      </c>
      <c r="S48" s="313">
        <f>DTR!P216</f>
        <v>3594333014</v>
      </c>
      <c r="T48" s="313">
        <f>DTR!Q216</f>
        <v>3676490698</v>
      </c>
      <c r="U48" s="313">
        <f>DTR!R216</f>
        <v>4144437406</v>
      </c>
      <c r="V48" s="313">
        <f>DTR!S216</f>
        <v>4051343169</v>
      </c>
      <c r="W48" s="313">
        <f>DTR!T216</f>
        <v>4168433618</v>
      </c>
      <c r="X48" s="313">
        <f>DTR!U216</f>
        <v>4155409281</v>
      </c>
      <c r="Y48" s="313">
        <f>DTR!V216</f>
        <v>4177314711</v>
      </c>
      <c r="Z48" s="313">
        <f>DTR!W216</f>
        <v>4406134044</v>
      </c>
      <c r="AA48" s="313">
        <f>DTR!X216</f>
        <v>4029385993</v>
      </c>
      <c r="AB48" s="313">
        <f>DTR!Y216</f>
        <v>3859104703</v>
      </c>
      <c r="AC48" s="313">
        <f>DTR!Z216</f>
        <v>3914832620</v>
      </c>
      <c r="AD48" s="313">
        <f t="shared" ca="1" si="16"/>
        <v>19333674244</v>
      </c>
      <c r="AE48" s="318">
        <f t="shared" ca="1" si="19"/>
        <v>4051343169</v>
      </c>
      <c r="AF48" s="313">
        <f>DTR!AA$216</f>
        <v>4079461212</v>
      </c>
      <c r="AG48" s="313">
        <f>DTR!AB$216</f>
        <v>3772730095</v>
      </c>
      <c r="AH48" s="313">
        <f>DTR!AC$216</f>
        <v>3815553479</v>
      </c>
      <c r="AI48" s="313">
        <f>DTR!AD$216</f>
        <v>4321000559</v>
      </c>
      <c r="AJ48" s="313">
        <f>DTR!AE$216</f>
        <v>4083134231</v>
      </c>
      <c r="AK48" s="313">
        <f>DTR!AF$216</f>
        <v>5024152177</v>
      </c>
      <c r="AL48" s="313">
        <f>DTR!AG$216</f>
        <v>4874545466</v>
      </c>
      <c r="AM48" s="313">
        <f>DTR!AH$216</f>
        <v>4879100238</v>
      </c>
      <c r="AN48" s="313">
        <f>DTR!AI$216</f>
        <v>5014508623.999999</v>
      </c>
      <c r="AO48" s="313">
        <f>DTR!AJ$216</f>
        <v>4763939673.999999</v>
      </c>
      <c r="AP48" s="313">
        <f>DTR!AK$216</f>
        <v>5060906023</v>
      </c>
      <c r="AQ48" s="313">
        <f>DTR!AL$216</f>
        <v>4914700237.999999</v>
      </c>
      <c r="AR48" s="313">
        <f t="shared" ca="1" si="17"/>
        <v>20071879576</v>
      </c>
      <c r="AS48" s="313">
        <f t="shared" ca="1" si="20"/>
        <v>4083134231</v>
      </c>
    </row>
    <row r="49" spans="1:45">
      <c r="A49" s="320" t="s">
        <v>126</v>
      </c>
      <c r="B49" s="317" t="s">
        <v>2</v>
      </c>
      <c r="C49" s="317" t="s">
        <v>123</v>
      </c>
      <c r="D49" s="317" t="s">
        <v>46</v>
      </c>
      <c r="E49" s="313">
        <f>DTR!C217</f>
        <v>911307115</v>
      </c>
      <c r="F49" s="313">
        <f>DTR!D217</f>
        <v>1033542982</v>
      </c>
      <c r="G49" s="313">
        <f>DTR!E217</f>
        <v>848336770</v>
      </c>
      <c r="H49" s="313">
        <f>DTR!F217</f>
        <v>1031003534</v>
      </c>
      <c r="I49" s="313">
        <f>DTR!G217</f>
        <v>1063533369</v>
      </c>
      <c r="J49" s="313">
        <f>DTR!H217</f>
        <v>973190576</v>
      </c>
      <c r="K49" s="313">
        <f>DTR!I217</f>
        <v>1014630936</v>
      </c>
      <c r="L49" s="313">
        <f>DTR!J217</f>
        <v>959100838</v>
      </c>
      <c r="M49" s="313">
        <f>DTR!K217</f>
        <v>1144461915</v>
      </c>
      <c r="N49" s="313">
        <f>DTR!L217</f>
        <v>1036988852</v>
      </c>
      <c r="O49" s="313">
        <f>DTR!M217</f>
        <v>1127298804</v>
      </c>
      <c r="P49" s="313">
        <f>DTR!N217</f>
        <v>1148303858</v>
      </c>
      <c r="Q49" s="313">
        <f t="shared" ca="1" si="18"/>
        <v>4887723770</v>
      </c>
      <c r="R49" s="313">
        <f>DTR!O217</f>
        <v>1410836444</v>
      </c>
      <c r="S49" s="313">
        <f>DTR!P217</f>
        <v>1399090851</v>
      </c>
      <c r="T49" s="313">
        <f>DTR!Q217</f>
        <v>1131053888</v>
      </c>
      <c r="U49" s="313">
        <f>DTR!R217</f>
        <v>1267920577</v>
      </c>
      <c r="V49" s="313">
        <f>DTR!S217</f>
        <v>1265039349</v>
      </c>
      <c r="W49" s="313">
        <f>DTR!T217</f>
        <v>1227820821</v>
      </c>
      <c r="X49" s="313">
        <f>DTR!U217</f>
        <v>1280940063</v>
      </c>
      <c r="Y49" s="313">
        <f>DTR!V217</f>
        <v>1361210881</v>
      </c>
      <c r="Z49" s="313">
        <f>DTR!W217</f>
        <v>1461146329</v>
      </c>
      <c r="AA49" s="313">
        <f>DTR!X217</f>
        <v>1389869954</v>
      </c>
      <c r="AB49" s="313">
        <f>DTR!Y217</f>
        <v>1306926122</v>
      </c>
      <c r="AC49" s="313">
        <f>DTR!Z217</f>
        <v>1304400970</v>
      </c>
      <c r="AD49" s="313">
        <f t="shared" ca="1" si="16"/>
        <v>6473941109</v>
      </c>
      <c r="AE49" s="318">
        <f t="shared" ca="1" si="19"/>
        <v>1265039349</v>
      </c>
      <c r="AF49" s="313">
        <f>DTR!AA$217</f>
        <v>1426956545</v>
      </c>
      <c r="AG49" s="313">
        <f>DTR!AB$217</f>
        <v>1161357165</v>
      </c>
      <c r="AH49" s="313">
        <f>DTR!AC$217</f>
        <v>1239376171</v>
      </c>
      <c r="AI49" s="313">
        <f>DTR!AD$217</f>
        <v>1265702203</v>
      </c>
      <c r="AJ49" s="313">
        <f>DTR!AE$217</f>
        <v>1357271039</v>
      </c>
      <c r="AK49" s="313">
        <f>DTR!AF$217</f>
        <v>991559065.97043884</v>
      </c>
      <c r="AL49" s="313">
        <f>DTR!AG$217</f>
        <v>964350262.53846157</v>
      </c>
      <c r="AM49" s="313">
        <f>DTR!AH$217</f>
        <v>941952252.54729104</v>
      </c>
      <c r="AN49" s="313">
        <f>DTR!AI$217</f>
        <v>1025628098.5769941</v>
      </c>
      <c r="AO49" s="313">
        <f>DTR!AJ$217</f>
        <v>940270903.00000012</v>
      </c>
      <c r="AP49" s="313">
        <f>DTR!AK$217</f>
        <v>959514997.08575261</v>
      </c>
      <c r="AQ49" s="313">
        <f>DTR!AL$217</f>
        <v>983628346.0385325</v>
      </c>
      <c r="AR49" s="313">
        <f t="shared" ca="1" si="17"/>
        <v>6450663123</v>
      </c>
      <c r="AS49" s="313">
        <f t="shared" ca="1" si="20"/>
        <v>1357271039</v>
      </c>
    </row>
    <row r="50" spans="1:45">
      <c r="A50" s="320" t="s">
        <v>127</v>
      </c>
      <c r="B50" s="317" t="s">
        <v>2</v>
      </c>
      <c r="C50" s="317" t="s">
        <v>128</v>
      </c>
      <c r="D50" s="317" t="s">
        <v>49</v>
      </c>
      <c r="E50" s="313">
        <f>DTR!C218</f>
        <v>460529842</v>
      </c>
      <c r="F50" s="313">
        <f>DTR!D218</f>
        <v>434571553</v>
      </c>
      <c r="G50" s="313">
        <f>DTR!E218</f>
        <v>544088110</v>
      </c>
      <c r="H50" s="313">
        <f>DTR!F218</f>
        <v>510521295</v>
      </c>
      <c r="I50" s="313">
        <f>DTR!G218</f>
        <v>642495196</v>
      </c>
      <c r="J50" s="313">
        <f>DTR!H218</f>
        <v>690234002</v>
      </c>
      <c r="K50" s="313">
        <f>DTR!I218</f>
        <v>410469104</v>
      </c>
      <c r="L50" s="313">
        <f>DTR!J218</f>
        <v>569152145</v>
      </c>
      <c r="M50" s="313">
        <f>DTR!K218</f>
        <v>603787768</v>
      </c>
      <c r="N50" s="313">
        <f>DTR!L218</f>
        <v>725450829</v>
      </c>
      <c r="O50" s="313">
        <f>DTR!M218</f>
        <v>794641207</v>
      </c>
      <c r="P50" s="313">
        <f>DTR!N218</f>
        <v>939137701</v>
      </c>
      <c r="Q50" s="313">
        <f t="shared" ca="1" si="18"/>
        <v>2592205996</v>
      </c>
      <c r="R50" s="313">
        <f>DTR!O218</f>
        <v>734659695</v>
      </c>
      <c r="S50" s="313">
        <f>DTR!P218</f>
        <v>631468372</v>
      </c>
      <c r="T50" s="313">
        <f>DTR!Q218</f>
        <v>695561422</v>
      </c>
      <c r="U50" s="313">
        <f>DTR!R218</f>
        <v>743147515</v>
      </c>
      <c r="V50" s="313">
        <f>DTR!S218</f>
        <v>753334254</v>
      </c>
      <c r="W50" s="313">
        <f>DTR!T218</f>
        <v>977482432</v>
      </c>
      <c r="X50" s="313">
        <f>DTR!U218</f>
        <v>1028204484</v>
      </c>
      <c r="Y50" s="313">
        <f>DTR!V218</f>
        <v>944206342</v>
      </c>
      <c r="Z50" s="313">
        <f>DTR!W218</f>
        <v>727564953</v>
      </c>
      <c r="AA50" s="313">
        <f>DTR!X218</f>
        <v>733977685</v>
      </c>
      <c r="AB50" s="313">
        <f>DTR!Y218</f>
        <v>772842144</v>
      </c>
      <c r="AC50" s="313">
        <f>DTR!Z218</f>
        <v>759303904</v>
      </c>
      <c r="AD50" s="313">
        <f t="shared" ca="1" si="16"/>
        <v>3558171258</v>
      </c>
      <c r="AE50" s="318">
        <f t="shared" ca="1" si="19"/>
        <v>753334254</v>
      </c>
      <c r="AF50" s="313">
        <f>DTR!AA$218</f>
        <v>675532018</v>
      </c>
      <c r="AG50" s="313">
        <f>DTR!AB$218</f>
        <v>427508026</v>
      </c>
      <c r="AH50" s="313">
        <f>DTR!AC$218</f>
        <v>594679880</v>
      </c>
      <c r="AI50" s="313">
        <f>DTR!AD$218</f>
        <v>684234657</v>
      </c>
      <c r="AJ50" s="313">
        <f>DTR!AE$218</f>
        <v>776152179</v>
      </c>
      <c r="AK50" s="313">
        <f>DTR!AF$218</f>
        <v>1342765484.5593209</v>
      </c>
      <c r="AL50" s="313">
        <f>DTR!AG$218</f>
        <v>1169435947.5812445</v>
      </c>
      <c r="AM50" s="313">
        <f>DTR!AH$218</f>
        <v>1171780498.4979112</v>
      </c>
      <c r="AN50" s="313">
        <f>DTR!AI$218</f>
        <v>1335378606.0778399</v>
      </c>
      <c r="AO50" s="313">
        <f>DTR!AJ$218</f>
        <v>1235939644.4145775</v>
      </c>
      <c r="AP50" s="313">
        <f>DTR!AK$218</f>
        <v>1240319281.6611724</v>
      </c>
      <c r="AQ50" s="313">
        <f>DTR!AL$218</f>
        <v>1272946302.9145777</v>
      </c>
      <c r="AR50" s="313">
        <f t="shared" ca="1" si="17"/>
        <v>3158106760</v>
      </c>
      <c r="AS50" s="313">
        <f t="shared" ca="1" si="20"/>
        <v>776152179</v>
      </c>
    </row>
    <row r="51" spans="1:45">
      <c r="A51" s="320" t="s">
        <v>129</v>
      </c>
      <c r="B51" s="317" t="s">
        <v>2</v>
      </c>
      <c r="C51" s="317" t="s">
        <v>128</v>
      </c>
      <c r="D51" s="317" t="s">
        <v>52</v>
      </c>
      <c r="E51" s="313">
        <f>DTR!C219</f>
        <v>3894354715</v>
      </c>
      <c r="F51" s="313">
        <f>DTR!D219</f>
        <v>3652447665</v>
      </c>
      <c r="G51" s="313">
        <f>DTR!E219</f>
        <v>10039240901</v>
      </c>
      <c r="H51" s="313">
        <f>DTR!F219</f>
        <v>8812805553</v>
      </c>
      <c r="I51" s="313">
        <f>DTR!G219</f>
        <v>8812804558</v>
      </c>
      <c r="J51" s="313">
        <f>DTR!H219</f>
        <v>8371551826</v>
      </c>
      <c r="K51" s="313">
        <f>DTR!I219</f>
        <v>7720780123</v>
      </c>
      <c r="L51" s="313">
        <f>DTR!J219</f>
        <v>8071776355</v>
      </c>
      <c r="M51" s="313">
        <f>DTR!K219</f>
        <v>8327236899</v>
      </c>
      <c r="N51" s="313">
        <f>DTR!L219</f>
        <v>7638641417</v>
      </c>
      <c r="O51" s="313">
        <f>DTR!M219</f>
        <v>7497692372</v>
      </c>
      <c r="P51" s="313">
        <f>DTR!N219</f>
        <v>4107851153</v>
      </c>
      <c r="Q51" s="313">
        <f t="shared" ca="1" si="18"/>
        <v>35211653392</v>
      </c>
      <c r="R51" s="313">
        <f>DTR!O219</f>
        <v>6967902702</v>
      </c>
      <c r="S51" s="313">
        <f>DTR!P219</f>
        <v>7268983233</v>
      </c>
      <c r="T51" s="313">
        <f>DTR!Q219</f>
        <v>7432302750</v>
      </c>
      <c r="U51" s="313">
        <f>DTR!R219</f>
        <v>7711233616</v>
      </c>
      <c r="V51" s="313">
        <f>DTR!S219</f>
        <v>7346014335</v>
      </c>
      <c r="W51" s="313">
        <f>DTR!T219</f>
        <v>7576020330</v>
      </c>
      <c r="X51" s="313">
        <f>DTR!U219</f>
        <v>7255934279</v>
      </c>
      <c r="Y51" s="313">
        <f>DTR!V219</f>
        <v>7718888264</v>
      </c>
      <c r="Z51" s="313">
        <f>DTR!W219</f>
        <v>7771480054</v>
      </c>
      <c r="AA51" s="313">
        <f>DTR!X219</f>
        <v>7822162905</v>
      </c>
      <c r="AB51" s="313">
        <f>DTR!Y219</f>
        <v>7414435618</v>
      </c>
      <c r="AC51" s="313">
        <f>DTR!Z219</f>
        <v>7190954710</v>
      </c>
      <c r="AD51" s="313">
        <f t="shared" ca="1" si="16"/>
        <v>36726436636</v>
      </c>
      <c r="AE51" s="318">
        <f t="shared" ca="1" si="19"/>
        <v>7346014335</v>
      </c>
      <c r="AF51" s="313">
        <f>DTR!AA$219</f>
        <v>8152127945</v>
      </c>
      <c r="AG51" s="313">
        <f>DTR!AB$219</f>
        <v>7520098945</v>
      </c>
      <c r="AH51" s="313">
        <f>DTR!AC$219</f>
        <v>8458447921</v>
      </c>
      <c r="AI51" s="313">
        <f>DTR!AD$219</f>
        <v>8501500743</v>
      </c>
      <c r="AJ51" s="313">
        <f>DTR!AE$219</f>
        <v>8532632034</v>
      </c>
      <c r="AK51" s="313">
        <f>DTR!AF$219</f>
        <v>7797308812.1281672</v>
      </c>
      <c r="AL51" s="313">
        <f>DTR!AG$219</f>
        <v>7747613955.6365499</v>
      </c>
      <c r="AM51" s="313">
        <f>DTR!AH$219</f>
        <v>7537193940.7447548</v>
      </c>
      <c r="AN51" s="313">
        <f>DTR!AI$219</f>
        <v>7617518752.0942364</v>
      </c>
      <c r="AO51" s="313">
        <f>DTR!AJ$219</f>
        <v>7689626868.4834566</v>
      </c>
      <c r="AP51" s="313">
        <f>DTR!AK$219</f>
        <v>7398850891.5824156</v>
      </c>
      <c r="AQ51" s="313">
        <f>DTR!AL$219</f>
        <v>7547865364.3528452</v>
      </c>
      <c r="AR51" s="313">
        <f t="shared" ca="1" si="17"/>
        <v>41164807588</v>
      </c>
      <c r="AS51" s="313">
        <f t="shared" ca="1" si="20"/>
        <v>8532632034</v>
      </c>
    </row>
    <row r="52" spans="1:45">
      <c r="A52" s="320" t="s">
        <v>130</v>
      </c>
      <c r="B52" s="317" t="s">
        <v>2</v>
      </c>
      <c r="C52" s="317" t="s">
        <v>131</v>
      </c>
      <c r="D52" s="317" t="s">
        <v>55</v>
      </c>
      <c r="E52" s="313">
        <f>DTR!C220</f>
        <v>5568667717</v>
      </c>
      <c r="F52" s="313">
        <f>DTR!D220</f>
        <v>5573546970</v>
      </c>
      <c r="G52" s="313">
        <f>DTR!E220</f>
        <v>2870749336</v>
      </c>
      <c r="H52" s="313">
        <f>DTR!F220</f>
        <v>2993181073</v>
      </c>
      <c r="I52" s="313">
        <f>DTR!G220</f>
        <v>3046414798</v>
      </c>
      <c r="J52" s="313">
        <f>DTR!H220</f>
        <v>3049589322</v>
      </c>
      <c r="K52" s="313">
        <f>DTR!I220</f>
        <v>3083645781</v>
      </c>
      <c r="L52" s="313">
        <f>DTR!J220</f>
        <v>3104579094</v>
      </c>
      <c r="M52" s="313">
        <f>DTR!K220</f>
        <v>3243860916</v>
      </c>
      <c r="N52" s="313">
        <f>DTR!L220</f>
        <v>3243941706</v>
      </c>
      <c r="O52" s="313">
        <f>DTR!M220</f>
        <v>3278052242</v>
      </c>
      <c r="P52" s="313">
        <f>DTR!N220</f>
        <v>3553075383</v>
      </c>
      <c r="Q52" s="313">
        <f t="shared" ca="1" si="18"/>
        <v>20052559894</v>
      </c>
      <c r="R52" s="313">
        <f>DTR!O220</f>
        <v>6282890506</v>
      </c>
      <c r="S52" s="313">
        <f>DTR!P220</f>
        <v>6284434951</v>
      </c>
      <c r="T52" s="313">
        <f>DTR!Q220</f>
        <v>6478465588</v>
      </c>
      <c r="U52" s="313">
        <f>DTR!R220</f>
        <v>6364572301</v>
      </c>
      <c r="V52" s="313">
        <f>DTR!S220</f>
        <v>6551231356</v>
      </c>
      <c r="W52" s="313">
        <f>DTR!T220</f>
        <v>7301286882</v>
      </c>
      <c r="X52" s="313">
        <f>DTR!U220</f>
        <v>8036503847</v>
      </c>
      <c r="Y52" s="313">
        <f>DTR!V220</f>
        <v>8029010438</v>
      </c>
      <c r="Z52" s="313">
        <f>DTR!W220</f>
        <v>8348436055</v>
      </c>
      <c r="AA52" s="313">
        <f>DTR!X220</f>
        <v>8155620172</v>
      </c>
      <c r="AB52" s="313">
        <f>DTR!Y220</f>
        <v>8319054123</v>
      </c>
      <c r="AC52" s="313">
        <f>DTR!Z220</f>
        <v>8348386906</v>
      </c>
      <c r="AD52" s="313">
        <f t="shared" ca="1" si="16"/>
        <v>31961594702</v>
      </c>
      <c r="AE52" s="318">
        <f t="shared" ca="1" si="19"/>
        <v>6551231356</v>
      </c>
      <c r="AF52" s="313">
        <f>DTR!AA$220</f>
        <v>5561606002</v>
      </c>
      <c r="AG52" s="313">
        <f>DTR!AB$220</f>
        <v>5530647021</v>
      </c>
      <c r="AH52" s="313">
        <f>DTR!AC$220</f>
        <v>5553408317</v>
      </c>
      <c r="AI52" s="313">
        <f>DTR!AD$220</f>
        <v>5712976010</v>
      </c>
      <c r="AJ52" s="313">
        <f>DTR!AE$220</f>
        <v>5764064909</v>
      </c>
      <c r="AK52" s="313">
        <f>DTR!AF$220</f>
        <v>5883087384.5821295</v>
      </c>
      <c r="AL52" s="313">
        <f>DTR!AG$220</f>
        <v>5883087384.5821295</v>
      </c>
      <c r="AM52" s="313">
        <f>DTR!AH$220</f>
        <v>5883087384.5821295</v>
      </c>
      <c r="AN52" s="313">
        <f>DTR!AI$220</f>
        <v>5883087384.5821295</v>
      </c>
      <c r="AO52" s="313">
        <f>DTR!AJ$220</f>
        <v>5883087384.5821295</v>
      </c>
      <c r="AP52" s="313">
        <f>DTR!AK$220</f>
        <v>5883087384.5821295</v>
      </c>
      <c r="AQ52" s="313">
        <f>DTR!AL$220</f>
        <v>5895362384.5821295</v>
      </c>
      <c r="AR52" s="313">
        <f t="shared" ca="1" si="17"/>
        <v>28122702259</v>
      </c>
      <c r="AS52" s="313">
        <f t="shared" ca="1" si="20"/>
        <v>5764064909</v>
      </c>
    </row>
    <row r="53" spans="1:45">
      <c r="A53" s="320" t="s">
        <v>132</v>
      </c>
      <c r="B53" s="317" t="s">
        <v>2</v>
      </c>
      <c r="C53" s="317"/>
      <c r="D53" s="317" t="s">
        <v>58</v>
      </c>
      <c r="E53" s="313">
        <f>DTR!C222</f>
        <v>11008792358</v>
      </c>
      <c r="F53" s="313">
        <f>DTR!D222</f>
        <v>14091966230</v>
      </c>
      <c r="G53" s="313">
        <f>DTR!E222</f>
        <v>14967977208</v>
      </c>
      <c r="H53" s="313">
        <f>DTR!F222</f>
        <v>9793313487</v>
      </c>
      <c r="I53" s="313">
        <f>DTR!G222</f>
        <v>10326586768</v>
      </c>
      <c r="J53" s="313">
        <f>DTR!H222</f>
        <v>10046707984</v>
      </c>
      <c r="K53" s="313">
        <f>DTR!I222</f>
        <v>10237671622</v>
      </c>
      <c r="L53" s="313">
        <f>DTR!J222</f>
        <v>11454537032.999998</v>
      </c>
      <c r="M53" s="313">
        <f>DTR!K222</f>
        <v>8202935246.1999998</v>
      </c>
      <c r="N53" s="313">
        <f>DTR!L222</f>
        <v>11930809359</v>
      </c>
      <c r="O53" s="313">
        <f>DTR!M222</f>
        <v>11338421470</v>
      </c>
      <c r="P53" s="313">
        <f>DTR!N222</f>
        <v>-100750162957.9847</v>
      </c>
      <c r="Q53" s="313">
        <f t="shared" ca="1" si="18"/>
        <v>60188636051</v>
      </c>
      <c r="R53" s="313">
        <f>DTR!O222</f>
        <v>1199313766.2285714</v>
      </c>
      <c r="S53" s="313">
        <f>DTR!P222</f>
        <v>3951106221</v>
      </c>
      <c r="T53" s="313">
        <f>DTR!Q222</f>
        <v>2477786130</v>
      </c>
      <c r="U53" s="313">
        <f>DTR!R222</f>
        <v>2672108313</v>
      </c>
      <c r="V53" s="313">
        <f>DTR!S222</f>
        <v>1930915150</v>
      </c>
      <c r="W53" s="313">
        <f>DTR!T222</f>
        <v>-1171661984.999999</v>
      </c>
      <c r="X53" s="313">
        <f>DTR!U222</f>
        <v>-632408976</v>
      </c>
      <c r="Y53" s="313">
        <f>DTR!V222</f>
        <v>2450838410.0000019</v>
      </c>
      <c r="Z53" s="313">
        <f>DTR!W222</f>
        <v>-441819888</v>
      </c>
      <c r="AA53" s="313">
        <f>DTR!X222</f>
        <v>4410577869.999999</v>
      </c>
      <c r="AB53" s="313">
        <f>DTR!Y222</f>
        <v>678871840.00000048</v>
      </c>
      <c r="AC53" s="313">
        <f>DTR!Z222</f>
        <v>-14106508618.663048</v>
      </c>
      <c r="AD53" s="313">
        <f t="shared" ca="1" si="16"/>
        <v>12231229580.228571</v>
      </c>
      <c r="AE53" s="318">
        <f t="shared" ca="1" si="19"/>
        <v>1930915150</v>
      </c>
      <c r="AF53" s="313">
        <f>DTR!AA$222</f>
        <v>2269079203.3635092</v>
      </c>
      <c r="AG53" s="313">
        <f>DTR!AB$222</f>
        <v>1345305515.000001</v>
      </c>
      <c r="AH53" s="313">
        <f>DTR!AC$222</f>
        <v>2557256188.9999981</v>
      </c>
      <c r="AI53" s="313">
        <f>DTR!AD$222</f>
        <v>458452990.40080321</v>
      </c>
      <c r="AJ53" s="313">
        <f>DTR!AE$222</f>
        <v>3071676706.9998627</v>
      </c>
      <c r="AK53" s="313">
        <f>DTR!AF$222</f>
        <v>457986048.60881668</v>
      </c>
      <c r="AL53" s="313">
        <f>DTR!AG$222</f>
        <v>457758378.73592746</v>
      </c>
      <c r="AM53" s="313">
        <f>DTR!AH$222</f>
        <v>446366807.11011988</v>
      </c>
      <c r="AN53" s="313">
        <f>DTR!AI$222</f>
        <v>465426431.37833297</v>
      </c>
      <c r="AO53" s="313">
        <f>DTR!AJ$222</f>
        <v>437886718.97690505</v>
      </c>
      <c r="AP53" s="313">
        <f>DTR!AK$222</f>
        <v>460532233.400235</v>
      </c>
      <c r="AQ53" s="313">
        <f>DTR!AL$222</f>
        <v>466317189.87963611</v>
      </c>
      <c r="AR53" s="313">
        <f t="shared" ca="1" si="17"/>
        <v>9701770604.7641754</v>
      </c>
      <c r="AS53" s="313">
        <f t="shared" ca="1" si="20"/>
        <v>3071676706.9998636</v>
      </c>
    </row>
    <row r="54" spans="1:45">
      <c r="A54" s="320" t="s">
        <v>133</v>
      </c>
      <c r="B54" s="317" t="s">
        <v>2</v>
      </c>
      <c r="C54" s="317" t="s">
        <v>120</v>
      </c>
      <c r="D54" s="317" t="s">
        <v>60</v>
      </c>
      <c r="E54" s="313">
        <f>DTR!C221</f>
        <v>2408877200</v>
      </c>
      <c r="F54" s="313">
        <f>DTR!D221</f>
        <v>321736000</v>
      </c>
      <c r="G54" s="313">
        <f>DTR!E221</f>
        <v>407200000</v>
      </c>
      <c r="H54" s="313">
        <f>DTR!F221</f>
        <v>1027400000</v>
      </c>
      <c r="I54" s="313">
        <f>DTR!G221</f>
        <v>1296610000</v>
      </c>
      <c r="J54" s="313">
        <f>DTR!H221</f>
        <v>932027000</v>
      </c>
      <c r="K54" s="313">
        <f>DTR!I221</f>
        <v>1461251000</v>
      </c>
      <c r="L54" s="313">
        <f>DTR!J221</f>
        <v>1743703999</v>
      </c>
      <c r="M54" s="313">
        <f>DTR!K221</f>
        <v>838296001</v>
      </c>
      <c r="N54" s="313">
        <f>DTR!L221</f>
        <v>1688273746</v>
      </c>
      <c r="O54" s="313">
        <f>DTR!M221</f>
        <v>1220372826</v>
      </c>
      <c r="P54" s="313">
        <f>DTR!N221</f>
        <v>1496105366</v>
      </c>
      <c r="Q54" s="313">
        <f t="shared" ca="1" si="18"/>
        <v>5461823200</v>
      </c>
      <c r="R54" s="313">
        <f>DTR!O221</f>
        <v>380467548</v>
      </c>
      <c r="S54" s="313">
        <f>DTR!P221</f>
        <v>1845315600</v>
      </c>
      <c r="T54" s="313">
        <f>DTR!Q221</f>
        <v>1342787586</v>
      </c>
      <c r="U54" s="313">
        <f>DTR!R221</f>
        <v>843454000</v>
      </c>
      <c r="V54" s="313">
        <f>DTR!S221</f>
        <v>350000000</v>
      </c>
      <c r="W54" s="313">
        <f>DTR!T221</f>
        <v>510000000</v>
      </c>
      <c r="X54" s="313">
        <f>DTR!U221</f>
        <v>200000000</v>
      </c>
      <c r="Y54" s="313">
        <f>DTR!V221</f>
        <v>898330000</v>
      </c>
      <c r="Z54" s="313">
        <f>DTR!W221</f>
        <v>1091045000</v>
      </c>
      <c r="AA54" s="313">
        <f>DTR!X221</f>
        <v>1155172500</v>
      </c>
      <c r="AB54" s="313">
        <f>DTR!Y221</f>
        <v>975000000</v>
      </c>
      <c r="AC54" s="313">
        <f>DTR!Z221</f>
        <v>930000000</v>
      </c>
      <c r="AD54" s="313">
        <f t="shared" ca="1" si="16"/>
        <v>4762024734</v>
      </c>
      <c r="AE54" s="318">
        <f t="shared" ca="1" si="19"/>
        <v>350000000</v>
      </c>
      <c r="AF54" s="313">
        <f>DTR!AA$221</f>
        <v>0</v>
      </c>
      <c r="AG54" s="313">
        <f>DTR!AB$221</f>
        <v>0</v>
      </c>
      <c r="AH54" s="313">
        <f>DTR!AC$221</f>
        <v>44274073</v>
      </c>
      <c r="AI54" s="313">
        <f>DTR!AD$221</f>
        <v>176148628</v>
      </c>
      <c r="AJ54" s="313">
        <f>DTR!AE$221</f>
        <v>167431172</v>
      </c>
      <c r="AK54" s="313">
        <f>DTR!AF$221</f>
        <v>0</v>
      </c>
      <c r="AL54" s="313">
        <f>DTR!AG$221</f>
        <v>0</v>
      </c>
      <c r="AM54" s="313">
        <f>DTR!AH$221</f>
        <v>0</v>
      </c>
      <c r="AN54" s="313">
        <f>DTR!AI$221</f>
        <v>0</v>
      </c>
      <c r="AO54" s="313">
        <f>DTR!AJ$221</f>
        <v>0</v>
      </c>
      <c r="AP54" s="313">
        <f>DTR!AK$221</f>
        <v>0</v>
      </c>
      <c r="AQ54" s="313">
        <f>DTR!AL$221</f>
        <v>0</v>
      </c>
      <c r="AR54" s="313">
        <f t="shared" ca="1" si="17"/>
        <v>387853873</v>
      </c>
      <c r="AS54" s="313">
        <f t="shared" ca="1" si="20"/>
        <v>167431172</v>
      </c>
    </row>
    <row r="55" spans="1:45">
      <c r="A55" s="320" t="s">
        <v>134</v>
      </c>
      <c r="B55" s="317" t="s">
        <v>2</v>
      </c>
      <c r="C55" s="317"/>
      <c r="D55" s="317" t="s">
        <v>63</v>
      </c>
      <c r="E55" s="313">
        <f>DTR!C223</f>
        <v>-8362366023.0371094</v>
      </c>
      <c r="F55" s="313">
        <f>DTR!D223</f>
        <v>-9450050373</v>
      </c>
      <c r="G55" s="313">
        <f>DTR!E223</f>
        <v>-8089504138.0000305</v>
      </c>
      <c r="H55" s="313">
        <f>DTR!F223</f>
        <v>-8432427342.0000153</v>
      </c>
      <c r="I55" s="313">
        <f>DTR!G223</f>
        <v>-5682518917.0000153</v>
      </c>
      <c r="J55" s="313">
        <f>DTR!H223</f>
        <v>-10966084437</v>
      </c>
      <c r="K55" s="313">
        <f>DTR!I223</f>
        <v>-11850904123.000031</v>
      </c>
      <c r="L55" s="313">
        <f>DTR!J223</f>
        <v>10050172869</v>
      </c>
      <c r="M55" s="313">
        <f>DTR!K223</f>
        <v>3999136671.8000641</v>
      </c>
      <c r="N55" s="313">
        <f>DTR!L223</f>
        <v>-3080270199.0000305</v>
      </c>
      <c r="O55" s="313">
        <f>DTR!M223</f>
        <v>-12463003553</v>
      </c>
      <c r="P55" s="313">
        <f>DTR!N223</f>
        <v>-2845008662.5998688</v>
      </c>
      <c r="Q55" s="313">
        <f t="shared" ca="1" si="18"/>
        <v>-40016866793.03717</v>
      </c>
      <c r="R55" s="313">
        <f>DTR!O223</f>
        <v>1689837792.3559875</v>
      </c>
      <c r="S55" s="313">
        <f>DTR!P223</f>
        <v>9495980921.8744812</v>
      </c>
      <c r="T55" s="313">
        <f>DTR!Q223</f>
        <v>1301997312.0000305</v>
      </c>
      <c r="U55" s="313">
        <f>DTR!R223</f>
        <v>-2721929739.9999847</v>
      </c>
      <c r="V55" s="313">
        <f>DTR!S223</f>
        <v>556214363.54293823</v>
      </c>
      <c r="W55" s="313">
        <f>DTR!T223</f>
        <v>-3095017183.5036316</v>
      </c>
      <c r="X55" s="313">
        <f>DTR!U223</f>
        <v>591573758.16221619</v>
      </c>
      <c r="Y55" s="313">
        <f>DTR!V223</f>
        <v>4741716151.8312378</v>
      </c>
      <c r="Z55" s="313">
        <f>DTR!W223</f>
        <v>-11555651390.984756</v>
      </c>
      <c r="AA55" s="313">
        <f>DTR!X223</f>
        <v>-4261859002.3704224</v>
      </c>
      <c r="AB55" s="313">
        <f>DTR!Y223</f>
        <v>-3390949276</v>
      </c>
      <c r="AC55" s="313">
        <f>DTR!Z223</f>
        <v>-3536599650.7435913</v>
      </c>
      <c r="AD55" s="313">
        <f t="shared" ca="1" si="16"/>
        <v>10322100649.773453</v>
      </c>
      <c r="AE55" s="318">
        <f t="shared" ca="1" si="19"/>
        <v>556214363.54293823</v>
      </c>
      <c r="AF55" s="313">
        <f>DTR!AA$223</f>
        <v>3543873348.7614899</v>
      </c>
      <c r="AG55" s="313">
        <f>DTR!AB$223</f>
        <v>5601035481.9998169</v>
      </c>
      <c r="AH55" s="313">
        <f>DTR!AC$223</f>
        <v>15925976392.000183</v>
      </c>
      <c r="AI55" s="313">
        <f>DTR!AD$223</f>
        <v>9528112256.5989532</v>
      </c>
      <c r="AJ55" s="313">
        <f>DTR!AE$223</f>
        <v>4620010094.0001984</v>
      </c>
      <c r="AK55" s="313">
        <f>DTR!AF$223</f>
        <v>11002302097.618843</v>
      </c>
      <c r="AL55" s="313">
        <f>DTR!AG$223</f>
        <v>11069535820.724144</v>
      </c>
      <c r="AM55" s="313">
        <f>DTR!AH$223</f>
        <v>10797341803.229197</v>
      </c>
      <c r="AN55" s="313">
        <f>DTR!AI$223</f>
        <v>10893909891.434971</v>
      </c>
      <c r="AO55" s="313">
        <f>DTR!AJ$223</f>
        <v>10865049433.325729</v>
      </c>
      <c r="AP55" s="313">
        <f>DTR!AK$223</f>
        <v>11078564795.193489</v>
      </c>
      <c r="AQ55" s="313">
        <f>DTR!AL$223</f>
        <v>10821710890.213249</v>
      </c>
      <c r="AR55" s="313">
        <f t="shared" ca="1" si="17"/>
        <v>39219007573.360641</v>
      </c>
      <c r="AS55" s="313">
        <f t="shared" ca="1" si="20"/>
        <v>4620010094.0001984</v>
      </c>
    </row>
    <row r="56" spans="1:45">
      <c r="A56" s="320" t="s">
        <v>135</v>
      </c>
      <c r="B56" t="s">
        <v>2</v>
      </c>
      <c r="D56" s="320" t="s">
        <v>66</v>
      </c>
      <c r="E56" s="323">
        <f>DTR!C139</f>
        <v>10119851560</v>
      </c>
      <c r="F56" s="323">
        <f>DTR!D139</f>
        <v>191425380</v>
      </c>
      <c r="G56" s="323">
        <f>DTR!E139</f>
        <v>5285130826</v>
      </c>
      <c r="H56" s="323">
        <f>DTR!F139</f>
        <v>12013498032</v>
      </c>
      <c r="I56" s="323">
        <f>DTR!G139</f>
        <v>3156769708</v>
      </c>
      <c r="J56" s="323">
        <f>DTR!H139</f>
        <v>-1702441870</v>
      </c>
      <c r="K56" s="323">
        <f>DTR!I139</f>
        <v>-4766532065</v>
      </c>
      <c r="L56" s="323">
        <f>DTR!J139</f>
        <v>6057054340</v>
      </c>
      <c r="M56" s="323">
        <f>DTR!K139</f>
        <v>24060273128</v>
      </c>
      <c r="N56" s="323">
        <f>DTR!L139</f>
        <v>4674156853</v>
      </c>
      <c r="O56" s="323">
        <f>DTR!M139</f>
        <v>5127697717</v>
      </c>
      <c r="P56" s="323">
        <f>DTR!N139</f>
        <v>128968857470</v>
      </c>
      <c r="Q56" s="323">
        <f t="shared" ca="1" si="18"/>
        <v>30766675506</v>
      </c>
      <c r="R56" s="323">
        <f>DTR!O139</f>
        <v>18163062466</v>
      </c>
      <c r="S56" s="323">
        <f>DTR!P139</f>
        <v>33428829554</v>
      </c>
      <c r="T56" s="323">
        <f>DTR!Q139</f>
        <v>20744016857</v>
      </c>
      <c r="U56" s="323">
        <f>DTR!R139</f>
        <v>15787841704</v>
      </c>
      <c r="V56" s="323">
        <f>DTR!S139</f>
        <v>22161064744</v>
      </c>
      <c r="W56" s="323">
        <f>DTR!T139</f>
        <v>13671023177</v>
      </c>
      <c r="X56" s="323">
        <f>DTR!U139</f>
        <v>9317564878</v>
      </c>
      <c r="Y56" s="323">
        <f>DTR!V139</f>
        <v>13340810740</v>
      </c>
      <c r="Z56" s="323">
        <f>DTR!W139</f>
        <v>1597120562</v>
      </c>
      <c r="AA56" s="323">
        <f>DTR!X139</f>
        <v>8961619444</v>
      </c>
      <c r="AB56" s="323">
        <f>DTR!Y139</f>
        <v>7407279958</v>
      </c>
      <c r="AC56" s="323">
        <f>DTR!Z139</f>
        <v>29449792916</v>
      </c>
      <c r="AD56" s="305">
        <f t="shared" ca="1" si="16"/>
        <v>110284815325</v>
      </c>
      <c r="AE56" s="318">
        <f t="shared" ca="1" si="19"/>
        <v>22161064744</v>
      </c>
      <c r="AF56" s="323">
        <f>DTR!AA$139</f>
        <v>11018924052</v>
      </c>
      <c r="AG56" s="323">
        <f>DTR!AB$139</f>
        <v>6155334899</v>
      </c>
      <c r="AH56" s="323">
        <f>DTR!AC$139</f>
        <v>7461082664</v>
      </c>
      <c r="AI56" s="323">
        <f>DTR!AD$139</f>
        <v>17970851610</v>
      </c>
      <c r="AJ56" s="323">
        <f>DTR!AE$139</f>
        <v>22185276979</v>
      </c>
      <c r="AK56" s="323">
        <f>DTR!AF$139</f>
        <v>0</v>
      </c>
      <c r="AL56" s="323">
        <f>DTR!AG$139</f>
        <v>0</v>
      </c>
      <c r="AM56" s="323">
        <f>DTR!AH$139</f>
        <v>0</v>
      </c>
      <c r="AN56" s="323">
        <f>DTR!AI$139</f>
        <v>0</v>
      </c>
      <c r="AO56" s="323">
        <f>DTR!AJ$139</f>
        <v>0</v>
      </c>
      <c r="AP56" s="323">
        <f>DTR!AK$139</f>
        <v>0</v>
      </c>
      <c r="AQ56" s="323">
        <f>DTR!AL$139</f>
        <v>0</v>
      </c>
      <c r="AR56" s="305">
        <f t="shared" ca="1" si="17"/>
        <v>64791470204</v>
      </c>
      <c r="AS56" s="305">
        <f t="shared" ca="1" si="20"/>
        <v>22185276979</v>
      </c>
    </row>
    <row r="57" spans="1:45">
      <c r="A57" s="320" t="s">
        <v>136</v>
      </c>
      <c r="B57" t="s">
        <v>2</v>
      </c>
      <c r="D57" t="s">
        <v>68</v>
      </c>
      <c r="E57" s="305">
        <f>SUM(DTR!C144:C145)</f>
        <v>8087596830</v>
      </c>
      <c r="F57" s="305">
        <f>SUM(DTR!D144:D145)</f>
        <v>5867437075</v>
      </c>
      <c r="G57" s="305">
        <f>SUM(DTR!E144:E145)</f>
        <v>8553853349</v>
      </c>
      <c r="H57" s="305">
        <f>SUM(DTR!F144:F145)</f>
        <v>9717948043</v>
      </c>
      <c r="I57" s="305">
        <f>SUM(DTR!G144:G145)</f>
        <v>7359417541</v>
      </c>
      <c r="J57" s="305">
        <f>SUM(DTR!H144:H145)</f>
        <v>7878264395</v>
      </c>
      <c r="K57" s="305">
        <f>SUM(DTR!I144:I145)</f>
        <v>7540006644</v>
      </c>
      <c r="L57" s="305">
        <f>SUM(DTR!J144:J145)</f>
        <v>14270625142</v>
      </c>
      <c r="M57" s="305">
        <f>SUM(DTR!K144:K145)</f>
        <v>14561256104</v>
      </c>
      <c r="N57" s="305">
        <f>SUM(DTR!L144:L145)</f>
        <v>11625337125</v>
      </c>
      <c r="O57" s="305">
        <f>SUM(DTR!M144:M145)</f>
        <v>9376515821</v>
      </c>
      <c r="P57" s="305">
        <f>SUM(DTR!N144:N145)</f>
        <v>16100235918</v>
      </c>
      <c r="Q57" s="305">
        <f t="shared" ca="1" si="18"/>
        <v>39586252838</v>
      </c>
      <c r="R57" s="305">
        <f>SUM(DTR!O144:O145)</f>
        <v>11645293419</v>
      </c>
      <c r="S57" s="305">
        <f>SUM(DTR!P144:P145)</f>
        <v>13327216998</v>
      </c>
      <c r="T57" s="305">
        <f>SUM(DTR!Q144:Q145)</f>
        <v>12424129710</v>
      </c>
      <c r="U57" s="305">
        <f>SUM(DTR!R144:R145)</f>
        <v>11233030058</v>
      </c>
      <c r="V57" s="305">
        <f>SUM(DTR!S144:S145)</f>
        <v>12635231248</v>
      </c>
      <c r="W57" s="305">
        <f>SUM(DTR!T144:T145)</f>
        <v>12518377756</v>
      </c>
      <c r="X57" s="305">
        <f>SUM(DTR!U144:U145)</f>
        <v>11066425605</v>
      </c>
      <c r="Y57" s="305">
        <f>SUM(DTR!V144:V145)</f>
        <v>12880688905</v>
      </c>
      <c r="Z57" s="305">
        <f>SUM(DTR!W144:W145)</f>
        <v>12233792933</v>
      </c>
      <c r="AA57" s="305">
        <f>SUM(DTR!X144:X145)</f>
        <v>10464215726</v>
      </c>
      <c r="AB57" s="305">
        <f>SUM(DTR!Y144:Y145)</f>
        <v>13289394093</v>
      </c>
      <c r="AC57" s="305">
        <f>SUM(DTR!Z144:Z145)</f>
        <v>20099119553</v>
      </c>
      <c r="AD57" s="305">
        <f t="shared" ca="1" si="16"/>
        <v>61264901433</v>
      </c>
      <c r="AE57" s="318">
        <f t="shared" ca="1" si="19"/>
        <v>12635231248</v>
      </c>
      <c r="AF57" s="305">
        <f>SUM(DTR!AA$144:AA$145)</f>
        <v>12125928642</v>
      </c>
      <c r="AG57" s="305">
        <f>SUM(DTR!AB$144:AB$145)</f>
        <v>11162039668</v>
      </c>
      <c r="AH57" s="305">
        <f>SUM(DTR!AC$144:AC$145)</f>
        <v>13575506377</v>
      </c>
      <c r="AI57" s="305">
        <f>SUM(DTR!AD$144:AD$145)</f>
        <v>13970261268</v>
      </c>
      <c r="AJ57" s="305">
        <f>SUM(DTR!AE$144:AE$145)</f>
        <v>13926607565</v>
      </c>
      <c r="AK57" s="305">
        <f>SUM(DTR!AF$144:AF$145)</f>
        <v>0</v>
      </c>
      <c r="AL57" s="305">
        <f>SUM(DTR!AG$144:AG$145)</f>
        <v>0</v>
      </c>
      <c r="AM57" s="305">
        <f>SUM(DTR!AH$144:AH$145)</f>
        <v>0</v>
      </c>
      <c r="AN57" s="305">
        <f>SUM(DTR!AI$144:AI$145)</f>
        <v>0</v>
      </c>
      <c r="AO57" s="305">
        <f>SUM(DTR!AJ$144:AJ$145)</f>
        <v>0</v>
      </c>
      <c r="AP57" s="305">
        <f>SUM(DTR!AK$144:AK$145)</f>
        <v>0</v>
      </c>
      <c r="AQ57" s="305">
        <f>SUM(DTR!AL$144:AL$145)</f>
        <v>0</v>
      </c>
      <c r="AR57" s="305">
        <f t="shared" ca="1" si="17"/>
        <v>64760343520</v>
      </c>
      <c r="AS57" s="305">
        <f t="shared" ca="1" si="20"/>
        <v>13926607565</v>
      </c>
    </row>
    <row r="58" spans="1:45">
      <c r="A58" s="320" t="s">
        <v>137</v>
      </c>
      <c r="B58" s="317" t="s">
        <v>2</v>
      </c>
      <c r="C58" s="317" t="s">
        <v>123</v>
      </c>
      <c r="D58" s="317" t="s">
        <v>71</v>
      </c>
      <c r="E58" s="313">
        <f>DTR!C236+DTR!C245</f>
        <v>3051657559</v>
      </c>
      <c r="F58" s="313">
        <f>DTR!D236+DTR!D245</f>
        <v>2803049266</v>
      </c>
      <c r="G58" s="313">
        <f>DTR!E236+DTR!E245</f>
        <v>3196348082</v>
      </c>
      <c r="H58" s="313">
        <f>DTR!F236+DTR!F245</f>
        <v>3325101040</v>
      </c>
      <c r="I58" s="313">
        <f>DTR!G236+DTR!G245</f>
        <v>3188436047</v>
      </c>
      <c r="J58" s="313">
        <f>DTR!H236+DTR!H245</f>
        <v>3172300108</v>
      </c>
      <c r="K58" s="313">
        <f>DTR!I236+DTR!I245</f>
        <v>3284593032</v>
      </c>
      <c r="L58" s="313">
        <f>DTR!J236+DTR!J245</f>
        <v>3274228001</v>
      </c>
      <c r="M58" s="313">
        <f>DTR!K236+DTR!K245</f>
        <v>3407074541</v>
      </c>
      <c r="N58" s="313">
        <f>DTR!L236+DTR!L245</f>
        <v>3292918650</v>
      </c>
      <c r="O58" s="313">
        <f>DTR!M236+DTR!M245</f>
        <v>3526170978</v>
      </c>
      <c r="P58" s="313">
        <f>DTR!N236+DTR!N245</f>
        <v>4027620555</v>
      </c>
      <c r="Q58" s="313">
        <f t="shared" ca="1" si="18"/>
        <v>15564591994</v>
      </c>
      <c r="R58" s="313">
        <f>DTR!O236+DTR!O245</f>
        <v>4047329643</v>
      </c>
      <c r="S58" s="313">
        <f>DTR!P236+DTR!P245</f>
        <v>4084237593</v>
      </c>
      <c r="T58" s="313">
        <f>DTR!Q236+DTR!Q245</f>
        <v>4017063162</v>
      </c>
      <c r="U58" s="313">
        <f>DTR!R236+DTR!R245</f>
        <v>4463411607</v>
      </c>
      <c r="V58" s="313">
        <f>DTR!S236+DTR!S245</f>
        <v>4496386434</v>
      </c>
      <c r="W58" s="313">
        <f>DTR!T236+DTR!T245</f>
        <v>4693377748</v>
      </c>
      <c r="X58" s="313">
        <f>DTR!U236+DTR!U245</f>
        <v>4366364011</v>
      </c>
      <c r="Y58" s="313">
        <f>DTR!V236+DTR!V245</f>
        <v>4898958153</v>
      </c>
      <c r="Z58" s="313">
        <f>DTR!W236+DTR!W245</f>
        <v>4812621689</v>
      </c>
      <c r="AA58" s="313">
        <f>DTR!X236+DTR!X245</f>
        <v>4617342370</v>
      </c>
      <c r="AB58" s="313">
        <f>DTR!Y236+DTR!Y245</f>
        <v>4861911291</v>
      </c>
      <c r="AC58" s="313">
        <f>DTR!Z236+DTR!Z245</f>
        <v>7123521172</v>
      </c>
      <c r="AD58" s="313">
        <f t="shared" ca="1" si="16"/>
        <v>21108428439</v>
      </c>
      <c r="AE58" s="318">
        <f t="shared" ca="1" si="19"/>
        <v>4496386434</v>
      </c>
      <c r="AF58" s="313">
        <f>DTR!AA$236+DTR!AA$245</f>
        <v>4970697671</v>
      </c>
      <c r="AG58" s="313">
        <f>DTR!AB$236+DTR!AB$245</f>
        <v>4694850341</v>
      </c>
      <c r="AH58" s="313">
        <f>DTR!AC$236+DTR!AC$245</f>
        <v>5059466631</v>
      </c>
      <c r="AI58" s="313">
        <f>DTR!AD$236+DTR!AD$245</f>
        <v>5463430612</v>
      </c>
      <c r="AJ58" s="313">
        <f>DTR!AE$236+DTR!AE$245</f>
        <v>4969298326</v>
      </c>
      <c r="AK58" s="313">
        <f>DTR!AF$236+DTR!AF$245</f>
        <v>4703545257.999999</v>
      </c>
      <c r="AL58" s="313">
        <f>DTR!AG$236+DTR!AG$245</f>
        <v>4580904075</v>
      </c>
      <c r="AM58" s="313">
        <f>DTR!AH$236+DTR!AH$245</f>
        <v>4611154203</v>
      </c>
      <c r="AN58" s="313">
        <f>DTR!AI$236+DTR!AI$245</f>
        <v>4703545257.999999</v>
      </c>
      <c r="AO58" s="313">
        <f>DTR!AJ$236+DTR!AJ$245</f>
        <v>4488513014</v>
      </c>
      <c r="AP58" s="313">
        <f>DTR!AK$236+DTR!AK$245</f>
        <v>4703545257.999999</v>
      </c>
      <c r="AQ58" s="313">
        <f>DTR!AL$236+DTR!AL$245</f>
        <v>4703654203</v>
      </c>
      <c r="AR58" s="313">
        <f t="shared" ca="1" si="17"/>
        <v>25157743581</v>
      </c>
      <c r="AS58" s="313">
        <f t="shared" ca="1" si="20"/>
        <v>4969298326</v>
      </c>
    </row>
    <row r="59" spans="1:45">
      <c r="A59" s="320" t="s">
        <v>138</v>
      </c>
      <c r="B59" s="317" t="s">
        <v>2</v>
      </c>
      <c r="C59" s="317" t="s">
        <v>123</v>
      </c>
      <c r="D59" s="317" t="s">
        <v>75</v>
      </c>
      <c r="E59" s="313">
        <f>DTR!C237+DTR!C246</f>
        <v>705680925</v>
      </c>
      <c r="F59" s="313">
        <f>DTR!D237+DTR!D246</f>
        <v>647258409</v>
      </c>
      <c r="G59" s="313">
        <f>DTR!E237+DTR!E246</f>
        <v>702219275</v>
      </c>
      <c r="H59" s="313">
        <f>DTR!F237+DTR!F246</f>
        <v>676557262</v>
      </c>
      <c r="I59" s="313">
        <f>DTR!G237+DTR!G246</f>
        <v>780776521</v>
      </c>
      <c r="J59" s="313">
        <f>DTR!H237+DTR!H246</f>
        <v>749978781</v>
      </c>
      <c r="K59" s="313">
        <f>DTR!I237+DTR!I246</f>
        <v>930683132</v>
      </c>
      <c r="L59" s="313">
        <f>DTR!J237+DTR!J246</f>
        <v>713495994</v>
      </c>
      <c r="M59" s="313">
        <f>DTR!K237+DTR!K246</f>
        <v>958011550</v>
      </c>
      <c r="N59" s="313">
        <f>DTR!L237+DTR!L246</f>
        <v>897934121</v>
      </c>
      <c r="O59" s="313">
        <f>DTR!M237+DTR!M246</f>
        <v>743587631</v>
      </c>
      <c r="P59" s="313">
        <f>DTR!N237+DTR!N246</f>
        <v>1273554022</v>
      </c>
      <c r="Q59" s="313">
        <f t="shared" ca="1" si="18"/>
        <v>3512492392</v>
      </c>
      <c r="R59" s="313">
        <f>DTR!O237+DTR!O246</f>
        <v>816227226</v>
      </c>
      <c r="S59" s="313">
        <f>DTR!P237+DTR!P246</f>
        <v>952365785</v>
      </c>
      <c r="T59" s="313">
        <f>DTR!Q237+DTR!Q246</f>
        <v>1168343229</v>
      </c>
      <c r="U59" s="313">
        <f>DTR!R237+DTR!R246</f>
        <v>1308752860</v>
      </c>
      <c r="V59" s="313">
        <f>DTR!S237+DTR!S246</f>
        <v>1134667631</v>
      </c>
      <c r="W59" s="313">
        <f>DTR!T237+DTR!T246</f>
        <v>1135273961</v>
      </c>
      <c r="X59" s="313">
        <f>DTR!U237+DTR!U246</f>
        <v>1122021125</v>
      </c>
      <c r="Y59" s="313">
        <f>DTR!V237+DTR!V246</f>
        <v>1243258635</v>
      </c>
      <c r="Z59" s="313">
        <f>DTR!W237+DTR!W246</f>
        <v>941588170</v>
      </c>
      <c r="AA59" s="313">
        <f>DTR!X237+DTR!X246</f>
        <v>1249350341</v>
      </c>
      <c r="AB59" s="313">
        <f>DTR!Y237+DTR!Y246</f>
        <v>1221621412</v>
      </c>
      <c r="AC59" s="313">
        <f>DTR!Z237+DTR!Z246</f>
        <v>4450487060</v>
      </c>
      <c r="AD59" s="313">
        <f t="shared" ca="1" si="16"/>
        <v>5380356731</v>
      </c>
      <c r="AE59" s="318">
        <f t="shared" ca="1" si="19"/>
        <v>1134667631</v>
      </c>
      <c r="AF59" s="313">
        <f>DTR!AA$237+DTR!AA$246</f>
        <v>1260382388</v>
      </c>
      <c r="AG59" s="313">
        <f>DTR!AB$237+DTR!AB$246</f>
        <v>1177587929</v>
      </c>
      <c r="AH59" s="313">
        <f>DTR!AC$237+DTR!AC$246</f>
        <v>1312365712</v>
      </c>
      <c r="AI59" s="313">
        <f>DTR!AD$237+DTR!AD$246</f>
        <v>1579566875</v>
      </c>
      <c r="AJ59" s="313">
        <f>DTR!AE$237+DTR!AE$246</f>
        <v>1494821509</v>
      </c>
      <c r="AK59" s="313">
        <f>DTR!AF$237+DTR!AF$246</f>
        <v>2304904639.0100737</v>
      </c>
      <c r="AL59" s="313">
        <f>DTR!AG$237+DTR!AG$246</f>
        <v>3091082277.1062269</v>
      </c>
      <c r="AM59" s="313">
        <f>DTR!AH$237+DTR!AH$246</f>
        <v>3234522156.1254582</v>
      </c>
      <c r="AN59" s="313">
        <f>DTR!AI$237+DTR!AI$246</f>
        <v>2253695119.3241768</v>
      </c>
      <c r="AO59" s="313">
        <f>DTR!AJ$237+DTR!AJ$246</f>
        <v>2217740468.471612</v>
      </c>
      <c r="AP59" s="313">
        <f>DTR!AK$237+DTR!AK$246</f>
        <v>2238468434.2600737</v>
      </c>
      <c r="AQ59" s="313">
        <f>DTR!AL$237+DTR!AL$246</f>
        <v>5174563951.3754568</v>
      </c>
      <c r="AR59" s="313">
        <f t="shared" ca="1" si="17"/>
        <v>6824724413</v>
      </c>
      <c r="AS59" s="313">
        <f t="shared" ca="1" si="20"/>
        <v>1494821509</v>
      </c>
    </row>
    <row r="60" spans="1:45">
      <c r="A60" s="320" t="s">
        <v>139</v>
      </c>
      <c r="B60" s="317" t="s">
        <v>2</v>
      </c>
      <c r="C60" s="317" t="s">
        <v>140</v>
      </c>
      <c r="D60" s="317" t="s">
        <v>78</v>
      </c>
      <c r="E60" s="313">
        <f>DTR!C238</f>
        <v>339423744</v>
      </c>
      <c r="F60" s="313">
        <f>DTR!D238</f>
        <v>271418400</v>
      </c>
      <c r="G60" s="313">
        <f>DTR!E238</f>
        <v>484682880</v>
      </c>
      <c r="H60" s="313">
        <f>DTR!F238</f>
        <v>947585288</v>
      </c>
      <c r="I60" s="313">
        <f>DTR!G238</f>
        <v>732250680</v>
      </c>
      <c r="J60" s="313">
        <f>DTR!H238</f>
        <v>1259908312</v>
      </c>
      <c r="K60" s="313">
        <f>DTR!I238</f>
        <v>706508840</v>
      </c>
      <c r="L60" s="313">
        <f>DTR!J238</f>
        <v>1228570570</v>
      </c>
      <c r="M60" s="313">
        <f>DTR!K238</f>
        <v>805497700</v>
      </c>
      <c r="N60" s="313">
        <f>DTR!L238</f>
        <v>568126136</v>
      </c>
      <c r="O60" s="313">
        <f>DTR!M238</f>
        <v>338540380</v>
      </c>
      <c r="P60" s="313">
        <f>DTR!N238</f>
        <v>1203477272</v>
      </c>
      <c r="Q60" s="313">
        <f t="shared" ca="1" si="18"/>
        <v>2775360992</v>
      </c>
      <c r="R60" s="313">
        <f>DTR!O238</f>
        <v>1156648724</v>
      </c>
      <c r="S60" s="313">
        <f>DTR!P238</f>
        <v>1395989840</v>
      </c>
      <c r="T60" s="313">
        <f>DTR!Q238</f>
        <v>718938840</v>
      </c>
      <c r="U60" s="313">
        <f>DTR!R238</f>
        <v>873725670</v>
      </c>
      <c r="V60" s="313">
        <f>DTR!S238</f>
        <v>801811330</v>
      </c>
      <c r="W60" s="313">
        <f>DTR!T238</f>
        <v>2343197427</v>
      </c>
      <c r="X60" s="313">
        <f>DTR!U238</f>
        <v>962161347</v>
      </c>
      <c r="Y60" s="313">
        <f>DTR!V238</f>
        <v>1102469718</v>
      </c>
      <c r="Z60" s="313">
        <f>DTR!W238</f>
        <v>793146505</v>
      </c>
      <c r="AA60" s="313">
        <f>DTR!X238</f>
        <v>728694366</v>
      </c>
      <c r="AB60" s="313">
        <f>DTR!Y238</f>
        <v>819335524</v>
      </c>
      <c r="AC60" s="313">
        <f>DTR!Z238</f>
        <v>914940436</v>
      </c>
      <c r="AD60" s="313">
        <f t="shared" ca="1" si="16"/>
        <v>4947114404</v>
      </c>
      <c r="AE60" s="318">
        <f t="shared" ca="1" si="19"/>
        <v>801811330</v>
      </c>
      <c r="AF60" s="313">
        <f>DTR!AA$238</f>
        <v>1284224102</v>
      </c>
      <c r="AG60" s="313">
        <f>DTR!AB$238</f>
        <v>828225273</v>
      </c>
      <c r="AH60" s="313">
        <f>DTR!AC$238</f>
        <v>2221270799</v>
      </c>
      <c r="AI60" s="313">
        <f>DTR!AD$238</f>
        <v>2175577325</v>
      </c>
      <c r="AJ60" s="313">
        <f>DTR!AE$238</f>
        <v>2044593710</v>
      </c>
      <c r="AK60" s="313">
        <f>DTR!AF$238</f>
        <v>552369180</v>
      </c>
      <c r="AL60" s="313">
        <f>DTR!AG$238</f>
        <v>581519180</v>
      </c>
      <c r="AM60" s="313">
        <f>DTR!AH$238</f>
        <v>552369180</v>
      </c>
      <c r="AN60" s="313">
        <f>DTR!AI$238</f>
        <v>581519180</v>
      </c>
      <c r="AO60" s="313">
        <f>DTR!AJ$238</f>
        <v>552369180</v>
      </c>
      <c r="AP60" s="313">
        <f>DTR!AK$238</f>
        <v>582520880</v>
      </c>
      <c r="AQ60" s="313">
        <f>DTR!AL$238</f>
        <v>556042080</v>
      </c>
      <c r="AR60" s="313">
        <f t="shared" ca="1" si="17"/>
        <v>8553891209</v>
      </c>
      <c r="AS60" s="313">
        <f t="shared" ca="1" si="20"/>
        <v>2044593710</v>
      </c>
    </row>
    <row r="61" spans="1:45">
      <c r="A61" s="320" t="s">
        <v>141</v>
      </c>
      <c r="B61" s="317" t="s">
        <v>2</v>
      </c>
      <c r="C61" s="317" t="s">
        <v>140</v>
      </c>
      <c r="D61" s="317" t="s">
        <v>80</v>
      </c>
      <c r="E61" s="313">
        <f>DTR!C239</f>
        <v>176869000</v>
      </c>
      <c r="F61" s="313">
        <f>DTR!D239</f>
        <v>98405100</v>
      </c>
      <c r="G61" s="313">
        <f>DTR!E239</f>
        <v>109040000</v>
      </c>
      <c r="H61" s="313">
        <f>DTR!F239</f>
        <v>105874074</v>
      </c>
      <c r="I61" s="313">
        <f>DTR!G239</f>
        <v>68080000</v>
      </c>
      <c r="J61" s="313">
        <f>DTR!H239</f>
        <v>196593648</v>
      </c>
      <c r="K61" s="313">
        <f>DTR!I239</f>
        <v>93037900</v>
      </c>
      <c r="L61" s="313">
        <f>DTR!J239</f>
        <v>632197036</v>
      </c>
      <c r="M61" s="313">
        <f>DTR!K239</f>
        <v>479521481</v>
      </c>
      <c r="N61" s="313">
        <f>DTR!L239</f>
        <v>399199672</v>
      </c>
      <c r="O61" s="313">
        <f>DTR!M239</f>
        <v>392115926</v>
      </c>
      <c r="P61" s="313">
        <f>DTR!N239</f>
        <v>478477333</v>
      </c>
      <c r="Q61" s="313">
        <f t="shared" ca="1" si="18"/>
        <v>558268174</v>
      </c>
      <c r="R61" s="313">
        <f>DTR!O239</f>
        <v>249728148</v>
      </c>
      <c r="S61" s="313">
        <f>DTR!P239</f>
        <v>500505186</v>
      </c>
      <c r="T61" s="313">
        <f>DTR!Q239</f>
        <v>292398814</v>
      </c>
      <c r="U61" s="313">
        <f>DTR!R239</f>
        <v>318375557</v>
      </c>
      <c r="V61" s="313">
        <f>DTR!S239</f>
        <v>269697036</v>
      </c>
      <c r="W61" s="313">
        <f>DTR!T239</f>
        <v>488977036</v>
      </c>
      <c r="X61" s="313">
        <f>DTR!U239</f>
        <v>351793707</v>
      </c>
      <c r="Y61" s="313">
        <f>DTR!V239</f>
        <v>1015741347</v>
      </c>
      <c r="Z61" s="313">
        <f>DTR!W239</f>
        <v>589171184</v>
      </c>
      <c r="AA61" s="313">
        <f>DTR!X239</f>
        <v>654222223</v>
      </c>
      <c r="AB61" s="313">
        <f>DTR!Y239</f>
        <v>526746706</v>
      </c>
      <c r="AC61" s="313">
        <f>DTR!Z239</f>
        <v>543177912</v>
      </c>
      <c r="AD61" s="313">
        <f t="shared" ca="1" si="16"/>
        <v>1630704741</v>
      </c>
      <c r="AE61" s="318">
        <f t="shared" ca="1" si="19"/>
        <v>269697036</v>
      </c>
      <c r="AF61" s="313">
        <f>DTR!AA$239</f>
        <v>345080148</v>
      </c>
      <c r="AG61" s="313">
        <f>DTR!AB$239</f>
        <v>240106741</v>
      </c>
      <c r="AH61" s="313">
        <f>DTR!AC$239</f>
        <v>556120832</v>
      </c>
      <c r="AI61" s="313">
        <f>DTR!AD$239</f>
        <v>814097700</v>
      </c>
      <c r="AJ61" s="313">
        <f>DTR!AE$239</f>
        <v>580228250</v>
      </c>
      <c r="AK61" s="313">
        <f>DTR!AF$239</f>
        <v>230178155.75757575</v>
      </c>
      <c r="AL61" s="313">
        <f>DTR!AG$239</f>
        <v>181778155.75757575</v>
      </c>
      <c r="AM61" s="313">
        <f>DTR!AH$239</f>
        <v>230178155.75757575</v>
      </c>
      <c r="AN61" s="313">
        <f>DTR!AI$239</f>
        <v>181778155.75757575</v>
      </c>
      <c r="AO61" s="313">
        <f>DTR!AJ$239</f>
        <v>230178155.75757575</v>
      </c>
      <c r="AP61" s="313">
        <f>DTR!AK$239</f>
        <v>182738155.75757575</v>
      </c>
      <c r="AQ61" s="313">
        <f>DTR!AL$239</f>
        <v>185078155.75757575</v>
      </c>
      <c r="AR61" s="313">
        <f t="shared" ca="1" si="17"/>
        <v>2535633671</v>
      </c>
      <c r="AS61" s="313">
        <f t="shared" ca="1" si="20"/>
        <v>580228250</v>
      </c>
    </row>
    <row r="62" spans="1:45">
      <c r="A62" s="320" t="s">
        <v>142</v>
      </c>
      <c r="B62" s="317" t="s">
        <v>2</v>
      </c>
      <c r="C62" s="317" t="s">
        <v>140</v>
      </c>
      <c r="D62" s="317" t="s">
        <v>82</v>
      </c>
      <c r="E62" s="313">
        <f>DTR!C240</f>
        <v>1862640439</v>
      </c>
      <c r="F62" s="313">
        <f>DTR!D240</f>
        <v>439812589</v>
      </c>
      <c r="G62" s="313">
        <f>DTR!E240</f>
        <v>2669034839</v>
      </c>
      <c r="H62" s="313">
        <f>DTR!F240</f>
        <v>3032304136</v>
      </c>
      <c r="I62" s="313">
        <f>DTR!G240</f>
        <v>277880434</v>
      </c>
      <c r="J62" s="313">
        <f>DTR!H240</f>
        <v>318063920</v>
      </c>
      <c r="K62" s="313">
        <f>DTR!I240</f>
        <v>626032613</v>
      </c>
      <c r="L62" s="313">
        <f>DTR!J240</f>
        <v>5216793028</v>
      </c>
      <c r="M62" s="313">
        <f>DTR!K240</f>
        <v>5019652822</v>
      </c>
      <c r="N62" s="313">
        <f>DTR!L240</f>
        <v>2316276718</v>
      </c>
      <c r="O62" s="313">
        <f>DTR!M240</f>
        <v>404235983</v>
      </c>
      <c r="P62" s="313">
        <f>DTR!N240</f>
        <v>1317844326</v>
      </c>
      <c r="Q62" s="313">
        <f t="shared" ca="1" si="18"/>
        <v>8281672437</v>
      </c>
      <c r="R62" s="313">
        <f>DTR!O240</f>
        <v>1442696903</v>
      </c>
      <c r="S62" s="313">
        <f>DTR!P240</f>
        <v>3574837862</v>
      </c>
      <c r="T62" s="313">
        <f>DTR!Q240</f>
        <v>1969857757</v>
      </c>
      <c r="U62" s="313">
        <f>DTR!R240</f>
        <v>1503984454</v>
      </c>
      <c r="V62" s="313">
        <f>DTR!S240</f>
        <v>2462711733</v>
      </c>
      <c r="W62" s="313">
        <f>DTR!T240</f>
        <v>1186353811</v>
      </c>
      <c r="X62" s="313">
        <f>DTR!U240</f>
        <v>1311037332</v>
      </c>
      <c r="Y62" s="313">
        <f>DTR!V240</f>
        <v>1643007682</v>
      </c>
      <c r="Z62" s="313">
        <f>DTR!W240</f>
        <v>437205501</v>
      </c>
      <c r="AA62" s="313">
        <f>DTR!X240</f>
        <v>492312502</v>
      </c>
      <c r="AB62" s="313">
        <f>DTR!Y240</f>
        <v>653246467</v>
      </c>
      <c r="AC62" s="313">
        <f>DTR!Z240</f>
        <v>692122387</v>
      </c>
      <c r="AD62" s="313">
        <f t="shared" ca="1" si="16"/>
        <v>10954088709</v>
      </c>
      <c r="AE62" s="318">
        <f t="shared" ca="1" si="19"/>
        <v>2462711733</v>
      </c>
      <c r="AF62" s="313">
        <f>DTR!AA$240</f>
        <v>1092685189</v>
      </c>
      <c r="AG62" s="313">
        <f>DTR!AB$240</f>
        <v>1193026840</v>
      </c>
      <c r="AH62" s="313">
        <f>DTR!AC$240</f>
        <v>1805602205</v>
      </c>
      <c r="AI62" s="313">
        <f>DTR!AD$240</f>
        <v>1237377546</v>
      </c>
      <c r="AJ62" s="313">
        <f>DTR!AE$240</f>
        <v>1647931878</v>
      </c>
      <c r="AK62" s="313">
        <f>DTR!AF$240</f>
        <v>2946559090.909091</v>
      </c>
      <c r="AL62" s="313">
        <f>DTR!AG$240</f>
        <v>2556811545.454546</v>
      </c>
      <c r="AM62" s="313">
        <f>DTR!AH$240</f>
        <v>2348044545.4545455</v>
      </c>
      <c r="AN62" s="313">
        <f>DTR!AI$240</f>
        <v>3226254545.4545455</v>
      </c>
      <c r="AO62" s="313">
        <f>DTR!AJ$240</f>
        <v>2414824545.4545455</v>
      </c>
      <c r="AP62" s="313">
        <f>DTR!AK$240</f>
        <v>2728054545.4545455</v>
      </c>
      <c r="AQ62" s="313">
        <f>DTR!AL$240</f>
        <v>2869564545.454546</v>
      </c>
      <c r="AR62" s="313">
        <f t="shared" ca="1" si="17"/>
        <v>6976623658</v>
      </c>
      <c r="AS62" s="313">
        <f t="shared" ca="1" si="20"/>
        <v>1647931878</v>
      </c>
    </row>
    <row r="63" spans="1:45">
      <c r="A63" s="320" t="s">
        <v>143</v>
      </c>
      <c r="B63" s="317" t="s">
        <v>2</v>
      </c>
      <c r="C63" s="317" t="s">
        <v>131</v>
      </c>
      <c r="D63" s="317" t="s">
        <v>84</v>
      </c>
      <c r="E63" s="313">
        <f>DTR!C241+DTR!C247</f>
        <v>164126749</v>
      </c>
      <c r="F63" s="313">
        <f>DTR!D241+DTR!D247</f>
        <v>164126749</v>
      </c>
      <c r="G63" s="313">
        <f>DTR!E241+DTR!E247</f>
        <v>159675084</v>
      </c>
      <c r="H63" s="313">
        <f>DTR!F241+DTR!F247</f>
        <v>219288813</v>
      </c>
      <c r="I63" s="313">
        <f>DTR!G241+DTR!G247</f>
        <v>223754967</v>
      </c>
      <c r="J63" s="313">
        <f>DTR!H241+DTR!H247</f>
        <v>222296188</v>
      </c>
      <c r="K63" s="313">
        <f>DTR!I241+DTR!I247</f>
        <v>227426380</v>
      </c>
      <c r="L63" s="313">
        <f>DTR!J241+DTR!J247</f>
        <v>376548206</v>
      </c>
      <c r="M63" s="313">
        <f>DTR!K241+DTR!K247</f>
        <v>376548211</v>
      </c>
      <c r="N63" s="313">
        <f>DTR!L241+DTR!L247</f>
        <v>376548204</v>
      </c>
      <c r="O63" s="313">
        <f>DTR!M241+DTR!M247</f>
        <v>375631804</v>
      </c>
      <c r="P63" s="313">
        <f>DTR!N241+DTR!N247</f>
        <v>412558117</v>
      </c>
      <c r="Q63" s="313">
        <f t="shared" ca="1" si="18"/>
        <v>930972362</v>
      </c>
      <c r="R63" s="313">
        <f>DTR!O241+DTR!O247</f>
        <v>450497304</v>
      </c>
      <c r="S63" s="313">
        <f>DTR!P241+DTR!P247</f>
        <v>450497305</v>
      </c>
      <c r="T63" s="313">
        <f>DTR!Q241+DTR!Q247</f>
        <v>430210696</v>
      </c>
      <c r="U63" s="313">
        <f>DTR!R241+DTR!R247</f>
        <v>471665936</v>
      </c>
      <c r="V63" s="313">
        <f>DTR!S241+DTR!S247</f>
        <v>471665939</v>
      </c>
      <c r="W63" s="313">
        <f>DTR!T241+DTR!T247</f>
        <v>487765401</v>
      </c>
      <c r="X63" s="313">
        <f>DTR!U241+DTR!U247</f>
        <v>335324866</v>
      </c>
      <c r="Y63" s="313">
        <f>DTR!V241+DTR!V247</f>
        <v>343101730</v>
      </c>
      <c r="Z63" s="313">
        <f>DTR!W241+DTR!W247</f>
        <v>481307936</v>
      </c>
      <c r="AA63" s="313">
        <f>DTR!X241+DTR!X247</f>
        <v>384353528</v>
      </c>
      <c r="AB63" s="313">
        <f>DTR!Y241+DTR!Y247</f>
        <v>384353530</v>
      </c>
      <c r="AC63" s="313">
        <f>DTR!Z241+DTR!Z247</f>
        <v>333721862</v>
      </c>
      <c r="AD63" s="313">
        <f t="shared" ca="1" si="16"/>
        <v>2274537180</v>
      </c>
      <c r="AE63" s="318">
        <f t="shared" ca="1" si="19"/>
        <v>471665939</v>
      </c>
      <c r="AF63" s="313">
        <f>DTR!AA$241+DTR!AA$247</f>
        <v>89029510</v>
      </c>
      <c r="AG63" s="313">
        <f>DTR!AB$241+DTR!AB$247</f>
        <v>89028134</v>
      </c>
      <c r="AH63" s="313">
        <f>DTR!AC$241+DTR!AC$247</f>
        <v>81369908</v>
      </c>
      <c r="AI63" s="313">
        <f>DTR!AD$241+DTR!AD$247</f>
        <v>81652230</v>
      </c>
      <c r="AJ63" s="313">
        <f>DTR!AE$241+DTR!AE$247</f>
        <v>83579315</v>
      </c>
      <c r="AK63" s="313">
        <f>DTR!AF$241+DTR!AF$247</f>
        <v>84982320.338679045</v>
      </c>
      <c r="AL63" s="313">
        <f>DTR!AG$241+DTR!AG$247</f>
        <v>84982320.338679045</v>
      </c>
      <c r="AM63" s="313">
        <f>DTR!AH$241+DTR!AH$247</f>
        <v>84982320.338679045</v>
      </c>
      <c r="AN63" s="313">
        <f>DTR!AI$241+DTR!AI$247</f>
        <v>84982320.338679045</v>
      </c>
      <c r="AO63" s="313">
        <f>DTR!AJ$241+DTR!AJ$247</f>
        <v>97801753.338679045</v>
      </c>
      <c r="AP63" s="313">
        <f>DTR!AK$241+DTR!AK$247</f>
        <v>97801753.338679045</v>
      </c>
      <c r="AQ63" s="313">
        <f>DTR!AL$241+DTR!AL$247</f>
        <v>97801753.338679045</v>
      </c>
      <c r="AR63" s="313">
        <f t="shared" ca="1" si="17"/>
        <v>424659097</v>
      </c>
      <c r="AS63" s="313">
        <f t="shared" ca="1" si="20"/>
        <v>83579315</v>
      </c>
    </row>
    <row r="64" spans="1:45">
      <c r="A64" s="320" t="s">
        <v>144</v>
      </c>
      <c r="B64" s="317" t="s">
        <v>2</v>
      </c>
      <c r="C64" s="317" t="s">
        <v>128</v>
      </c>
      <c r="D64" s="317" t="s">
        <v>86</v>
      </c>
      <c r="E64" s="313">
        <f>DTR!C242+DTR!C248</f>
        <v>1787198414</v>
      </c>
      <c r="F64" s="313">
        <f>DTR!D242+DTR!D248</f>
        <v>1443366562</v>
      </c>
      <c r="G64" s="313">
        <f>DTR!E242+DTR!E248</f>
        <v>1232853189</v>
      </c>
      <c r="H64" s="313">
        <f>DTR!F242+DTR!F248</f>
        <v>1411237430</v>
      </c>
      <c r="I64" s="313">
        <f>DTR!G242+DTR!G248</f>
        <v>2088238892</v>
      </c>
      <c r="J64" s="313">
        <f>DTR!H242+DTR!H248</f>
        <v>1959123438</v>
      </c>
      <c r="K64" s="313">
        <f>DTR!I242+DTR!I248</f>
        <v>1671724747</v>
      </c>
      <c r="L64" s="313">
        <f>DTR!J242+DTR!J248</f>
        <v>2828792307</v>
      </c>
      <c r="M64" s="313">
        <f>DTR!K242+DTR!K248</f>
        <v>3514949799</v>
      </c>
      <c r="N64" s="313">
        <f>DTR!L242+DTR!L248</f>
        <v>3774333624</v>
      </c>
      <c r="O64" s="313">
        <f>DTR!M242+DTR!M248</f>
        <v>3596233119</v>
      </c>
      <c r="P64" s="313">
        <f>DTR!N242+DTR!N248</f>
        <v>7386704293</v>
      </c>
      <c r="Q64" s="313">
        <f t="shared" ca="1" si="18"/>
        <v>7962894487</v>
      </c>
      <c r="R64" s="313">
        <f>DTR!O242+DTR!O248</f>
        <v>3482165471</v>
      </c>
      <c r="S64" s="313">
        <f>DTR!P242+DTR!P248</f>
        <v>2368783427</v>
      </c>
      <c r="T64" s="313">
        <f>DTR!Q242+DTR!Q248</f>
        <v>3827317212</v>
      </c>
      <c r="U64" s="313">
        <f>DTR!R242+DTR!R248</f>
        <v>2293113974</v>
      </c>
      <c r="V64" s="313">
        <f>DTR!S242+DTR!S248</f>
        <v>2998291145</v>
      </c>
      <c r="W64" s="313">
        <f>DTR!T242+DTR!T248</f>
        <v>2183432372</v>
      </c>
      <c r="X64" s="313">
        <f>DTR!U242+DTR!U248</f>
        <v>2617723217</v>
      </c>
      <c r="Y64" s="313">
        <f>DTR!V242+DTR!V248</f>
        <v>2634151640</v>
      </c>
      <c r="Z64" s="313">
        <f>DTR!W242+DTR!W248</f>
        <v>4178751948</v>
      </c>
      <c r="AA64" s="313">
        <f>DTR!X242+DTR!X248</f>
        <v>2337940396</v>
      </c>
      <c r="AB64" s="313">
        <f>DTR!Y242+DTR!Y248</f>
        <v>4822179163</v>
      </c>
      <c r="AC64" s="313">
        <f>DTR!Z242+DTR!Z248</f>
        <v>6041148724</v>
      </c>
      <c r="AD64" s="313">
        <f t="shared" ca="1" si="16"/>
        <v>14969671229</v>
      </c>
      <c r="AE64" s="318">
        <f t="shared" ca="1" si="19"/>
        <v>2998291145</v>
      </c>
      <c r="AF64" s="313">
        <f>DTR!AA$242+DTR!AA$248</f>
        <v>3083829634</v>
      </c>
      <c r="AG64" s="313">
        <f>DTR!AB$242+DTR!AB$248</f>
        <v>2939214410</v>
      </c>
      <c r="AH64" s="313">
        <f>DTR!AC$242+DTR!AC$248</f>
        <v>2539310290</v>
      </c>
      <c r="AI64" s="313">
        <f>DTR!AD$242+DTR!AD$248</f>
        <v>2618558980</v>
      </c>
      <c r="AJ64" s="313">
        <f>DTR!AE$242+DTR!AE$248</f>
        <v>3106154577</v>
      </c>
      <c r="AK64" s="313">
        <f>DTR!AF$242+DTR!AF$248</f>
        <v>2269641945.2655921</v>
      </c>
      <c r="AL64" s="313">
        <f>DTR!AG$242+DTR!AG$248</f>
        <v>1915331345.154135</v>
      </c>
      <c r="AM64" s="313">
        <f>DTR!AH$242+DTR!AH$248</f>
        <v>2008970256.3102961</v>
      </c>
      <c r="AN64" s="313">
        <f>DTR!AI$242+DTR!AI$248</f>
        <v>3364027615.1045527</v>
      </c>
      <c r="AO64" s="313">
        <f>DTR!AJ$242+DTR!AJ$248</f>
        <v>2082507217.2101216</v>
      </c>
      <c r="AP64" s="313">
        <f>DTR!AK$242+DTR!AK$248</f>
        <v>2062851884.7766585</v>
      </c>
      <c r="AQ64" s="313">
        <f>DTR!AL$242+DTR!AL$248</f>
        <v>2108558884.3226361</v>
      </c>
      <c r="AR64" s="313">
        <f t="shared" ca="1" si="17"/>
        <v>14287067891</v>
      </c>
      <c r="AS64" s="313">
        <f t="shared" ca="1" si="20"/>
        <v>3106154577</v>
      </c>
    </row>
    <row r="65" spans="1:45">
      <c r="A65" s="320" t="s">
        <v>145</v>
      </c>
      <c r="B65" t="s">
        <v>2</v>
      </c>
      <c r="D65" t="s">
        <v>88</v>
      </c>
      <c r="E65" s="305">
        <f>DTR!C142</f>
        <v>801399604</v>
      </c>
      <c r="F65" s="305">
        <f>DTR!D142</f>
        <v>695500231</v>
      </c>
      <c r="G65" s="305">
        <f>DTR!E142</f>
        <v>663502461</v>
      </c>
      <c r="H65" s="305">
        <f>DTR!F142</f>
        <v>1555671370</v>
      </c>
      <c r="I65" s="305">
        <f>DTR!G142</f>
        <v>936492932</v>
      </c>
      <c r="J65" s="305">
        <f>DTR!H142</f>
        <v>1103852896</v>
      </c>
      <c r="K65" s="305">
        <f>DTR!I142</f>
        <v>1608708972</v>
      </c>
      <c r="L65" s="305">
        <f>DTR!J142</f>
        <v>1489581015</v>
      </c>
      <c r="M65" s="305">
        <f>DTR!K142</f>
        <v>1372261307</v>
      </c>
      <c r="N65" s="305">
        <f>DTR!L142</f>
        <v>636041020</v>
      </c>
      <c r="O65" s="305">
        <f>DTR!M142</f>
        <v>1257673070</v>
      </c>
      <c r="P65" s="305">
        <f>DTR!N142</f>
        <v>993026233</v>
      </c>
      <c r="Q65" s="305">
        <f t="shared" ca="1" si="18"/>
        <v>4652566598</v>
      </c>
      <c r="R65" s="305">
        <f>DTR!O142</f>
        <v>1529745602</v>
      </c>
      <c r="S65" s="305">
        <f>DTR!P142</f>
        <v>1349010483</v>
      </c>
      <c r="T65" s="305">
        <f>DTR!Q142</f>
        <v>902730488</v>
      </c>
      <c r="U65" s="305">
        <f>DTR!R142</f>
        <v>1450570894</v>
      </c>
      <c r="V65" s="305">
        <f>DTR!S142</f>
        <v>858169737</v>
      </c>
      <c r="W65" s="305">
        <f>DTR!T142</f>
        <v>1483876982</v>
      </c>
      <c r="X65" s="305">
        <f>DTR!U142</f>
        <v>1315247967</v>
      </c>
      <c r="Y65" s="305">
        <f>DTR!V142</f>
        <v>1366041150</v>
      </c>
      <c r="Z65" s="305">
        <f>DTR!W142</f>
        <v>1603769193</v>
      </c>
      <c r="AA65" s="305">
        <f>DTR!X142</f>
        <v>2900732378</v>
      </c>
      <c r="AB65" s="305">
        <f>DTR!Y142</f>
        <v>1301741764</v>
      </c>
      <c r="AC65" s="305">
        <f>DTR!Z142</f>
        <v>2479436989</v>
      </c>
      <c r="AD65" s="305">
        <f t="shared" ca="1" si="16"/>
        <v>6090227204</v>
      </c>
      <c r="AE65" s="318">
        <f t="shared" ca="1" si="19"/>
        <v>858169737</v>
      </c>
      <c r="AF65" s="305">
        <f>DTR!AA$142</f>
        <v>1532817392</v>
      </c>
      <c r="AG65" s="305">
        <f>DTR!AB$142</f>
        <v>1569283837</v>
      </c>
      <c r="AH65" s="305">
        <f>DTR!AC$142</f>
        <v>1510605035</v>
      </c>
      <c r="AI65" s="305">
        <f>DTR!AD$142</f>
        <v>1998884061</v>
      </c>
      <c r="AJ65" s="305">
        <f>DTR!AE$142</f>
        <v>1208736058</v>
      </c>
      <c r="AK65" s="305">
        <f>DTR!AF$142</f>
        <v>0</v>
      </c>
      <c r="AL65" s="305">
        <f>DTR!AG$142</f>
        <v>0</v>
      </c>
      <c r="AM65" s="305">
        <f>DTR!AH$142</f>
        <v>0</v>
      </c>
      <c r="AN65" s="305">
        <f>DTR!AI$142</f>
        <v>0</v>
      </c>
      <c r="AO65" s="305">
        <f>DTR!AJ$142</f>
        <v>0</v>
      </c>
      <c r="AP65" s="305">
        <f>DTR!AK$142</f>
        <v>0</v>
      </c>
      <c r="AQ65" s="305">
        <f>DTR!AL$142</f>
        <v>0</v>
      </c>
      <c r="AR65" s="305">
        <f t="shared" ca="1" si="17"/>
        <v>7820326383</v>
      </c>
      <c r="AS65" s="305">
        <f t="shared" ca="1" si="20"/>
        <v>1208736058</v>
      </c>
    </row>
    <row r="66" spans="1:45">
      <c r="A66" s="320" t="s">
        <v>146</v>
      </c>
      <c r="B66" s="317" t="s">
        <v>2</v>
      </c>
      <c r="C66" t="s">
        <v>147</v>
      </c>
      <c r="D66" s="322" t="s">
        <v>89</v>
      </c>
      <c r="E66" s="313">
        <f>DTR!C143</f>
        <v>460461775</v>
      </c>
      <c r="F66" s="313">
        <f>DTR!D143</f>
        <v>563909516</v>
      </c>
      <c r="G66" s="313">
        <f>DTR!E143</f>
        <v>587315920</v>
      </c>
      <c r="H66" s="313">
        <f>DTR!F143</f>
        <v>905708142</v>
      </c>
      <c r="I66" s="313">
        <f>DTR!G143</f>
        <v>974310029</v>
      </c>
      <c r="J66" s="313">
        <f>DTR!H143</f>
        <v>1115056080</v>
      </c>
      <c r="K66" s="313">
        <f>DTR!I143</f>
        <v>1160823006</v>
      </c>
      <c r="L66" s="313">
        <f>DTR!J143</f>
        <v>939585045</v>
      </c>
      <c r="M66" s="313">
        <f>DTR!K143</f>
        <v>859444105</v>
      </c>
      <c r="N66" s="313">
        <f>DTR!L143</f>
        <v>840165515</v>
      </c>
      <c r="O66" s="313">
        <f>DTR!M143</f>
        <v>889159081</v>
      </c>
      <c r="P66" s="313">
        <f>DTR!N143</f>
        <v>1032562923</v>
      </c>
      <c r="Q66" s="313">
        <f t="shared" ca="1" si="18"/>
        <v>3491705382</v>
      </c>
      <c r="R66" s="313">
        <f>DTR!O143</f>
        <v>1114824276</v>
      </c>
      <c r="S66" s="313">
        <f>DTR!P143</f>
        <v>928379281</v>
      </c>
      <c r="T66" s="313">
        <f>DTR!Q143</f>
        <v>673966789</v>
      </c>
      <c r="U66" s="313">
        <f>DTR!R143</f>
        <v>888393452</v>
      </c>
      <c r="V66" s="313">
        <f>DTR!S143</f>
        <v>1186588729</v>
      </c>
      <c r="W66" s="313">
        <f>DTR!T143</f>
        <v>1448899822</v>
      </c>
      <c r="X66" s="313">
        <f>DTR!U143</f>
        <v>1242023326</v>
      </c>
      <c r="Y66" s="313">
        <f>DTR!V143</f>
        <v>1303560910</v>
      </c>
      <c r="Z66" s="313">
        <f>DTR!W143</f>
        <v>1595764355</v>
      </c>
      <c r="AA66" s="313">
        <f>DTR!X143</f>
        <v>1368802426</v>
      </c>
      <c r="AB66" s="313">
        <f>DTR!Y143</f>
        <v>1256132292</v>
      </c>
      <c r="AC66" s="313">
        <f>DTR!Z143</f>
        <v>1256103396</v>
      </c>
      <c r="AD66" s="313">
        <f t="shared" ca="1" si="16"/>
        <v>4792152527</v>
      </c>
      <c r="AE66" s="318">
        <f t="shared" ca="1" si="19"/>
        <v>1186588729</v>
      </c>
      <c r="AF66" s="313">
        <f>DTR!AA$143</f>
        <v>1240115065</v>
      </c>
      <c r="AG66" s="313">
        <f>DTR!AB$143</f>
        <v>1156279418</v>
      </c>
      <c r="AH66" s="313">
        <f>DTR!AC$143</f>
        <v>959718564</v>
      </c>
      <c r="AI66" s="313">
        <f>DTR!AD$143</f>
        <v>1062084475</v>
      </c>
      <c r="AJ66" s="313">
        <f>DTR!AE$143</f>
        <v>838836791</v>
      </c>
      <c r="AK66" s="313">
        <f>DTR!AF$143</f>
        <v>0</v>
      </c>
      <c r="AL66" s="313">
        <f>DTR!AG$143</f>
        <v>0</v>
      </c>
      <c r="AM66" s="313">
        <f>DTR!AH$143</f>
        <v>0</v>
      </c>
      <c r="AN66" s="313">
        <f>DTR!AI$143</f>
        <v>0</v>
      </c>
      <c r="AO66" s="313">
        <f>DTR!AJ$143</f>
        <v>0</v>
      </c>
      <c r="AP66" s="313">
        <f>DTR!AK$143</f>
        <v>0</v>
      </c>
      <c r="AQ66" s="313">
        <f>DTR!AL$143</f>
        <v>0</v>
      </c>
      <c r="AR66" s="313">
        <f t="shared" ca="1" si="17"/>
        <v>5257034313</v>
      </c>
      <c r="AS66" s="313">
        <f t="shared" ca="1" si="20"/>
        <v>838836791</v>
      </c>
    </row>
    <row r="67" spans="1:45">
      <c r="A67" s="320" t="s">
        <v>148</v>
      </c>
      <c r="B67" t="s">
        <v>2</v>
      </c>
      <c r="D67" t="s">
        <v>90</v>
      </c>
      <c r="E67" s="305">
        <f>DTR!C141+DTR!C149</f>
        <v>694884487</v>
      </c>
      <c r="F67" s="305">
        <f>DTR!D141+DTR!D149</f>
        <v>1100863129</v>
      </c>
      <c r="G67" s="305">
        <f>DTR!E141+DTR!E149</f>
        <v>972915383</v>
      </c>
      <c r="H67" s="305">
        <f>DTR!F141+DTR!F149</f>
        <v>1735368121</v>
      </c>
      <c r="I67" s="305">
        <f>DTR!G141+DTR!G149</f>
        <v>985738425</v>
      </c>
      <c r="J67" s="305">
        <f>DTR!H141+DTR!H149</f>
        <v>469111094</v>
      </c>
      <c r="K67" s="305">
        <f>DTR!I141+DTR!I149</f>
        <v>390562188</v>
      </c>
      <c r="L67" s="305">
        <f>DTR!J141+DTR!J149</f>
        <v>1420203832</v>
      </c>
      <c r="M67" s="305">
        <f>DTR!K141+DTR!K149</f>
        <v>1546512400</v>
      </c>
      <c r="N67" s="305">
        <f>DTR!L141+DTR!L149</f>
        <v>2609036061</v>
      </c>
      <c r="O67" s="305">
        <f>DTR!M141+DTR!M149</f>
        <v>2264471048</v>
      </c>
      <c r="P67" s="305">
        <f>DTR!N141+DTR!N149</f>
        <v>-6471647725</v>
      </c>
      <c r="Q67" s="305">
        <f t="shared" ca="1" si="18"/>
        <v>5489769545</v>
      </c>
      <c r="R67" s="305">
        <f>DTR!O141+DTR!O149</f>
        <v>773247793</v>
      </c>
      <c r="S67" s="305">
        <f>DTR!P141+DTR!P149</f>
        <v>1660894436</v>
      </c>
      <c r="T67" s="305">
        <f>DTR!Q141+DTR!Q149</f>
        <v>933724587</v>
      </c>
      <c r="U67" s="305">
        <f>DTR!R141+DTR!R149</f>
        <v>1324036221</v>
      </c>
      <c r="V67" s="305">
        <f>DTR!S141+DTR!S149</f>
        <v>2544341304</v>
      </c>
      <c r="W67" s="305">
        <f>DTR!T141+DTR!T149</f>
        <v>1592997157</v>
      </c>
      <c r="X67" s="305">
        <f>DTR!U141+DTR!U149</f>
        <v>1272640211</v>
      </c>
      <c r="Y67" s="305">
        <f>DTR!V141+DTR!V149</f>
        <v>1203338648</v>
      </c>
      <c r="Z67" s="305">
        <f>DTR!W141+DTR!W149</f>
        <v>689116067</v>
      </c>
      <c r="AA67" s="305">
        <f>DTR!X141+DTR!X149</f>
        <v>-798018012</v>
      </c>
      <c r="AB67" s="305">
        <f>DTR!Y141+DTR!Y149</f>
        <v>-590675025</v>
      </c>
      <c r="AC67" s="305">
        <f>DTR!Z141+DTR!Z149</f>
        <v>-879564924</v>
      </c>
      <c r="AD67" s="305">
        <f t="shared" ca="1" si="16"/>
        <v>7236244341</v>
      </c>
      <c r="AE67" s="318">
        <f t="shared" ca="1" si="19"/>
        <v>2544341304</v>
      </c>
      <c r="AF67" s="305">
        <f>DTR!AA$141+DTR!AA$149</f>
        <v>946361246</v>
      </c>
      <c r="AG67" s="305">
        <f>DTR!AB$141+DTR!AB$149</f>
        <v>156774868</v>
      </c>
      <c r="AH67" s="305">
        <f>DTR!AC$141+DTR!AC$149</f>
        <v>806561257</v>
      </c>
      <c r="AI67" s="305">
        <f>DTR!AD$141+DTR!AD$149</f>
        <v>1702047931</v>
      </c>
      <c r="AJ67" s="305">
        <f>DTR!AE$141+DTR!AE$149</f>
        <v>1131650562</v>
      </c>
      <c r="AK67" s="305">
        <f>DTR!AF$141+DTR!AF$149</f>
        <v>0</v>
      </c>
      <c r="AL67" s="305">
        <f>DTR!AG$141+DTR!AG$149</f>
        <v>0</v>
      </c>
      <c r="AM67" s="305">
        <f>DTR!AH$141+DTR!AH$149</f>
        <v>0</v>
      </c>
      <c r="AN67" s="305">
        <f>DTR!AI$141+DTR!AI$149</f>
        <v>0</v>
      </c>
      <c r="AO67" s="305">
        <f>DTR!AJ$141+DTR!AJ$149</f>
        <v>0</v>
      </c>
      <c r="AP67" s="305">
        <f>DTR!AK$141+DTR!AK$149</f>
        <v>0</v>
      </c>
      <c r="AQ67" s="305">
        <f>DTR!AL$141+DTR!AL$149</f>
        <v>0</v>
      </c>
      <c r="AR67" s="305">
        <f t="shared" ca="1" si="17"/>
        <v>4743395864</v>
      </c>
      <c r="AS67" s="305">
        <f t="shared" ca="1" si="20"/>
        <v>1131650562</v>
      </c>
    </row>
    <row r="68" spans="1:45">
      <c r="A68" s="320" t="s">
        <v>149</v>
      </c>
      <c r="B68" s="321" t="s">
        <v>2</v>
      </c>
      <c r="C68" s="321"/>
      <c r="D68" s="321" t="s">
        <v>91</v>
      </c>
      <c r="E68" s="319">
        <f>DTR!C229</f>
        <v>5384680897</v>
      </c>
      <c r="F68" s="319">
        <f>DTR!D229</f>
        <v>-1703380519</v>
      </c>
      <c r="G68" s="319">
        <f>DTR!E229</f>
        <v>626985252</v>
      </c>
      <c r="H68" s="319">
        <f>DTR!F229</f>
        <v>6561979281</v>
      </c>
      <c r="I68" s="319">
        <f>DTR!G229</f>
        <v>59631967</v>
      </c>
      <c r="J68" s="319">
        <f>DTR!H229</f>
        <v>-5859951964</v>
      </c>
      <c r="K68" s="319">
        <f>DTR!I229</f>
        <v>-9089366006</v>
      </c>
      <c r="L68" s="319">
        <f>DTR!J229</f>
        <v>-4047933145</v>
      </c>
      <c r="M68" s="319">
        <f>DTR!K229</f>
        <v>13967423844</v>
      </c>
      <c r="N68" s="319">
        <f>DTR!L229</f>
        <v>-703227311</v>
      </c>
      <c r="O68" s="319">
        <f>DTR!M229</f>
        <v>1096125496</v>
      </c>
      <c r="P68" s="319">
        <f>DTR!N229</f>
        <v>110198971178</v>
      </c>
      <c r="Q68" s="319">
        <f t="shared" ca="1" si="18"/>
        <v>10929896878</v>
      </c>
      <c r="R68" s="319">
        <f>DTR!O229</f>
        <v>10679249682</v>
      </c>
      <c r="S68" s="319">
        <f>DTR!P229</f>
        <v>25146574404</v>
      </c>
      <c r="T68" s="319">
        <f>DTR!Q229</f>
        <v>13027482010</v>
      </c>
      <c r="U68" s="319">
        <f>DTR!R229</f>
        <v>9221866353</v>
      </c>
      <c r="V68" s="319">
        <f>DTR!S229</f>
        <v>16490448778</v>
      </c>
      <c r="W68" s="319">
        <f>DTR!T229</f>
        <v>6798133756</v>
      </c>
      <c r="X68" s="319">
        <f>DTR!U229</f>
        <v>3536012394</v>
      </c>
      <c r="Y68" s="319">
        <f>DTR!V229</f>
        <v>5693975403</v>
      </c>
      <c r="Z68" s="319">
        <f>DTR!W229</f>
        <v>-5548061094</v>
      </c>
      <c r="AA68" s="319">
        <f>DTR!X229</f>
        <v>428312446</v>
      </c>
      <c r="AB68" s="319">
        <f>DTR!Y229</f>
        <v>-2096448071</v>
      </c>
      <c r="AC68" s="319">
        <f>DTR!Z229</f>
        <v>11690093189</v>
      </c>
      <c r="AD68" s="319">
        <f t="shared" ca="1" si="16"/>
        <v>74565621227</v>
      </c>
      <c r="AE68" s="318">
        <f t="shared" ca="1" si="19"/>
        <v>16490448778</v>
      </c>
      <c r="AF68" s="319">
        <f>DTR!AA$229</f>
        <v>1680623174</v>
      </c>
      <c r="AG68" s="319">
        <f>DTR!AB$229</f>
        <v>-3159925832</v>
      </c>
      <c r="AH68" s="319">
        <f>DTR!AC$229</f>
        <v>-3740637369</v>
      </c>
      <c r="AI68" s="319">
        <f>DTR!AD$229</f>
        <v>7043800260</v>
      </c>
      <c r="AJ68" s="319">
        <f>DTR!AE$229</f>
        <v>11351398266</v>
      </c>
      <c r="AK68" s="319">
        <f>DTR!AF$229</f>
        <v>0</v>
      </c>
      <c r="AL68" s="319">
        <f>DTR!AG$229</f>
        <v>0</v>
      </c>
      <c r="AM68" s="319">
        <f>DTR!AH$229</f>
        <v>0</v>
      </c>
      <c r="AN68" s="319">
        <f>DTR!AI$229</f>
        <v>0</v>
      </c>
      <c r="AO68" s="319">
        <f>DTR!AJ$229</f>
        <v>0</v>
      </c>
      <c r="AP68" s="319">
        <f>DTR!AK$229</f>
        <v>0</v>
      </c>
      <c r="AQ68" s="319">
        <f>DTR!AL$229</f>
        <v>0</v>
      </c>
      <c r="AR68" s="319">
        <f t="shared" ca="1" si="17"/>
        <v>13175258499</v>
      </c>
      <c r="AS68" s="319">
        <f t="shared" ca="1" si="20"/>
        <v>11351398266</v>
      </c>
    </row>
    <row r="69" spans="1:45">
      <c r="A69" s="320" t="s">
        <v>150</v>
      </c>
      <c r="B69" t="s">
        <v>2</v>
      </c>
      <c r="D69" t="s">
        <v>93</v>
      </c>
      <c r="E69" s="305">
        <f>DTR!C227</f>
        <v>1925739613</v>
      </c>
      <c r="F69" s="305">
        <f>DTR!D227</f>
        <v>-5270648797</v>
      </c>
      <c r="G69" s="305">
        <f>DTR!E227</f>
        <v>-2959309601</v>
      </c>
      <c r="H69" s="305">
        <f>DTR!F227</f>
        <v>2475246740</v>
      </c>
      <c r="I69" s="305">
        <f>DTR!G227</f>
        <v>-4153402340</v>
      </c>
      <c r="J69" s="305">
        <f>DTR!H227</f>
        <v>-10215448067</v>
      </c>
      <c r="K69" s="305">
        <f>DTR!I227</f>
        <v>-13524685493</v>
      </c>
      <c r="L69" s="305">
        <f>DTR!J227</f>
        <v>-8282947985</v>
      </c>
      <c r="M69" s="305">
        <f>DTR!K227</f>
        <v>9673268117</v>
      </c>
      <c r="N69" s="305">
        <f>DTR!L227</f>
        <v>-4978185231</v>
      </c>
      <c r="O69" s="305">
        <f>DTR!M227</f>
        <v>-3242020126</v>
      </c>
      <c r="P69" s="305">
        <f>DTR!N227</f>
        <v>105403947594</v>
      </c>
      <c r="Q69" s="305">
        <f t="shared" ca="1" si="18"/>
        <v>-7982374385</v>
      </c>
      <c r="R69" s="305">
        <f>DTR!O227</f>
        <v>5761271238</v>
      </c>
      <c r="S69" s="305">
        <f>DTR!P227</f>
        <v>20413496509</v>
      </c>
      <c r="T69" s="305">
        <f>DTR!Q227</f>
        <v>8350881246</v>
      </c>
      <c r="U69" s="305">
        <f>DTR!R227</f>
        <v>4428276973</v>
      </c>
      <c r="V69" s="305">
        <f>DTR!S227</f>
        <v>11212005063</v>
      </c>
      <c r="W69" s="305">
        <f>DTR!T227</f>
        <v>1261765596</v>
      </c>
      <c r="X69" s="305">
        <f>DTR!U227</f>
        <v>-1791468483</v>
      </c>
      <c r="Y69" s="305">
        <f>DTR!V227</f>
        <v>297419333</v>
      </c>
      <c r="Z69" s="305">
        <f>DTR!W227</f>
        <v>-11551325497</v>
      </c>
      <c r="AA69" s="305">
        <f>DTR!X227</f>
        <v>-5201346672</v>
      </c>
      <c r="AB69" s="305">
        <f>DTR!Y227</f>
        <v>-7774530924</v>
      </c>
      <c r="AC69" s="305">
        <f>DTR!Z227</f>
        <v>5991671450</v>
      </c>
      <c r="AD69" s="305">
        <f t="shared" ca="1" si="16"/>
        <v>50165931029</v>
      </c>
      <c r="AE69" s="318">
        <f t="shared" ca="1" si="19"/>
        <v>11212005063</v>
      </c>
      <c r="AF69" s="305">
        <f>DTR!AA$227</f>
        <v>-1693460736</v>
      </c>
      <c r="AG69" s="305">
        <f>DTR!AB$227</f>
        <v>-6419213738</v>
      </c>
      <c r="AH69" s="305">
        <f>DTR!AC$227</f>
        <v>-6818467491</v>
      </c>
      <c r="AI69" s="305">
        <f>DTR!AD$227</f>
        <v>3703754212</v>
      </c>
      <c r="AJ69" s="305">
        <f>DTR!AE$227</f>
        <v>8181583918</v>
      </c>
      <c r="AK69" s="305">
        <f>DTR!AF$227</f>
        <v>0</v>
      </c>
      <c r="AL69" s="305">
        <f>DTR!AG$227</f>
        <v>0</v>
      </c>
      <c r="AM69" s="305">
        <f>DTR!AH$227</f>
        <v>0</v>
      </c>
      <c r="AN69" s="305">
        <f>DTR!AI$227</f>
        <v>0</v>
      </c>
      <c r="AO69" s="305">
        <f>DTR!AJ$227</f>
        <v>0</v>
      </c>
      <c r="AP69" s="305">
        <f>DTR!AK$227</f>
        <v>0</v>
      </c>
      <c r="AQ69" s="305">
        <f>DTR!AL$227</f>
        <v>0</v>
      </c>
      <c r="AR69" s="305">
        <f t="shared" ca="1" si="17"/>
        <v>-3045803835</v>
      </c>
      <c r="AS69" s="305">
        <f t="shared" ca="1" si="20"/>
        <v>8181583918</v>
      </c>
    </row>
    <row r="70" spans="1:45">
      <c r="A70" s="320" t="s">
        <v>151</v>
      </c>
      <c r="B70" t="s">
        <v>2</v>
      </c>
      <c r="D70" t="s">
        <v>94</v>
      </c>
      <c r="E70" s="305">
        <f>DTR!C151+DTR!C152</f>
        <v>0</v>
      </c>
      <c r="F70" s="305">
        <f>DTR!D151+DTR!D152</f>
        <v>0</v>
      </c>
      <c r="G70" s="305">
        <f>DTR!E151+DTR!E152</f>
        <v>0</v>
      </c>
      <c r="H70" s="305">
        <f>DTR!F151+DTR!F152</f>
        <v>0</v>
      </c>
      <c r="I70" s="305">
        <f>DTR!G151+DTR!G152</f>
        <v>0</v>
      </c>
      <c r="J70" s="305">
        <f>DTR!H151+DTR!H152</f>
        <v>0</v>
      </c>
      <c r="K70" s="305">
        <f>DTR!I151+DTR!I152</f>
        <v>0</v>
      </c>
      <c r="L70" s="305">
        <f>DTR!J151+DTR!J152</f>
        <v>0</v>
      </c>
      <c r="M70" s="305">
        <f>DTR!K151+DTR!K152</f>
        <v>0</v>
      </c>
      <c r="N70" s="305">
        <f>DTR!L151+DTR!L152</f>
        <v>0</v>
      </c>
      <c r="O70" s="305">
        <f>DTR!M151+DTR!M152</f>
        <v>0</v>
      </c>
      <c r="P70" s="305">
        <f>DTR!N151+DTR!N152</f>
        <v>13334207765</v>
      </c>
      <c r="Q70" s="305">
        <f t="shared" ca="1" si="18"/>
        <v>0</v>
      </c>
      <c r="R70" s="305">
        <f>DTR!O151+DTR!O152</f>
        <v>864190686</v>
      </c>
      <c r="S70" s="305">
        <f>DTR!P151+DTR!P152</f>
        <v>3012699780</v>
      </c>
      <c r="T70" s="305">
        <f>DTR!Q151+DTR!Q152</f>
        <v>1252632187</v>
      </c>
      <c r="U70" s="305">
        <f>DTR!R151+DTR!R152</f>
        <v>677293488</v>
      </c>
      <c r="V70" s="305">
        <f>DTR!S151+DTR!S152</f>
        <v>1681800759</v>
      </c>
      <c r="W70" s="305">
        <f>DTR!T151+DTR!T152</f>
        <v>189264839</v>
      </c>
      <c r="X70" s="305">
        <f>DTR!U151+DTR!U152</f>
        <v>-2830986340</v>
      </c>
      <c r="Y70" s="305">
        <f>DTR!V151+DTR!V152</f>
        <v>204199602</v>
      </c>
      <c r="Z70" s="305">
        <f>DTR!W151+DTR!W152</f>
        <v>-1349170846</v>
      </c>
      <c r="AA70" s="305">
        <f>DTR!X151+DTR!X152</f>
        <v>-516688622</v>
      </c>
      <c r="AB70" s="305">
        <f>DTR!Y151+DTR!Y152</f>
        <v>-854033077</v>
      </c>
      <c r="AC70" s="305">
        <f>DTR!Z151+DTR!Z152</f>
        <v>3330158442</v>
      </c>
      <c r="AD70" s="305">
        <f t="shared" ca="1" si="16"/>
        <v>7488616900</v>
      </c>
      <c r="AE70" s="318">
        <f t="shared" ca="1" si="19"/>
        <v>1681800759</v>
      </c>
      <c r="AF70" s="305">
        <f>DTR!AA$151+DTR!AA$152</f>
        <v>0</v>
      </c>
      <c r="AG70" s="305">
        <f>DTR!AB$151+DTR!AB$152</f>
        <v>0</v>
      </c>
      <c r="AH70" s="305">
        <f>DTR!AC$151+DTR!AC$152</f>
        <v>-153060867</v>
      </c>
      <c r="AI70" s="305">
        <f>DTR!AD$151+DTR!AD$152</f>
        <v>0</v>
      </c>
      <c r="AJ70" s="305">
        <f>DTR!AE$151+DTR!AE$152</f>
        <v>-45841499</v>
      </c>
      <c r="AK70" s="305">
        <f>DTR!AF$151+DTR!AF$152</f>
        <v>0</v>
      </c>
      <c r="AL70" s="305">
        <f>DTR!AG$151+DTR!AG$152</f>
        <v>0</v>
      </c>
      <c r="AM70" s="305">
        <f>DTR!AH$151+DTR!AH$152</f>
        <v>0</v>
      </c>
      <c r="AN70" s="305">
        <f>DTR!AI$151+DTR!AI$152</f>
        <v>0</v>
      </c>
      <c r="AO70" s="305">
        <f>DTR!AJ$151+DTR!AJ$152</f>
        <v>0</v>
      </c>
      <c r="AP70" s="305">
        <f>DTR!AK$151+DTR!AK$152</f>
        <v>0</v>
      </c>
      <c r="AQ70" s="305">
        <f>DTR!AL$151+DTR!AL$152</f>
        <v>0</v>
      </c>
      <c r="AR70" s="305">
        <f t="shared" ca="1" si="17"/>
        <v>-198902366</v>
      </c>
      <c r="AS70" s="305">
        <f t="shared" ca="1" si="20"/>
        <v>-45841499</v>
      </c>
    </row>
    <row r="71" spans="1:45">
      <c r="A71" s="320" t="s">
        <v>152</v>
      </c>
      <c r="B71" s="321" t="s">
        <v>2</v>
      </c>
      <c r="C71" s="321"/>
      <c r="D71" s="321" t="s">
        <v>109</v>
      </c>
      <c r="E71" s="319">
        <f>DTR!C233</f>
        <v>1925739613</v>
      </c>
      <c r="F71" s="319">
        <f>DTR!D233</f>
        <v>-5270648797</v>
      </c>
      <c r="G71" s="319">
        <f>DTR!E233</f>
        <v>-2959309601</v>
      </c>
      <c r="H71" s="319">
        <f>DTR!F233</f>
        <v>2475246740</v>
      </c>
      <c r="I71" s="319">
        <f>DTR!G233</f>
        <v>-4153402340</v>
      </c>
      <c r="J71" s="319">
        <f>DTR!H233</f>
        <v>-10215448067</v>
      </c>
      <c r="K71" s="319">
        <f>DTR!I233</f>
        <v>-13524685493</v>
      </c>
      <c r="L71" s="319">
        <f>DTR!J233</f>
        <v>-8282947985</v>
      </c>
      <c r="M71" s="319">
        <f>DTR!K233</f>
        <v>9673268117</v>
      </c>
      <c r="N71" s="319">
        <f>DTR!L233</f>
        <v>-4978185231</v>
      </c>
      <c r="O71" s="319">
        <f>DTR!M233</f>
        <v>-3242020126</v>
      </c>
      <c r="P71" s="319">
        <f>DTR!N233</f>
        <v>92069739829</v>
      </c>
      <c r="Q71" s="319">
        <f t="shared" ca="1" si="18"/>
        <v>-7982374385</v>
      </c>
      <c r="R71" s="319">
        <f>DTR!O233</f>
        <v>4897080552</v>
      </c>
      <c r="S71" s="319">
        <f>DTR!P233</f>
        <v>17400796729</v>
      </c>
      <c r="T71" s="319">
        <f>DTR!Q233</f>
        <v>7098249059</v>
      </c>
      <c r="U71" s="319">
        <f>DTR!R233</f>
        <v>3750983485</v>
      </c>
      <c r="V71" s="319">
        <f>DTR!S233</f>
        <v>9530204304</v>
      </c>
      <c r="W71" s="319">
        <f>DTR!T233</f>
        <v>1072500757</v>
      </c>
      <c r="X71" s="319">
        <f>DTR!U233</f>
        <v>1039517857</v>
      </c>
      <c r="Y71" s="319">
        <f>DTR!V233</f>
        <v>93219731</v>
      </c>
      <c r="Z71" s="319">
        <f>DTR!W233</f>
        <v>-10202154651</v>
      </c>
      <c r="AA71" s="319">
        <f>DTR!X233</f>
        <v>-4684658050</v>
      </c>
      <c r="AB71" s="319">
        <f>DTR!Y233</f>
        <v>-6920497847</v>
      </c>
      <c r="AC71" s="319">
        <f>DTR!Z233</f>
        <v>2661513008</v>
      </c>
      <c r="AD71" s="319">
        <f t="shared" ca="1" si="16"/>
        <v>42677314129</v>
      </c>
      <c r="AE71" s="318">
        <f t="shared" ca="1" si="19"/>
        <v>9530204304</v>
      </c>
      <c r="AF71" s="319">
        <f>DTR!AA$233</f>
        <v>-1693460736</v>
      </c>
      <c r="AG71" s="319">
        <f>DTR!AB$233</f>
        <v>-6419213738</v>
      </c>
      <c r="AH71" s="319">
        <f>DTR!AC$233</f>
        <v>-6665406624</v>
      </c>
      <c r="AI71" s="319">
        <f>DTR!AD$233</f>
        <v>3703754212</v>
      </c>
      <c r="AJ71" s="319">
        <f>DTR!AE$233</f>
        <v>8227425417</v>
      </c>
      <c r="AK71" s="319">
        <f>DTR!AF$233</f>
        <v>0</v>
      </c>
      <c r="AL71" s="319">
        <f>DTR!AG$233</f>
        <v>0</v>
      </c>
      <c r="AM71" s="319">
        <f>DTR!AH$233</f>
        <v>0</v>
      </c>
      <c r="AN71" s="319">
        <f>DTR!AI$233</f>
        <v>0</v>
      </c>
      <c r="AO71" s="319">
        <f>DTR!AJ$233</f>
        <v>0</v>
      </c>
      <c r="AP71" s="319">
        <f>DTR!AK$233</f>
        <v>0</v>
      </c>
      <c r="AQ71" s="319">
        <f>DTR!AL$233</f>
        <v>0</v>
      </c>
      <c r="AR71" s="319">
        <f t="shared" ca="1" si="17"/>
        <v>-2846901469</v>
      </c>
      <c r="AS71" s="319">
        <f t="shared" ca="1" si="20"/>
        <v>8227425417</v>
      </c>
    </row>
    <row r="72" spans="1:45">
      <c r="A72" s="320" t="s">
        <v>153</v>
      </c>
      <c r="B72" t="s">
        <v>2</v>
      </c>
      <c r="D72" s="327" t="s">
        <v>7</v>
      </c>
      <c r="E72" s="325">
        <f>DTR!C6</f>
        <v>782481934423</v>
      </c>
      <c r="F72" s="325">
        <f>DTR!D6</f>
        <v>768590764263</v>
      </c>
      <c r="G72" s="325">
        <f>DTR!E6</f>
        <v>815465869041</v>
      </c>
      <c r="H72" s="325">
        <f>DTR!F6</f>
        <v>877414026420</v>
      </c>
      <c r="I72" s="325">
        <f>DTR!G6</f>
        <v>928155716736</v>
      </c>
      <c r="J72" s="325">
        <f>DTR!H6</f>
        <v>956563222023</v>
      </c>
      <c r="K72" s="325">
        <f>DTR!I6</f>
        <v>906133879099</v>
      </c>
      <c r="L72" s="325">
        <f>DTR!J6</f>
        <v>849218290026</v>
      </c>
      <c r="M72" s="325">
        <f>DTR!K6</f>
        <v>891170346476</v>
      </c>
      <c r="N72" s="325">
        <f>DTR!L6</f>
        <v>912165489717</v>
      </c>
      <c r="O72" s="325">
        <f>DTR!M6</f>
        <v>989601612249</v>
      </c>
      <c r="P72" s="325">
        <f>DTR!N6</f>
        <v>969587265880</v>
      </c>
      <c r="Q72" s="325">
        <f t="shared" ref="Q72:Q92" ca="1" si="21">IF($AD$26=1,E72,SUM(OFFSET(E72:P72,0,0,1,$AD$26))-SUM(OFFSET(E72:P72,0,0,1,$AD$26-1)))</f>
        <v>928155716736</v>
      </c>
      <c r="R72" s="325">
        <f>DTR!O6</f>
        <v>894788032291</v>
      </c>
      <c r="S72" s="325">
        <f>DTR!P6</f>
        <v>814157821775</v>
      </c>
      <c r="T72" s="325">
        <f>DTR!Q6</f>
        <v>866303373135</v>
      </c>
      <c r="U72" s="325">
        <f>DTR!R6</f>
        <v>929599762285</v>
      </c>
      <c r="V72" s="325">
        <f>DTR!S6</f>
        <v>981599372849</v>
      </c>
      <c r="W72" s="325">
        <f>DTR!T6</f>
        <v>1010794698754</v>
      </c>
      <c r="X72" s="325">
        <f>DTR!U6</f>
        <v>999811801439</v>
      </c>
      <c r="Y72" s="325">
        <f>DTR!V6</f>
        <v>1060333071975</v>
      </c>
      <c r="Z72" s="325">
        <f>DTR!W6</f>
        <v>1040577598634</v>
      </c>
      <c r="AA72" s="325">
        <f>DTR!X6</f>
        <v>982848510813</v>
      </c>
      <c r="AB72" s="325">
        <f>DTR!Y6</f>
        <v>959373053576</v>
      </c>
      <c r="AC72" s="325">
        <f>DTR!Z6</f>
        <v>945217150933</v>
      </c>
      <c r="AD72" s="325">
        <f t="shared" ref="AD72:AD92" ca="1" si="22">IF($AD$26=1,R72,SUM(OFFSET(R72:AC72,0,0,1,$AD$26))-SUM(OFFSET(R72:AC72,0,0,1,$AD$26-1)))</f>
        <v>981599372849</v>
      </c>
      <c r="AE72" s="318">
        <f t="shared" ca="1" si="19"/>
        <v>981599372849</v>
      </c>
      <c r="AF72" s="325">
        <f>DTR!AA$6</f>
        <v>894150692345</v>
      </c>
      <c r="AG72" s="325">
        <f>DTR!AB$6</f>
        <v>895502322076</v>
      </c>
      <c r="AH72" s="325">
        <f>DTR!AC$6</f>
        <v>848468475952</v>
      </c>
      <c r="AI72" s="325">
        <f>DTR!AD$6</f>
        <v>807952336254</v>
      </c>
      <c r="AJ72" s="325">
        <f>DTR!AE$6</f>
        <v>886588369025</v>
      </c>
      <c r="AK72" s="325">
        <f>DTR!AF$6</f>
        <v>0</v>
      </c>
      <c r="AL72" s="325">
        <f>DTR!AG$6</f>
        <v>0</v>
      </c>
      <c r="AM72" s="325">
        <f>DTR!AH$6</f>
        <v>0</v>
      </c>
      <c r="AN72" s="325">
        <f>DTR!AI$6</f>
        <v>0</v>
      </c>
      <c r="AO72" s="325">
        <f>DTR!AJ$6</f>
        <v>0</v>
      </c>
      <c r="AP72" s="325">
        <f>DTR!AK$6</f>
        <v>0</v>
      </c>
      <c r="AQ72" s="325">
        <f>DTR!AL$6</f>
        <v>0</v>
      </c>
      <c r="AR72" s="325">
        <f t="shared" ref="AR72:AR92" ca="1" si="23">IF($AR$26=1,AF72,SUM(OFFSET(AF72:AQ72,0,0,1,$AR$26))-SUM(OFFSET(AF72:AQ72,0,0,1,$AR$26-1)))</f>
        <v>886588369025</v>
      </c>
      <c r="AS72" s="305">
        <f t="shared" ca="1" si="20"/>
        <v>886588369025</v>
      </c>
    </row>
    <row r="73" spans="1:45">
      <c r="A73" s="320" t="s">
        <v>154</v>
      </c>
      <c r="B73" s="321" t="s">
        <v>2</v>
      </c>
      <c r="C73" s="321"/>
      <c r="D73" s="328" t="s">
        <v>9</v>
      </c>
      <c r="E73" s="326">
        <f>DTR!C7</f>
        <v>31037848308</v>
      </c>
      <c r="F73" s="326">
        <f>DTR!D7</f>
        <v>22669663716</v>
      </c>
      <c r="G73" s="326">
        <f>DTR!E7</f>
        <v>6664945115</v>
      </c>
      <c r="H73" s="326">
        <f>DTR!F7</f>
        <v>15574807889</v>
      </c>
      <c r="I73" s="326">
        <f>DTR!G7</f>
        <v>16007340290</v>
      </c>
      <c r="J73" s="326">
        <f>DTR!H7</f>
        <v>3678057757</v>
      </c>
      <c r="K73" s="326">
        <f>DTR!I7</f>
        <v>36916493026</v>
      </c>
      <c r="L73" s="326">
        <f>DTR!J7</f>
        <v>16748498285</v>
      </c>
      <c r="M73" s="326">
        <f>DTR!K7</f>
        <v>33251814637</v>
      </c>
      <c r="N73" s="326">
        <f>DTR!L7</f>
        <v>56773964959</v>
      </c>
      <c r="O73" s="326">
        <f>DTR!M7</f>
        <v>43420355696</v>
      </c>
      <c r="P73" s="326">
        <f>DTR!N7</f>
        <v>39805017284</v>
      </c>
      <c r="Q73" s="326">
        <f t="shared" ca="1" si="21"/>
        <v>16007340290</v>
      </c>
      <c r="R73" s="326">
        <f>DTR!O7</f>
        <v>76486895109</v>
      </c>
      <c r="S73" s="326">
        <f>DTR!P7</f>
        <v>33258200889</v>
      </c>
      <c r="T73" s="326">
        <f>DTR!Q7</f>
        <v>23555271373</v>
      </c>
      <c r="U73" s="326">
        <f>DTR!R7</f>
        <v>37590058839</v>
      </c>
      <c r="V73" s="326">
        <f>DTR!S7</f>
        <v>21868727527</v>
      </c>
      <c r="W73" s="326">
        <f>DTR!T7</f>
        <v>32470900772</v>
      </c>
      <c r="X73" s="326">
        <f>DTR!U7</f>
        <v>30661632458</v>
      </c>
      <c r="Y73" s="326">
        <f>DTR!V7</f>
        <v>29770776625</v>
      </c>
      <c r="Z73" s="326">
        <f>DTR!W7</f>
        <v>64296693910</v>
      </c>
      <c r="AA73" s="326">
        <f>DTR!X7</f>
        <v>53646701293</v>
      </c>
      <c r="AB73" s="326">
        <f>DTR!Y7</f>
        <v>55165406320</v>
      </c>
      <c r="AC73" s="326">
        <f>DTR!Z7</f>
        <v>36834893155</v>
      </c>
      <c r="AD73" s="326">
        <f t="shared" ca="1" si="22"/>
        <v>21868727527</v>
      </c>
      <c r="AE73" s="318">
        <f t="shared" ca="1" si="19"/>
        <v>21868727527</v>
      </c>
      <c r="AF73" s="326">
        <f>DTR!AA$7</f>
        <v>42126572011</v>
      </c>
      <c r="AG73" s="326">
        <f>DTR!AB$7</f>
        <v>45981412915</v>
      </c>
      <c r="AH73" s="326">
        <f>DTR!AC$7</f>
        <v>33613094972</v>
      </c>
      <c r="AI73" s="326">
        <f>DTR!AD$7</f>
        <v>47135211556</v>
      </c>
      <c r="AJ73" s="326">
        <f>DTR!AE$7</f>
        <v>41014004605</v>
      </c>
      <c r="AK73" s="326">
        <f>DTR!AF$7</f>
        <v>0</v>
      </c>
      <c r="AL73" s="326">
        <f>DTR!AG$7</f>
        <v>0</v>
      </c>
      <c r="AM73" s="326">
        <f>DTR!AH$7</f>
        <v>0</v>
      </c>
      <c r="AN73" s="326">
        <f>DTR!AI$7</f>
        <v>0</v>
      </c>
      <c r="AO73" s="326">
        <f>DTR!AJ$7</f>
        <v>0</v>
      </c>
      <c r="AP73" s="326">
        <f>DTR!AK$7</f>
        <v>0</v>
      </c>
      <c r="AQ73" s="326">
        <f>DTR!AL$7</f>
        <v>0</v>
      </c>
      <c r="AR73" s="326">
        <f t="shared" ca="1" si="23"/>
        <v>41014004605</v>
      </c>
      <c r="AS73" s="326">
        <f t="shared" ca="1" si="20"/>
        <v>41014004605</v>
      </c>
    </row>
    <row r="74" spans="1:45">
      <c r="A74" s="320" t="s">
        <v>155</v>
      </c>
      <c r="B74" s="321" t="s">
        <v>2</v>
      </c>
      <c r="C74" s="321"/>
      <c r="D74" s="328" t="s">
        <v>156</v>
      </c>
      <c r="E74" s="326">
        <f>DTR!C10</f>
        <v>2010000000</v>
      </c>
      <c r="F74" s="326">
        <f>DTR!D10</f>
        <v>2010000000</v>
      </c>
      <c r="G74" s="326">
        <f>DTR!E10</f>
        <v>2010000000</v>
      </c>
      <c r="H74" s="326">
        <f>DTR!F10</f>
        <v>2010000000</v>
      </c>
      <c r="I74" s="326">
        <f>DTR!G10</f>
        <v>2010000000</v>
      </c>
      <c r="J74" s="326">
        <f>DTR!H10</f>
        <v>2010000000</v>
      </c>
      <c r="K74" s="326">
        <f>DTR!I10</f>
        <v>2010000000</v>
      </c>
      <c r="L74" s="326">
        <f>DTR!J10</f>
        <v>2010000000</v>
      </c>
      <c r="M74" s="326">
        <f>DTR!K10</f>
        <v>2840000000</v>
      </c>
      <c r="N74" s="326">
        <f>DTR!L10</f>
        <v>2840000000</v>
      </c>
      <c r="O74" s="326">
        <f>DTR!M10</f>
        <v>2840000000</v>
      </c>
      <c r="P74" s="326">
        <f>DTR!N10</f>
        <v>2840000000</v>
      </c>
      <c r="Q74" s="326">
        <f t="shared" ca="1" si="21"/>
        <v>2010000000</v>
      </c>
      <c r="R74" s="326">
        <f>DTR!O10</f>
        <v>0</v>
      </c>
      <c r="S74" s="326">
        <f>DTR!P10</f>
        <v>0</v>
      </c>
      <c r="T74" s="326">
        <f>DTR!Q10</f>
        <v>22840000000</v>
      </c>
      <c r="U74" s="326">
        <f>DTR!R10</f>
        <v>22840000000</v>
      </c>
      <c r="V74" s="326">
        <f>DTR!S10</f>
        <v>22840000000</v>
      </c>
      <c r="W74" s="326">
        <f>DTR!T10</f>
        <v>22840000000</v>
      </c>
      <c r="X74" s="326">
        <f>DTR!U10</f>
        <v>22840000000</v>
      </c>
      <c r="Y74" s="326">
        <f>DTR!V10</f>
        <v>22840000000</v>
      </c>
      <c r="Z74" s="326">
        <f>DTR!W10</f>
        <v>22840000000</v>
      </c>
      <c r="AA74" s="326">
        <f>DTR!X10</f>
        <v>32840000000</v>
      </c>
      <c r="AB74" s="326">
        <f>DTR!Y10</f>
        <v>32840000000</v>
      </c>
      <c r="AC74" s="326">
        <f>DTR!Z10</f>
        <v>32840000000</v>
      </c>
      <c r="AD74" s="326">
        <f t="shared" ca="1" si="22"/>
        <v>22840000000</v>
      </c>
      <c r="AE74" s="318">
        <f t="shared" ca="1" si="19"/>
        <v>22840000000</v>
      </c>
      <c r="AF74" s="326">
        <f>DTR!AA$10</f>
        <v>32840000000</v>
      </c>
      <c r="AG74" s="326">
        <f>DTR!AB$10</f>
        <v>32840000000</v>
      </c>
      <c r="AH74" s="326">
        <f>DTR!AC$10</f>
        <v>32840000000</v>
      </c>
      <c r="AI74" s="326">
        <f>DTR!AD$10</f>
        <v>34340000000</v>
      </c>
      <c r="AJ74" s="326">
        <f>DTR!AE$10</f>
        <v>34340000000</v>
      </c>
      <c r="AK74" s="326">
        <f>DTR!AF$10</f>
        <v>0</v>
      </c>
      <c r="AL74" s="326">
        <f>DTR!AG$10</f>
        <v>0</v>
      </c>
      <c r="AM74" s="326">
        <f>DTR!AH$10</f>
        <v>0</v>
      </c>
      <c r="AN74" s="326">
        <f>DTR!AI$10</f>
        <v>0</v>
      </c>
      <c r="AO74" s="326">
        <f>DTR!AJ$10</f>
        <v>0</v>
      </c>
      <c r="AP74" s="326">
        <f>DTR!AK$10</f>
        <v>0</v>
      </c>
      <c r="AQ74" s="326">
        <f>DTR!AL$10</f>
        <v>0</v>
      </c>
      <c r="AR74" s="326">
        <f t="shared" ca="1" si="23"/>
        <v>34340000000</v>
      </c>
      <c r="AS74" s="326">
        <f t="shared" ca="1" si="20"/>
        <v>34340000000</v>
      </c>
    </row>
    <row r="75" spans="1:45">
      <c r="A75" s="320" t="s">
        <v>157</v>
      </c>
      <c r="B75" s="321" t="s">
        <v>2</v>
      </c>
      <c r="C75" s="321"/>
      <c r="D75" s="328" t="s">
        <v>16</v>
      </c>
      <c r="E75" s="326">
        <f>DTR!C17</f>
        <v>294283662527</v>
      </c>
      <c r="F75" s="326">
        <f>DTR!D17</f>
        <v>277719968888</v>
      </c>
      <c r="G75" s="326">
        <f>DTR!E17</f>
        <v>297405577345</v>
      </c>
      <c r="H75" s="326">
        <f>DTR!F17</f>
        <v>303674749988</v>
      </c>
      <c r="I75" s="326">
        <f>DTR!G17</f>
        <v>304477407097</v>
      </c>
      <c r="J75" s="326">
        <f>DTR!H17</f>
        <v>308711681498</v>
      </c>
      <c r="K75" s="326">
        <f>DTR!I17</f>
        <v>200469936704</v>
      </c>
      <c r="L75" s="326">
        <f>DTR!J17</f>
        <v>222854636431</v>
      </c>
      <c r="M75" s="326">
        <f>DTR!K17</f>
        <v>249167765476</v>
      </c>
      <c r="N75" s="326">
        <f>DTR!L17</f>
        <v>246057656184</v>
      </c>
      <c r="O75" s="326">
        <f>DTR!M17</f>
        <v>323215272934</v>
      </c>
      <c r="P75" s="326">
        <f>DTR!N17</f>
        <v>292036709951</v>
      </c>
      <c r="Q75" s="326">
        <f t="shared" ca="1" si="21"/>
        <v>304477407097</v>
      </c>
      <c r="R75" s="326">
        <f>DTR!O17</f>
        <v>220033096514</v>
      </c>
      <c r="S75" s="326">
        <f>DTR!P17</f>
        <v>264758570553</v>
      </c>
      <c r="T75" s="326">
        <f>DTR!Q17</f>
        <v>314044742217</v>
      </c>
      <c r="U75" s="326">
        <f>DTR!R17</f>
        <v>300175012111</v>
      </c>
      <c r="V75" s="326">
        <f>DTR!S17</f>
        <v>355551041672</v>
      </c>
      <c r="W75" s="326">
        <f>DTR!T17</f>
        <v>347420810569</v>
      </c>
      <c r="X75" s="326">
        <f>DTR!U17</f>
        <v>326074813439</v>
      </c>
      <c r="Y75" s="326">
        <f>DTR!V17</f>
        <v>416521420158</v>
      </c>
      <c r="Z75" s="326">
        <f>DTR!W17</f>
        <v>345163002843</v>
      </c>
      <c r="AA75" s="326">
        <f>DTR!X17</f>
        <v>301762112916</v>
      </c>
      <c r="AB75" s="326">
        <f>DTR!Y17</f>
        <v>279428206352</v>
      </c>
      <c r="AC75" s="326">
        <f>DTR!Z17</f>
        <v>293560124180</v>
      </c>
      <c r="AD75" s="326">
        <f t="shared" ca="1" si="22"/>
        <v>355551041672</v>
      </c>
      <c r="AE75" s="318">
        <f t="shared" ca="1" si="19"/>
        <v>355551041672</v>
      </c>
      <c r="AF75" s="326">
        <f>DTR!AA$17</f>
        <v>263624916145</v>
      </c>
      <c r="AG75" s="326">
        <f>DTR!AB$17</f>
        <v>289980302579</v>
      </c>
      <c r="AH75" s="326">
        <f>DTR!AC$17</f>
        <v>331342767193</v>
      </c>
      <c r="AI75" s="326">
        <f>DTR!AD$17</f>
        <v>329741435832</v>
      </c>
      <c r="AJ75" s="326">
        <f>DTR!AE$17</f>
        <v>417392857129</v>
      </c>
      <c r="AK75" s="326">
        <f>DTR!AF$17</f>
        <v>0</v>
      </c>
      <c r="AL75" s="326">
        <f>DTR!AG$17</f>
        <v>0</v>
      </c>
      <c r="AM75" s="326">
        <f>DTR!AH$17</f>
        <v>0</v>
      </c>
      <c r="AN75" s="326">
        <f>DTR!AI$17</f>
        <v>0</v>
      </c>
      <c r="AO75" s="326">
        <f>DTR!AJ$17</f>
        <v>0</v>
      </c>
      <c r="AP75" s="326">
        <f>DTR!AK$17</f>
        <v>0</v>
      </c>
      <c r="AQ75" s="326">
        <f>DTR!AL$17</f>
        <v>0</v>
      </c>
      <c r="AR75" s="326">
        <f t="shared" ca="1" si="23"/>
        <v>417392857129</v>
      </c>
      <c r="AS75" s="326">
        <f t="shared" ca="1" si="20"/>
        <v>417392857129</v>
      </c>
    </row>
    <row r="76" spans="1:45">
      <c r="A76" s="320" t="s">
        <v>158</v>
      </c>
      <c r="B76" s="321" t="s">
        <v>2</v>
      </c>
      <c r="C76" s="321"/>
      <c r="D76" s="328" t="s">
        <v>159</v>
      </c>
      <c r="E76" s="326">
        <f>DTR!C18</f>
        <v>122887480695</v>
      </c>
      <c r="F76" s="326">
        <f>DTR!D18</f>
        <v>127016253433</v>
      </c>
      <c r="G76" s="326">
        <f>DTR!E18</f>
        <v>139011604932</v>
      </c>
      <c r="H76" s="326">
        <f>DTR!F18</f>
        <v>152040845787</v>
      </c>
      <c r="I76" s="326">
        <f>DTR!G18</f>
        <v>161172642369</v>
      </c>
      <c r="J76" s="326">
        <f>DTR!H18</f>
        <v>159378679498</v>
      </c>
      <c r="K76" s="326">
        <f>DTR!I18</f>
        <v>97722288447</v>
      </c>
      <c r="L76" s="326">
        <f>DTR!J18</f>
        <v>120989360950</v>
      </c>
      <c r="M76" s="326">
        <f>DTR!K18</f>
        <v>150031537677</v>
      </c>
      <c r="N76" s="326">
        <f>DTR!L18</f>
        <v>147739603288</v>
      </c>
      <c r="O76" s="326">
        <f>DTR!M18</f>
        <v>148202432891</v>
      </c>
      <c r="P76" s="326">
        <f>DTR!N18</f>
        <v>152669364944</v>
      </c>
      <c r="Q76" s="326">
        <f ca="1">IF($AD$26=1,E76,SUM(OFFSET(E76:P76,0,0,1,$AD$26))-SUM(OFFSET(E76:P76,0,0,1,$AD$26-1)))</f>
        <v>161172642369</v>
      </c>
      <c r="R76" s="326">
        <f>DTR!O18</f>
        <v>108322209217</v>
      </c>
      <c r="S76" s="326">
        <f>DTR!P18</f>
        <v>161139219719</v>
      </c>
      <c r="T76" s="326">
        <f>DTR!Q18</f>
        <v>202956915270</v>
      </c>
      <c r="U76" s="326">
        <f>DTR!R18</f>
        <v>159438788675</v>
      </c>
      <c r="V76" s="326">
        <f>DTR!S18</f>
        <v>170977391735</v>
      </c>
      <c r="W76" s="326">
        <f>DTR!T18</f>
        <v>157629418587</v>
      </c>
      <c r="X76" s="326">
        <f>DTR!U18</f>
        <v>156235244643</v>
      </c>
      <c r="Y76" s="326">
        <f>DTR!V18</f>
        <v>193809016663</v>
      </c>
      <c r="Z76" s="326">
        <f>DTR!W18</f>
        <v>162064070219</v>
      </c>
      <c r="AA76" s="326">
        <f>DTR!X18</f>
        <v>155463444706</v>
      </c>
      <c r="AB76" s="326">
        <f>DTR!Y18</f>
        <v>157631834549</v>
      </c>
      <c r="AC76" s="326">
        <f>DTR!Z18</f>
        <v>154342206132</v>
      </c>
      <c r="AD76" s="326">
        <f ca="1">IF($AD$26=1,R76,SUM(OFFSET(R76:AC76,0,0,1,$AD$26))-SUM(OFFSET(R76:AC76,0,0,1,$AD$26-1)))</f>
        <v>170977391735</v>
      </c>
      <c r="AE76" s="318">
        <f t="shared" ca="1" si="19"/>
        <v>170977391735</v>
      </c>
      <c r="AF76" s="326">
        <f>DTR!AA$18</f>
        <v>132649296167</v>
      </c>
      <c r="AG76" s="326">
        <f>DTR!AB$18</f>
        <v>140446291758</v>
      </c>
      <c r="AH76" s="326">
        <f>DTR!AC$18</f>
        <v>153248625708</v>
      </c>
      <c r="AI76" s="326">
        <f>DTR!AD$18</f>
        <v>178191270169</v>
      </c>
      <c r="AJ76" s="326">
        <f>DTR!AE$18</f>
        <v>178005616424</v>
      </c>
      <c r="AK76" s="326">
        <f>DTR!AF$18</f>
        <v>0</v>
      </c>
      <c r="AL76" s="326">
        <f>DTR!AG$18</f>
        <v>0</v>
      </c>
      <c r="AM76" s="326">
        <f>DTR!AH$18</f>
        <v>0</v>
      </c>
      <c r="AN76" s="326">
        <f>DTR!AI$18</f>
        <v>0</v>
      </c>
      <c r="AO76" s="326">
        <f>DTR!AJ$18</f>
        <v>0</v>
      </c>
      <c r="AP76" s="326">
        <f>DTR!AK$18</f>
        <v>0</v>
      </c>
      <c r="AQ76" s="326">
        <f>DTR!AL$18</f>
        <v>0</v>
      </c>
      <c r="AR76" s="326">
        <f t="shared" ca="1" si="23"/>
        <v>178005616424</v>
      </c>
      <c r="AS76" s="326">
        <f t="shared" ca="1" si="20"/>
        <v>178005616424</v>
      </c>
    </row>
    <row r="77" spans="1:45">
      <c r="A77" s="320" t="s">
        <v>160</v>
      </c>
      <c r="B77" s="321" t="s">
        <v>2</v>
      </c>
      <c r="C77" s="321"/>
      <c r="D77" s="328" t="s">
        <v>20</v>
      </c>
      <c r="E77" s="326">
        <f>DTR!C25</f>
        <v>406821244018</v>
      </c>
      <c r="F77" s="326">
        <f>DTR!D25</f>
        <v>413788449441</v>
      </c>
      <c r="G77" s="326">
        <f>DTR!E25</f>
        <v>455747162045</v>
      </c>
      <c r="H77" s="326">
        <f>DTR!F25</f>
        <v>496057122616</v>
      </c>
      <c r="I77" s="326">
        <f>DTR!G25</f>
        <v>541180364701</v>
      </c>
      <c r="J77" s="326">
        <f>DTR!H25</f>
        <v>600190018005</v>
      </c>
      <c r="K77" s="326">
        <f>DTR!I25</f>
        <v>619776297407</v>
      </c>
      <c r="L77" s="326">
        <f>DTR!J25</f>
        <v>559053982584</v>
      </c>
      <c r="M77" s="326">
        <f>DTR!K25</f>
        <v>549140904407</v>
      </c>
      <c r="N77" s="326">
        <f>DTR!L25</f>
        <v>546574238545</v>
      </c>
      <c r="O77" s="326">
        <f>DTR!M25</f>
        <v>588008826045</v>
      </c>
      <c r="P77" s="326">
        <f>DTR!N25</f>
        <v>605821152798</v>
      </c>
      <c r="Q77" s="326">
        <f t="shared" ca="1" si="21"/>
        <v>541180364701</v>
      </c>
      <c r="R77" s="326">
        <f>DTR!O25</f>
        <v>566809475589</v>
      </c>
      <c r="S77" s="326">
        <f>DTR!P25</f>
        <v>483821147048</v>
      </c>
      <c r="T77" s="326">
        <f>DTR!Q25</f>
        <v>468355569440</v>
      </c>
      <c r="U77" s="326">
        <f>DTR!R25</f>
        <v>522665513478</v>
      </c>
      <c r="V77" s="326">
        <f>DTR!S25</f>
        <v>526499028418</v>
      </c>
      <c r="W77" s="326">
        <f>DTR!T25</f>
        <v>543591846704</v>
      </c>
      <c r="X77" s="326">
        <f>DTR!U25</f>
        <v>548599437580</v>
      </c>
      <c r="Y77" s="326">
        <f>DTR!V25</f>
        <v>548273459394</v>
      </c>
      <c r="Z77" s="326">
        <f>DTR!W25</f>
        <v>564202481203</v>
      </c>
      <c r="AA77" s="326">
        <f>DTR!X25</f>
        <v>551227150950</v>
      </c>
      <c r="AB77" s="326">
        <f>DTR!Y25</f>
        <v>550570669746</v>
      </c>
      <c r="AC77" s="326">
        <f>DTR!Z25</f>
        <v>562435021579</v>
      </c>
      <c r="AD77" s="326">
        <f t="shared" ca="1" si="22"/>
        <v>526499028418</v>
      </c>
      <c r="AE77" s="318">
        <f t="shared" ca="1" si="19"/>
        <v>526499028418</v>
      </c>
      <c r="AF77" s="326">
        <f>DTR!AA$25</f>
        <v>534105826237</v>
      </c>
      <c r="AG77" s="326">
        <f>DTR!AB$25</f>
        <v>502545827363</v>
      </c>
      <c r="AH77" s="326">
        <f>DTR!AC$25</f>
        <v>425450972162</v>
      </c>
      <c r="AI77" s="326">
        <f>DTR!AD$25</f>
        <v>370413533224</v>
      </c>
      <c r="AJ77" s="326">
        <f>DTR!AE$25</f>
        <v>361880765551</v>
      </c>
      <c r="AK77" s="326">
        <f>DTR!AF$25</f>
        <v>0</v>
      </c>
      <c r="AL77" s="326">
        <f>DTR!AG$25</f>
        <v>0</v>
      </c>
      <c r="AM77" s="326">
        <f>DTR!AH$25</f>
        <v>0</v>
      </c>
      <c r="AN77" s="326">
        <f>DTR!AI$25</f>
        <v>0</v>
      </c>
      <c r="AO77" s="326">
        <f>DTR!AJ$25</f>
        <v>0</v>
      </c>
      <c r="AP77" s="326">
        <f>DTR!AK$25</f>
        <v>0</v>
      </c>
      <c r="AQ77" s="326">
        <f>DTR!AL$25</f>
        <v>0</v>
      </c>
      <c r="AR77" s="326">
        <f t="shared" ca="1" si="23"/>
        <v>361880765551</v>
      </c>
      <c r="AS77" s="326">
        <f t="shared" ca="1" si="20"/>
        <v>361880765551</v>
      </c>
    </row>
    <row r="78" spans="1:45">
      <c r="A78" s="320" t="s">
        <v>161</v>
      </c>
      <c r="B78" t="s">
        <v>2</v>
      </c>
      <c r="D78" t="s">
        <v>162</v>
      </c>
      <c r="E78" s="305">
        <f>DTR!C38</f>
        <v>274624562032</v>
      </c>
      <c r="F78" s="305">
        <f>DTR!D38</f>
        <v>272308792463</v>
      </c>
      <c r="G78" s="305">
        <f>DTR!E38</f>
        <v>271203283116</v>
      </c>
      <c r="H78" s="305">
        <f>DTR!F38</f>
        <v>270904814396</v>
      </c>
      <c r="I78" s="305">
        <f>DTR!G38</f>
        <v>269907328559</v>
      </c>
      <c r="J78" s="305">
        <f>DTR!H38</f>
        <v>270747087858</v>
      </c>
      <c r="K78" s="305">
        <f>DTR!I38</f>
        <v>268779207254</v>
      </c>
      <c r="L78" s="305">
        <f>DTR!J38</f>
        <v>274334422235</v>
      </c>
      <c r="M78" s="305">
        <f>DTR!K38</f>
        <v>273134422792</v>
      </c>
      <c r="N78" s="305">
        <f>DTR!L38</f>
        <v>272293558516</v>
      </c>
      <c r="O78" s="305">
        <f>DTR!M38</f>
        <v>273153529742</v>
      </c>
      <c r="P78" s="305">
        <f>DTR!N38</f>
        <v>285939000851</v>
      </c>
      <c r="Q78" s="305">
        <f t="shared" ca="1" si="21"/>
        <v>269907328559</v>
      </c>
      <c r="R78" s="305">
        <f>DTR!O38</f>
        <v>289379194755</v>
      </c>
      <c r="S78" s="305">
        <f>DTR!P38</f>
        <v>285515570351</v>
      </c>
      <c r="T78" s="305">
        <f>DTR!Q38</f>
        <v>287407502163</v>
      </c>
      <c r="U78" s="305">
        <f>DTR!R38</f>
        <v>294777015341</v>
      </c>
      <c r="V78" s="305">
        <f>DTR!S38</f>
        <v>299380289162</v>
      </c>
      <c r="W78" s="305">
        <f>DTR!T38</f>
        <v>300166972168</v>
      </c>
      <c r="X78" s="305">
        <f>DTR!U38</f>
        <v>296753996838</v>
      </c>
      <c r="Y78" s="305">
        <f>DTR!V38</f>
        <v>296192973827</v>
      </c>
      <c r="Z78" s="305">
        <f>DTR!W38</f>
        <v>304334630215</v>
      </c>
      <c r="AA78" s="305">
        <f>DTR!X38</f>
        <v>316482947135</v>
      </c>
      <c r="AB78" s="305">
        <f>DTR!Y38</f>
        <v>315796830828</v>
      </c>
      <c r="AC78" s="305">
        <f>DTR!Z38</f>
        <v>320800563599</v>
      </c>
      <c r="AD78" s="305">
        <f t="shared" ca="1" si="22"/>
        <v>299380289162</v>
      </c>
      <c r="AE78" s="318">
        <f t="shared" ca="1" si="19"/>
        <v>299380289162</v>
      </c>
      <c r="AF78" s="305">
        <f>DTR!AA$38</f>
        <v>317415705891</v>
      </c>
      <c r="AG78" s="305">
        <f>DTR!AB$38</f>
        <v>337499929442</v>
      </c>
      <c r="AH78" s="305">
        <f>DTR!AC$38</f>
        <v>343594894451</v>
      </c>
      <c r="AI78" s="305">
        <f>DTR!AD$38</f>
        <v>365048803536</v>
      </c>
      <c r="AJ78" s="305">
        <f>DTR!AE$38</f>
        <v>365314011891</v>
      </c>
      <c r="AK78" s="305">
        <f>DTR!AF$38</f>
        <v>0</v>
      </c>
      <c r="AL78" s="305">
        <f>DTR!AG$38</f>
        <v>0</v>
      </c>
      <c r="AM78" s="305">
        <f>DTR!AH$38</f>
        <v>0</v>
      </c>
      <c r="AN78" s="305">
        <f>DTR!AI$38</f>
        <v>0</v>
      </c>
      <c r="AO78" s="305">
        <f>DTR!AJ$38</f>
        <v>0</v>
      </c>
      <c r="AP78" s="305">
        <f>DTR!AK$38</f>
        <v>0</v>
      </c>
      <c r="AQ78" s="305">
        <f>DTR!AL$38</f>
        <v>0</v>
      </c>
      <c r="AR78" s="305">
        <f t="shared" ca="1" si="23"/>
        <v>365314011891</v>
      </c>
      <c r="AS78" s="305">
        <f t="shared" ca="1" si="20"/>
        <v>365314011891</v>
      </c>
    </row>
    <row r="79" spans="1:45">
      <c r="A79" s="320" t="s">
        <v>163</v>
      </c>
      <c r="B79" t="s">
        <v>2</v>
      </c>
      <c r="D79" s="328" t="s">
        <v>26</v>
      </c>
      <c r="E79" s="326">
        <f>DTR!C46</f>
        <v>198013903445</v>
      </c>
      <c r="F79" s="326">
        <f>DTR!D46</f>
        <v>195010544683</v>
      </c>
      <c r="G79" s="326">
        <f>DTR!E46</f>
        <v>225730823955</v>
      </c>
      <c r="H79" s="326">
        <f>DTR!F46</f>
        <v>226001461052</v>
      </c>
      <c r="I79" s="326">
        <f>DTR!G46</f>
        <v>224673388970</v>
      </c>
      <c r="J79" s="326">
        <f>DTR!H46</f>
        <v>221428232280</v>
      </c>
      <c r="K79" s="326">
        <f>DTR!I46</f>
        <v>219409735799</v>
      </c>
      <c r="L79" s="326">
        <f>DTR!J46</f>
        <v>226228538916</v>
      </c>
      <c r="M79" s="326">
        <f>DTR!K46</f>
        <v>223962123590</v>
      </c>
      <c r="N79" s="326">
        <f>DTR!L46</f>
        <v>223016683107</v>
      </c>
      <c r="O79" s="326">
        <f>DTR!M46</f>
        <v>238599188942</v>
      </c>
      <c r="P79" s="326">
        <f>DTR!N46</f>
        <v>236902591180</v>
      </c>
      <c r="Q79" s="326">
        <f t="shared" ca="1" si="21"/>
        <v>224673388970</v>
      </c>
      <c r="R79" s="326">
        <f>DTR!O46</f>
        <v>233135637012</v>
      </c>
      <c r="S79" s="326">
        <f>DTR!P46</f>
        <v>239769028633</v>
      </c>
      <c r="T79" s="326">
        <f>DTR!Q46</f>
        <v>244837616747</v>
      </c>
      <c r="U79" s="326">
        <f>DTR!R46</f>
        <v>241369190811</v>
      </c>
      <c r="V79" s="326">
        <f>DTR!S46</f>
        <v>237349552865</v>
      </c>
      <c r="W79" s="326">
        <f>DTR!T46</f>
        <v>233717444711</v>
      </c>
      <c r="X79" s="326">
        <f>DTR!U46</f>
        <v>229848858132</v>
      </c>
      <c r="Y79" s="326">
        <f>DTR!V46</f>
        <v>248058151289</v>
      </c>
      <c r="Z79" s="326">
        <f>DTR!W46</f>
        <v>245902729429</v>
      </c>
      <c r="AA79" s="326">
        <f>DTR!X46</f>
        <v>244514286341</v>
      </c>
      <c r="AB79" s="326">
        <f>DTR!Y46</f>
        <v>247438859420</v>
      </c>
      <c r="AC79" s="326">
        <f>DTR!Z46</f>
        <v>243859258508</v>
      </c>
      <c r="AD79" s="326">
        <f t="shared" ca="1" si="22"/>
        <v>237349552865</v>
      </c>
      <c r="AE79" s="318">
        <f t="shared" ca="1" si="19"/>
        <v>237349552865</v>
      </c>
      <c r="AF79" s="326">
        <f>DTR!AA$46</f>
        <v>243650467528</v>
      </c>
      <c r="AG79" s="326">
        <f>DTR!AB$46</f>
        <v>244965950858</v>
      </c>
      <c r="AH79" s="326">
        <f>DTR!AC$46</f>
        <v>265786488609</v>
      </c>
      <c r="AI79" s="326">
        <f>DTR!AD$46</f>
        <v>270226692853</v>
      </c>
      <c r="AJ79" s="326">
        <f>DTR!AE$46</f>
        <v>268070715296</v>
      </c>
      <c r="AK79" s="326">
        <f>DTR!AF$46</f>
        <v>0</v>
      </c>
      <c r="AL79" s="326">
        <f>DTR!AG$46</f>
        <v>0</v>
      </c>
      <c r="AM79" s="326">
        <f>DTR!AH$46</f>
        <v>0</v>
      </c>
      <c r="AN79" s="326">
        <f>DTR!AI$46</f>
        <v>0</v>
      </c>
      <c r="AO79" s="326">
        <f>DTR!AJ$46</f>
        <v>0</v>
      </c>
      <c r="AP79" s="326">
        <f>DTR!AK$46</f>
        <v>0</v>
      </c>
      <c r="AQ79" s="326">
        <f>DTR!AL$46</f>
        <v>0</v>
      </c>
      <c r="AR79" s="326">
        <f t="shared" ca="1" si="23"/>
        <v>268070715296</v>
      </c>
      <c r="AS79" s="326">
        <f t="shared" ca="1" si="20"/>
        <v>268070715296</v>
      </c>
    </row>
    <row r="80" spans="1:45">
      <c r="A80" s="320" t="s">
        <v>164</v>
      </c>
      <c r="B80" t="s">
        <v>2</v>
      </c>
      <c r="D80" s="328" t="s">
        <v>30</v>
      </c>
      <c r="E80" s="326">
        <f>DTR!C48+DTR!C51+DTR!C54</f>
        <v>260312876754</v>
      </c>
      <c r="F80" s="326">
        <f>DTR!D48+DTR!D51+DTR!D54</f>
        <v>260312876754</v>
      </c>
      <c r="G80" s="326">
        <f>DTR!E48+DTR!E51+DTR!E54</f>
        <v>294032134959</v>
      </c>
      <c r="H80" s="326">
        <f>DTR!F48+DTR!F51+DTR!F54</f>
        <v>297483796455</v>
      </c>
      <c r="I80" s="326">
        <f>DTR!G48+DTR!G51+DTR!G54</f>
        <v>299394448651</v>
      </c>
      <c r="J80" s="326">
        <f>DTR!H48+DTR!H51+DTR!H54</f>
        <v>299389731984</v>
      </c>
      <c r="K80" s="326">
        <f>DTR!I48+DTR!I51+DTR!I54</f>
        <v>300645731984</v>
      </c>
      <c r="L80" s="326">
        <f>DTR!J48+DTR!J51+DTR!J54</f>
        <v>310582237964</v>
      </c>
      <c r="M80" s="326">
        <f>DTR!K48+DTR!K51+DTR!K54</f>
        <v>311750534260</v>
      </c>
      <c r="N80" s="326">
        <f>DTR!L48+DTR!L51+DTR!L54</f>
        <v>314097148473</v>
      </c>
      <c r="O80" s="326">
        <f>DTR!M48+DTR!M51+DTR!M54</f>
        <v>317145360582</v>
      </c>
      <c r="P80" s="326">
        <f>DTR!N48+DTR!N51+DTR!N54</f>
        <v>319211223481</v>
      </c>
      <c r="Q80" s="326">
        <f t="shared" ca="1" si="21"/>
        <v>299394448651</v>
      </c>
      <c r="R80" s="326">
        <f>DTR!O48+DTR!O51+DTR!O54</f>
        <v>319247423481</v>
      </c>
      <c r="S80" s="326">
        <f>DTR!P48+DTR!P51+DTR!P54</f>
        <v>329685513716</v>
      </c>
      <c r="T80" s="326">
        <f>DTR!Q48+DTR!Q51+DTR!Q54</f>
        <v>338756735805</v>
      </c>
      <c r="U80" s="326">
        <f>DTR!R48+DTR!R51+DTR!R54</f>
        <v>338784630797</v>
      </c>
      <c r="V80" s="326">
        <f>DTR!S48+DTR!S51+DTR!S54</f>
        <v>338856847837</v>
      </c>
      <c r="W80" s="326">
        <f>DTR!T48+DTR!T51+DTR!T54</f>
        <v>339312208021</v>
      </c>
      <c r="X80" s="326">
        <f>DTR!U48+DTR!U51+DTR!U54</f>
        <v>339289078993</v>
      </c>
      <c r="Y80" s="326">
        <f>DTR!V48+DTR!V51+DTR!V54</f>
        <v>361191367310</v>
      </c>
      <c r="Z80" s="326">
        <f>DTR!W48+DTR!W51+DTR!W54</f>
        <v>363443445498</v>
      </c>
      <c r="AA80" s="326">
        <f>DTR!X48+DTR!X51+DTR!X54</f>
        <v>366315859102</v>
      </c>
      <c r="AB80" s="326">
        <f>DTR!Y48+DTR!Y51+DTR!Y54</f>
        <v>373662382742</v>
      </c>
      <c r="AC80" s="326">
        <f>DTR!Z48+DTR!Z51+DTR!Z54</f>
        <v>374525100173</v>
      </c>
      <c r="AD80" s="326">
        <f t="shared" ca="1" si="22"/>
        <v>338856847837</v>
      </c>
      <c r="AE80" s="318">
        <f t="shared" ca="1" si="19"/>
        <v>338856847837</v>
      </c>
      <c r="AF80" s="326">
        <f>DTR!AA$48+DTR!AA$51+DTR!AA$54</f>
        <v>376450278038</v>
      </c>
      <c r="AG80" s="326">
        <f>DTR!AB$48+DTR!AB$51+DTR!AB$54</f>
        <v>379868769856</v>
      </c>
      <c r="AH80" s="326">
        <f>DTR!AC$48+DTR!AC$51+DTR!AC$54</f>
        <v>402807419165</v>
      </c>
      <c r="AI80" s="326">
        <f>DTR!AD$48+DTR!AD$51+DTR!AD$54</f>
        <v>409525584982</v>
      </c>
      <c r="AJ80" s="326">
        <f>DTR!AE$48+DTR!AE$51+DTR!AE$54</f>
        <v>409700584982</v>
      </c>
      <c r="AK80" s="326">
        <f>DTR!AF$48+DTR!AF$51+DTR!AF$54</f>
        <v>0</v>
      </c>
      <c r="AL80" s="326">
        <f>DTR!AG$48+DTR!AG$51+DTR!AG$54</f>
        <v>0</v>
      </c>
      <c r="AM80" s="326">
        <f>DTR!AH$48+DTR!AH$51+DTR!AH$54</f>
        <v>0</v>
      </c>
      <c r="AN80" s="326">
        <f>DTR!AI$48+DTR!AI$51+DTR!AI$54</f>
        <v>0</v>
      </c>
      <c r="AO80" s="326">
        <f>DTR!AJ$48+DTR!AJ$51+DTR!AJ$54</f>
        <v>0</v>
      </c>
      <c r="AP80" s="326">
        <f>DTR!AK$48+DTR!AK$51+DTR!AK$54</f>
        <v>0</v>
      </c>
      <c r="AQ80" s="326">
        <f>DTR!AL$48+DTR!AL$51+DTR!AL$54</f>
        <v>0</v>
      </c>
      <c r="AR80" s="326">
        <f t="shared" ca="1" si="23"/>
        <v>409700584982</v>
      </c>
      <c r="AS80" s="326">
        <f t="shared" ca="1" si="20"/>
        <v>409700584982</v>
      </c>
    </row>
    <row r="81" spans="1:45">
      <c r="A81" s="320" t="s">
        <v>165</v>
      </c>
      <c r="B81" t="s">
        <v>2</v>
      </c>
      <c r="D81" s="328" t="s">
        <v>34</v>
      </c>
      <c r="E81" s="326">
        <f>DTR!C49+DTR!C52+DTR!C55</f>
        <v>-62298973309</v>
      </c>
      <c r="F81" s="326">
        <f>DTR!D49+DTR!D52+DTR!D55</f>
        <v>-65302332071</v>
      </c>
      <c r="G81" s="326">
        <f>DTR!E49+DTR!E52+DTR!E55</f>
        <v>-68301311004</v>
      </c>
      <c r="H81" s="326">
        <f>DTR!F49+DTR!F52+DTR!F55</f>
        <v>-71482335403</v>
      </c>
      <c r="I81" s="326">
        <f>DTR!G49+DTR!G52+DTR!G55</f>
        <v>-74721059681</v>
      </c>
      <c r="J81" s="326">
        <f>DTR!H49+DTR!H52+DTR!H55</f>
        <v>-77961499704</v>
      </c>
      <c r="K81" s="326">
        <f>DTR!I49+DTR!I52+DTR!I55</f>
        <v>-81235996185</v>
      </c>
      <c r="L81" s="326">
        <f>DTR!J49+DTR!J52+DTR!J55</f>
        <v>-84353699048</v>
      </c>
      <c r="M81" s="326">
        <f>DTR!K49+DTR!K52+DTR!K55</f>
        <v>-87788410670</v>
      </c>
      <c r="N81" s="326">
        <f>DTR!L49+DTR!L52+DTR!L55</f>
        <v>-91080465366</v>
      </c>
      <c r="O81" s="326">
        <f>DTR!M49+DTR!M52+DTR!M55</f>
        <v>-78546171640</v>
      </c>
      <c r="P81" s="326">
        <f>DTR!N49+DTR!N52+DTR!N55</f>
        <v>-82308632301</v>
      </c>
      <c r="Q81" s="326">
        <f t="shared" ca="1" si="21"/>
        <v>-74721059681</v>
      </c>
      <c r="R81" s="326">
        <f>DTR!O49+DTR!O52+DTR!O55</f>
        <v>-86111786469</v>
      </c>
      <c r="S81" s="326">
        <f>DTR!P49+DTR!P52+DTR!P55</f>
        <v>-89916485083</v>
      </c>
      <c r="T81" s="326">
        <f>DTR!Q49+DTR!Q52+DTR!Q55</f>
        <v>-93919119058</v>
      </c>
      <c r="U81" s="326">
        <f>DTR!R49+DTR!R52+DTR!R55</f>
        <v>-97415439986</v>
      </c>
      <c r="V81" s="326">
        <f>DTR!S49+DTR!S52+DTR!S55</f>
        <v>-101507294972</v>
      </c>
      <c r="W81" s="326">
        <f>DTR!T49+DTR!T52+DTR!T55</f>
        <v>-105594763310</v>
      </c>
      <c r="X81" s="326">
        <f>DTR!U49+DTR!U52+DTR!U55</f>
        <v>-109440220861</v>
      </c>
      <c r="Y81" s="326">
        <f>DTR!V49+DTR!V52+DTR!V55</f>
        <v>-113133216021</v>
      </c>
      <c r="Z81" s="326">
        <f>DTR!W49+DTR!W52+DTR!W55</f>
        <v>-117540716069</v>
      </c>
      <c r="AA81" s="326">
        <f>DTR!X49+DTR!X52+DTR!X55</f>
        <v>-121801572761</v>
      </c>
      <c r="AB81" s="326">
        <f>DTR!Y49+DTR!Y52+DTR!Y55</f>
        <v>-126223523322</v>
      </c>
      <c r="AC81" s="326">
        <f>DTR!Z49+DTR!Z52+DTR!Z55</f>
        <v>-130665841665</v>
      </c>
      <c r="AD81" s="326">
        <f t="shared" ca="1" si="22"/>
        <v>-101507294972</v>
      </c>
      <c r="AE81" s="318">
        <f t="shared" ca="1" si="19"/>
        <v>-101507294972</v>
      </c>
      <c r="AF81" s="326">
        <f>DTR!AA$49+DTR!AA$52+DTR!AA$55</f>
        <v>-132799810510</v>
      </c>
      <c r="AG81" s="326">
        <f>DTR!AB$49+DTR!AB$52+DTR!AB$55</f>
        <v>-134902818998</v>
      </c>
      <c r="AH81" s="326">
        <f>DTR!AC$49+DTR!AC$52+DTR!AC$55</f>
        <v>-137020930556</v>
      </c>
      <c r="AI81" s="326">
        <f>DTR!AD$49+DTR!AD$52+DTR!AD$55</f>
        <v>-139298892129</v>
      </c>
      <c r="AJ81" s="326">
        <f>DTR!AE$49+DTR!AE$52+DTR!AE$55</f>
        <v>-141629869686</v>
      </c>
      <c r="AK81" s="326">
        <f>DTR!AF$49+DTR!AF$52+DTR!AF$55</f>
        <v>0</v>
      </c>
      <c r="AL81" s="326">
        <f>DTR!AG$49+DTR!AG$52+DTR!AG$55</f>
        <v>0</v>
      </c>
      <c r="AM81" s="326">
        <f>DTR!AH$49+DTR!AH$52+DTR!AH$55</f>
        <v>0</v>
      </c>
      <c r="AN81" s="326">
        <f>DTR!AI$49+DTR!AI$52+DTR!AI$55</f>
        <v>0</v>
      </c>
      <c r="AO81" s="326">
        <f>DTR!AJ$49+DTR!AJ$52+DTR!AJ$55</f>
        <v>0</v>
      </c>
      <c r="AP81" s="326">
        <f>DTR!AK$49+DTR!AK$52+DTR!AK$55</f>
        <v>0</v>
      </c>
      <c r="AQ81" s="326">
        <f>DTR!AL$49+DTR!AL$52+DTR!AL$55</f>
        <v>0</v>
      </c>
      <c r="AR81" s="326">
        <f t="shared" ca="1" si="23"/>
        <v>-141629869686</v>
      </c>
      <c r="AS81" s="326">
        <f t="shared" ca="1" si="20"/>
        <v>-141629869686</v>
      </c>
    </row>
    <row r="82" spans="1:45">
      <c r="A82" s="320" t="s">
        <v>166</v>
      </c>
      <c r="B82" t="s">
        <v>2</v>
      </c>
      <c r="D82" s="320" t="s">
        <v>37</v>
      </c>
      <c r="E82" s="323">
        <f>DTR!C83</f>
        <v>1057106496455</v>
      </c>
      <c r="F82" s="323">
        <f>DTR!D83</f>
        <v>1040899556726</v>
      </c>
      <c r="G82" s="323">
        <f>DTR!E83</f>
        <v>1086669152157</v>
      </c>
      <c r="H82" s="323">
        <f>DTR!F83</f>
        <v>1148318840816</v>
      </c>
      <c r="I82" s="323">
        <f>DTR!G83</f>
        <v>1198063045295</v>
      </c>
      <c r="J82" s="323">
        <f>DTR!H83</f>
        <v>1227310309881</v>
      </c>
      <c r="K82" s="323">
        <f>DTR!I83</f>
        <v>1174913086353</v>
      </c>
      <c r="L82" s="323">
        <f>DTR!J83</f>
        <v>1123552712261</v>
      </c>
      <c r="M82" s="323">
        <f>DTR!K83</f>
        <v>1164304769268</v>
      </c>
      <c r="N82" s="323">
        <f>DTR!L83</f>
        <v>1184459048233</v>
      </c>
      <c r="O82" s="323">
        <f>DTR!M83</f>
        <v>1262755141991</v>
      </c>
      <c r="P82" s="323">
        <f>DTR!N83</f>
        <v>1255526266731</v>
      </c>
      <c r="Q82" s="323">
        <f t="shared" ca="1" si="21"/>
        <v>1198063045295</v>
      </c>
      <c r="R82" s="323">
        <f>DTR!O83</f>
        <v>1184167227046</v>
      </c>
      <c r="S82" s="323">
        <f>DTR!P83</f>
        <v>1099673392126</v>
      </c>
      <c r="T82" s="323">
        <f>DTR!Q83</f>
        <v>1153710875298</v>
      </c>
      <c r="U82" s="323">
        <f>DTR!R83</f>
        <v>1224376777626</v>
      </c>
      <c r="V82" s="323">
        <f>DTR!S83</f>
        <v>1280979662011</v>
      </c>
      <c r="W82" s="323">
        <f>DTR!T83</f>
        <v>1310961670922</v>
      </c>
      <c r="X82" s="323">
        <f>DTR!U83</f>
        <v>1296565798277</v>
      </c>
      <c r="Y82" s="323">
        <f>DTR!V83</f>
        <v>1356526045802</v>
      </c>
      <c r="Z82" s="323">
        <f>DTR!W83</f>
        <v>1344912228849</v>
      </c>
      <c r="AA82" s="323">
        <f>DTR!X83</f>
        <v>1299331457948</v>
      </c>
      <c r="AB82" s="323">
        <f>DTR!Y83</f>
        <v>1275169884404</v>
      </c>
      <c r="AC82" s="323">
        <f>DTR!Z83</f>
        <v>1266017714532</v>
      </c>
      <c r="AD82" s="305">
        <f t="shared" ca="1" si="22"/>
        <v>1280979662011</v>
      </c>
      <c r="AE82" s="318">
        <f t="shared" ca="1" si="19"/>
        <v>1280979662011</v>
      </c>
      <c r="AF82" s="323">
        <f>DTR!AA$83</f>
        <v>1211566398236</v>
      </c>
      <c r="AG82" s="323">
        <f>DTR!AB$83</f>
        <v>1233002251518</v>
      </c>
      <c r="AH82" s="323">
        <f>DTR!AC$83</f>
        <v>1192063370403</v>
      </c>
      <c r="AI82" s="323">
        <f>DTR!AD$83</f>
        <v>1173001139790</v>
      </c>
      <c r="AJ82" s="323">
        <f>DTR!AE$83</f>
        <v>1251902380916</v>
      </c>
      <c r="AK82" s="323">
        <f>DTR!AF$83</f>
        <v>0</v>
      </c>
      <c r="AL82" s="323">
        <f>DTR!AG$83</f>
        <v>0</v>
      </c>
      <c r="AM82" s="323">
        <f>DTR!AH$83</f>
        <v>0</v>
      </c>
      <c r="AN82" s="323">
        <f>DTR!AI$83</f>
        <v>0</v>
      </c>
      <c r="AO82" s="323">
        <f>DTR!AJ$83</f>
        <v>0</v>
      </c>
      <c r="AP82" s="323">
        <f>DTR!AK$83</f>
        <v>0</v>
      </c>
      <c r="AQ82" s="323">
        <f>DTR!AL$83</f>
        <v>0</v>
      </c>
      <c r="AR82" s="305">
        <f t="shared" ca="1" si="23"/>
        <v>1251902380916</v>
      </c>
      <c r="AS82" s="305">
        <f t="shared" ca="1" si="20"/>
        <v>1251902380916</v>
      </c>
    </row>
    <row r="83" spans="1:45">
      <c r="A83" s="320" t="s">
        <v>167</v>
      </c>
      <c r="B83" t="s">
        <v>2</v>
      </c>
      <c r="D83" t="s">
        <v>42</v>
      </c>
      <c r="E83" s="305">
        <f>DTR!C85</f>
        <v>176322036564</v>
      </c>
      <c r="F83" s="305">
        <f>DTR!D85</f>
        <v>165479805632</v>
      </c>
      <c r="G83" s="305">
        <f>DTR!E85</f>
        <v>214267710664</v>
      </c>
      <c r="H83" s="305">
        <f>DTR!F85</f>
        <v>273737345975</v>
      </c>
      <c r="I83" s="305">
        <f>DTR!G85</f>
        <v>329588242794</v>
      </c>
      <c r="J83" s="305">
        <f>DTR!H85</f>
        <v>367721787447</v>
      </c>
      <c r="K83" s="305">
        <f>DTR!I85</f>
        <v>328736442804</v>
      </c>
      <c r="L83" s="305">
        <f>DTR!J85</f>
        <v>286316076697</v>
      </c>
      <c r="M83" s="305">
        <f>DTR!K85</f>
        <v>316799865587</v>
      </c>
      <c r="N83" s="305">
        <f>DTR!L85</f>
        <v>341708523175</v>
      </c>
      <c r="O83" s="305">
        <f>DTR!M85</f>
        <v>396620697059</v>
      </c>
      <c r="P83" s="305">
        <f>DTR!N85</f>
        <v>316029265342</v>
      </c>
      <c r="Q83" s="305">
        <f t="shared" ca="1" si="21"/>
        <v>329588242794</v>
      </c>
      <c r="R83" s="305">
        <f>DTR!O85</f>
        <v>216100148681</v>
      </c>
      <c r="S83" s="305">
        <f>DTR!P85</f>
        <v>118453354810</v>
      </c>
      <c r="T83" s="305">
        <f>DTR!Q85</f>
        <v>166229366701</v>
      </c>
      <c r="U83" s="305">
        <f>DTR!R85</f>
        <v>234217256714</v>
      </c>
      <c r="V83" s="305">
        <f>DTR!S85</f>
        <v>285537774573</v>
      </c>
      <c r="W83" s="305">
        <f>DTR!T85</f>
        <v>335330408775</v>
      </c>
      <c r="X83" s="305">
        <f>DTR!U85</f>
        <v>320967989443</v>
      </c>
      <c r="Y83" s="305">
        <f>DTR!V85</f>
        <v>382420327015</v>
      </c>
      <c r="Z83" s="305">
        <f>DTR!W85</f>
        <v>381845442491</v>
      </c>
      <c r="AA83" s="305">
        <f>DTR!X85</f>
        <v>346002928366</v>
      </c>
      <c r="AB83" s="305">
        <f>DTR!Y85</f>
        <v>327703613669</v>
      </c>
      <c r="AC83" s="305">
        <f>DTR!Z85</f>
        <v>335139049377</v>
      </c>
      <c r="AD83" s="305">
        <f t="shared" ca="1" si="22"/>
        <v>285537774573</v>
      </c>
      <c r="AE83" s="318">
        <f t="shared" ca="1" si="19"/>
        <v>285537774573</v>
      </c>
      <c r="AF83" s="305">
        <f>DTR!AA$85</f>
        <v>283290606756</v>
      </c>
      <c r="AG83" s="305">
        <f>DTR!AB$85</f>
        <v>289218173776</v>
      </c>
      <c r="AH83" s="305">
        <f>DTR!AC$85</f>
        <v>246244699285</v>
      </c>
      <c r="AI83" s="305">
        <f>DTR!AD$85</f>
        <v>223478714460</v>
      </c>
      <c r="AJ83" s="305">
        <f>DTR!AE$85</f>
        <v>219319635169</v>
      </c>
      <c r="AK83" s="305">
        <f>DTR!AF$85</f>
        <v>0</v>
      </c>
      <c r="AL83" s="305">
        <f>DTR!AG$85</f>
        <v>0</v>
      </c>
      <c r="AM83" s="305">
        <f>DTR!AH$85</f>
        <v>0</v>
      </c>
      <c r="AN83" s="305">
        <f>DTR!AI$85</f>
        <v>0</v>
      </c>
      <c r="AO83" s="305">
        <f>DTR!AJ$85</f>
        <v>0</v>
      </c>
      <c r="AP83" s="305">
        <f>DTR!AK$85</f>
        <v>0</v>
      </c>
      <c r="AQ83" s="305">
        <f>DTR!AL$85</f>
        <v>0</v>
      </c>
      <c r="AR83" s="305">
        <f t="shared" ca="1" si="23"/>
        <v>219319635169</v>
      </c>
      <c r="AS83" s="305">
        <f t="shared" ca="1" si="20"/>
        <v>219319635169</v>
      </c>
    </row>
    <row r="84" spans="1:45">
      <c r="A84" s="320" t="s">
        <v>168</v>
      </c>
      <c r="B84" t="s">
        <v>2</v>
      </c>
      <c r="D84" s="328" t="s">
        <v>45</v>
      </c>
      <c r="E84" s="326">
        <f>DTR!C96</f>
        <v>62822745245</v>
      </c>
      <c r="F84" s="326">
        <f>DTR!D96</f>
        <v>57847834995</v>
      </c>
      <c r="G84" s="326">
        <f>DTR!E96</f>
        <v>101832582537</v>
      </c>
      <c r="H84" s="326">
        <f>DTR!F96</f>
        <v>144977288403</v>
      </c>
      <c r="I84" s="326">
        <f>DTR!G96</f>
        <v>178905916168</v>
      </c>
      <c r="J84" s="326">
        <f>DTR!H96</f>
        <v>190748518955</v>
      </c>
      <c r="K84" s="326">
        <f>DTR!I96</f>
        <v>168894814805</v>
      </c>
      <c r="L84" s="326">
        <f>DTR!J96</f>
        <v>126048766562</v>
      </c>
      <c r="M84" s="326">
        <f>DTR!K96</f>
        <v>139654417984</v>
      </c>
      <c r="N84" s="326">
        <f>DTR!L96</f>
        <v>155306260478</v>
      </c>
      <c r="O84" s="326">
        <f>DTR!M96</f>
        <v>165536679982</v>
      </c>
      <c r="P84" s="326">
        <f>DTR!N96</f>
        <v>192629821718</v>
      </c>
      <c r="Q84" s="326">
        <f t="shared" ca="1" si="21"/>
        <v>178905916168</v>
      </c>
      <c r="R84" s="326">
        <f>DTR!O96</f>
        <v>134925554251</v>
      </c>
      <c r="S84" s="326">
        <f>DTR!P96</f>
        <v>43611829278</v>
      </c>
      <c r="T84" s="326">
        <f>DTR!Q96</f>
        <v>98003020481</v>
      </c>
      <c r="U84" s="326">
        <f>DTR!R96</f>
        <v>172928907420</v>
      </c>
      <c r="V84" s="326">
        <f>DTR!S96</f>
        <v>200666324688</v>
      </c>
      <c r="W84" s="326">
        <f>DTR!T96</f>
        <v>238388679271</v>
      </c>
      <c r="X84" s="326">
        <f>DTR!U96</f>
        <v>250573370780</v>
      </c>
      <c r="Y84" s="326">
        <f>DTR!V96</f>
        <v>294832243750</v>
      </c>
      <c r="Z84" s="326">
        <f>DTR!W96</f>
        <v>309616499760</v>
      </c>
      <c r="AA84" s="326">
        <f>DTR!X96</f>
        <v>263334816592</v>
      </c>
      <c r="AB84" s="326">
        <f>DTR!Y96</f>
        <v>254700704679</v>
      </c>
      <c r="AC84" s="326">
        <f>DTR!Z96</f>
        <v>262225979238</v>
      </c>
      <c r="AD84" s="326">
        <f t="shared" ca="1" si="22"/>
        <v>200666324688</v>
      </c>
      <c r="AE84" s="318">
        <f t="shared" ca="1" si="19"/>
        <v>200666324688</v>
      </c>
      <c r="AF84" s="326">
        <f>DTR!AA$96</f>
        <v>216818798145</v>
      </c>
      <c r="AG84" s="326">
        <f>DTR!AB$96</f>
        <v>231846507077</v>
      </c>
      <c r="AH84" s="326">
        <f>DTR!AC$96</f>
        <v>179737111410</v>
      </c>
      <c r="AI84" s="326">
        <f>DTR!AD$96</f>
        <v>147514569550</v>
      </c>
      <c r="AJ84" s="326">
        <f>DTR!AE$96</f>
        <v>116595603825</v>
      </c>
      <c r="AK84" s="326">
        <f>DTR!AF$96</f>
        <v>0</v>
      </c>
      <c r="AL84" s="326">
        <f>DTR!AG$96</f>
        <v>0</v>
      </c>
      <c r="AM84" s="326">
        <f>DTR!AH$96</f>
        <v>0</v>
      </c>
      <c r="AN84" s="326">
        <f>DTR!AI$96</f>
        <v>0</v>
      </c>
      <c r="AO84" s="326">
        <f>DTR!AJ$96</f>
        <v>0</v>
      </c>
      <c r="AP84" s="326">
        <f>DTR!AK$96</f>
        <v>0</v>
      </c>
      <c r="AQ84" s="326">
        <f>DTR!AL$96</f>
        <v>0</v>
      </c>
      <c r="AR84" s="326">
        <f t="shared" ca="1" si="23"/>
        <v>116595603825</v>
      </c>
      <c r="AS84" s="326">
        <f t="shared" ca="1" si="20"/>
        <v>116595603825</v>
      </c>
    </row>
    <row r="85" spans="1:45">
      <c r="A85" s="320" t="s">
        <v>169</v>
      </c>
      <c r="B85" t="s">
        <v>2</v>
      </c>
      <c r="D85" s="328" t="s">
        <v>47</v>
      </c>
      <c r="E85" s="326">
        <f>DTR!C86+DTR!C87</f>
        <v>58385303044</v>
      </c>
      <c r="F85" s="326">
        <f>DTR!D86+DTR!D87</f>
        <v>57459904781</v>
      </c>
      <c r="G85" s="326">
        <f>DTR!E86+DTR!E87</f>
        <v>71125757622</v>
      </c>
      <c r="H85" s="326">
        <f>DTR!F86+DTR!F87</f>
        <v>76995321500</v>
      </c>
      <c r="I85" s="326">
        <f>DTR!G86+DTR!G87</f>
        <v>97319270425</v>
      </c>
      <c r="J85" s="326">
        <f>DTR!H86+DTR!H87</f>
        <v>152128046303</v>
      </c>
      <c r="K85" s="326">
        <f>DTR!I86+DTR!I87</f>
        <v>125254808223</v>
      </c>
      <c r="L85" s="326">
        <f>DTR!J86+DTR!J87</f>
        <v>119990052531</v>
      </c>
      <c r="M85" s="326">
        <f>DTR!K86+DTR!K87</f>
        <v>141587809276</v>
      </c>
      <c r="N85" s="326">
        <f>DTR!L86+DTR!L87</f>
        <v>150232231563</v>
      </c>
      <c r="O85" s="326">
        <f>DTR!M86+DTR!M87</f>
        <v>185016213877</v>
      </c>
      <c r="P85" s="326">
        <f>DTR!N86+DTR!N87</f>
        <v>80400812109</v>
      </c>
      <c r="Q85" s="326">
        <f t="shared" ca="1" si="21"/>
        <v>97319270425</v>
      </c>
      <c r="R85" s="326">
        <f>DTR!O86+DTR!O87</f>
        <v>51068412769</v>
      </c>
      <c r="S85" s="326">
        <f>DTR!P86+DTR!P87</f>
        <v>34792825965</v>
      </c>
      <c r="T85" s="326">
        <f>DTR!Q86+DTR!Q87</f>
        <v>51709965211</v>
      </c>
      <c r="U85" s="326">
        <f>DTR!R86+DTR!R87</f>
        <v>40094252832</v>
      </c>
      <c r="V85" s="326">
        <f>DTR!S86+DTR!S87</f>
        <v>36763462032</v>
      </c>
      <c r="W85" s="326">
        <f>DTR!T86+DTR!T87</f>
        <v>65161360489</v>
      </c>
      <c r="X85" s="326">
        <f>DTR!U86+DTR!U87</f>
        <v>27637762536</v>
      </c>
      <c r="Y85" s="326">
        <f>DTR!V86+DTR!V87</f>
        <v>35981686303</v>
      </c>
      <c r="Z85" s="326">
        <f>DTR!W86+DTR!W87</f>
        <v>37411779288</v>
      </c>
      <c r="AA85" s="326">
        <f>DTR!X86+DTR!X87</f>
        <v>43065629774</v>
      </c>
      <c r="AB85" s="326">
        <f>DTR!Y86+DTR!Y87</f>
        <v>28546316634</v>
      </c>
      <c r="AC85" s="326">
        <f>DTR!Z86+DTR!Z87</f>
        <v>33272165919</v>
      </c>
      <c r="AD85" s="326">
        <f t="shared" ca="1" si="22"/>
        <v>36763462032</v>
      </c>
      <c r="AE85" s="318">
        <f t="shared" ca="1" si="19"/>
        <v>36763462032</v>
      </c>
      <c r="AF85" s="326">
        <f>DTR!AA$86+DTR!AA$87</f>
        <v>24934823841</v>
      </c>
      <c r="AG85" s="326">
        <f>DTR!AB$86+DTR!AB$87</f>
        <v>22553232387</v>
      </c>
      <c r="AH85" s="326">
        <f>DTR!AC$86+DTR!AC$87</f>
        <v>35120916435</v>
      </c>
      <c r="AI85" s="326">
        <f>DTR!AD$86+DTR!AD$87</f>
        <v>38673545309</v>
      </c>
      <c r="AJ85" s="326">
        <f>DTR!AE$86+DTR!AE$87</f>
        <v>65718659314</v>
      </c>
      <c r="AK85" s="326">
        <f>DTR!AF$86+DTR!AF$87</f>
        <v>0</v>
      </c>
      <c r="AL85" s="326">
        <f>DTR!AG$86+DTR!AG$87</f>
        <v>0</v>
      </c>
      <c r="AM85" s="326">
        <f>DTR!AH$86+DTR!AH$87</f>
        <v>0</v>
      </c>
      <c r="AN85" s="326">
        <f>DTR!AI$86+DTR!AI$87</f>
        <v>0</v>
      </c>
      <c r="AO85" s="326">
        <f>DTR!AJ$86+DTR!AJ$87</f>
        <v>0</v>
      </c>
      <c r="AP85" s="326">
        <f>DTR!AK$86+DTR!AK$87</f>
        <v>0</v>
      </c>
      <c r="AQ85" s="326">
        <f>DTR!AL$86+DTR!AL$87</f>
        <v>0</v>
      </c>
      <c r="AR85" s="326">
        <f t="shared" ca="1" si="23"/>
        <v>65718659314</v>
      </c>
      <c r="AS85" s="326">
        <f t="shared" ca="1" si="20"/>
        <v>65718659314</v>
      </c>
    </row>
    <row r="86" spans="1:45">
      <c r="A86" s="320" t="s">
        <v>170</v>
      </c>
      <c r="B86" t="s">
        <v>2</v>
      </c>
      <c r="D86" s="328" t="s">
        <v>171</v>
      </c>
      <c r="E86" s="326">
        <f>DTR!C86</f>
        <v>54353400004</v>
      </c>
      <c r="F86" s="326">
        <f>DTR!D86</f>
        <v>57459904781</v>
      </c>
      <c r="G86" s="326">
        <f>DTR!E86</f>
        <v>71666676062</v>
      </c>
      <c r="H86" s="326">
        <f>DTR!F86</f>
        <v>72717166254</v>
      </c>
      <c r="I86" s="326">
        <f>DTR!G86</f>
        <v>82570066775</v>
      </c>
      <c r="J86" s="326">
        <f>DTR!H86</f>
        <v>116097944870</v>
      </c>
      <c r="K86" s="326">
        <f>DTR!I86</f>
        <v>90497312556</v>
      </c>
      <c r="L86" s="326">
        <f>DTR!J86</f>
        <v>104998329522</v>
      </c>
      <c r="M86" s="326">
        <f>DTR!K86</f>
        <v>141548339763</v>
      </c>
      <c r="N86" s="326">
        <f>DTR!L86</f>
        <v>140860659227</v>
      </c>
      <c r="O86" s="326">
        <f>DTR!M86</f>
        <v>150120296949</v>
      </c>
      <c r="P86" s="326">
        <f>DTR!N86</f>
        <v>38854336196</v>
      </c>
      <c r="Q86" s="326">
        <f ca="1">IF($AD$26=1,E86,SUM(OFFSET(E86:P86,0,0,1,$AD$26))-SUM(OFFSET(E86:P86,0,0,1,$AD$26-1)))</f>
        <v>82570066775</v>
      </c>
      <c r="R86" s="326">
        <f>DTR!O86</f>
        <v>17080396612</v>
      </c>
      <c r="S86" s="326">
        <f>DTR!P86</f>
        <v>15854922544</v>
      </c>
      <c r="T86" s="326">
        <f>DTR!Q86</f>
        <v>36651877076</v>
      </c>
      <c r="U86" s="326">
        <f>DTR!R86</f>
        <v>36646554722</v>
      </c>
      <c r="V86" s="326">
        <f>DTR!S86</f>
        <v>36688096679</v>
      </c>
      <c r="W86" s="326">
        <f>DTR!T86</f>
        <v>50235234736</v>
      </c>
      <c r="X86" s="326">
        <f>DTR!U86</f>
        <v>4297727379</v>
      </c>
      <c r="Y86" s="326">
        <f>DTR!V86</f>
        <v>15019964770</v>
      </c>
      <c r="Z86" s="326">
        <f>DTR!W86</f>
        <v>22979794050</v>
      </c>
      <c r="AA86" s="326">
        <f>DTR!X86</f>
        <v>34152918116</v>
      </c>
      <c r="AB86" s="326">
        <f>DTR!Y86</f>
        <v>22550645996</v>
      </c>
      <c r="AC86" s="326">
        <f>DTR!Z86</f>
        <v>15762773405</v>
      </c>
      <c r="AD86" s="326">
        <f ca="1">IF($AD$26=1,R86,SUM(OFFSET(R86:AC86,0,0,1,$AD$26))-SUM(OFFSET(R86:AC86,0,0,1,$AD$26-1)))</f>
        <v>36688096679</v>
      </c>
      <c r="AE86" s="318">
        <f t="shared" ca="1" si="19"/>
        <v>36688096679</v>
      </c>
      <c r="AF86" s="326">
        <f>DTR!AA$86</f>
        <v>12939623311</v>
      </c>
      <c r="AG86" s="326">
        <f>DTR!AB$86</f>
        <v>16340093986</v>
      </c>
      <c r="AH86" s="326">
        <f>DTR!AC$86</f>
        <v>28822406885</v>
      </c>
      <c r="AI86" s="326">
        <f>DTR!AD$86</f>
        <v>28647773855</v>
      </c>
      <c r="AJ86" s="326">
        <f>DTR!AE$86</f>
        <v>51638550700</v>
      </c>
      <c r="AK86" s="326">
        <f>DTR!AF$86</f>
        <v>0</v>
      </c>
      <c r="AL86" s="326">
        <f>DTR!AG$86</f>
        <v>0</v>
      </c>
      <c r="AM86" s="326">
        <f>DTR!AH$86</f>
        <v>0</v>
      </c>
      <c r="AN86" s="326">
        <f>DTR!AI$86</f>
        <v>0</v>
      </c>
      <c r="AO86" s="326">
        <f>DTR!AJ$86</f>
        <v>0</v>
      </c>
      <c r="AP86" s="326">
        <f>DTR!AK$86</f>
        <v>0</v>
      </c>
      <c r="AQ86" s="326">
        <f>DTR!AL$86</f>
        <v>0</v>
      </c>
      <c r="AR86" s="326">
        <f t="shared" ca="1" si="23"/>
        <v>51638550700</v>
      </c>
      <c r="AS86" s="326">
        <f t="shared" ca="1" si="20"/>
        <v>51638550700</v>
      </c>
    </row>
    <row r="87" spans="1:45">
      <c r="A87" s="320" t="s">
        <v>172</v>
      </c>
      <c r="B87" t="s">
        <v>2</v>
      </c>
      <c r="D87" t="s">
        <v>50</v>
      </c>
      <c r="E87" s="305">
        <f>DTR!C101</f>
        <v>77616411070</v>
      </c>
      <c r="F87" s="305">
        <f>DTR!D101</f>
        <v>77522351070</v>
      </c>
      <c r="G87" s="305">
        <f>DTR!E101</f>
        <v>77463351070</v>
      </c>
      <c r="H87" s="305">
        <f>DTR!F101</f>
        <v>77168157678</v>
      </c>
      <c r="I87" s="305">
        <f>DTR!G101</f>
        <v>75214867678</v>
      </c>
      <c r="J87" s="305">
        <f>DTR!H101</f>
        <v>76544035678</v>
      </c>
      <c r="K87" s="305">
        <f>DTR!I101</f>
        <v>76656842286</v>
      </c>
      <c r="L87" s="305">
        <f>DTR!J101</f>
        <v>75999782286</v>
      </c>
      <c r="M87" s="305">
        <f>DTR!K101</f>
        <v>76594782286</v>
      </c>
      <c r="N87" s="305">
        <f>DTR!L101</f>
        <v>76818588894</v>
      </c>
      <c r="O87" s="305">
        <f>DTR!M101</f>
        <v>103444528894</v>
      </c>
      <c r="P87" s="305">
        <f>DTR!N101</f>
        <v>84737345522</v>
      </c>
      <c r="Q87" s="305">
        <f t="shared" ca="1" si="21"/>
        <v>75214867678</v>
      </c>
      <c r="R87" s="305">
        <f>DTR!O101</f>
        <v>108410341946</v>
      </c>
      <c r="S87" s="305">
        <f>DTR!P101</f>
        <v>104162504168</v>
      </c>
      <c r="T87" s="305">
        <f>DTR!Q101</f>
        <v>103325726390</v>
      </c>
      <c r="U87" s="305">
        <f>DTR!R101</f>
        <v>102252755220</v>
      </c>
      <c r="V87" s="305">
        <f>DTR!S101</f>
        <v>98004917442</v>
      </c>
      <c r="W87" s="305">
        <f>DTR!T101</f>
        <v>77121791394</v>
      </c>
      <c r="X87" s="305">
        <f>DTR!U101</f>
        <v>76048820224</v>
      </c>
      <c r="Y87" s="305">
        <f>DTR!V101</f>
        <v>74463510446</v>
      </c>
      <c r="Z87" s="305">
        <f>DTR!W101</f>
        <v>73626732668</v>
      </c>
      <c r="AA87" s="305">
        <f>DTR!X101</f>
        <v>68573133942</v>
      </c>
      <c r="AB87" s="305">
        <f>DTR!Y101</f>
        <v>69631372942</v>
      </c>
      <c r="AC87" s="305">
        <f>DTR!Z101</f>
        <v>50382254354</v>
      </c>
      <c r="AD87" s="305">
        <f t="shared" ca="1" si="22"/>
        <v>98004917442</v>
      </c>
      <c r="AE87" s="318">
        <f t="shared" ca="1" si="19"/>
        <v>98004917442</v>
      </c>
      <c r="AF87" s="305">
        <f>DTR!AA$101</f>
        <v>49472841415</v>
      </c>
      <c r="AG87" s="305">
        <f>DTR!AB$101</f>
        <v>71400341415</v>
      </c>
      <c r="AH87" s="305">
        <f>DTR!AC$101</f>
        <v>80100341415</v>
      </c>
      <c r="AI87" s="305">
        <f>DTR!AD$101</f>
        <v>80100341415</v>
      </c>
      <c r="AJ87" s="305">
        <f>DTR!AE$101</f>
        <v>154933236415</v>
      </c>
      <c r="AK87" s="305">
        <f>DTR!AF$101</f>
        <v>0</v>
      </c>
      <c r="AL87" s="305">
        <f>DTR!AG$101</f>
        <v>0</v>
      </c>
      <c r="AM87" s="305">
        <f>DTR!AH$101</f>
        <v>0</v>
      </c>
      <c r="AN87" s="305">
        <f>DTR!AI$101</f>
        <v>0</v>
      </c>
      <c r="AO87" s="305">
        <f>DTR!AJ$101</f>
        <v>0</v>
      </c>
      <c r="AP87" s="305">
        <f>DTR!AK$101</f>
        <v>0</v>
      </c>
      <c r="AQ87" s="305">
        <f>DTR!AL$101</f>
        <v>0</v>
      </c>
      <c r="AR87" s="305">
        <f t="shared" ca="1" si="23"/>
        <v>154933236415</v>
      </c>
      <c r="AS87" s="305">
        <f t="shared" ca="1" si="20"/>
        <v>154933236415</v>
      </c>
    </row>
    <row r="88" spans="1:45">
      <c r="A88" s="320" t="s">
        <v>173</v>
      </c>
      <c r="B88" t="s">
        <v>2</v>
      </c>
      <c r="D88" s="328" t="s">
        <v>53</v>
      </c>
      <c r="E88" s="305">
        <f>DTR!C110</f>
        <v>77616411070</v>
      </c>
      <c r="F88" s="305">
        <f>DTR!D110</f>
        <v>77522351070</v>
      </c>
      <c r="G88" s="305">
        <f>DTR!E110</f>
        <v>77463351070</v>
      </c>
      <c r="H88" s="305">
        <f>DTR!F110</f>
        <v>77168157678</v>
      </c>
      <c r="I88" s="305">
        <f>DTR!G110</f>
        <v>75214867678</v>
      </c>
      <c r="J88" s="305">
        <f>DTR!H110</f>
        <v>76544035678</v>
      </c>
      <c r="K88" s="305">
        <f>DTR!I110</f>
        <v>76656842286</v>
      </c>
      <c r="L88" s="305">
        <f>DTR!J110</f>
        <v>75999782286</v>
      </c>
      <c r="M88" s="305">
        <f>DTR!K110</f>
        <v>76594782286</v>
      </c>
      <c r="N88" s="305">
        <f>DTR!L110</f>
        <v>76818588894</v>
      </c>
      <c r="O88" s="305">
        <f>DTR!M110</f>
        <v>103444528894</v>
      </c>
      <c r="P88" s="305">
        <f>DTR!N110</f>
        <v>82898404212</v>
      </c>
      <c r="Q88" s="305">
        <f t="shared" ca="1" si="21"/>
        <v>75214867678</v>
      </c>
      <c r="R88" s="305">
        <f>DTR!O110</f>
        <v>108410341946</v>
      </c>
      <c r="S88" s="305">
        <f>DTR!P110</f>
        <v>104162504168</v>
      </c>
      <c r="T88" s="305">
        <f>DTR!Q110</f>
        <v>103325726390</v>
      </c>
      <c r="U88" s="305">
        <f>DTR!R110</f>
        <v>102252755220</v>
      </c>
      <c r="V88" s="305">
        <f>DTR!S110</f>
        <v>98004917442</v>
      </c>
      <c r="W88" s="305">
        <f>DTR!T110</f>
        <v>77121791394</v>
      </c>
      <c r="X88" s="305">
        <f>DTR!U110</f>
        <v>76048820224</v>
      </c>
      <c r="Y88" s="305">
        <f>DTR!V110</f>
        <v>74463510446</v>
      </c>
      <c r="Z88" s="305">
        <f>DTR!W110</f>
        <v>73626732668</v>
      </c>
      <c r="AA88" s="305">
        <f>DTR!X110</f>
        <v>68573133942</v>
      </c>
      <c r="AB88" s="305">
        <f>DTR!Y110</f>
        <v>69631372942</v>
      </c>
      <c r="AC88" s="305">
        <f>DTR!Z110</f>
        <v>50382254354</v>
      </c>
      <c r="AD88" s="305">
        <f t="shared" ca="1" si="22"/>
        <v>98004917442</v>
      </c>
      <c r="AE88" s="318">
        <f t="shared" ca="1" si="19"/>
        <v>98004917442</v>
      </c>
      <c r="AF88" s="305">
        <f>DTR!AA$110</f>
        <v>49472841415</v>
      </c>
      <c r="AG88" s="305">
        <f>DTR!AB$110</f>
        <v>71400341415</v>
      </c>
      <c r="AH88" s="305">
        <f>DTR!AC$110</f>
        <v>80100341415</v>
      </c>
      <c r="AI88" s="305">
        <f>DTR!AD$110</f>
        <v>80100341415</v>
      </c>
      <c r="AJ88" s="305">
        <f>DTR!AE$110</f>
        <v>154933236415</v>
      </c>
      <c r="AK88" s="305">
        <f>DTR!AF$110</f>
        <v>0</v>
      </c>
      <c r="AL88" s="305">
        <f>DTR!AG$110</f>
        <v>0</v>
      </c>
      <c r="AM88" s="305">
        <f>DTR!AH$110</f>
        <v>0</v>
      </c>
      <c r="AN88" s="305">
        <f>DTR!AI$110</f>
        <v>0</v>
      </c>
      <c r="AO88" s="305">
        <f>DTR!AJ$110</f>
        <v>0</v>
      </c>
      <c r="AP88" s="305">
        <f>DTR!AK$110</f>
        <v>0</v>
      </c>
      <c r="AQ88" s="305">
        <f>DTR!AL$110</f>
        <v>0</v>
      </c>
      <c r="AR88" s="305">
        <f t="shared" ca="1" si="23"/>
        <v>154933236415</v>
      </c>
      <c r="AS88" s="305">
        <f t="shared" ca="1" si="20"/>
        <v>154933236415</v>
      </c>
    </row>
    <row r="89" spans="1:45">
      <c r="A89" s="320" t="s">
        <v>174</v>
      </c>
      <c r="B89" t="s">
        <v>2</v>
      </c>
      <c r="D89" t="s">
        <v>56</v>
      </c>
      <c r="E89" s="305">
        <f>DTR!C116</f>
        <v>803168048821</v>
      </c>
      <c r="F89" s="305">
        <f>DTR!D116</f>
        <v>797897400024</v>
      </c>
      <c r="G89" s="305">
        <f>DTR!E116</f>
        <v>794938090423</v>
      </c>
      <c r="H89" s="305">
        <f>DTR!F116</f>
        <v>797413337163</v>
      </c>
      <c r="I89" s="305">
        <f>DTR!G116</f>
        <v>793259934823</v>
      </c>
      <c r="J89" s="305">
        <f>DTR!H116</f>
        <v>783044486756</v>
      </c>
      <c r="K89" s="305">
        <f>DTR!I116</f>
        <v>769519801263</v>
      </c>
      <c r="L89" s="305">
        <f>DTR!J116</f>
        <v>761236853278</v>
      </c>
      <c r="M89" s="305">
        <f>DTR!K116</f>
        <v>770910121395</v>
      </c>
      <c r="N89" s="305">
        <f>DTR!L116</f>
        <v>765931936164</v>
      </c>
      <c r="O89" s="305">
        <f>DTR!M116</f>
        <v>762689916038</v>
      </c>
      <c r="P89" s="305">
        <f>DTR!N116</f>
        <v>854759655867</v>
      </c>
      <c r="Q89" s="305">
        <f t="shared" ca="1" si="21"/>
        <v>793259934823</v>
      </c>
      <c r="R89" s="305">
        <f>DTR!O116</f>
        <v>859656736419</v>
      </c>
      <c r="S89" s="305">
        <f>DTR!P116</f>
        <v>877057533148</v>
      </c>
      <c r="T89" s="305">
        <f>DTR!Q116</f>
        <v>884155782207</v>
      </c>
      <c r="U89" s="305">
        <f>DTR!R116</f>
        <v>887906765692</v>
      </c>
      <c r="V89" s="305">
        <f>DTR!S116</f>
        <v>897436969996</v>
      </c>
      <c r="W89" s="305">
        <f>DTR!T116</f>
        <v>898509470753</v>
      </c>
      <c r="X89" s="305">
        <f>DTR!U116</f>
        <v>899548988610</v>
      </c>
      <c r="Y89" s="305">
        <f>DTR!V116</f>
        <v>899642208341</v>
      </c>
      <c r="Z89" s="305">
        <f>DTR!W116</f>
        <v>889440053690</v>
      </c>
      <c r="AA89" s="305">
        <f>DTR!X116</f>
        <v>884755395640</v>
      </c>
      <c r="AB89" s="305">
        <f>DTR!Y116</f>
        <v>877834897793</v>
      </c>
      <c r="AC89" s="305">
        <f>DTR!Z116</f>
        <v>880496410801</v>
      </c>
      <c r="AD89" s="305">
        <f t="shared" ca="1" si="22"/>
        <v>897436969996</v>
      </c>
      <c r="AE89" s="318">
        <f t="shared" ca="1" si="19"/>
        <v>897436969996</v>
      </c>
      <c r="AF89" s="305">
        <f>DTR!AA$116</f>
        <v>878802950065</v>
      </c>
      <c r="AG89" s="305">
        <f>DTR!AB$116</f>
        <v>872383736327</v>
      </c>
      <c r="AH89" s="305">
        <f>DTR!AC$116</f>
        <v>865718329703</v>
      </c>
      <c r="AI89" s="305">
        <f>DTR!AD$116</f>
        <v>869422083915</v>
      </c>
      <c r="AJ89" s="305">
        <f>DTR!AE$116</f>
        <v>877649509332</v>
      </c>
      <c r="AK89" s="305">
        <f>DTR!AF$116</f>
        <v>0</v>
      </c>
      <c r="AL89" s="305">
        <f>DTR!AG$116</f>
        <v>0</v>
      </c>
      <c r="AM89" s="305">
        <f>DTR!AH$116</f>
        <v>0</v>
      </c>
      <c r="AN89" s="305">
        <f>DTR!AI$116</f>
        <v>0</v>
      </c>
      <c r="AO89" s="305">
        <f>DTR!AJ$116</f>
        <v>0</v>
      </c>
      <c r="AP89" s="305">
        <f>DTR!AK$116</f>
        <v>0</v>
      </c>
      <c r="AQ89" s="305">
        <f>DTR!AL$116</f>
        <v>0</v>
      </c>
      <c r="AR89" s="305">
        <f t="shared" ca="1" si="23"/>
        <v>877649509332</v>
      </c>
      <c r="AS89" s="305">
        <f t="shared" ca="1" si="20"/>
        <v>877649509332</v>
      </c>
    </row>
    <row r="90" spans="1:45">
      <c r="A90" s="320" t="s">
        <v>175</v>
      </c>
      <c r="B90" t="s">
        <v>2</v>
      </c>
      <c r="D90" t="s">
        <v>176</v>
      </c>
      <c r="E90" s="305">
        <f>DTR!C117</f>
        <v>650000000000</v>
      </c>
      <c r="F90" s="305">
        <f>DTR!D117</f>
        <v>650000000000</v>
      </c>
      <c r="G90" s="305">
        <f>DTR!E117</f>
        <v>650000000000</v>
      </c>
      <c r="H90" s="305">
        <f>DTR!F117</f>
        <v>650000000000</v>
      </c>
      <c r="I90" s="305">
        <f>DTR!G117</f>
        <v>650000000000</v>
      </c>
      <c r="J90" s="305">
        <f>DTR!H117</f>
        <v>650000000000</v>
      </c>
      <c r="K90" s="305">
        <f>DTR!I117</f>
        <v>650000000000</v>
      </c>
      <c r="L90" s="305">
        <f>DTR!J117</f>
        <v>650000000000</v>
      </c>
      <c r="M90" s="305">
        <f>DTR!K117</f>
        <v>650000000000</v>
      </c>
      <c r="N90" s="305">
        <f>DTR!L117</f>
        <v>650000000000</v>
      </c>
      <c r="O90" s="305">
        <f>DTR!M117</f>
        <v>650000000000</v>
      </c>
      <c r="P90" s="305">
        <f>DTR!N117</f>
        <v>650000000000</v>
      </c>
      <c r="Q90" s="305">
        <f t="shared" ca="1" si="21"/>
        <v>650000000000</v>
      </c>
      <c r="R90" s="305">
        <f>DTR!O117</f>
        <v>650000000000</v>
      </c>
      <c r="S90" s="305">
        <f>DTR!P117</f>
        <v>650000000000</v>
      </c>
      <c r="T90" s="305">
        <f>DTR!Q117</f>
        <v>650000000000</v>
      </c>
      <c r="U90" s="305">
        <f>DTR!R117</f>
        <v>650000000000</v>
      </c>
      <c r="V90" s="305">
        <f>DTR!S117</f>
        <v>650000000000</v>
      </c>
      <c r="W90" s="305">
        <f>DTR!T117</f>
        <v>650000000000</v>
      </c>
      <c r="X90" s="305">
        <f>DTR!U117</f>
        <v>650000000000</v>
      </c>
      <c r="Y90" s="305">
        <f>DTR!V117</f>
        <v>650000000000</v>
      </c>
      <c r="Z90" s="305">
        <f>DTR!W117</f>
        <v>650000000000</v>
      </c>
      <c r="AA90" s="305">
        <f>DTR!X117</f>
        <v>650000000000</v>
      </c>
      <c r="AB90" s="305">
        <f>DTR!Y117</f>
        <v>650000000000</v>
      </c>
      <c r="AC90" s="305">
        <f>DTR!Z117</f>
        <v>650000000000</v>
      </c>
      <c r="AD90" s="305">
        <f t="shared" ca="1" si="22"/>
        <v>650000000000</v>
      </c>
      <c r="AE90" s="318">
        <f t="shared" ca="1" si="19"/>
        <v>650000000000</v>
      </c>
      <c r="AF90" s="305">
        <f>DTR!AA$117</f>
        <v>650000000000</v>
      </c>
      <c r="AG90" s="305">
        <f>DTR!AB$117</f>
        <v>650000000000</v>
      </c>
      <c r="AH90" s="305">
        <f>DTR!AC$117</f>
        <v>650000000000</v>
      </c>
      <c r="AI90" s="305">
        <f>DTR!AD$117</f>
        <v>650000000000</v>
      </c>
      <c r="AJ90" s="305">
        <f>DTR!AE$117</f>
        <v>650000000000</v>
      </c>
      <c r="AK90" s="305">
        <f>DTR!AF$117</f>
        <v>0</v>
      </c>
      <c r="AL90" s="305">
        <f>DTR!AG$117</f>
        <v>0</v>
      </c>
      <c r="AM90" s="305">
        <f>DTR!AH$117</f>
        <v>0</v>
      </c>
      <c r="AN90" s="305">
        <f>DTR!AI$117</f>
        <v>0</v>
      </c>
      <c r="AO90" s="305">
        <f>DTR!AJ$117</f>
        <v>0</v>
      </c>
      <c r="AP90" s="305">
        <f>DTR!AK$117</f>
        <v>0</v>
      </c>
      <c r="AQ90" s="305">
        <f>DTR!AL$117</f>
        <v>0</v>
      </c>
      <c r="AR90" s="305">
        <f t="shared" ca="1" si="23"/>
        <v>650000000000</v>
      </c>
      <c r="AS90" s="305">
        <f t="shared" ca="1" si="20"/>
        <v>650000000000</v>
      </c>
    </row>
    <row r="91" spans="1:45">
      <c r="A91" s="320" t="s">
        <v>177</v>
      </c>
      <c r="B91" t="s">
        <v>2</v>
      </c>
      <c r="D91" s="328" t="s">
        <v>59</v>
      </c>
      <c r="E91" s="319">
        <f>DTR!C128</f>
        <v>153168048821</v>
      </c>
      <c r="F91" s="319">
        <f>DTR!D128</f>
        <v>147897400024</v>
      </c>
      <c r="G91" s="319">
        <f>DTR!E128</f>
        <v>144938090423</v>
      </c>
      <c r="H91" s="319">
        <f>DTR!F128</f>
        <v>147413337163</v>
      </c>
      <c r="I91" s="319">
        <f>DTR!G128</f>
        <v>143259934823</v>
      </c>
      <c r="J91" s="319">
        <f>DTR!H128</f>
        <v>133044486756</v>
      </c>
      <c r="K91" s="319">
        <f>DTR!I128</f>
        <v>119519801263</v>
      </c>
      <c r="L91" s="319">
        <f>DTR!J128</f>
        <v>111236853278</v>
      </c>
      <c r="M91" s="319">
        <f>DTR!K128</f>
        <v>120910121395</v>
      </c>
      <c r="N91" s="319">
        <f>DTR!L128</f>
        <v>115931936164</v>
      </c>
      <c r="O91" s="319">
        <f>DTR!M128</f>
        <v>112689916038</v>
      </c>
      <c r="P91" s="319">
        <f>DTR!N128</f>
        <v>204759655867</v>
      </c>
      <c r="Q91" s="319">
        <f t="shared" ca="1" si="21"/>
        <v>143259934823</v>
      </c>
      <c r="R91" s="319">
        <f>DTR!O128</f>
        <v>209656736419</v>
      </c>
      <c r="S91" s="319">
        <f>DTR!P128</f>
        <v>227057533148</v>
      </c>
      <c r="T91" s="319">
        <f>DTR!Q128</f>
        <v>234155782207</v>
      </c>
      <c r="U91" s="319">
        <f>DTR!R128</f>
        <v>237906765692</v>
      </c>
      <c r="V91" s="319">
        <f>DTR!S128</f>
        <v>247436969996</v>
      </c>
      <c r="W91" s="319">
        <f>DTR!T128</f>
        <v>248509470753</v>
      </c>
      <c r="X91" s="319">
        <f>DTR!U128</f>
        <v>249548988610</v>
      </c>
      <c r="Y91" s="319">
        <f>DTR!V128</f>
        <v>249642208341</v>
      </c>
      <c r="Z91" s="319">
        <f>DTR!W128</f>
        <v>239440053690</v>
      </c>
      <c r="AA91" s="319">
        <f>DTR!X128</f>
        <v>234755395640</v>
      </c>
      <c r="AB91" s="319">
        <f>DTR!Y128</f>
        <v>227834897793</v>
      </c>
      <c r="AC91" s="319">
        <f>DTR!Z128</f>
        <v>230496410801</v>
      </c>
      <c r="AD91" s="319">
        <f t="shared" ca="1" si="22"/>
        <v>247436969996</v>
      </c>
      <c r="AE91" s="318">
        <f t="shared" ca="1" si="19"/>
        <v>247436969996</v>
      </c>
      <c r="AF91" s="319">
        <f>DTR!AA$128</f>
        <v>228802950065</v>
      </c>
      <c r="AG91" s="319">
        <f>DTR!AB$128</f>
        <v>222383736327</v>
      </c>
      <c r="AH91" s="319">
        <f>DTR!AC$128</f>
        <v>215718329703</v>
      </c>
      <c r="AI91" s="319">
        <f>DTR!AD$128</f>
        <v>219422083915</v>
      </c>
      <c r="AJ91" s="319">
        <f>DTR!AE$128</f>
        <v>227649509332</v>
      </c>
      <c r="AK91" s="319">
        <f>DTR!AF$128</f>
        <v>0</v>
      </c>
      <c r="AL91" s="319">
        <f>DTR!AG$128</f>
        <v>0</v>
      </c>
      <c r="AM91" s="319">
        <f>DTR!AH$128</f>
        <v>0</v>
      </c>
      <c r="AN91" s="319">
        <f>DTR!AI$128</f>
        <v>0</v>
      </c>
      <c r="AO91" s="319">
        <f>DTR!AJ$128</f>
        <v>0</v>
      </c>
      <c r="AP91" s="319">
        <f>DTR!AK$128</f>
        <v>0</v>
      </c>
      <c r="AQ91" s="319">
        <f>DTR!AL$128</f>
        <v>0</v>
      </c>
      <c r="AR91" s="319">
        <f t="shared" ca="1" si="23"/>
        <v>227649509332</v>
      </c>
      <c r="AS91" s="319">
        <f t="shared" ca="1" si="20"/>
        <v>227649509332</v>
      </c>
    </row>
    <row r="92" spans="1:45">
      <c r="A92" s="320" t="s">
        <v>178</v>
      </c>
      <c r="B92" t="s">
        <v>2</v>
      </c>
      <c r="D92" s="320" t="s">
        <v>61</v>
      </c>
      <c r="E92" s="329">
        <f>DTR!C131</f>
        <v>1057106496455</v>
      </c>
      <c r="F92" s="329">
        <f>DTR!D131</f>
        <v>1040899556726</v>
      </c>
      <c r="G92" s="329">
        <f>DTR!E131</f>
        <v>1086669152157</v>
      </c>
      <c r="H92" s="329">
        <f>DTR!F131</f>
        <v>1148318840816</v>
      </c>
      <c r="I92" s="329">
        <f>DTR!G131</f>
        <v>1198063045295</v>
      </c>
      <c r="J92" s="329">
        <f>DTR!H131</f>
        <v>1227310309881</v>
      </c>
      <c r="K92" s="329">
        <f>DTR!I131</f>
        <v>1174913086353</v>
      </c>
      <c r="L92" s="329">
        <f>DTR!J131</f>
        <v>1123552712261</v>
      </c>
      <c r="M92" s="329">
        <f>DTR!K131</f>
        <v>1164304769268</v>
      </c>
      <c r="N92" s="329">
        <f>DTR!L131</f>
        <v>1184459048233</v>
      </c>
      <c r="O92" s="329">
        <f>DTR!M131</f>
        <v>1262755141991</v>
      </c>
      <c r="P92" s="329">
        <f>DTR!N131</f>
        <v>1255526266731</v>
      </c>
      <c r="Q92" s="329">
        <f t="shared" ca="1" si="21"/>
        <v>1198063045295</v>
      </c>
      <c r="R92" s="329">
        <f>DTR!O131</f>
        <v>1184167227046</v>
      </c>
      <c r="S92" s="329">
        <f>DTR!P131</f>
        <v>1099673392126</v>
      </c>
      <c r="T92" s="329">
        <f>DTR!Q131</f>
        <v>1153710875298</v>
      </c>
      <c r="U92" s="329">
        <f>DTR!R131</f>
        <v>1224376777626</v>
      </c>
      <c r="V92" s="329">
        <f>DTR!S131</f>
        <v>1280979662011</v>
      </c>
      <c r="W92" s="329">
        <f>DTR!T131</f>
        <v>1310961670922</v>
      </c>
      <c r="X92" s="329">
        <f>DTR!U131</f>
        <v>1296565798277</v>
      </c>
      <c r="Y92" s="329">
        <f>DTR!V131</f>
        <v>1356526045802</v>
      </c>
      <c r="Z92" s="329">
        <f>DTR!W131</f>
        <v>1344912228849</v>
      </c>
      <c r="AA92" s="329">
        <f>DTR!X131</f>
        <v>1299331457948</v>
      </c>
      <c r="AB92" s="329">
        <f>DTR!Y131</f>
        <v>1275169884404</v>
      </c>
      <c r="AC92" s="329">
        <f>DTR!Z131</f>
        <v>1266017714532</v>
      </c>
      <c r="AD92" s="341">
        <f t="shared" ca="1" si="22"/>
        <v>1280979662011</v>
      </c>
      <c r="AE92" s="318">
        <f t="shared" ca="1" si="19"/>
        <v>1280979662011</v>
      </c>
      <c r="AF92" s="329">
        <f>DTR!AA$131</f>
        <v>1211566398236</v>
      </c>
      <c r="AG92" s="329">
        <f>DTR!AB$131</f>
        <v>1233002251518</v>
      </c>
      <c r="AH92" s="329">
        <f>DTR!AC$131</f>
        <v>1192063370403</v>
      </c>
      <c r="AI92" s="329">
        <f>DTR!AD$131</f>
        <v>1173001139790</v>
      </c>
      <c r="AJ92" s="329">
        <f>DTR!AE$131</f>
        <v>1251902380916</v>
      </c>
      <c r="AK92" s="329">
        <f>DTR!AF$131</f>
        <v>0</v>
      </c>
      <c r="AL92" s="329">
        <f>DTR!AG$131</f>
        <v>0</v>
      </c>
      <c r="AM92" s="329">
        <f>DTR!AH$131</f>
        <v>0</v>
      </c>
      <c r="AN92" s="329">
        <f>DTR!AI$131</f>
        <v>0</v>
      </c>
      <c r="AO92" s="329">
        <f>DTR!AJ$131</f>
        <v>0</v>
      </c>
      <c r="AP92" s="329">
        <f>DTR!AK$131</f>
        <v>0</v>
      </c>
      <c r="AQ92" s="329">
        <f>DTR!AL$131</f>
        <v>0</v>
      </c>
      <c r="AR92" s="305">
        <f t="shared" ca="1" si="23"/>
        <v>1251902380916</v>
      </c>
      <c r="AS92" s="305">
        <f t="shared" ca="1" si="20"/>
        <v>1251902380916</v>
      </c>
    </row>
    <row r="93" spans="1:45">
      <c r="A93" s="317"/>
      <c r="B93" s="343" t="s">
        <v>2</v>
      </c>
      <c r="C93" s="343"/>
      <c r="D93" s="339" t="s">
        <v>102</v>
      </c>
      <c r="E93" s="330">
        <f t="shared" ref="E93:P93" si="24">SUM(E47:E51)+SUM(E58:E59)+E64</f>
        <v>15301449343</v>
      </c>
      <c r="F93" s="330">
        <f t="shared" si="24"/>
        <v>13873740837</v>
      </c>
      <c r="G93" s="330">
        <f t="shared" si="24"/>
        <v>20712853309</v>
      </c>
      <c r="H93" s="330">
        <f t="shared" si="24"/>
        <v>19330106722</v>
      </c>
      <c r="I93" s="330">
        <f t="shared" si="24"/>
        <v>21375798228</v>
      </c>
      <c r="J93" s="330">
        <f t="shared" si="24"/>
        <v>20743137066</v>
      </c>
      <c r="K93" s="330">
        <f t="shared" si="24"/>
        <v>19696084735</v>
      </c>
      <c r="L93" s="330">
        <f t="shared" si="24"/>
        <v>21459303344</v>
      </c>
      <c r="M93" s="330">
        <f t="shared" si="24"/>
        <v>23167883423</v>
      </c>
      <c r="N93" s="330">
        <f t="shared" si="24"/>
        <v>22887389478</v>
      </c>
      <c r="O93" s="330">
        <f t="shared" si="24"/>
        <v>22905057460</v>
      </c>
      <c r="P93" s="330">
        <f t="shared" si="24"/>
        <v>25170049427</v>
      </c>
      <c r="Q93" s="330">
        <f ca="1">SUM(OFFSET(E93:P93,0,0,1,$AD$26))</f>
        <v>90593948439</v>
      </c>
      <c r="R93" s="330">
        <f>SUM(R47:R51)+SUM(R58:R59)+R64</f>
        <v>23429032258</v>
      </c>
      <c r="S93" s="330">
        <f t="shared" ref="S93:AC93" si="25">SUM(S47:S51)+SUM(S58:S59)+S64</f>
        <v>22438832555</v>
      </c>
      <c r="T93" s="330">
        <f t="shared" si="25"/>
        <v>24091469238</v>
      </c>
      <c r="U93" s="330">
        <f t="shared" si="25"/>
        <v>24143191429</v>
      </c>
      <c r="V93" s="330">
        <f t="shared" si="25"/>
        <v>24373096712</v>
      </c>
      <c r="W93" s="330">
        <f t="shared" si="25"/>
        <v>24531919151</v>
      </c>
      <c r="X93" s="330">
        <f t="shared" si="25"/>
        <v>25277267823</v>
      </c>
      <c r="Y93" s="330">
        <f t="shared" si="25"/>
        <v>25871125737</v>
      </c>
      <c r="Z93" s="330">
        <f t="shared" si="25"/>
        <v>27374808434</v>
      </c>
      <c r="AA93" s="330">
        <f t="shared" si="25"/>
        <v>24985487156</v>
      </c>
      <c r="AB93" s="330">
        <f t="shared" si="25"/>
        <v>26745872181</v>
      </c>
      <c r="AC93" s="330">
        <f t="shared" si="25"/>
        <v>33123811977</v>
      </c>
      <c r="AD93" s="330">
        <f ca="1">SUM(OFFSET(R93:AC93,0,0,1,$AD$26))</f>
        <v>118475622192</v>
      </c>
      <c r="AE93" s="318">
        <f t="shared" ca="1" si="19"/>
        <v>24373096712</v>
      </c>
      <c r="AF93" s="330">
        <f t="shared" ref="AF93:AQ93" si="26">SUM(AF47:AF51)+SUM(AF58:AF59)+AF64</f>
        <v>25963949522</v>
      </c>
      <c r="AG93" s="330">
        <f t="shared" si="26"/>
        <v>23532808125</v>
      </c>
      <c r="AH93" s="330">
        <f t="shared" si="26"/>
        <v>25171219709</v>
      </c>
      <c r="AI93" s="330">
        <f t="shared" si="26"/>
        <v>26897182055</v>
      </c>
      <c r="AJ93" s="330">
        <f t="shared" si="26"/>
        <v>26727000618</v>
      </c>
      <c r="AK93" s="330">
        <f t="shared" si="26"/>
        <v>27758742636.625896</v>
      </c>
      <c r="AL93" s="330">
        <f t="shared" si="26"/>
        <v>27601428584.016621</v>
      </c>
      <c r="AM93" s="330">
        <f t="shared" si="26"/>
        <v>27642838800.225708</v>
      </c>
      <c r="AN93" s="330">
        <f t="shared" si="26"/>
        <v>28672412840.485493</v>
      </c>
      <c r="AO93" s="330">
        <f t="shared" si="26"/>
        <v>26610003044.887459</v>
      </c>
      <c r="AP93" s="330">
        <f t="shared" si="26"/>
        <v>26989322025.05838</v>
      </c>
      <c r="AQ93" s="330">
        <f t="shared" si="26"/>
        <v>29964082545.004047</v>
      </c>
      <c r="AR93" s="331">
        <f ca="1">SUM(OFFSET(AF93:AQ93,0,0,1,$AR$26))</f>
        <v>128292160029</v>
      </c>
      <c r="AS93" s="344">
        <f t="shared" ca="1" si="20"/>
        <v>26727000618</v>
      </c>
    </row>
    <row r="94" spans="1:45">
      <c r="A94" s="320"/>
      <c r="B94" s="320" t="s">
        <v>2</v>
      </c>
      <c r="C94" s="320"/>
      <c r="D94" s="342" t="s">
        <v>179</v>
      </c>
      <c r="E94" s="332">
        <f>DTR!C117/10000</f>
        <v>65000000</v>
      </c>
      <c r="F94" s="332">
        <f>DTR!D117/10000</f>
        <v>65000000</v>
      </c>
      <c r="G94" s="332">
        <f>DTR!E117/10000</f>
        <v>65000000</v>
      </c>
      <c r="H94" s="332">
        <f>DTR!F117/10000</f>
        <v>65000000</v>
      </c>
      <c r="I94" s="332">
        <f>DTR!G117/10000</f>
        <v>65000000</v>
      </c>
      <c r="J94" s="332">
        <f>DTR!H117/10000</f>
        <v>65000000</v>
      </c>
      <c r="K94" s="332">
        <f>DTR!I117/10000</f>
        <v>65000000</v>
      </c>
      <c r="L94" s="332">
        <f>DTR!J117/10000</f>
        <v>65000000</v>
      </c>
      <c r="M94" s="332">
        <f>DTR!K117/10000</f>
        <v>65000000</v>
      </c>
      <c r="N94" s="332">
        <f>DTR!L117/10000</f>
        <v>65000000</v>
      </c>
      <c r="O94" s="332">
        <f>DTR!M117/10000</f>
        <v>65000000</v>
      </c>
      <c r="P94" s="332">
        <f>DTR!N117/10000</f>
        <v>65000000</v>
      </c>
      <c r="Q94" s="332">
        <f ca="1">IF($AD$26=1,E94,SUM(OFFSET(E94:P94,0,0,1,$AD$26))-SUM(OFFSET(E94:P94,0,0,1,$AD$26-1)))</f>
        <v>65000000</v>
      </c>
      <c r="R94" s="332">
        <f>DTR!O117/10000</f>
        <v>65000000</v>
      </c>
      <c r="S94" s="332">
        <f>DTR!P117/10000</f>
        <v>65000000</v>
      </c>
      <c r="T94" s="332">
        <f>DTR!Q117/10000</f>
        <v>65000000</v>
      </c>
      <c r="U94" s="332">
        <f>DTR!R117/10000</f>
        <v>65000000</v>
      </c>
      <c r="V94" s="332">
        <f>DTR!S117/10000</f>
        <v>65000000</v>
      </c>
      <c r="W94" s="332">
        <f>DTR!T117/10000</f>
        <v>65000000</v>
      </c>
      <c r="X94" s="332">
        <f>DTR!U117/10000</f>
        <v>65000000</v>
      </c>
      <c r="Y94" s="332">
        <f>DTR!V117/10000</f>
        <v>65000000</v>
      </c>
      <c r="Z94" s="332">
        <f>DTR!W117/10000</f>
        <v>65000000</v>
      </c>
      <c r="AA94" s="332">
        <f>DTR!X117/10000</f>
        <v>65000000</v>
      </c>
      <c r="AB94" s="332">
        <f>DTR!Y117/10000</f>
        <v>65000000</v>
      </c>
      <c r="AC94" s="332">
        <f>DTR!Z117/10000</f>
        <v>65000000</v>
      </c>
      <c r="AD94" s="332">
        <f ca="1">IF($AD$26=1,R94,SUM(OFFSET(R94:AC94,0,0,1,$AD$26))-SUM(OFFSET(R94:AC94,0,0,1,$AD$26-1)))</f>
        <v>65000000</v>
      </c>
      <c r="AE94" s="318">
        <f t="shared" ca="1" si="19"/>
        <v>65000000</v>
      </c>
      <c r="AF94" s="332">
        <f>DTR!AA$117/10000</f>
        <v>65000000</v>
      </c>
      <c r="AG94" s="332">
        <f>DTR!AB$117/10000</f>
        <v>65000000</v>
      </c>
      <c r="AH94" s="332">
        <f>DTR!AC$117/10000</f>
        <v>65000000</v>
      </c>
      <c r="AI94" s="332">
        <f>DTR!AD$117/10000</f>
        <v>65000000</v>
      </c>
      <c r="AJ94" s="332">
        <f>DTR!AE$117/10000</f>
        <v>65000000</v>
      </c>
      <c r="AK94" s="332">
        <f>DTR!AF$117/10000</f>
        <v>0</v>
      </c>
      <c r="AL94" s="332">
        <f>DTR!AG$117/10000</f>
        <v>0</v>
      </c>
      <c r="AM94" s="332">
        <f>DTR!AH$117/10000</f>
        <v>0</v>
      </c>
      <c r="AN94" s="332">
        <f>DTR!AI$117/10000</f>
        <v>0</v>
      </c>
      <c r="AO94" s="332">
        <f>DTR!AJ$117/10000</f>
        <v>0</v>
      </c>
      <c r="AP94" s="332">
        <f>DTR!AK$117/10000</f>
        <v>0</v>
      </c>
      <c r="AQ94" s="332">
        <f>DTR!AL$117/10000</f>
        <v>0</v>
      </c>
      <c r="AR94" s="332">
        <f ca="1">IF($AR$26=1,AF94,SUM(OFFSET(AF94:AQ94,0,0,1,$AR$26))-SUM(OFFSET(AF94:AQ94,0,0,1,$AR$26-1)))</f>
        <v>65000000</v>
      </c>
      <c r="AS94" s="323">
        <f t="shared" ca="1" si="20"/>
        <v>65000000</v>
      </c>
    </row>
    <row r="95" spans="1:45">
      <c r="A95" t="s">
        <v>180</v>
      </c>
      <c r="B95" t="s">
        <v>2</v>
      </c>
      <c r="D95" s="298" t="s">
        <v>181</v>
      </c>
      <c r="E95" s="333">
        <f>DTR!C157</f>
        <v>-729878180</v>
      </c>
      <c r="F95" s="333">
        <f>DTR!D157</f>
        <v>-5270648797</v>
      </c>
      <c r="G95" s="333">
        <f>DTR!E157</f>
        <v>-2959309601</v>
      </c>
      <c r="H95" s="333">
        <f>DTR!F157</f>
        <v>2475246740</v>
      </c>
      <c r="I95" s="333">
        <f>DTR!G157</f>
        <v>-4153402340</v>
      </c>
      <c r="J95" s="333">
        <f>DTR!H157</f>
        <v>-10215448067</v>
      </c>
      <c r="K95" s="333">
        <f>DTR!I157</f>
        <v>-13524685493</v>
      </c>
      <c r="L95" s="333">
        <f>DTR!J157</f>
        <v>-8282947985</v>
      </c>
      <c r="M95" s="333">
        <f>DTR!K157</f>
        <v>9673268117</v>
      </c>
      <c r="N95" s="333">
        <f>DTR!L157</f>
        <v>-4978185231</v>
      </c>
      <c r="O95" s="333">
        <f>DTR!M157</f>
        <v>-3242020126</v>
      </c>
      <c r="P95" s="333">
        <f>DTR!N157</f>
        <v>105403947594</v>
      </c>
      <c r="Q95" s="333">
        <f ca="1">SUM(OFFSET(E95:P95,0,0,1,$AD$26))</f>
        <v>-10637992178</v>
      </c>
      <c r="R95" s="333">
        <f>DTR!O157</f>
        <v>5761271238</v>
      </c>
      <c r="S95" s="333">
        <f>DTR!P157</f>
        <v>20413496509</v>
      </c>
      <c r="T95" s="333">
        <f>DTR!Q157</f>
        <v>8350881246</v>
      </c>
      <c r="U95" s="333">
        <f>DTR!R157</f>
        <v>4428276973</v>
      </c>
      <c r="V95" s="333">
        <f>DTR!S157</f>
        <v>11212005063</v>
      </c>
      <c r="W95" s="333">
        <f>DTR!T157</f>
        <v>1261765596</v>
      </c>
      <c r="X95" s="333">
        <f>DTR!U157</f>
        <v>-1791468483</v>
      </c>
      <c r="Y95" s="333">
        <f>DTR!V157</f>
        <v>297419333</v>
      </c>
      <c r="Z95" s="333">
        <f>DTR!W157</f>
        <v>-11551325497</v>
      </c>
      <c r="AA95" s="333">
        <f>DTR!X157</f>
        <v>-5201346672</v>
      </c>
      <c r="AB95" s="333">
        <f>DTR!Y157</f>
        <v>-7774530924</v>
      </c>
      <c r="AC95" s="333">
        <f>DTR!Z157</f>
        <v>5991671450</v>
      </c>
      <c r="AD95" s="333">
        <f ca="1">SUM(OFFSET(R95:AC95,0,0,1,$AD$26))</f>
        <v>50165931029</v>
      </c>
      <c r="AE95" s="318">
        <f t="shared" ca="1" si="19"/>
        <v>11212005063</v>
      </c>
      <c r="AF95" s="333">
        <f>DTR!AA$157</f>
        <v>-1693460736</v>
      </c>
      <c r="AG95" s="333">
        <f>DTR!AB$157</f>
        <v>-6419213738</v>
      </c>
      <c r="AH95" s="333">
        <f>DTR!AC$157</f>
        <v>-6818467491</v>
      </c>
      <c r="AI95" s="333">
        <f>DTR!AD$157</f>
        <v>3703754212</v>
      </c>
      <c r="AJ95" s="333">
        <f>DTR!AE$157</f>
        <v>8181583918</v>
      </c>
      <c r="AK95" s="333">
        <f>DTR!AF$157</f>
        <v>0</v>
      </c>
      <c r="AL95" s="333">
        <f>DTR!AG$157</f>
        <v>0</v>
      </c>
      <c r="AM95" s="333">
        <f>DTR!AH$157</f>
        <v>0</v>
      </c>
      <c r="AN95" s="333">
        <f>DTR!AI$157</f>
        <v>0</v>
      </c>
      <c r="AO95" s="333">
        <f>DTR!AJ$157</f>
        <v>0</v>
      </c>
      <c r="AP95" s="333">
        <f>DTR!AK$157</f>
        <v>0</v>
      </c>
      <c r="AQ95" s="333">
        <f>DTR!AL$157</f>
        <v>0</v>
      </c>
      <c r="AR95" s="333">
        <f ca="1">SUM(OFFSET(AF95:AQ95,0,0,1,$AR$26))</f>
        <v>-3045803835</v>
      </c>
      <c r="AS95" s="333">
        <f t="shared" ca="1" si="20"/>
        <v>8181583918</v>
      </c>
    </row>
    <row r="96" spans="1:45">
      <c r="A96" t="s">
        <v>182</v>
      </c>
      <c r="B96" t="s">
        <v>2</v>
      </c>
      <c r="D96" t="s">
        <v>183</v>
      </c>
      <c r="E96" s="305">
        <f>DTR!C159</f>
        <v>2998479509</v>
      </c>
      <c r="F96" s="305">
        <f>DTR!D159</f>
        <v>3003358762</v>
      </c>
      <c r="G96" s="305">
        <f>DTR!E159</f>
        <v>2998978933</v>
      </c>
      <c r="H96" s="305">
        <f>DTR!F159</f>
        <v>3181024399</v>
      </c>
      <c r="I96" s="305">
        <f>DTR!G159</f>
        <v>3238724278</v>
      </c>
      <c r="J96" s="305">
        <f>DTR!H159</f>
        <v>3240440023</v>
      </c>
      <c r="K96" s="305">
        <f>DTR!I159</f>
        <v>3274496481</v>
      </c>
      <c r="L96" s="305">
        <f>DTR!J159</f>
        <v>3295429795</v>
      </c>
      <c r="M96" s="305">
        <f>DTR!K159</f>
        <v>3434711622</v>
      </c>
      <c r="N96" s="305">
        <f>DTR!L159</f>
        <v>3434792405</v>
      </c>
      <c r="O96" s="305">
        <f>DTR!M159</f>
        <v>3448986541</v>
      </c>
      <c r="P96" s="305">
        <f>DTR!N159</f>
        <v>3762460661</v>
      </c>
      <c r="Q96" s="305">
        <f t="shared" ref="Q96:Q117" ca="1" si="27">SUM(OFFSET(E96:P96,0,0,1,$AD$26))</f>
        <v>15420565881</v>
      </c>
      <c r="R96" s="305">
        <f>DTR!O159</f>
        <v>3803154168</v>
      </c>
      <c r="S96" s="305">
        <f>DTR!P159</f>
        <v>3804698614</v>
      </c>
      <c r="T96" s="305">
        <f>DTR!Q159</f>
        <v>4002633975</v>
      </c>
      <c r="U96" s="305">
        <f>DTR!R159</f>
        <v>3905195928</v>
      </c>
      <c r="V96" s="305">
        <f>DTR!S159</f>
        <v>4091854986</v>
      </c>
      <c r="W96" s="305">
        <f>DTR!T159</f>
        <v>4087468338</v>
      </c>
      <c r="X96" s="305">
        <f>DTR!U159</f>
        <v>4085457551</v>
      </c>
      <c r="Y96" s="305">
        <f>DTR!V159</f>
        <v>4092995160</v>
      </c>
      <c r="Z96" s="305">
        <f>DTR!W159</f>
        <v>4407500048</v>
      </c>
      <c r="AA96" s="305">
        <f>DTR!X159</f>
        <v>4260856692</v>
      </c>
      <c r="AB96" s="305">
        <f>DTR!Y159</f>
        <v>4421950561</v>
      </c>
      <c r="AC96" s="305">
        <f>DTR!Z159</f>
        <v>4442318343</v>
      </c>
      <c r="AD96" s="305">
        <f ca="1">SUM(OFFSET(R96:AC96,0,0,1,$AD$26))</f>
        <v>19607537671</v>
      </c>
      <c r="AE96" s="318">
        <f t="shared" ca="1" si="19"/>
        <v>4091854986</v>
      </c>
      <c r="AF96" s="305">
        <f>DTR!AA$159</f>
        <v>2133968845</v>
      </c>
      <c r="AG96" s="305">
        <f>DTR!AB$159</f>
        <v>2103008488</v>
      </c>
      <c r="AH96" s="305">
        <f>DTR!AC$159</f>
        <v>2118111558</v>
      </c>
      <c r="AI96" s="305">
        <f>DTR!AD$159</f>
        <v>2277961573</v>
      </c>
      <c r="AJ96" s="305">
        <f>DTR!AE$159</f>
        <v>2330977557</v>
      </c>
      <c r="AK96" s="305">
        <f>DTR!AF$159</f>
        <v>0</v>
      </c>
      <c r="AL96" s="305">
        <f>DTR!AG$159</f>
        <v>0</v>
      </c>
      <c r="AM96" s="305">
        <f>DTR!AH$159</f>
        <v>0</v>
      </c>
      <c r="AN96" s="305">
        <f>DTR!AI$159</f>
        <v>0</v>
      </c>
      <c r="AO96" s="305">
        <f>DTR!AJ$159</f>
        <v>0</v>
      </c>
      <c r="AP96" s="305">
        <f>DTR!AK$159</f>
        <v>0</v>
      </c>
      <c r="AQ96" s="305">
        <f>DTR!AL$159</f>
        <v>0</v>
      </c>
      <c r="AR96" s="305">
        <f>AF96</f>
        <v>2133968845</v>
      </c>
      <c r="AS96" s="305">
        <f t="shared" ca="1" si="20"/>
        <v>2330977557</v>
      </c>
    </row>
    <row r="97" spans="1:45">
      <c r="A97" t="s">
        <v>184</v>
      </c>
      <c r="B97" t="s">
        <v>2</v>
      </c>
      <c r="D97" t="s">
        <v>185</v>
      </c>
      <c r="E97" s="305">
        <f>SUM(DTR!C160:C164)</f>
        <v>367476086</v>
      </c>
      <c r="F97" s="305">
        <f>SUM(DTR!D160:D164)</f>
        <v>136535641</v>
      </c>
      <c r="G97" s="305">
        <f>SUM(DTR!E160:E164)</f>
        <v>76229245</v>
      </c>
      <c r="H97" s="305">
        <f>SUM(DTR!F160:F164)</f>
        <v>597587201</v>
      </c>
      <c r="I97" s="305">
        <f>SUM(DTR!G160:G164)</f>
        <v>142834002</v>
      </c>
      <c r="J97" s="305">
        <f>SUM(DTR!H160:H164)</f>
        <v>845006037</v>
      </c>
      <c r="K97" s="305">
        <f>SUM(DTR!I160:I164)</f>
        <v>979573206</v>
      </c>
      <c r="L97" s="305">
        <f>SUM(DTR!J160:J164)</f>
        <v>674609648</v>
      </c>
      <c r="M97" s="305">
        <f>SUM(DTR!K160:K164)</f>
        <v>561568443</v>
      </c>
      <c r="N97" s="305">
        <f>SUM(DTR!L160:L164)</f>
        <v>-745088542</v>
      </c>
      <c r="O97" s="305">
        <f>SUM(DTR!M160:M164)</f>
        <v>365544549</v>
      </c>
      <c r="P97" s="305">
        <f>SUM(DTR!N160:N164)</f>
        <v>-1593107972</v>
      </c>
      <c r="Q97" s="305">
        <f t="shared" ca="1" si="27"/>
        <v>1320662175</v>
      </c>
      <c r="R97" s="305">
        <f>SUM(DTR!O160:O164)</f>
        <v>-16621815</v>
      </c>
      <c r="S97" s="305">
        <f>SUM(DTR!P160:P164)</f>
        <v>-1250528260</v>
      </c>
      <c r="T97" s="305">
        <f>SUM(DTR!Q160:Q164)</f>
        <v>64316884</v>
      </c>
      <c r="U97" s="305">
        <f>SUM(DTR!R160:R164)</f>
        <v>228499749</v>
      </c>
      <c r="V97" s="305">
        <f>SUM(DTR!S160:S164)</f>
        <v>-458006811</v>
      </c>
      <c r="W97" s="305">
        <f>SUM(DTR!T160:T164)</f>
        <v>802866683</v>
      </c>
      <c r="X97" s="305">
        <f>SUM(DTR!U160:U164)</f>
        <v>483271069</v>
      </c>
      <c r="Y97" s="305">
        <f>SUM(DTR!V160:V164)</f>
        <v>681254223</v>
      </c>
      <c r="Z97" s="305">
        <f>SUM(DTR!W160:W164)</f>
        <v>750634100</v>
      </c>
      <c r="AA97" s="305">
        <f>SUM(DTR!X160:X164)</f>
        <v>-360051781</v>
      </c>
      <c r="AB97" s="305">
        <f>SUM(DTR!Y160:Y164)</f>
        <v>1054344176</v>
      </c>
      <c r="AC97" s="305">
        <f>SUM(DTR!Z160:Z164)</f>
        <v>665670545</v>
      </c>
      <c r="AD97" s="305">
        <f t="shared" ref="AD97:AD119" ca="1" si="28">SUM(OFFSET(R97:AC97,0,0,1,$AD$26))</f>
        <v>-1432340253</v>
      </c>
      <c r="AE97" s="318">
        <f t="shared" ca="1" si="19"/>
        <v>-458006811</v>
      </c>
      <c r="AF97" s="305">
        <f>SUM(DTR!AA$160:AA$164)</f>
        <v>956028091</v>
      </c>
      <c r="AG97" s="305">
        <f>SUM(DTR!AB$160:AB$164)</f>
        <v>959170047</v>
      </c>
      <c r="AH97" s="305">
        <f>SUM(DTR!AC$160:AC$164)</f>
        <v>-1814690175</v>
      </c>
      <c r="AI97" s="305">
        <f>SUM(DTR!AD$160:AD$164)</f>
        <v>242600584</v>
      </c>
      <c r="AJ97" s="305">
        <f>SUM(DTR!AE$160:AE$164)</f>
        <v>146904400</v>
      </c>
      <c r="AK97" s="305">
        <f>SUM(DTR!AF$160:AF$164)</f>
        <v>0</v>
      </c>
      <c r="AL97" s="305">
        <f>SUM(DTR!AG$160:AG$164)</f>
        <v>0</v>
      </c>
      <c r="AM97" s="305">
        <f>SUM(DTR!AH$160:AH$164)</f>
        <v>0</v>
      </c>
      <c r="AN97" s="305">
        <f>SUM(DTR!AI$160:AI$164)</f>
        <v>0</v>
      </c>
      <c r="AO97" s="305">
        <f>SUM(DTR!AJ$160:AJ$164)</f>
        <v>0</v>
      </c>
      <c r="AP97" s="305">
        <f>SUM(DTR!AK$160:AK$164)</f>
        <v>0</v>
      </c>
      <c r="AQ97" s="305">
        <f>SUM(DTR!AL$160:AL$164)</f>
        <v>0</v>
      </c>
      <c r="AR97" s="305">
        <f t="shared" ref="AR97:AR119" ca="1" si="29">SUM(OFFSET(AF97:AQ97,0,0,1,$AR$26))</f>
        <v>490012947</v>
      </c>
      <c r="AS97" s="305">
        <f t="shared" ca="1" si="20"/>
        <v>146904400</v>
      </c>
    </row>
    <row r="98" spans="1:45">
      <c r="A98" t="s">
        <v>186</v>
      </c>
      <c r="B98" t="s">
        <v>2</v>
      </c>
      <c r="D98" s="298" t="s">
        <v>187</v>
      </c>
      <c r="E98" s="333">
        <f>DTR!C165</f>
        <v>2636077415</v>
      </c>
      <c r="F98" s="333">
        <f>DTR!D165</f>
        <v>-2130754394</v>
      </c>
      <c r="G98" s="333">
        <f>DTR!E165</f>
        <v>115898577</v>
      </c>
      <c r="H98" s="333">
        <f>DTR!F165</f>
        <v>6253858340</v>
      </c>
      <c r="I98" s="333">
        <f>DTR!G165</f>
        <v>-771844060</v>
      </c>
      <c r="J98" s="333">
        <f>DTR!H165</f>
        <v>-6130002007</v>
      </c>
      <c r="K98" s="333">
        <f>DTR!I165</f>
        <v>-9270615806</v>
      </c>
      <c r="L98" s="333">
        <f>DTR!J165</f>
        <v>-4312908542</v>
      </c>
      <c r="M98" s="333">
        <f>DTR!K165</f>
        <v>13669548182</v>
      </c>
      <c r="N98" s="333">
        <f>DTR!L165</f>
        <v>-2288481368</v>
      </c>
      <c r="O98" s="333">
        <f>DTR!M165</f>
        <v>572510964</v>
      </c>
      <c r="P98" s="333">
        <f>DTR!N165</f>
        <v>107573300283</v>
      </c>
      <c r="Q98" s="333">
        <f t="shared" ca="1" si="27"/>
        <v>6103235878</v>
      </c>
      <c r="R98" s="333">
        <f>DTR!O165</f>
        <v>9547803591</v>
      </c>
      <c r="S98" s="333">
        <f>DTR!P165</f>
        <v>22967666863</v>
      </c>
      <c r="T98" s="333">
        <f>DTR!Q165</f>
        <v>12417832105</v>
      </c>
      <c r="U98" s="333">
        <f>DTR!R165</f>
        <v>8561972650</v>
      </c>
      <c r="V98" s="333">
        <f>DTR!S165</f>
        <v>14845853238</v>
      </c>
      <c r="W98" s="333">
        <f>DTR!T165</f>
        <v>6152100617</v>
      </c>
      <c r="X98" s="333">
        <f>DTR!U165</f>
        <v>2777260137</v>
      </c>
      <c r="Y98" s="333">
        <f>DTR!V165</f>
        <v>5071668716</v>
      </c>
      <c r="Z98" s="333">
        <f>DTR!W165</f>
        <v>-6393191349</v>
      </c>
      <c r="AA98" s="333">
        <f>DTR!X165</f>
        <v>-1300541761</v>
      </c>
      <c r="AB98" s="333">
        <f>DTR!Y165</f>
        <v>-2298236187</v>
      </c>
      <c r="AC98" s="333">
        <f>DTR!Z165</f>
        <v>11099660338</v>
      </c>
      <c r="AD98" s="333">
        <f t="shared" ca="1" si="28"/>
        <v>68341128447</v>
      </c>
      <c r="AE98" s="318">
        <f t="shared" ca="1" si="19"/>
        <v>14845853238</v>
      </c>
      <c r="AF98" s="333">
        <f>DTR!AA$165</f>
        <v>1396536200</v>
      </c>
      <c r="AG98" s="333">
        <f>DTR!AB$165</f>
        <v>-3357035203</v>
      </c>
      <c r="AH98" s="333">
        <f>DTR!AC$165</f>
        <v>-6515046108</v>
      </c>
      <c r="AI98" s="333">
        <f>DTR!AD$165</f>
        <v>6224316369</v>
      </c>
      <c r="AJ98" s="333">
        <f>DTR!AE$165</f>
        <v>10659465875</v>
      </c>
      <c r="AK98" s="333">
        <f>DTR!AF$165</f>
        <v>0</v>
      </c>
      <c r="AL98" s="333">
        <f>DTR!AG$165</f>
        <v>0</v>
      </c>
      <c r="AM98" s="333">
        <f>DTR!AH$165</f>
        <v>0</v>
      </c>
      <c r="AN98" s="333">
        <f>DTR!AI$165</f>
        <v>0</v>
      </c>
      <c r="AO98" s="333">
        <f>DTR!AJ$165</f>
        <v>0</v>
      </c>
      <c r="AP98" s="333">
        <f>DTR!AK$165</f>
        <v>0</v>
      </c>
      <c r="AQ98" s="333">
        <f>DTR!AL$165</f>
        <v>0</v>
      </c>
      <c r="AR98" s="305">
        <f t="shared" ca="1" si="29"/>
        <v>8408237133</v>
      </c>
      <c r="AS98" s="305">
        <f t="shared" ca="1" si="20"/>
        <v>10659465875</v>
      </c>
    </row>
    <row r="99" spans="1:45">
      <c r="A99" t="s">
        <v>188</v>
      </c>
      <c r="B99" t="s">
        <v>2</v>
      </c>
      <c r="D99" s="324" t="s">
        <v>189</v>
      </c>
      <c r="E99" s="305">
        <f>DTR!C166</f>
        <v>-5652437642</v>
      </c>
      <c r="F99" s="305">
        <f>DTR!D166</f>
        <v>12718033317</v>
      </c>
      <c r="G99" s="305">
        <f>DTR!E166</f>
        <v>-27842598162</v>
      </c>
      <c r="H99" s="305">
        <f>DTR!F166</f>
        <v>-18112988822</v>
      </c>
      <c r="I99" s="305">
        <f>DTR!G166</f>
        <v>-13542246944</v>
      </c>
      <c r="J99" s="305">
        <f>DTR!H166</f>
        <v>-22167334330</v>
      </c>
      <c r="K99" s="305">
        <f>DTR!I166</f>
        <v>85173759375</v>
      </c>
      <c r="L99" s="305">
        <f>DTR!J166</f>
        <v>-23854718494</v>
      </c>
      <c r="M99" s="305">
        <f>DTR!K166</f>
        <v>-33309317893</v>
      </c>
      <c r="N99" s="305">
        <f>DTR!L166</f>
        <v>-980685357</v>
      </c>
      <c r="O99" s="305">
        <f>DTR!M166</f>
        <v>-50275873317</v>
      </c>
      <c r="P99" s="305">
        <f>DTR!N166</f>
        <v>48930483720</v>
      </c>
      <c r="Q99" s="305">
        <f t="shared" ca="1" si="27"/>
        <v>-52432238253</v>
      </c>
      <c r="R99" s="305">
        <f>DTR!O166</f>
        <v>48855114582</v>
      </c>
      <c r="S99" s="305">
        <f>DTR!P166</f>
        <v>-44766736418</v>
      </c>
      <c r="T99" s="305">
        <f>DTR!Q166</f>
        <v>-37871215662</v>
      </c>
      <c r="U99" s="305">
        <f>DTR!R166</f>
        <v>28625577432</v>
      </c>
      <c r="V99" s="305">
        <f>DTR!S166</f>
        <v>-55448925268</v>
      </c>
      <c r="W99" s="305">
        <f>DTR!T166</f>
        <v>720428098</v>
      </c>
      <c r="X99" s="305">
        <f>DTR!U166</f>
        <v>256498082</v>
      </c>
      <c r="Y99" s="305">
        <f>DTR!V166</f>
        <v>-61126022727</v>
      </c>
      <c r="Z99" s="305">
        <f>DTR!W166</f>
        <v>55449630438</v>
      </c>
      <c r="AA99" s="305">
        <f>DTR!X166</f>
        <v>42194737277</v>
      </c>
      <c r="AB99" s="305">
        <f>DTR!Y166</f>
        <v>12367013188</v>
      </c>
      <c r="AC99" s="305">
        <f>DTR!Z166</f>
        <v>-17408925524</v>
      </c>
      <c r="AD99" s="305">
        <f t="shared" ca="1" si="28"/>
        <v>-60606185334</v>
      </c>
      <c r="AE99" s="318">
        <f t="shared" ca="1" si="19"/>
        <v>-55448925268</v>
      </c>
      <c r="AF99" s="305">
        <f>DTR!AA$166</f>
        <v>27691290746</v>
      </c>
      <c r="AG99" s="305">
        <f>DTR!AB$166</f>
        <v>-17620075226</v>
      </c>
      <c r="AH99" s="305">
        <f>DTR!AC$166</f>
        <v>-26617409794</v>
      </c>
      <c r="AI99" s="305">
        <f>DTR!AD$166</f>
        <v>13431110240</v>
      </c>
      <c r="AJ99" s="305">
        <f>DTR!AE$166</f>
        <v>-97423755750</v>
      </c>
      <c r="AK99" s="305">
        <f>DTR!AF$166</f>
        <v>0</v>
      </c>
      <c r="AL99" s="305">
        <f>DTR!AG$166</f>
        <v>0</v>
      </c>
      <c r="AM99" s="305">
        <f>DTR!AH$166</f>
        <v>0</v>
      </c>
      <c r="AN99" s="305">
        <f>DTR!AI$166</f>
        <v>0</v>
      </c>
      <c r="AO99" s="305">
        <f>DTR!AJ$166</f>
        <v>0</v>
      </c>
      <c r="AP99" s="305">
        <f>DTR!AK$166</f>
        <v>0</v>
      </c>
      <c r="AQ99" s="305">
        <f>DTR!AL$166</f>
        <v>0</v>
      </c>
      <c r="AR99" s="305">
        <f t="shared" ca="1" si="29"/>
        <v>-100538839784</v>
      </c>
      <c r="AS99" s="305">
        <f t="shared" ca="1" si="20"/>
        <v>-97423755750</v>
      </c>
    </row>
    <row r="100" spans="1:45">
      <c r="A100" t="s">
        <v>190</v>
      </c>
      <c r="B100" t="s">
        <v>2</v>
      </c>
      <c r="D100" s="324" t="s">
        <v>191</v>
      </c>
      <c r="E100" s="305">
        <f>DTR!C167</f>
        <v>-62048923911</v>
      </c>
      <c r="F100" s="305">
        <f>DTR!D167</f>
        <v>-6967205423</v>
      </c>
      <c r="G100" s="305">
        <f>DTR!E167</f>
        <v>-41958712604</v>
      </c>
      <c r="H100" s="305">
        <f>DTR!F167</f>
        <v>-40309960571</v>
      </c>
      <c r="I100" s="305">
        <f>DTR!G167</f>
        <v>-45123242085</v>
      </c>
      <c r="J100" s="305">
        <f>DTR!H167</f>
        <v>-25153534354</v>
      </c>
      <c r="K100" s="305">
        <f>DTR!I167</f>
        <v>-23609068040</v>
      </c>
      <c r="L100" s="305">
        <f>DTR!J167</f>
        <v>40963897237</v>
      </c>
      <c r="M100" s="305">
        <f>DTR!K167</f>
        <v>-9261864488</v>
      </c>
      <c r="N100" s="305">
        <f>DTR!L167</f>
        <v>2566665862</v>
      </c>
      <c r="O100" s="305">
        <f>DTR!M167</f>
        <v>-41434587500</v>
      </c>
      <c r="P100" s="305">
        <f>DTR!N167</f>
        <v>-17812326753</v>
      </c>
      <c r="Q100" s="305">
        <f t="shared" ca="1" si="27"/>
        <v>-196408044594</v>
      </c>
      <c r="R100" s="305">
        <f>DTR!O167</f>
        <v>39011677209</v>
      </c>
      <c r="S100" s="305">
        <f>DTR!P167</f>
        <v>82988328541</v>
      </c>
      <c r="T100" s="305">
        <f>DTR!Q167</f>
        <v>15465577608</v>
      </c>
      <c r="U100" s="305">
        <f>DTR!R167</f>
        <v>-54309944038</v>
      </c>
      <c r="V100" s="305">
        <f>DTR!S167</f>
        <v>-3833514940</v>
      </c>
      <c r="W100" s="305">
        <f>DTR!T167</f>
        <v>-17092818286</v>
      </c>
      <c r="X100" s="305">
        <f>DTR!U167</f>
        <v>-5007590876</v>
      </c>
      <c r="Y100" s="305">
        <f>DTR!V167</f>
        <v>325978186</v>
      </c>
      <c r="Z100" s="305">
        <f>DTR!W167</f>
        <v>-15929021809</v>
      </c>
      <c r="AA100" s="305">
        <f>DTR!X167</f>
        <v>12975330253</v>
      </c>
      <c r="AB100" s="305">
        <f>DTR!Y167</f>
        <v>656481204</v>
      </c>
      <c r="AC100" s="305">
        <f>DTR!Z167</f>
        <v>-11864351833</v>
      </c>
      <c r="AD100" s="305">
        <f t="shared" ca="1" si="28"/>
        <v>79322124380</v>
      </c>
      <c r="AE100" s="318">
        <f t="shared" ca="1" si="19"/>
        <v>-3833514940</v>
      </c>
      <c r="AF100" s="305">
        <f>DTR!AA$167</f>
        <v>28329195342</v>
      </c>
      <c r="AG100" s="305">
        <f>DTR!AB$167</f>
        <v>31559998874</v>
      </c>
      <c r="AH100" s="305">
        <f>DTR!AC$167</f>
        <v>77094855201</v>
      </c>
      <c r="AI100" s="305">
        <f>DTR!AD$167</f>
        <v>55037438938</v>
      </c>
      <c r="AJ100" s="305">
        <f>DTR!AE$167</f>
        <v>8532767673</v>
      </c>
      <c r="AK100" s="305">
        <f>DTR!AF$167</f>
        <v>0</v>
      </c>
      <c r="AL100" s="305">
        <f>DTR!AG$167</f>
        <v>0</v>
      </c>
      <c r="AM100" s="305">
        <f>DTR!AH$167</f>
        <v>0</v>
      </c>
      <c r="AN100" s="305">
        <f>DTR!AI$167</f>
        <v>0</v>
      </c>
      <c r="AO100" s="305">
        <f>DTR!AJ$167</f>
        <v>0</v>
      </c>
      <c r="AP100" s="305">
        <f>DTR!AK$167</f>
        <v>0</v>
      </c>
      <c r="AQ100" s="305">
        <f>DTR!AL$167</f>
        <v>0</v>
      </c>
      <c r="AR100" s="305">
        <f t="shared" ca="1" si="29"/>
        <v>200554256028</v>
      </c>
      <c r="AS100" s="305">
        <f t="shared" ca="1" si="20"/>
        <v>8532767673</v>
      </c>
    </row>
    <row r="101" spans="1:45">
      <c r="A101" t="s">
        <v>192</v>
      </c>
      <c r="B101" t="s">
        <v>2</v>
      </c>
      <c r="D101" s="324" t="s">
        <v>193</v>
      </c>
      <c r="E101" s="305">
        <f>DTR!C168</f>
        <v>4207075109</v>
      </c>
      <c r="F101" s="305">
        <f>DTR!D168</f>
        <v>3916411982</v>
      </c>
      <c r="G101" s="305">
        <f>DTR!E168</f>
        <v>13622200989</v>
      </c>
      <c r="H101" s="305">
        <f>DTR!F168</f>
        <v>17907838314</v>
      </c>
      <c r="I101" s="305">
        <f>DTR!G168</f>
        <v>29819590224</v>
      </c>
      <c r="J101" s="305">
        <f>DTR!H168</f>
        <v>29796216577</v>
      </c>
      <c r="K101" s="305">
        <f>DTR!I168</f>
        <v>17066288696</v>
      </c>
      <c r="L101" s="305">
        <f>DTR!J168</f>
        <v>12068637446</v>
      </c>
      <c r="M101" s="305">
        <f>DTR!K168</f>
        <v>33332918829</v>
      </c>
      <c r="N101" s="305">
        <f>DTR!L168</f>
        <v>9256815094</v>
      </c>
      <c r="O101" s="305">
        <f>DTR!M168</f>
        <v>44681754380</v>
      </c>
      <c r="P101" s="305">
        <f>DTR!N168</f>
        <v>-141135934090</v>
      </c>
      <c r="Q101" s="305">
        <f t="shared" ca="1" si="27"/>
        <v>69473116618</v>
      </c>
      <c r="R101" s="305">
        <f>DTR!O168</f>
        <v>-18846487637</v>
      </c>
      <c r="S101" s="305">
        <f>DTR!P168</f>
        <v>-3242891008</v>
      </c>
      <c r="T101" s="305">
        <f>DTR!Q168</f>
        <v>-10856648380</v>
      </c>
      <c r="U101" s="305">
        <f>DTR!R168</f>
        <v>-15817906933</v>
      </c>
      <c r="V101" s="305">
        <f>DTR!S168</f>
        <v>21901299832</v>
      </c>
      <c r="W101" s="305">
        <f>DTR!T168</f>
        <v>14884971711</v>
      </c>
      <c r="X101" s="305">
        <f>DTR!U168</f>
        <v>-23926762811</v>
      </c>
      <c r="Y101" s="305">
        <f>DTR!V168</f>
        <v>16989265000</v>
      </c>
      <c r="Z101" s="305">
        <f>DTR!W168</f>
        <v>-14078738209</v>
      </c>
      <c r="AA101" s="305">
        <f>DTR!X168</f>
        <v>10955857665</v>
      </c>
      <c r="AB101" s="305">
        <f>DTR!Y168</f>
        <v>-9154991595</v>
      </c>
      <c r="AC101" s="305">
        <f>DTR!Z168</f>
        <v>-3419997293</v>
      </c>
      <c r="AD101" s="305">
        <f t="shared" ca="1" si="28"/>
        <v>-26862634126</v>
      </c>
      <c r="AE101" s="318">
        <f t="shared" ca="1" si="19"/>
        <v>21901299832</v>
      </c>
      <c r="AF101" s="305">
        <f>DTR!AA$168</f>
        <v>-5147235213</v>
      </c>
      <c r="AG101" s="305">
        <f>DTR!AB$168</f>
        <v>-9100141912</v>
      </c>
      <c r="AH101" s="305">
        <f>DTR!AC$168</f>
        <v>9288982043</v>
      </c>
      <c r="AI101" s="305">
        <f>DTR!AD$168</f>
        <v>9456557035</v>
      </c>
      <c r="AJ101" s="305">
        <f>DTR!AE$168</f>
        <v>26805727933</v>
      </c>
      <c r="AK101" s="305">
        <f>DTR!AF$168</f>
        <v>0</v>
      </c>
      <c r="AL101" s="305">
        <f>DTR!AG$168</f>
        <v>0</v>
      </c>
      <c r="AM101" s="305">
        <f>DTR!AH$168</f>
        <v>0</v>
      </c>
      <c r="AN101" s="305">
        <f>DTR!AI$168</f>
        <v>0</v>
      </c>
      <c r="AO101" s="305">
        <f>DTR!AJ$168</f>
        <v>0</v>
      </c>
      <c r="AP101" s="305">
        <f>DTR!AK$168</f>
        <v>0</v>
      </c>
      <c r="AQ101" s="305">
        <f>DTR!AL$168</f>
        <v>0</v>
      </c>
      <c r="AR101" s="305">
        <f t="shared" ca="1" si="29"/>
        <v>31303889886</v>
      </c>
      <c r="AS101" s="305">
        <f t="shared" ca="1" si="20"/>
        <v>26805727933</v>
      </c>
    </row>
    <row r="102" spans="1:45">
      <c r="A102" t="s">
        <v>194</v>
      </c>
      <c r="B102" t="s">
        <v>2</v>
      </c>
      <c r="D102" s="324" t="s">
        <v>195</v>
      </c>
      <c r="E102" s="305">
        <f>DTR!C171</f>
        <v>-422755791</v>
      </c>
      <c r="F102" s="305">
        <f>DTR!D171</f>
        <v>-563909516</v>
      </c>
      <c r="G102" s="305">
        <f>DTR!E171</f>
        <v>-567924561</v>
      </c>
      <c r="H102" s="305">
        <f>DTR!F171</f>
        <v>-840791009</v>
      </c>
      <c r="I102" s="305">
        <f>DTR!G171</f>
        <v>-961855770</v>
      </c>
      <c r="J102" s="305">
        <f>DTR!H171</f>
        <v>-1030712173</v>
      </c>
      <c r="K102" s="305">
        <f>DTR!I171</f>
        <v>-1160823006</v>
      </c>
      <c r="L102" s="305">
        <f>DTR!J171</f>
        <v>-939585045</v>
      </c>
      <c r="M102" s="305">
        <f>DTR!K171</f>
        <v>-859444105</v>
      </c>
      <c r="N102" s="305">
        <f>DTR!L171</f>
        <v>-840165515</v>
      </c>
      <c r="O102" s="305">
        <f>DTR!M171</f>
        <v>-889159081</v>
      </c>
      <c r="P102" s="305">
        <f>DTR!N171</f>
        <v>-1032562923</v>
      </c>
      <c r="Q102" s="305">
        <f t="shared" ca="1" si="27"/>
        <v>-3357236647</v>
      </c>
      <c r="R102" s="305">
        <f>DTR!O171</f>
        <v>-739360517</v>
      </c>
      <c r="S102" s="305">
        <f>DTR!P171</f>
        <v>-1303843040</v>
      </c>
      <c r="T102" s="305">
        <f>DTR!Q171</f>
        <v>-673966789</v>
      </c>
      <c r="U102" s="305">
        <f>DTR!R171</f>
        <v>-888393452</v>
      </c>
      <c r="V102" s="305">
        <f>DTR!S171</f>
        <v>-1186588729</v>
      </c>
      <c r="W102" s="305">
        <f>DTR!T171</f>
        <v>-1448899822</v>
      </c>
      <c r="X102" s="305">
        <f>DTR!U171</f>
        <v>-1242023326</v>
      </c>
      <c r="Y102" s="305">
        <f>DTR!V171</f>
        <v>-1303560910</v>
      </c>
      <c r="Z102" s="305">
        <f>DTR!W171</f>
        <v>-1595764355</v>
      </c>
      <c r="AA102" s="305">
        <f>DTR!X171</f>
        <v>-1368802426</v>
      </c>
      <c r="AB102" s="305">
        <f>DTR!Y171</f>
        <v>-1256132292</v>
      </c>
      <c r="AC102" s="305">
        <f>DTR!Z171</f>
        <v>-1256103396</v>
      </c>
      <c r="AD102" s="305">
        <f t="shared" ca="1" si="28"/>
        <v>-4792152527</v>
      </c>
      <c r="AE102" s="318">
        <f t="shared" ca="1" si="19"/>
        <v>-1186588729</v>
      </c>
      <c r="AF102" s="305">
        <f>DTR!AA$171</f>
        <v>-1240115065</v>
      </c>
      <c r="AG102" s="305">
        <f>DTR!AB$171</f>
        <v>-1156279418</v>
      </c>
      <c r="AH102" s="305">
        <f>DTR!AC$171</f>
        <v>-959718564</v>
      </c>
      <c r="AI102" s="305">
        <f>DTR!AD$171</f>
        <v>-1062084475</v>
      </c>
      <c r="AJ102" s="305">
        <f>DTR!AE$171</f>
        <v>-838836791</v>
      </c>
      <c r="AK102" s="305">
        <f>DTR!AF$171</f>
        <v>0</v>
      </c>
      <c r="AL102" s="305">
        <f>DTR!AG$171</f>
        <v>0</v>
      </c>
      <c r="AM102" s="305">
        <f>DTR!AH$171</f>
        <v>0</v>
      </c>
      <c r="AN102" s="305">
        <f>DTR!AI$171</f>
        <v>0</v>
      </c>
      <c r="AO102" s="305">
        <f>DTR!AJ$171</f>
        <v>0</v>
      </c>
      <c r="AP102" s="305">
        <f>DTR!AK$171</f>
        <v>0</v>
      </c>
      <c r="AQ102" s="305">
        <f>DTR!AL$171</f>
        <v>0</v>
      </c>
      <c r="AR102" s="305">
        <f t="shared" ca="1" si="29"/>
        <v>-5257034313</v>
      </c>
      <c r="AS102" s="305">
        <f t="shared" ca="1" si="20"/>
        <v>-838836791</v>
      </c>
    </row>
    <row r="103" spans="1:45">
      <c r="A103" t="s">
        <v>196</v>
      </c>
      <c r="B103" t="s">
        <v>2</v>
      </c>
      <c r="D103" s="324" t="s">
        <v>197</v>
      </c>
      <c r="E103" s="305">
        <f>SUM(DTR!C169:C170,DTR!C172:C174)</f>
        <v>33513063058</v>
      </c>
      <c r="F103" s="305">
        <f>SUM(DTR!D169:D170,DTR!D172:D174)</f>
        <v>-6372627736</v>
      </c>
      <c r="G103" s="305">
        <f>SUM(DTR!E169:E170,DTR!E172:E174)</f>
        <v>-2626029698</v>
      </c>
      <c r="H103" s="305">
        <f>SUM(DTR!F169:F170,DTR!F172:F174)</f>
        <v>2912013073</v>
      </c>
      <c r="I103" s="305">
        <f>SUM(DTR!G169:G170,DTR!G172:G174)</f>
        <v>0</v>
      </c>
      <c r="J103" s="305">
        <f>SUM(DTR!H169:H170,DTR!H172:H174)</f>
        <v>-168183405</v>
      </c>
      <c r="K103" s="305">
        <f>SUM(DTR!I169:I170,DTR!I172:I174)</f>
        <v>-12018343230</v>
      </c>
      <c r="L103" s="305">
        <f>SUM(DTR!J169:J170,DTR!J172:J174)</f>
        <v>0</v>
      </c>
      <c r="M103" s="305">
        <f>SUM(DTR!K169:K170,DTR!K172:K174)</f>
        <v>0</v>
      </c>
      <c r="N103" s="305">
        <f>SUM(DTR!L169:L170,DTR!L172:L174)</f>
        <v>1169047833</v>
      </c>
      <c r="O103" s="305">
        <f>SUM(DTR!M169:M170,DTR!M172:M174)</f>
        <v>696155386</v>
      </c>
      <c r="P103" s="305">
        <f>SUM(DTR!N169:N170,DTR!N172:N174)</f>
        <v>1000976009</v>
      </c>
      <c r="Q103" s="305">
        <f t="shared" ca="1" si="27"/>
        <v>27426418697</v>
      </c>
      <c r="R103" s="305">
        <f>SUM(DTR!O169:O170,DTR!O172:O174)</f>
        <v>110283488</v>
      </c>
      <c r="S103" s="305">
        <f>SUM(DTR!P169:P170,DTR!P172:P174)</f>
        <v>-4175776372</v>
      </c>
      <c r="T103" s="305">
        <f>SUM(DTR!Q169:Q170,DTR!Q172:Q174)</f>
        <v>601863673</v>
      </c>
      <c r="U103" s="305">
        <f>SUM(DTR!R169:R170,DTR!R172:R174)</f>
        <v>1249320119</v>
      </c>
      <c r="V103" s="305">
        <f>SUM(DTR!S169:S170,DTR!S172:S174)</f>
        <v>1913803036</v>
      </c>
      <c r="W103" s="305">
        <f>SUM(DTR!T169:T170,DTR!T172:T174)</f>
        <v>-5497715935</v>
      </c>
      <c r="X103" s="305">
        <f>SUM(DTR!U169:U170,DTR!U172:U174)</f>
        <v>-592614643</v>
      </c>
      <c r="Y103" s="305">
        <f>SUM(DTR!V169:V170,DTR!V172:V174)</f>
        <v>-371361391</v>
      </c>
      <c r="Z103" s="305">
        <f>SUM(DTR!W169:W170,DTR!W172:W174)</f>
        <v>2579678545</v>
      </c>
      <c r="AA103" s="305">
        <f>SUM(DTR!X169:X170,DTR!X172:X174)</f>
        <v>1512112454</v>
      </c>
      <c r="AB103" s="305">
        <f>SUM(DTR!Y169:Y170,DTR!Y172:Y174)</f>
        <v>2428581212</v>
      </c>
      <c r="AC103" s="305">
        <f>SUM(DTR!Z169:Z170,DTR!Z172:Z174)</f>
        <v>374694148</v>
      </c>
      <c r="AD103" s="305">
        <f t="shared" ca="1" si="28"/>
        <v>-300506056</v>
      </c>
      <c r="AE103" s="318">
        <f t="shared" ca="1" si="19"/>
        <v>1913803036</v>
      </c>
      <c r="AF103" s="305">
        <f>SUM(DTR!AA$169:AA$170,DTR!AA$172:AA$174)</f>
        <v>1820605679</v>
      </c>
      <c r="AG103" s="305">
        <f>SUM(DTR!AB$169:AB$170,DTR!AB$172:AB$174)</f>
        <v>1054820971</v>
      </c>
      <c r="AH103" s="305">
        <f>SUM(DTR!AC$169:AC$170,DTR!AC$172:AC$174)</f>
        <v>-171978952</v>
      </c>
      <c r="AI103" s="305">
        <f>SUM(DTR!AD$169:AD$170,DTR!AD$172:AD$174)</f>
        <v>-392776099</v>
      </c>
      <c r="AJ103" s="305">
        <f>SUM(DTR!AE$169:AE$170,DTR!AE$172:AE$174)</f>
        <v>-877993234</v>
      </c>
      <c r="AK103" s="305">
        <f>SUM(DTR!AF$169:AF$170,DTR!AF$172:AF$174)</f>
        <v>0</v>
      </c>
      <c r="AL103" s="305">
        <f>SUM(DTR!AG$169:AG$170,DTR!AG$172:AG$174)</f>
        <v>0</v>
      </c>
      <c r="AM103" s="305">
        <f>SUM(DTR!AH$169:AH$170,DTR!AH$172:AH$174)</f>
        <v>0</v>
      </c>
      <c r="AN103" s="305">
        <f>SUM(DTR!AI$169:AI$170,DTR!AI$172:AI$174)</f>
        <v>0</v>
      </c>
      <c r="AO103" s="305">
        <f>SUM(DTR!AJ$169:AJ$170,DTR!AJ$172:AJ$174)</f>
        <v>0</v>
      </c>
      <c r="AP103" s="305">
        <f>SUM(DTR!AK$169:AK$170,DTR!AK$172:AK$174)</f>
        <v>0</v>
      </c>
      <c r="AQ103" s="305">
        <f>SUM(DTR!AL$169:AL$170,DTR!AL$172:AL$174)</f>
        <v>0</v>
      </c>
      <c r="AR103" s="305">
        <f t="shared" ca="1" si="29"/>
        <v>1432678365</v>
      </c>
      <c r="AS103" s="305">
        <f t="shared" ca="1" si="20"/>
        <v>-877993234</v>
      </c>
    </row>
    <row r="104" spans="1:45">
      <c r="A104" t="s">
        <v>198</v>
      </c>
      <c r="B104" t="s">
        <v>2</v>
      </c>
      <c r="D104" s="298" t="s">
        <v>51</v>
      </c>
      <c r="E104" s="333">
        <f>DTR!C175</f>
        <v>-27767901762</v>
      </c>
      <c r="F104" s="333">
        <f>DTR!D175</f>
        <v>599948230</v>
      </c>
      <c r="G104" s="333">
        <f>DTR!E175</f>
        <v>-59257165459</v>
      </c>
      <c r="H104" s="333">
        <f>DTR!F175</f>
        <v>-32190030675</v>
      </c>
      <c r="I104" s="333">
        <f>DTR!G175</f>
        <v>-30579598635</v>
      </c>
      <c r="J104" s="333">
        <f>DTR!H175</f>
        <v>-24853549692</v>
      </c>
      <c r="K104" s="333">
        <f>DTR!I175</f>
        <v>56181197989</v>
      </c>
      <c r="L104" s="333">
        <f>DTR!J175</f>
        <v>23925322602</v>
      </c>
      <c r="M104" s="333">
        <f>DTR!K175</f>
        <v>3571840525</v>
      </c>
      <c r="N104" s="333">
        <f>DTR!L175</f>
        <v>8883196549</v>
      </c>
      <c r="O104" s="333">
        <f>DTR!M175</f>
        <v>-46649199168</v>
      </c>
      <c r="P104" s="333">
        <f>DTR!N175</f>
        <v>-2476063754</v>
      </c>
      <c r="Q104" s="333">
        <f t="shared" ca="1" si="27"/>
        <v>-149194748301</v>
      </c>
      <c r="R104" s="333">
        <f>DTR!O175</f>
        <v>77939030716</v>
      </c>
      <c r="S104" s="333">
        <f>DTR!P175</f>
        <v>52466748566</v>
      </c>
      <c r="T104" s="333">
        <f>DTR!Q175</f>
        <v>-20916557445</v>
      </c>
      <c r="U104" s="333">
        <f>DTR!R175</f>
        <v>-32579374222</v>
      </c>
      <c r="V104" s="333">
        <f>DTR!S175</f>
        <v>-21808072831</v>
      </c>
      <c r="W104" s="333">
        <f>DTR!T175</f>
        <v>-2281933617</v>
      </c>
      <c r="X104" s="333">
        <f>DTR!U175</f>
        <v>-27735233437</v>
      </c>
      <c r="Y104" s="333">
        <f>DTR!V175</f>
        <v>-40414033126</v>
      </c>
      <c r="Z104" s="333">
        <f>DTR!W175</f>
        <v>20032593261</v>
      </c>
      <c r="AA104" s="333">
        <f>DTR!X175</f>
        <v>64968693462</v>
      </c>
      <c r="AB104" s="333">
        <f>DTR!Y175</f>
        <v>2742715530</v>
      </c>
      <c r="AC104" s="333">
        <f>DTR!Z175</f>
        <v>-22475023560</v>
      </c>
      <c r="AD104" s="333">
        <f t="shared" ca="1" si="28"/>
        <v>55101774784</v>
      </c>
      <c r="AE104" s="318">
        <f t="shared" ca="1" si="19"/>
        <v>-21808072831</v>
      </c>
      <c r="AF104" s="333">
        <f>DTR!AA$175</f>
        <v>52850277689</v>
      </c>
      <c r="AG104" s="333">
        <f>DTR!AB$175</f>
        <v>1381288086</v>
      </c>
      <c r="AH104" s="333">
        <f>DTR!AC$175</f>
        <v>52119683826</v>
      </c>
      <c r="AI104" s="333">
        <f>DTR!AD$175</f>
        <v>82694562008</v>
      </c>
      <c r="AJ104" s="333">
        <f>DTR!AE$175</f>
        <v>-53142624294</v>
      </c>
      <c r="AK104" s="333">
        <f>DTR!AF$175</f>
        <v>0</v>
      </c>
      <c r="AL104" s="333">
        <f>DTR!AG$175</f>
        <v>0</v>
      </c>
      <c r="AM104" s="333">
        <f>DTR!AH$175</f>
        <v>0</v>
      </c>
      <c r="AN104" s="333">
        <f>DTR!AI$175</f>
        <v>0</v>
      </c>
      <c r="AO104" s="333">
        <f>DTR!AJ$175</f>
        <v>0</v>
      </c>
      <c r="AP104" s="333">
        <f>DTR!AK$175</f>
        <v>0</v>
      </c>
      <c r="AQ104" s="333">
        <f>DTR!AL$175</f>
        <v>0</v>
      </c>
      <c r="AR104" s="305">
        <f t="shared" ca="1" si="29"/>
        <v>135903187315</v>
      </c>
      <c r="AS104" s="305">
        <f t="shared" ca="1" si="20"/>
        <v>-53142624294</v>
      </c>
    </row>
    <row r="105" spans="1:45">
      <c r="A105" t="s">
        <v>199</v>
      </c>
      <c r="B105" t="s">
        <v>2</v>
      </c>
      <c r="D105" s="324" t="s">
        <v>200</v>
      </c>
      <c r="E105" s="305">
        <f>DTR!C177</f>
        <v>-4762682554</v>
      </c>
      <c r="F105" s="305">
        <f>DTR!D177</f>
        <v>-4326536447</v>
      </c>
      <c r="G105" s="305">
        <f>DTR!E177</f>
        <v>-1164996000</v>
      </c>
      <c r="H105" s="305">
        <f>DTR!F177</f>
        <v>-1992822833</v>
      </c>
      <c r="I105" s="305">
        <f>DTR!G177</f>
        <v>-1782228497</v>
      </c>
      <c r="J105" s="305">
        <f>DTR!H177</f>
        <v>-833209764</v>
      </c>
      <c r="K105" s="305">
        <f>DTR!I177</f>
        <v>-1378714978</v>
      </c>
      <c r="L105" s="305">
        <f>DTR!J177</f>
        <v>-855184497</v>
      </c>
      <c r="M105" s="305">
        <f>DTR!K177</f>
        <v>-737051257</v>
      </c>
      <c r="N105" s="305">
        <f>DTR!L177</f>
        <v>-2821949386</v>
      </c>
      <c r="O105" s="305">
        <f>DTR!M177</f>
        <v>-4084384131</v>
      </c>
      <c r="P105" s="305">
        <f>DTR!N177</f>
        <v>-10311962607</v>
      </c>
      <c r="Q105" s="305">
        <f t="shared" ca="1" si="27"/>
        <v>-14029266331</v>
      </c>
      <c r="R105" s="305">
        <f>DTR!O177</f>
        <v>-9820805490</v>
      </c>
      <c r="S105" s="305">
        <f>DTR!P177</f>
        <v>-2688251335</v>
      </c>
      <c r="T105" s="305">
        <f>DTR!Q177</f>
        <v>-5950435401</v>
      </c>
      <c r="U105" s="305">
        <f>DTR!R177</f>
        <v>-4022280971</v>
      </c>
      <c r="V105" s="305">
        <f>DTR!S177</f>
        <v>-9142433511</v>
      </c>
      <c r="W105" s="305">
        <f>DTR!T177</f>
        <v>-4827154812</v>
      </c>
      <c r="X105" s="305">
        <f>DTR!U177</f>
        <v>-944507473</v>
      </c>
      <c r="Y105" s="305">
        <f>DTR!V177</f>
        <v>-3998692586</v>
      </c>
      <c r="Z105" s="305">
        <f>DTR!W177</f>
        <v>-12299284463</v>
      </c>
      <c r="AA105" s="305">
        <f>DTR!X177</f>
        <v>-16012258392</v>
      </c>
      <c r="AB105" s="305">
        <f>DTR!Y177</f>
        <v>-3849925706</v>
      </c>
      <c r="AC105" s="305">
        <f>DTR!Z177</f>
        <v>-9722078427</v>
      </c>
      <c r="AD105" s="305">
        <f t="shared" ca="1" si="28"/>
        <v>-31624206708</v>
      </c>
      <c r="AE105" s="318">
        <f t="shared" ca="1" si="19"/>
        <v>-9142433511</v>
      </c>
      <c r="AF105" s="305">
        <f>DTR!AA$177</f>
        <v>-1526091775</v>
      </c>
      <c r="AG105" s="305">
        <f>DTR!AB$177</f>
        <v>-22678765485</v>
      </c>
      <c r="AH105" s="305">
        <f>DTR!AC$177</f>
        <v>-8653014841</v>
      </c>
      <c r="AI105" s="305">
        <f>DTR!AD$177</f>
        <v>-24169387455</v>
      </c>
      <c r="AJ105" s="305">
        <f>DTR!AE$177</f>
        <v>-2584444323</v>
      </c>
      <c r="AK105" s="305">
        <f>DTR!AF$177</f>
        <v>0</v>
      </c>
      <c r="AL105" s="305">
        <f>DTR!AG$177</f>
        <v>0</v>
      </c>
      <c r="AM105" s="305">
        <f>DTR!AH$177</f>
        <v>0</v>
      </c>
      <c r="AN105" s="305">
        <f>DTR!AI$177</f>
        <v>0</v>
      </c>
      <c r="AO105" s="305">
        <f>DTR!AJ$177</f>
        <v>0</v>
      </c>
      <c r="AP105" s="305">
        <f>DTR!AK$177</f>
        <v>0</v>
      </c>
      <c r="AQ105" s="305">
        <f>DTR!AL$177</f>
        <v>0</v>
      </c>
      <c r="AR105" s="305">
        <f t="shared" ca="1" si="29"/>
        <v>-59611703879</v>
      </c>
      <c r="AS105" s="305">
        <f t="shared" ca="1" si="20"/>
        <v>-2584444323</v>
      </c>
    </row>
    <row r="106" spans="1:45">
      <c r="A106" t="s">
        <v>201</v>
      </c>
      <c r="B106" t="s">
        <v>2</v>
      </c>
      <c r="D106" s="324" t="s">
        <v>202</v>
      </c>
      <c r="E106" s="305">
        <f>DTR!C178</f>
        <v>0</v>
      </c>
      <c r="F106" s="305">
        <f>DTR!D178</f>
        <v>0</v>
      </c>
      <c r="G106" s="305">
        <f>DTR!E178</f>
        <v>0</v>
      </c>
      <c r="H106" s="305">
        <f>DTR!F178</f>
        <v>0</v>
      </c>
      <c r="I106" s="305">
        <f>DTR!G178</f>
        <v>0</v>
      </c>
      <c r="J106" s="305">
        <f>DTR!H178</f>
        <v>0</v>
      </c>
      <c r="K106" s="305">
        <f>DTR!I178</f>
        <v>0</v>
      </c>
      <c r="L106" s="305">
        <f>DTR!J178</f>
        <v>0</v>
      </c>
      <c r="M106" s="305">
        <f>DTR!K178</f>
        <v>0</v>
      </c>
      <c r="N106" s="305">
        <f>DTR!L178</f>
        <v>0</v>
      </c>
      <c r="O106" s="305">
        <f>DTR!M178</f>
        <v>0</v>
      </c>
      <c r="P106" s="305">
        <f>DTR!N178</f>
        <v>0</v>
      </c>
      <c r="Q106" s="305">
        <f t="shared" ca="1" si="27"/>
        <v>0</v>
      </c>
      <c r="R106" s="305">
        <f>DTR!O178</f>
        <v>0</v>
      </c>
      <c r="S106" s="305">
        <f>DTR!P178</f>
        <v>0</v>
      </c>
      <c r="T106" s="305">
        <f>DTR!Q178</f>
        <v>0</v>
      </c>
      <c r="U106" s="305">
        <f>DTR!R178</f>
        <v>623633187</v>
      </c>
      <c r="V106" s="305">
        <f>DTR!S178</f>
        <v>95000000</v>
      </c>
      <c r="W106" s="305">
        <f>DTR!T178</f>
        <v>226000000</v>
      </c>
      <c r="X106" s="305">
        <f>DTR!U178</f>
        <v>0</v>
      </c>
      <c r="Y106" s="305">
        <f>DTR!V178</f>
        <v>226000000</v>
      </c>
      <c r="Z106" s="305">
        <f>DTR!W178</f>
        <v>0</v>
      </c>
      <c r="AA106" s="305">
        <f>DTR!X178</f>
        <v>0</v>
      </c>
      <c r="AB106" s="305">
        <f>DTR!Y178</f>
        <v>0</v>
      </c>
      <c r="AC106" s="305">
        <f>DTR!Z178</f>
        <v>0</v>
      </c>
      <c r="AD106" s="305">
        <f t="shared" ca="1" si="28"/>
        <v>718633187</v>
      </c>
      <c r="AE106" s="318">
        <f t="shared" ca="1" si="19"/>
        <v>95000000</v>
      </c>
      <c r="AF106" s="305">
        <f>DTR!AA$178</f>
        <v>0</v>
      </c>
      <c r="AG106" s="305">
        <f>DTR!AB$178</f>
        <v>0</v>
      </c>
      <c r="AH106" s="305">
        <f>DTR!AC$178</f>
        <v>0</v>
      </c>
      <c r="AI106" s="305">
        <f>DTR!AD$178</f>
        <v>0</v>
      </c>
      <c r="AJ106" s="305">
        <f>DTR!AE$178</f>
        <v>0</v>
      </c>
      <c r="AK106" s="305">
        <f>DTR!AF$178</f>
        <v>0</v>
      </c>
      <c r="AL106" s="305">
        <f>DTR!AG$178</f>
        <v>0</v>
      </c>
      <c r="AM106" s="305">
        <f>DTR!AH$178</f>
        <v>0</v>
      </c>
      <c r="AN106" s="305">
        <f>DTR!AI$178</f>
        <v>0</v>
      </c>
      <c r="AO106" s="305">
        <f>DTR!AJ$178</f>
        <v>0</v>
      </c>
      <c r="AP106" s="305">
        <f>DTR!AK$178</f>
        <v>0</v>
      </c>
      <c r="AQ106" s="305">
        <f>DTR!AL$178</f>
        <v>0</v>
      </c>
      <c r="AR106" s="305">
        <f t="shared" ca="1" si="29"/>
        <v>0</v>
      </c>
      <c r="AS106" s="305">
        <f t="shared" ca="1" si="20"/>
        <v>0</v>
      </c>
    </row>
    <row r="107" spans="1:45">
      <c r="A107" t="s">
        <v>203</v>
      </c>
      <c r="B107" t="s">
        <v>2</v>
      </c>
      <c r="D107" s="324" t="s">
        <v>204</v>
      </c>
      <c r="E107" s="305">
        <f>DTR!C179</f>
        <v>0</v>
      </c>
      <c r="F107" s="305">
        <f>DTR!D179</f>
        <v>0</v>
      </c>
      <c r="G107" s="305">
        <f>DTR!E179</f>
        <v>0</v>
      </c>
      <c r="H107" s="305">
        <f>DTR!F179</f>
        <v>0</v>
      </c>
      <c r="I107" s="305">
        <f>DTR!G179</f>
        <v>0</v>
      </c>
      <c r="J107" s="305">
        <f>DTR!H179</f>
        <v>0</v>
      </c>
      <c r="K107" s="305">
        <f>DTR!I179</f>
        <v>0</v>
      </c>
      <c r="L107" s="305">
        <f>DTR!J179</f>
        <v>0</v>
      </c>
      <c r="M107" s="305">
        <f>DTR!K179</f>
        <v>0</v>
      </c>
      <c r="N107" s="305">
        <f>DTR!L179</f>
        <v>0</v>
      </c>
      <c r="O107" s="305">
        <f>DTR!M179</f>
        <v>0</v>
      </c>
      <c r="P107" s="305">
        <f>DTR!N179</f>
        <v>0</v>
      </c>
      <c r="Q107" s="305">
        <f t="shared" ca="1" si="27"/>
        <v>0</v>
      </c>
      <c r="R107" s="305">
        <f>DTR!O179</f>
        <v>0</v>
      </c>
      <c r="S107" s="305">
        <f>DTR!P179</f>
        <v>0</v>
      </c>
      <c r="T107" s="305">
        <f>DTR!Q179</f>
        <v>-37000000000</v>
      </c>
      <c r="U107" s="305">
        <f>DTR!R179</f>
        <v>-30000000000</v>
      </c>
      <c r="V107" s="305">
        <f>DTR!S179</f>
        <v>-10000000000</v>
      </c>
      <c r="W107" s="305">
        <f>DTR!T179</f>
        <v>0</v>
      </c>
      <c r="X107" s="305">
        <f>DTR!U179</f>
        <v>0</v>
      </c>
      <c r="Y107" s="305">
        <f>DTR!V179</f>
        <v>0</v>
      </c>
      <c r="Z107" s="305">
        <f>DTR!W179</f>
        <v>0</v>
      </c>
      <c r="AA107" s="305">
        <f>DTR!X179</f>
        <v>-20000000000</v>
      </c>
      <c r="AB107" s="305">
        <f>DTR!Y179</f>
        <v>-20000000000</v>
      </c>
      <c r="AC107" s="305">
        <f>DTR!Z179</f>
        <v>0</v>
      </c>
      <c r="AD107" s="305">
        <f t="shared" ca="1" si="28"/>
        <v>-77000000000</v>
      </c>
      <c r="AE107" s="318">
        <f t="shared" ca="1" si="19"/>
        <v>-10000000000</v>
      </c>
      <c r="AF107" s="305">
        <f>DTR!AA$179</f>
        <v>0</v>
      </c>
      <c r="AG107" s="305">
        <f>DTR!AB$179</f>
        <v>-12000000000</v>
      </c>
      <c r="AH107" s="305">
        <f>DTR!AC$179</f>
        <v>-18200000000</v>
      </c>
      <c r="AI107" s="305">
        <f>DTR!AD$179</f>
        <v>-19800000000</v>
      </c>
      <c r="AJ107" s="305">
        <f>DTR!AE$179</f>
        <v>-37000000000</v>
      </c>
      <c r="AK107" s="305">
        <f>DTR!AF$179</f>
        <v>0</v>
      </c>
      <c r="AL107" s="305">
        <f>DTR!AG$179</f>
        <v>0</v>
      </c>
      <c r="AM107" s="305">
        <f>DTR!AH$179</f>
        <v>0</v>
      </c>
      <c r="AN107" s="305">
        <f>DTR!AI$179</f>
        <v>0</v>
      </c>
      <c r="AO107" s="305">
        <f>DTR!AJ$179</f>
        <v>0</v>
      </c>
      <c r="AP107" s="305">
        <f>DTR!AK$179</f>
        <v>0</v>
      </c>
      <c r="AQ107" s="305">
        <f>DTR!AL$179</f>
        <v>0</v>
      </c>
      <c r="AR107" s="305">
        <f t="shared" ca="1" si="29"/>
        <v>-87000000000</v>
      </c>
      <c r="AS107" s="305">
        <f t="shared" ca="1" si="20"/>
        <v>-37000000000</v>
      </c>
    </row>
    <row r="108" spans="1:45">
      <c r="A108" t="s">
        <v>205</v>
      </c>
      <c r="B108" t="s">
        <v>2</v>
      </c>
      <c r="D108" s="324" t="s">
        <v>206</v>
      </c>
      <c r="E108" s="305">
        <f>DTR!C180</f>
        <v>0</v>
      </c>
      <c r="F108" s="305">
        <f>DTR!D180</f>
        <v>0</v>
      </c>
      <c r="G108" s="305">
        <f>DTR!E180</f>
        <v>0</v>
      </c>
      <c r="H108" s="305">
        <f>DTR!F180</f>
        <v>0</v>
      </c>
      <c r="I108" s="305">
        <f>DTR!G180</f>
        <v>0</v>
      </c>
      <c r="J108" s="305">
        <f>DTR!H180</f>
        <v>0</v>
      </c>
      <c r="K108" s="305">
        <f>DTR!I180</f>
        <v>0</v>
      </c>
      <c r="L108" s="305">
        <f>DTR!J180</f>
        <v>0</v>
      </c>
      <c r="M108" s="305">
        <f>DTR!K180</f>
        <v>0</v>
      </c>
      <c r="N108" s="305">
        <f>DTR!L180</f>
        <v>0</v>
      </c>
      <c r="O108" s="305">
        <f>DTR!M180</f>
        <v>0</v>
      </c>
      <c r="P108" s="305">
        <f>DTR!N180</f>
        <v>0</v>
      </c>
      <c r="Q108" s="305">
        <f t="shared" ca="1" si="27"/>
        <v>0</v>
      </c>
      <c r="R108" s="305">
        <f>DTR!O180</f>
        <v>0</v>
      </c>
      <c r="S108" s="305">
        <f>DTR!P180</f>
        <v>0</v>
      </c>
      <c r="T108" s="305">
        <f>DTR!Q180</f>
        <v>0</v>
      </c>
      <c r="U108" s="305">
        <f>DTR!R180</f>
        <v>5500000000</v>
      </c>
      <c r="V108" s="305">
        <f>DTR!S180</f>
        <v>0</v>
      </c>
      <c r="W108" s="305">
        <f>DTR!T180</f>
        <v>0</v>
      </c>
      <c r="X108" s="305">
        <f>DTR!U180</f>
        <v>15000000000</v>
      </c>
      <c r="Y108" s="305">
        <f>DTR!V180</f>
        <v>0</v>
      </c>
      <c r="Z108" s="305">
        <f>DTR!W180</f>
        <v>12000000000</v>
      </c>
      <c r="AA108" s="305">
        <f>DTR!X180</f>
        <v>10000000000</v>
      </c>
      <c r="AB108" s="305">
        <f>DTR!Y180</f>
        <v>30000000000</v>
      </c>
      <c r="AC108" s="305">
        <f>DTR!Z180</f>
        <v>25000000000</v>
      </c>
      <c r="AD108" s="305">
        <f t="shared" ca="1" si="28"/>
        <v>5500000000</v>
      </c>
      <c r="AE108" s="318">
        <f t="shared" ca="1" si="19"/>
        <v>0</v>
      </c>
      <c r="AF108" s="305">
        <f>DTR!AA$180</f>
        <v>0</v>
      </c>
      <c r="AG108" s="305">
        <f>DTR!AB$180</f>
        <v>0</v>
      </c>
      <c r="AH108" s="305">
        <f>DTR!AC$180</f>
        <v>3000000000</v>
      </c>
      <c r="AI108" s="305">
        <f>DTR!AD$180</f>
        <v>6200000000</v>
      </c>
      <c r="AJ108" s="305">
        <f>DTR!AE$180</f>
        <v>42000000000</v>
      </c>
      <c r="AK108" s="305">
        <f>DTR!AF$180</f>
        <v>0</v>
      </c>
      <c r="AL108" s="305">
        <f>DTR!AG$180</f>
        <v>0</v>
      </c>
      <c r="AM108" s="305">
        <f>DTR!AH$180</f>
        <v>0</v>
      </c>
      <c r="AN108" s="305">
        <f>DTR!AI$180</f>
        <v>0</v>
      </c>
      <c r="AO108" s="305">
        <f>DTR!AJ$180</f>
        <v>0</v>
      </c>
      <c r="AP108" s="305">
        <f>DTR!AK$180</f>
        <v>0</v>
      </c>
      <c r="AQ108" s="305">
        <f>DTR!AL$180</f>
        <v>0</v>
      </c>
      <c r="AR108" s="305">
        <f t="shared" ca="1" si="29"/>
        <v>51200000000</v>
      </c>
      <c r="AS108" s="305">
        <f t="shared" ca="1" si="20"/>
        <v>42000000000</v>
      </c>
    </row>
    <row r="109" spans="1:45">
      <c r="A109" t="s">
        <v>207</v>
      </c>
      <c r="B109" t="s">
        <v>2</v>
      </c>
      <c r="D109" s="324" t="s">
        <v>208</v>
      </c>
      <c r="E109" s="305">
        <f>SUM(DTR!C181:C183)</f>
        <v>0</v>
      </c>
      <c r="F109" s="305">
        <f>SUM(DTR!D181:D183)</f>
        <v>296561</v>
      </c>
      <c r="G109" s="305">
        <f>SUM(DTR!E181:E183)</f>
        <v>171678249</v>
      </c>
      <c r="H109" s="305">
        <f>SUM(DTR!F181:F183)</f>
        <v>808078</v>
      </c>
      <c r="I109" s="305">
        <f>SUM(DTR!G181:G183)</f>
        <v>439987</v>
      </c>
      <c r="J109" s="305">
        <f>SUM(DTR!H181:H183)</f>
        <v>482338</v>
      </c>
      <c r="K109" s="305">
        <f>SUM(DTR!I181:I183)</f>
        <v>374904</v>
      </c>
      <c r="L109" s="305">
        <f>SUM(DTR!J181:J183)</f>
        <v>1014834</v>
      </c>
      <c r="M109" s="305">
        <f>SUM(DTR!K181:K183)</f>
        <v>-829173196</v>
      </c>
      <c r="N109" s="305">
        <f>SUM(DTR!L181:L183)</f>
        <v>156232879</v>
      </c>
      <c r="O109" s="305">
        <f>SUM(DTR!M181:M183)</f>
        <v>1036275</v>
      </c>
      <c r="P109" s="305">
        <f>SUM(DTR!N181:N183)</f>
        <v>1314400686</v>
      </c>
      <c r="Q109" s="305">
        <f t="shared" ca="1" si="27"/>
        <v>173222875</v>
      </c>
      <c r="R109" s="305">
        <f>SUM(DTR!O181:O183)</f>
        <v>398202236</v>
      </c>
      <c r="S109" s="305">
        <f>SUM(DTR!P181:P183)</f>
        <v>1278506781</v>
      </c>
      <c r="T109" s="305">
        <f>SUM(DTR!Q181:Q183)</f>
        <v>681642</v>
      </c>
      <c r="U109" s="305">
        <f>SUM(DTR!R181:R183)</f>
        <v>1661994</v>
      </c>
      <c r="V109" s="305">
        <f>SUM(DTR!S181:S183)</f>
        <v>649627</v>
      </c>
      <c r="W109" s="305">
        <f>SUM(DTR!T181:T183)</f>
        <v>989334</v>
      </c>
      <c r="X109" s="305">
        <f>SUM(DTR!U181:U183)</f>
        <v>870633</v>
      </c>
      <c r="Y109" s="305">
        <f>SUM(DTR!V181:V183)</f>
        <v>913181</v>
      </c>
      <c r="Z109" s="305">
        <f>SUM(DTR!W181:W183)</f>
        <v>1031619</v>
      </c>
      <c r="AA109" s="305">
        <f>SUM(DTR!X181:X183)</f>
        <v>717642885</v>
      </c>
      <c r="AB109" s="305">
        <f>SUM(DTR!Y181:Y183)</f>
        <v>81582428</v>
      </c>
      <c r="AC109" s="305">
        <f>SUM(DTR!Z181:Z183)</f>
        <v>337960853</v>
      </c>
      <c r="AD109" s="305">
        <f t="shared" ca="1" si="28"/>
        <v>1679702280</v>
      </c>
      <c r="AE109" s="318">
        <f t="shared" ca="1" si="19"/>
        <v>649627</v>
      </c>
      <c r="AF109" s="305">
        <f>SUM(DTR!AA$181:AA$183)</f>
        <v>1708611</v>
      </c>
      <c r="AG109" s="305">
        <f>SUM(DTR!AB$181:AB$183)</f>
        <v>1116123</v>
      </c>
      <c r="AH109" s="305">
        <f>SUM(DTR!AC$181:AC$183)</f>
        <v>2001208197</v>
      </c>
      <c r="AI109" s="305">
        <f>SUM(DTR!AD$181:AD$183)</f>
        <v>803441325</v>
      </c>
      <c r="AJ109" s="305">
        <f>SUM(DTR!AE$181:AE$183)</f>
        <v>73063458</v>
      </c>
      <c r="AK109" s="305">
        <f>SUM(DTR!AF$181:AF$183)</f>
        <v>0</v>
      </c>
      <c r="AL109" s="305">
        <f>SUM(DTR!AG$181:AG$183)</f>
        <v>0</v>
      </c>
      <c r="AM109" s="305">
        <f>SUM(DTR!AH$181:AH$183)</f>
        <v>0</v>
      </c>
      <c r="AN109" s="305">
        <f>SUM(DTR!AI$181:AI$183)</f>
        <v>0</v>
      </c>
      <c r="AO109" s="305">
        <f>SUM(DTR!AJ$181:AJ$183)</f>
        <v>0</v>
      </c>
      <c r="AP109" s="305">
        <f>SUM(DTR!AK$181:AK$183)</f>
        <v>0</v>
      </c>
      <c r="AQ109" s="305">
        <f>SUM(DTR!AL$181:AL$183)</f>
        <v>0</v>
      </c>
      <c r="AR109" s="305">
        <f t="shared" ca="1" si="29"/>
        <v>2880537714</v>
      </c>
      <c r="AS109" s="305">
        <f t="shared" ca="1" si="20"/>
        <v>73063458</v>
      </c>
    </row>
    <row r="110" spans="1:45">
      <c r="A110" t="s">
        <v>209</v>
      </c>
      <c r="B110" t="s">
        <v>2</v>
      </c>
      <c r="D110" s="298" t="s">
        <v>54</v>
      </c>
      <c r="E110" s="333">
        <f>DTR!C184</f>
        <v>-4762682554</v>
      </c>
      <c r="F110" s="333">
        <f>DTR!D184</f>
        <v>-4326239886</v>
      </c>
      <c r="G110" s="333">
        <f>DTR!E184</f>
        <v>-993317751</v>
      </c>
      <c r="H110" s="333">
        <f>DTR!F184</f>
        <v>-1992014755</v>
      </c>
      <c r="I110" s="333">
        <f>DTR!G184</f>
        <v>-1781788510</v>
      </c>
      <c r="J110" s="333">
        <f>DTR!H184</f>
        <v>-832727426</v>
      </c>
      <c r="K110" s="333">
        <f>DTR!I184</f>
        <v>-1378340074</v>
      </c>
      <c r="L110" s="333">
        <f>DTR!J184</f>
        <v>-854169663</v>
      </c>
      <c r="M110" s="333">
        <f>DTR!K184</f>
        <v>-1566224453</v>
      </c>
      <c r="N110" s="333">
        <f>DTR!L184</f>
        <v>-2665716507</v>
      </c>
      <c r="O110" s="333">
        <f>DTR!M184</f>
        <v>-4083347856</v>
      </c>
      <c r="P110" s="333">
        <f>DTR!N184</f>
        <v>-8997561921</v>
      </c>
      <c r="Q110" s="333">
        <f t="shared" ca="1" si="27"/>
        <v>-13856043456</v>
      </c>
      <c r="R110" s="333">
        <f>DTR!O184</f>
        <v>-9422603254</v>
      </c>
      <c r="S110" s="333">
        <f>DTR!P184</f>
        <v>-1409744554</v>
      </c>
      <c r="T110" s="333">
        <f>DTR!Q184</f>
        <v>-42949753759</v>
      </c>
      <c r="U110" s="333">
        <f>DTR!R184</f>
        <v>-27896985790</v>
      </c>
      <c r="V110" s="333">
        <f>DTR!S184</f>
        <v>-19046783884</v>
      </c>
      <c r="W110" s="333">
        <f>DTR!T184</f>
        <v>-4600165478</v>
      </c>
      <c r="X110" s="333">
        <f>DTR!U184</f>
        <v>14056363160</v>
      </c>
      <c r="Y110" s="333">
        <f>DTR!V184</f>
        <v>-3771779405</v>
      </c>
      <c r="Z110" s="333">
        <f>DTR!W184</f>
        <v>-298252844</v>
      </c>
      <c r="AA110" s="333">
        <f>DTR!X184</f>
        <v>-25294615507</v>
      </c>
      <c r="AB110" s="333">
        <f>DTR!Y184</f>
        <v>6231656722</v>
      </c>
      <c r="AC110" s="333">
        <f>DTR!Z184</f>
        <v>15615882426</v>
      </c>
      <c r="AD110" s="333">
        <f t="shared" ca="1" si="28"/>
        <v>-100725871241</v>
      </c>
      <c r="AE110" s="318">
        <f t="shared" ca="1" si="19"/>
        <v>-19046783884</v>
      </c>
      <c r="AF110" s="333">
        <f>DTR!AA$184</f>
        <v>-1524383164</v>
      </c>
      <c r="AG110" s="333">
        <f>DTR!AB$184</f>
        <v>-34677649362</v>
      </c>
      <c r="AH110" s="333">
        <f>DTR!AC$184</f>
        <v>-21851806644</v>
      </c>
      <c r="AI110" s="333">
        <f>DTR!AD$184</f>
        <v>-36965946130</v>
      </c>
      <c r="AJ110" s="333">
        <f>DTR!AE$184</f>
        <v>2488619135</v>
      </c>
      <c r="AK110" s="333">
        <f>DTR!AF$184</f>
        <v>0</v>
      </c>
      <c r="AL110" s="333">
        <f>DTR!AG$184</f>
        <v>0</v>
      </c>
      <c r="AM110" s="333">
        <f>DTR!AH$184</f>
        <v>0</v>
      </c>
      <c r="AN110" s="333">
        <f>DTR!AI$184</f>
        <v>0</v>
      </c>
      <c r="AO110" s="333">
        <f>DTR!AJ$184</f>
        <v>0</v>
      </c>
      <c r="AP110" s="333">
        <f>DTR!AK$184</f>
        <v>0</v>
      </c>
      <c r="AQ110" s="333">
        <f>DTR!AL$184</f>
        <v>0</v>
      </c>
      <c r="AR110" s="305">
        <f t="shared" ca="1" si="29"/>
        <v>-92531166165</v>
      </c>
      <c r="AS110" s="305">
        <f t="shared" ca="1" si="20"/>
        <v>2488619135</v>
      </c>
    </row>
    <row r="111" spans="1:45">
      <c r="A111" t="s">
        <v>210</v>
      </c>
      <c r="B111" t="s">
        <v>2</v>
      </c>
      <c r="D111" s="324" t="s">
        <v>211</v>
      </c>
      <c r="E111" s="305">
        <f>DTR!C188</f>
        <v>57270669795</v>
      </c>
      <c r="F111" s="305">
        <f>DTR!D188</f>
        <v>2700000000</v>
      </c>
      <c r="G111" s="305">
        <f>DTR!E188</f>
        <v>51941747542</v>
      </c>
      <c r="H111" s="305">
        <f>DTR!F188</f>
        <v>43144705866</v>
      </c>
      <c r="I111" s="305">
        <f>DTR!G188</f>
        <v>34881897765</v>
      </c>
      <c r="J111" s="305">
        <f>DTR!H188</f>
        <v>19187776584</v>
      </c>
      <c r="K111" s="305">
        <f>DTR!I188</f>
        <v>4706000000</v>
      </c>
      <c r="L111" s="305">
        <f>DTR!J188</f>
        <v>51191060696</v>
      </c>
      <c r="M111" s="305">
        <f>DTR!K188</f>
        <v>84691804308</v>
      </c>
      <c r="N111" s="305">
        <f>DTR!L188</f>
        <v>102825721496</v>
      </c>
      <c r="O111" s="305">
        <f>DTR!M188</f>
        <v>83853569555</v>
      </c>
      <c r="P111" s="305">
        <f>DTR!N188</f>
        <v>37383794832</v>
      </c>
      <c r="Q111" s="305">
        <f t="shared" ca="1" si="27"/>
        <v>189939020968</v>
      </c>
      <c r="R111" s="305">
        <f>DTR!O188</f>
        <v>2310562000</v>
      </c>
      <c r="S111" s="305">
        <f>DTR!P188</f>
        <v>5428000000</v>
      </c>
      <c r="T111" s="305">
        <f>DTR!Q188</f>
        <v>58529191203</v>
      </c>
      <c r="U111" s="305">
        <f>DTR!R188</f>
        <v>90358841948</v>
      </c>
      <c r="V111" s="305">
        <f>DTR!S188</f>
        <v>46360978617</v>
      </c>
      <c r="W111" s="305">
        <f>DTR!T188</f>
        <v>47723278583</v>
      </c>
      <c r="X111" s="305">
        <f>DTR!U188</f>
        <v>49379624959</v>
      </c>
      <c r="Y111" s="305">
        <f>DTR!V188</f>
        <v>76433887270</v>
      </c>
      <c r="Z111" s="305">
        <f>DTR!W188</f>
        <v>74543374853</v>
      </c>
      <c r="AA111" s="305">
        <f>DTR!X188</f>
        <v>35990648109</v>
      </c>
      <c r="AB111" s="305">
        <f>DTR!Y188</f>
        <v>46874996976</v>
      </c>
      <c r="AC111" s="305">
        <f>DTR!Z188</f>
        <v>40177257513</v>
      </c>
      <c r="AD111" s="305">
        <f t="shared" ca="1" si="28"/>
        <v>202987573768</v>
      </c>
      <c r="AE111" s="318">
        <f t="shared" ref="AE111:AE120" ca="1" si="30">IF($AD$26=1,R111,SUM(OFFSET(R111:AC111,0,0,1,$AD$26))-SUM(OFFSET(R111:AC111,0,0,1,$AD$26-1)))</f>
        <v>46360978617</v>
      </c>
      <c r="AF111" s="305">
        <f>DTR!AA$188</f>
        <v>56609988510</v>
      </c>
      <c r="AG111" s="305">
        <f>DTR!AB$188</f>
        <v>47431035680</v>
      </c>
      <c r="AH111" s="305">
        <f>DTR!AC$188</f>
        <v>28824946157</v>
      </c>
      <c r="AI111" s="305">
        <f>DTR!AD$188</f>
        <v>0</v>
      </c>
      <c r="AJ111" s="305">
        <f>DTR!AE$188</f>
        <v>104042294769</v>
      </c>
      <c r="AK111" s="305">
        <f>DTR!AF$188</f>
        <v>0</v>
      </c>
      <c r="AL111" s="305">
        <f>DTR!AG$188</f>
        <v>0</v>
      </c>
      <c r="AM111" s="305">
        <f>DTR!AH$188</f>
        <v>0</v>
      </c>
      <c r="AN111" s="305">
        <f>DTR!AI$188</f>
        <v>0</v>
      </c>
      <c r="AO111" s="305">
        <f>DTR!AJ$188</f>
        <v>0</v>
      </c>
      <c r="AP111" s="305">
        <f>DTR!AK$188</f>
        <v>0</v>
      </c>
      <c r="AQ111" s="305">
        <f>DTR!AL$188</f>
        <v>0</v>
      </c>
      <c r="AR111" s="305">
        <f t="shared" ca="1" si="29"/>
        <v>236908265116</v>
      </c>
      <c r="AS111" s="305">
        <f t="shared" ref="AS111:AS120" ca="1" si="31">IF($AR$26=1,AF111,SUM(OFFSET(AF111:AQ111,0,0,1,$AR$26))-SUM(OFFSET(AF111:AQ111,0,0,1,$AR$26-1)))</f>
        <v>104042294769</v>
      </c>
    </row>
    <row r="112" spans="1:45">
      <c r="A112" t="s">
        <v>212</v>
      </c>
      <c r="B112" t="s">
        <v>2</v>
      </c>
      <c r="D112" s="324" t="s">
        <v>213</v>
      </c>
      <c r="E112" s="305">
        <f>SUM(DTR!C189:C190)</f>
        <v>0</v>
      </c>
      <c r="F112" s="305">
        <f>SUM(DTR!D189:D190)</f>
        <v>-7768970250</v>
      </c>
      <c r="G112" s="305">
        <f>SUM(DTR!E189:E190)</f>
        <v>-8016000000</v>
      </c>
      <c r="H112" s="305">
        <f>SUM(DTR!F189:F190)</f>
        <v>-295193392</v>
      </c>
      <c r="I112" s="305">
        <f>SUM(DTR!G189:G190)</f>
        <v>-2906560000</v>
      </c>
      <c r="J112" s="305">
        <f>SUM(DTR!H189:H190)</f>
        <v>-6016005797</v>
      </c>
      <c r="K112" s="305">
        <f>SUM(DTR!I189:I190)</f>
        <v>-26451297542</v>
      </c>
      <c r="L112" s="305">
        <f>SUM(DTR!J189:J190)</f>
        <v>-94694168939</v>
      </c>
      <c r="M112" s="305">
        <f>SUM(DTR!K189:K190)</f>
        <v>-70491152886</v>
      </c>
      <c r="N112" s="305">
        <f>SUM(DTR!L189:L190)</f>
        <v>-86950072394</v>
      </c>
      <c r="O112" s="305">
        <f>SUM(DTR!M189:M190)</f>
        <v>-46997210051</v>
      </c>
      <c r="P112" s="305">
        <f>SUM(DTR!N189:N190)</f>
        <v>-30836777778</v>
      </c>
      <c r="Q112" s="305">
        <f t="shared" ca="1" si="27"/>
        <v>-18986723642</v>
      </c>
      <c r="R112" s="305">
        <f>SUM(DTR!O189:O190)</f>
        <v>-34502891733</v>
      </c>
      <c r="S112" s="305">
        <f>SUM(DTR!P189:P190)</f>
        <v>-100989562751</v>
      </c>
      <c r="T112" s="305">
        <f>SUM(DTR!Q189:Q190)</f>
        <v>-4974777778</v>
      </c>
      <c r="U112" s="305">
        <f>SUM(DTR!R189:R190)</f>
        <v>-16505926179</v>
      </c>
      <c r="V112" s="305">
        <f>SUM(DTR!S189:S190)</f>
        <v>-22871399127</v>
      </c>
      <c r="W112" s="305">
        <f>SUM(DTR!T189:T190)</f>
        <v>-30884050048</v>
      </c>
      <c r="X112" s="305">
        <f>SUM(DTR!U189:U190)</f>
        <v>-38267904620</v>
      </c>
      <c r="Y112" s="305">
        <f>SUM(DTR!V189:V190)</f>
        <v>-33760324078</v>
      </c>
      <c r="Z112" s="305">
        <f>SUM(DTR!W189:W190)</f>
        <v>-60595896621</v>
      </c>
      <c r="AA112" s="305">
        <f>SUM(DTR!X189:X190)</f>
        <v>-87325930003</v>
      </c>
      <c r="AB112" s="305">
        <f>SUM(DTR!Y189:Y190)</f>
        <v>-54450869889</v>
      </c>
      <c r="AC112" s="305">
        <f>SUM(DTR!Z189:Z190)</f>
        <v>-51901101542</v>
      </c>
      <c r="AD112" s="305">
        <f t="shared" ca="1" si="28"/>
        <v>-179844557568</v>
      </c>
      <c r="AE112" s="318">
        <f t="shared" ca="1" si="30"/>
        <v>-22871399127</v>
      </c>
      <c r="AF112" s="305">
        <f>SUM(DTR!AA$189:AA$190)</f>
        <v>-102926582542</v>
      </c>
      <c r="AG112" s="305">
        <f>SUM(DTR!AB$189:AB$190)</f>
        <v>-10475826748</v>
      </c>
      <c r="AH112" s="305">
        <f>SUM(DTR!AC$189:AC$190)</f>
        <v>-72234341824</v>
      </c>
      <c r="AI112" s="305">
        <f>SUM(DTR!AD$189:AD$190)</f>
        <v>-32222541860</v>
      </c>
      <c r="AJ112" s="305">
        <f>SUM(DTR!AE$189:AE$190)</f>
        <v>-60128365494</v>
      </c>
      <c r="AK112" s="305">
        <f>SUM(DTR!AF$189:AF$190)</f>
        <v>0</v>
      </c>
      <c r="AL112" s="305">
        <f>SUM(DTR!AG$189:AG$190)</f>
        <v>0</v>
      </c>
      <c r="AM112" s="305">
        <f>SUM(DTR!AH$189:AH$190)</f>
        <v>0</v>
      </c>
      <c r="AN112" s="305">
        <f>SUM(DTR!AI$189:AI$190)</f>
        <v>0</v>
      </c>
      <c r="AO112" s="305">
        <f>SUM(DTR!AJ$189:AJ$190)</f>
        <v>0</v>
      </c>
      <c r="AP112" s="305">
        <f>SUM(DTR!AK$189:AK$190)</f>
        <v>0</v>
      </c>
      <c r="AQ112" s="305">
        <f>SUM(DTR!AL$189:AL$190)</f>
        <v>0</v>
      </c>
      <c r="AR112" s="305">
        <f t="shared" ca="1" si="29"/>
        <v>-277987658468</v>
      </c>
      <c r="AS112" s="305">
        <f t="shared" ca="1" si="31"/>
        <v>-60128365494</v>
      </c>
    </row>
    <row r="113" spans="1:45">
      <c r="A113" t="s">
        <v>214</v>
      </c>
      <c r="B113" t="s">
        <v>2</v>
      </c>
      <c r="D113" s="324" t="s">
        <v>215</v>
      </c>
      <c r="E113" s="305">
        <f>DTR!C186</f>
        <v>0</v>
      </c>
      <c r="F113" s="305">
        <f>DTR!D186</f>
        <v>0</v>
      </c>
      <c r="G113" s="305">
        <f>DTR!E186</f>
        <v>0</v>
      </c>
      <c r="H113" s="305">
        <f>DTR!F186</f>
        <v>0</v>
      </c>
      <c r="I113" s="305">
        <f>DTR!G186</f>
        <v>0</v>
      </c>
      <c r="J113" s="305">
        <f>DTR!H186</f>
        <v>0</v>
      </c>
      <c r="K113" s="305">
        <f>DTR!I186</f>
        <v>0</v>
      </c>
      <c r="L113" s="305">
        <f>DTR!J186</f>
        <v>0</v>
      </c>
      <c r="M113" s="305">
        <f>DTR!K186</f>
        <v>0</v>
      </c>
      <c r="N113" s="305">
        <f>DTR!L186</f>
        <v>0</v>
      </c>
      <c r="O113" s="305">
        <f>DTR!M186</f>
        <v>0</v>
      </c>
      <c r="P113" s="305">
        <f>DTR!N186</f>
        <v>0</v>
      </c>
      <c r="Q113" s="305">
        <f t="shared" ca="1" si="27"/>
        <v>0</v>
      </c>
      <c r="R113" s="305">
        <f>DTR!O186</f>
        <v>0</v>
      </c>
      <c r="S113" s="305">
        <f>DTR!P186</f>
        <v>0</v>
      </c>
      <c r="T113" s="305">
        <f>DTR!Q186</f>
        <v>0</v>
      </c>
      <c r="U113" s="305">
        <f>DTR!R186</f>
        <v>0</v>
      </c>
      <c r="V113" s="305">
        <f>DTR!S186</f>
        <v>0</v>
      </c>
      <c r="W113" s="305">
        <f>DTR!T186</f>
        <v>0</v>
      </c>
      <c r="X113" s="305">
        <f>DTR!U186</f>
        <v>0</v>
      </c>
      <c r="Y113" s="305">
        <f>DTR!V186</f>
        <v>0</v>
      </c>
      <c r="Z113" s="305">
        <f>DTR!W186</f>
        <v>0</v>
      </c>
      <c r="AA113" s="305">
        <f>DTR!X186</f>
        <v>0</v>
      </c>
      <c r="AB113" s="305">
        <f>DTR!Y186</f>
        <v>0</v>
      </c>
      <c r="AC113" s="305">
        <f>DTR!Z186</f>
        <v>0</v>
      </c>
      <c r="AD113" s="305">
        <f t="shared" ca="1" si="28"/>
        <v>0</v>
      </c>
      <c r="AE113" s="318">
        <f t="shared" ca="1" si="30"/>
        <v>0</v>
      </c>
      <c r="AF113" s="305">
        <f>DTR!AA$186</f>
        <v>0</v>
      </c>
      <c r="AG113" s="305">
        <f>DTR!AB$186</f>
        <v>0</v>
      </c>
      <c r="AH113" s="305">
        <f>DTR!AC$186</f>
        <v>0</v>
      </c>
      <c r="AI113" s="305">
        <f>DTR!AD$186</f>
        <v>0</v>
      </c>
      <c r="AJ113" s="305">
        <f>DTR!AE$186</f>
        <v>0</v>
      </c>
      <c r="AK113" s="305">
        <f>DTR!AF$186</f>
        <v>0</v>
      </c>
      <c r="AL113" s="305">
        <f>DTR!AG$186</f>
        <v>0</v>
      </c>
      <c r="AM113" s="305">
        <f>DTR!AH$186</f>
        <v>0</v>
      </c>
      <c r="AN113" s="305">
        <f>DTR!AI$186</f>
        <v>0</v>
      </c>
      <c r="AO113" s="305">
        <f>DTR!AJ$186</f>
        <v>0</v>
      </c>
      <c r="AP113" s="305">
        <f>DTR!AK$186</f>
        <v>0</v>
      </c>
      <c r="AQ113" s="305">
        <f>DTR!AL$186</f>
        <v>0</v>
      </c>
      <c r="AR113" s="305">
        <f t="shared" ca="1" si="29"/>
        <v>0</v>
      </c>
      <c r="AS113" s="305">
        <f t="shared" ca="1" si="31"/>
        <v>0</v>
      </c>
    </row>
    <row r="114" spans="1:45">
      <c r="A114" t="s">
        <v>216</v>
      </c>
      <c r="B114" t="s">
        <v>2</v>
      </c>
      <c r="D114" s="324" t="s">
        <v>217</v>
      </c>
      <c r="E114" s="305">
        <f>DTR!C191</f>
        <v>0</v>
      </c>
      <c r="F114" s="305">
        <f>DTR!D191</f>
        <v>0</v>
      </c>
      <c r="G114" s="305">
        <f>DTR!E191</f>
        <v>0</v>
      </c>
      <c r="H114" s="305">
        <f>DTR!F191</f>
        <v>0</v>
      </c>
      <c r="I114" s="305">
        <f>DTR!G191</f>
        <v>0</v>
      </c>
      <c r="J114" s="305">
        <f>DTR!H191</f>
        <v>0</v>
      </c>
      <c r="K114" s="305">
        <f>DTR!I191</f>
        <v>0</v>
      </c>
      <c r="L114" s="305">
        <f>DTR!J191</f>
        <v>0</v>
      </c>
      <c r="M114" s="305">
        <f>DTR!K191</f>
        <v>0</v>
      </c>
      <c r="N114" s="305">
        <f>DTR!L191</f>
        <v>0</v>
      </c>
      <c r="O114" s="305">
        <f>DTR!M191</f>
        <v>0</v>
      </c>
      <c r="P114" s="305">
        <f>DTR!N191</f>
        <v>0</v>
      </c>
      <c r="Q114" s="305">
        <f t="shared" ca="1" si="27"/>
        <v>0</v>
      </c>
      <c r="R114" s="305">
        <f>DTR!O191</f>
        <v>0</v>
      </c>
      <c r="S114" s="305">
        <f>DTR!P191</f>
        <v>0</v>
      </c>
      <c r="T114" s="305">
        <f>DTR!Q191</f>
        <v>0</v>
      </c>
      <c r="U114" s="305">
        <f>DTR!R191</f>
        <v>0</v>
      </c>
      <c r="V114" s="305">
        <f>DTR!S191</f>
        <v>0</v>
      </c>
      <c r="W114" s="305">
        <f>DTR!T191</f>
        <v>0</v>
      </c>
      <c r="X114" s="305">
        <f>DTR!U191</f>
        <v>0</v>
      </c>
      <c r="Y114" s="305">
        <f>DTR!V191</f>
        <v>0</v>
      </c>
      <c r="Z114" s="305">
        <f>DTR!W191</f>
        <v>0</v>
      </c>
      <c r="AA114" s="305">
        <f>DTR!X191</f>
        <v>0</v>
      </c>
      <c r="AB114" s="305">
        <f>DTR!Y191</f>
        <v>0</v>
      </c>
      <c r="AC114" s="305">
        <f>DTR!Z191</f>
        <v>0</v>
      </c>
      <c r="AD114" s="305">
        <f t="shared" ca="1" si="28"/>
        <v>0</v>
      </c>
      <c r="AE114" s="318">
        <f t="shared" ca="1" si="30"/>
        <v>0</v>
      </c>
      <c r="AF114" s="305">
        <f>DTR!AA$191</f>
        <v>0</v>
      </c>
      <c r="AG114" s="305">
        <f>DTR!AB$191</f>
        <v>0</v>
      </c>
      <c r="AH114" s="305">
        <f>DTR!AC$191</f>
        <v>0</v>
      </c>
      <c r="AI114" s="305">
        <f>DTR!AD$191</f>
        <v>0</v>
      </c>
      <c r="AJ114" s="305">
        <f>DTR!AE$191</f>
        <v>0</v>
      </c>
      <c r="AK114" s="305">
        <f>DTR!AF$191</f>
        <v>0</v>
      </c>
      <c r="AL114" s="305">
        <f>DTR!AG$191</f>
        <v>0</v>
      </c>
      <c r="AM114" s="305">
        <f>DTR!AH$191</f>
        <v>0</v>
      </c>
      <c r="AN114" s="305">
        <f>DTR!AI$191</f>
        <v>0</v>
      </c>
      <c r="AO114" s="305">
        <f>DTR!AJ$191</f>
        <v>0</v>
      </c>
      <c r="AP114" s="305">
        <f>DTR!AK$191</f>
        <v>0</v>
      </c>
      <c r="AQ114" s="305">
        <f>DTR!AL$191</f>
        <v>0</v>
      </c>
      <c r="AR114" s="305">
        <f t="shared" ca="1" si="29"/>
        <v>0</v>
      </c>
      <c r="AS114" s="305">
        <f t="shared" ca="1" si="31"/>
        <v>0</v>
      </c>
    </row>
    <row r="115" spans="1:45">
      <c r="A115" t="s">
        <v>218</v>
      </c>
      <c r="B115" t="s">
        <v>2</v>
      </c>
      <c r="D115" s="324" t="s">
        <v>219</v>
      </c>
      <c r="E115" s="305">
        <f>DTR!C187</f>
        <v>0</v>
      </c>
      <c r="F115" s="305">
        <f>DTR!D187</f>
        <v>0</v>
      </c>
      <c r="G115" s="305">
        <f>DTR!E187</f>
        <v>0</v>
      </c>
      <c r="H115" s="305">
        <f>DTR!F187</f>
        <v>0</v>
      </c>
      <c r="I115" s="305">
        <f>DTR!G187</f>
        <v>0</v>
      </c>
      <c r="J115" s="305">
        <f>DTR!H187</f>
        <v>0</v>
      </c>
      <c r="K115" s="305">
        <f>DTR!I187</f>
        <v>0</v>
      </c>
      <c r="L115" s="305">
        <f>DTR!J187</f>
        <v>0</v>
      </c>
      <c r="M115" s="305">
        <f>DTR!K187</f>
        <v>0</v>
      </c>
      <c r="N115" s="305">
        <f>DTR!L187</f>
        <v>0</v>
      </c>
      <c r="O115" s="305">
        <f>DTR!M187</f>
        <v>0</v>
      </c>
      <c r="P115" s="305">
        <f>DTR!N187</f>
        <v>0</v>
      </c>
      <c r="Q115" s="305">
        <f t="shared" ca="1" si="27"/>
        <v>0</v>
      </c>
      <c r="R115" s="305">
        <f>DTR!O187</f>
        <v>0</v>
      </c>
      <c r="S115" s="305">
        <f>DTR!P187</f>
        <v>0</v>
      </c>
      <c r="T115" s="305">
        <f>DTR!Q187</f>
        <v>0</v>
      </c>
      <c r="U115" s="305">
        <f>DTR!R187</f>
        <v>0</v>
      </c>
      <c r="V115" s="305">
        <f>DTR!S187</f>
        <v>0</v>
      </c>
      <c r="W115" s="305">
        <f>DTR!T187</f>
        <v>0</v>
      </c>
      <c r="X115" s="305">
        <f>DTR!U187</f>
        <v>0</v>
      </c>
      <c r="Y115" s="305">
        <f>DTR!V187</f>
        <v>0</v>
      </c>
      <c r="Z115" s="305">
        <f>DTR!W187</f>
        <v>0</v>
      </c>
      <c r="AA115" s="305">
        <f>DTR!X187</f>
        <v>0</v>
      </c>
      <c r="AB115" s="305">
        <f>DTR!Y187</f>
        <v>0</v>
      </c>
      <c r="AC115" s="305">
        <f>DTR!Z187</f>
        <v>0</v>
      </c>
      <c r="AD115" s="305">
        <f t="shared" ca="1" si="28"/>
        <v>0</v>
      </c>
      <c r="AE115" s="318">
        <f t="shared" ca="1" si="30"/>
        <v>0</v>
      </c>
      <c r="AF115" s="305">
        <f>DTR!AA$187</f>
        <v>0</v>
      </c>
      <c r="AG115" s="305">
        <f>DTR!AB$187</f>
        <v>0</v>
      </c>
      <c r="AH115" s="305">
        <f>DTR!AC$187</f>
        <v>0</v>
      </c>
      <c r="AI115" s="305">
        <f>DTR!AD$187</f>
        <v>0</v>
      </c>
      <c r="AJ115" s="305">
        <f>DTR!AE$187</f>
        <v>0</v>
      </c>
      <c r="AK115" s="305">
        <f>DTR!AF$187</f>
        <v>0</v>
      </c>
      <c r="AL115" s="305">
        <f>DTR!AG$187</f>
        <v>0</v>
      </c>
      <c r="AM115" s="305">
        <f>DTR!AH$187</f>
        <v>0</v>
      </c>
      <c r="AN115" s="305">
        <f>DTR!AI$187</f>
        <v>0</v>
      </c>
      <c r="AO115" s="305">
        <f>DTR!AJ$187</f>
        <v>0</v>
      </c>
      <c r="AP115" s="305">
        <f>DTR!AK$187</f>
        <v>0</v>
      </c>
      <c r="AQ115" s="305">
        <f>DTR!AL$187</f>
        <v>0</v>
      </c>
      <c r="AR115" s="305">
        <f t="shared" ca="1" si="29"/>
        <v>0</v>
      </c>
      <c r="AS115" s="305">
        <f t="shared" ca="1" si="31"/>
        <v>0</v>
      </c>
    </row>
    <row r="116" spans="1:45">
      <c r="A116" t="s">
        <v>220</v>
      </c>
      <c r="B116" t="s">
        <v>2</v>
      </c>
      <c r="D116" s="298" t="s">
        <v>57</v>
      </c>
      <c r="E116" s="333">
        <f>DTR!C192</f>
        <v>57270669795</v>
      </c>
      <c r="F116" s="333">
        <f>DTR!D192</f>
        <v>-5068970250</v>
      </c>
      <c r="G116" s="333">
        <f>DTR!E192</f>
        <v>43925747542</v>
      </c>
      <c r="H116" s="333">
        <f>DTR!F192</f>
        <v>42849512474</v>
      </c>
      <c r="I116" s="333">
        <f>DTR!G192</f>
        <v>31975337765</v>
      </c>
      <c r="J116" s="333">
        <f>DTR!H192</f>
        <v>13171770787</v>
      </c>
      <c r="K116" s="333">
        <f>DTR!I192</f>
        <v>-21745297542</v>
      </c>
      <c r="L116" s="333">
        <f>DTR!J192</f>
        <v>-43503108243</v>
      </c>
      <c r="M116" s="333">
        <f>DTR!K192</f>
        <v>14200651422</v>
      </c>
      <c r="N116" s="333">
        <f>DTR!L192</f>
        <v>15875649102</v>
      </c>
      <c r="O116" s="333">
        <f>DTR!M192</f>
        <v>36856359504</v>
      </c>
      <c r="P116" s="333">
        <f>DTR!N192</f>
        <v>6547017054</v>
      </c>
      <c r="Q116" s="333">
        <f t="shared" ca="1" si="27"/>
        <v>170952297326</v>
      </c>
      <c r="R116" s="333">
        <f>DTR!O192</f>
        <v>-32192329733</v>
      </c>
      <c r="S116" s="333">
        <f>DTR!P192</f>
        <v>-95561562751</v>
      </c>
      <c r="T116" s="333">
        <f>DTR!Q192</f>
        <v>53554413425</v>
      </c>
      <c r="U116" s="333">
        <f>DTR!R192</f>
        <v>73852915769</v>
      </c>
      <c r="V116" s="333">
        <f>DTR!S192</f>
        <v>23489579490</v>
      </c>
      <c r="W116" s="333">
        <f>DTR!T192</f>
        <v>16839228535</v>
      </c>
      <c r="X116" s="333">
        <f>DTR!U192</f>
        <v>11111720339</v>
      </c>
      <c r="Y116" s="333">
        <f>DTR!V192</f>
        <v>42673563192</v>
      </c>
      <c r="Z116" s="333">
        <f>DTR!W192</f>
        <v>13947478232</v>
      </c>
      <c r="AA116" s="333">
        <f>DTR!X192</f>
        <v>-51335281894</v>
      </c>
      <c r="AB116" s="333">
        <f>DTR!Y192</f>
        <v>-7575872913</v>
      </c>
      <c r="AC116" s="333">
        <f>DTR!Z192</f>
        <v>-11723844029</v>
      </c>
      <c r="AD116" s="333">
        <f t="shared" ca="1" si="28"/>
        <v>23143016200</v>
      </c>
      <c r="AE116" s="318">
        <f t="shared" ca="1" si="30"/>
        <v>23489579490</v>
      </c>
      <c r="AF116" s="333">
        <f>DTR!AA$192</f>
        <v>-46316594032</v>
      </c>
      <c r="AG116" s="333">
        <f>DTR!AB$192</f>
        <v>36955208932</v>
      </c>
      <c r="AH116" s="333">
        <f>DTR!AC$192</f>
        <v>-43409395667</v>
      </c>
      <c r="AI116" s="333">
        <f>DTR!AD$192</f>
        <v>-32222541860</v>
      </c>
      <c r="AJ116" s="333">
        <f>DTR!AE$192</f>
        <v>43913929275</v>
      </c>
      <c r="AK116" s="333">
        <f>DTR!AF$192</f>
        <v>0</v>
      </c>
      <c r="AL116" s="333">
        <f>DTR!AG$192</f>
        <v>0</v>
      </c>
      <c r="AM116" s="333">
        <f>DTR!AH$192</f>
        <v>0</v>
      </c>
      <c r="AN116" s="333">
        <f>DTR!AI$192</f>
        <v>0</v>
      </c>
      <c r="AO116" s="333">
        <f>DTR!AJ$192</f>
        <v>0</v>
      </c>
      <c r="AP116" s="333">
        <f>DTR!AK$192</f>
        <v>0</v>
      </c>
      <c r="AQ116" s="333">
        <f>DTR!AL$192</f>
        <v>0</v>
      </c>
      <c r="AR116" s="305">
        <f t="shared" ca="1" si="29"/>
        <v>-41079393352</v>
      </c>
      <c r="AS116" s="305">
        <f t="shared" ca="1" si="31"/>
        <v>43913929275</v>
      </c>
    </row>
    <row r="117" spans="1:45">
      <c r="A117" t="s">
        <v>221</v>
      </c>
      <c r="B117" t="s">
        <v>2</v>
      </c>
      <c r="D117" s="335" t="s">
        <v>222</v>
      </c>
      <c r="E117" s="333">
        <f>DTR!C193</f>
        <v>24740085479</v>
      </c>
      <c r="F117" s="333">
        <f>DTR!D193</f>
        <v>-8795261906</v>
      </c>
      <c r="G117" s="333">
        <f>DTR!E193</f>
        <v>-16324735668</v>
      </c>
      <c r="H117" s="333">
        <f>DTR!F193</f>
        <v>8667467044</v>
      </c>
      <c r="I117" s="333">
        <f>DTR!G193</f>
        <v>-386049380</v>
      </c>
      <c r="J117" s="333">
        <f>DTR!H193</f>
        <v>-12514506331</v>
      </c>
      <c r="K117" s="333">
        <f>DTR!I193</f>
        <v>33057560373</v>
      </c>
      <c r="L117" s="333">
        <f>DTR!J193</f>
        <v>-20431955304</v>
      </c>
      <c r="M117" s="333">
        <f>DTR!K193</f>
        <v>16206267494</v>
      </c>
      <c r="N117" s="333">
        <f>DTR!L193</f>
        <v>22093129144</v>
      </c>
      <c r="O117" s="333">
        <f>DTR!M193</f>
        <v>-13876187520</v>
      </c>
      <c r="P117" s="333">
        <f>DTR!N193</f>
        <v>-4926608621</v>
      </c>
      <c r="Q117" s="333">
        <f t="shared" ca="1" si="27"/>
        <v>7901505569</v>
      </c>
      <c r="R117" s="333">
        <f>DTR!O193</f>
        <v>36324097729</v>
      </c>
      <c r="S117" s="333">
        <f>DTR!P193</f>
        <v>-44504558739</v>
      </c>
      <c r="T117" s="333">
        <f>DTR!Q193</f>
        <v>-10311897779</v>
      </c>
      <c r="U117" s="333">
        <f>DTR!R193</f>
        <v>13376555757</v>
      </c>
      <c r="V117" s="333">
        <f>DTR!S193</f>
        <v>-17365277225</v>
      </c>
      <c r="W117" s="333">
        <f>DTR!T193</f>
        <v>9957129440</v>
      </c>
      <c r="X117" s="333">
        <f>DTR!U193</f>
        <v>-2567149938</v>
      </c>
      <c r="Y117" s="333">
        <f>DTR!V193</f>
        <v>-1512249339</v>
      </c>
      <c r="Z117" s="333">
        <f>DTR!W193</f>
        <v>33681818649</v>
      </c>
      <c r="AA117" s="333">
        <f>DTR!X193</f>
        <v>-11661203939</v>
      </c>
      <c r="AB117" s="333">
        <f>DTR!Y193</f>
        <v>1398499339</v>
      </c>
      <c r="AC117" s="333">
        <f>DTR!Z193</f>
        <v>-18582985163</v>
      </c>
      <c r="AD117" s="333">
        <f t="shared" ca="1" si="28"/>
        <v>-22481080257</v>
      </c>
      <c r="AE117" s="318">
        <f t="shared" ca="1" si="30"/>
        <v>-17365277225</v>
      </c>
      <c r="AF117" s="333">
        <f>DTR!AA$193</f>
        <v>5009300493</v>
      </c>
      <c r="AG117" s="333">
        <f>DTR!AB$193</f>
        <v>3658847656</v>
      </c>
      <c r="AH117" s="333">
        <f>DTR!AC$193</f>
        <v>-13141518485</v>
      </c>
      <c r="AI117" s="333">
        <f>DTR!AD$193</f>
        <v>13506074018</v>
      </c>
      <c r="AJ117" s="333">
        <f>DTR!AE$193</f>
        <v>-6740075884</v>
      </c>
      <c r="AK117" s="333">
        <f>DTR!AF$193</f>
        <v>0</v>
      </c>
      <c r="AL117" s="333">
        <f>DTR!AG$193</f>
        <v>0</v>
      </c>
      <c r="AM117" s="333">
        <f>DTR!AH$193</f>
        <v>0</v>
      </c>
      <c r="AN117" s="333">
        <f>DTR!AI$193</f>
        <v>0</v>
      </c>
      <c r="AO117" s="333">
        <f>DTR!AJ$193</f>
        <v>0</v>
      </c>
      <c r="AP117" s="333">
        <f>DTR!AK$193</f>
        <v>0</v>
      </c>
      <c r="AQ117" s="333">
        <f>DTR!AL$193</f>
        <v>0</v>
      </c>
      <c r="AR117" s="305">
        <f t="shared" ca="1" si="29"/>
        <v>2292627798</v>
      </c>
      <c r="AS117" s="305">
        <f t="shared" ca="1" si="31"/>
        <v>-6740075884</v>
      </c>
    </row>
    <row r="118" spans="1:45">
      <c r="A118" t="s">
        <v>223</v>
      </c>
      <c r="B118" t="s">
        <v>2</v>
      </c>
      <c r="D118" s="298" t="s">
        <v>224</v>
      </c>
      <c r="E118" s="333">
        <f>DTR!C194</f>
        <v>6353042534</v>
      </c>
      <c r="F118" s="333">
        <f>DTR!D194</f>
        <v>31037848308</v>
      </c>
      <c r="G118" s="333">
        <f>DTR!E194</f>
        <v>22669663716</v>
      </c>
      <c r="H118" s="333">
        <f>DTR!F194</f>
        <v>6664945115</v>
      </c>
      <c r="I118" s="333">
        <f>DTR!G194</f>
        <v>15574807889</v>
      </c>
      <c r="J118" s="333">
        <f>DTR!H194</f>
        <v>16007340290</v>
      </c>
      <c r="K118" s="333">
        <f>DTR!I194</f>
        <v>3678057757</v>
      </c>
      <c r="L118" s="333">
        <f>DTR!J194</f>
        <v>36916493026</v>
      </c>
      <c r="M118" s="333">
        <f>DTR!K194</f>
        <v>16748498285</v>
      </c>
      <c r="N118" s="333">
        <f>DTR!L194</f>
        <v>33251814637</v>
      </c>
      <c r="O118" s="333">
        <f>DTR!M194</f>
        <v>56773964959</v>
      </c>
      <c r="P118" s="333">
        <f>DTR!N194</f>
        <v>43420355696</v>
      </c>
      <c r="Q118" s="333">
        <f>E118</f>
        <v>6353042534</v>
      </c>
      <c r="R118" s="333">
        <f>DTR!O194</f>
        <v>39805017284</v>
      </c>
      <c r="S118" s="333">
        <f>DTR!P194</f>
        <v>76486895109</v>
      </c>
      <c r="T118" s="333">
        <f>DTR!Q194</f>
        <v>33258200889</v>
      </c>
      <c r="U118" s="333">
        <f>DTR!R194</f>
        <v>23555271373</v>
      </c>
      <c r="V118" s="333">
        <f>DTR!S194</f>
        <v>37590058839</v>
      </c>
      <c r="W118" s="333">
        <f>DTR!T194</f>
        <v>21868727527</v>
      </c>
      <c r="X118" s="333">
        <f>DTR!U194</f>
        <v>32470900772</v>
      </c>
      <c r="Y118" s="333">
        <f>DTR!V194</f>
        <v>30661632458</v>
      </c>
      <c r="Z118" s="333">
        <f>DTR!W194</f>
        <v>29770776625</v>
      </c>
      <c r="AA118" s="333">
        <f>DTR!X194</f>
        <v>64296693910</v>
      </c>
      <c r="AB118" s="333">
        <f>DTR!Y194</f>
        <v>53646701293</v>
      </c>
      <c r="AC118" s="333">
        <f>DTR!Z194</f>
        <v>55165406320</v>
      </c>
      <c r="AD118" s="333">
        <f>R118</f>
        <v>39805017284</v>
      </c>
      <c r="AE118" s="318">
        <f t="shared" ca="1" si="30"/>
        <v>37590058839</v>
      </c>
      <c r="AF118" s="333">
        <f>DTR!AA$194</f>
        <v>36834893155</v>
      </c>
      <c r="AG118" s="333">
        <f>DTR!AB$194</f>
        <v>42126572011</v>
      </c>
      <c r="AH118" s="333">
        <f>DTR!AC$194</f>
        <v>45981412915</v>
      </c>
      <c r="AI118" s="333">
        <f>DTR!AD$194</f>
        <v>33613094972</v>
      </c>
      <c r="AJ118" s="333">
        <f>DTR!AE$194</f>
        <v>47135211556</v>
      </c>
      <c r="AK118" s="333">
        <f>DTR!AF$194</f>
        <v>0</v>
      </c>
      <c r="AL118" s="333">
        <f>DTR!AG$194</f>
        <v>0</v>
      </c>
      <c r="AM118" s="333">
        <f>DTR!AH$194</f>
        <v>0</v>
      </c>
      <c r="AN118" s="333">
        <f>DTR!AI$194</f>
        <v>0</v>
      </c>
      <c r="AO118" s="333">
        <f>DTR!AJ$194</f>
        <v>0</v>
      </c>
      <c r="AP118" s="333">
        <f>DTR!AK$194</f>
        <v>0</v>
      </c>
      <c r="AQ118" s="333">
        <f>DTR!AL$194</f>
        <v>0</v>
      </c>
      <c r="AR118" s="305">
        <f t="shared" ca="1" si="29"/>
        <v>205691184609</v>
      </c>
      <c r="AS118" s="305">
        <f t="shared" ca="1" si="31"/>
        <v>47135211556</v>
      </c>
    </row>
    <row r="119" spans="1:45">
      <c r="A119" t="s">
        <v>225</v>
      </c>
      <c r="B119" t="s">
        <v>2</v>
      </c>
      <c r="D119" s="324" t="s">
        <v>226</v>
      </c>
      <c r="E119" s="305">
        <f>DTR!C195</f>
        <v>-55279705</v>
      </c>
      <c r="F119" s="305">
        <f>DTR!D195</f>
        <v>427077314</v>
      </c>
      <c r="G119" s="305">
        <f>DTR!E195</f>
        <v>320017067</v>
      </c>
      <c r="H119" s="305">
        <f>DTR!F195</f>
        <v>242395730</v>
      </c>
      <c r="I119" s="305">
        <f>DTR!G195</f>
        <v>818581781</v>
      </c>
      <c r="J119" s="305">
        <f>DTR!H195</f>
        <v>185223798</v>
      </c>
      <c r="K119" s="305">
        <f>DTR!I195</f>
        <v>180874896</v>
      </c>
      <c r="L119" s="305">
        <f>DTR!J195</f>
        <v>263960563</v>
      </c>
      <c r="M119" s="305">
        <f>DTR!K195</f>
        <v>297048858</v>
      </c>
      <c r="N119" s="305">
        <f>DTR!L195</f>
        <v>1429021178</v>
      </c>
      <c r="O119" s="305">
        <f>DTR!M195</f>
        <v>522578257</v>
      </c>
      <c r="P119" s="305">
        <f>DTR!N195</f>
        <v>1311270209</v>
      </c>
      <c r="Q119" s="305">
        <f ca="1">SUM(OFFSET(E119:P119,0,0,1,$AD$26))</f>
        <v>1752792187</v>
      </c>
      <c r="R119" s="305">
        <f>DTR!O195</f>
        <v>357780096</v>
      </c>
      <c r="S119" s="305">
        <f>DTR!P195</f>
        <v>1275864519</v>
      </c>
      <c r="T119" s="305">
        <f>DTR!Q195</f>
        <v>608968263</v>
      </c>
      <c r="U119" s="305">
        <f>DTR!R195</f>
        <v>658231709</v>
      </c>
      <c r="V119" s="305">
        <f>DTR!S195</f>
        <v>1643945913</v>
      </c>
      <c r="W119" s="305">
        <f>DTR!T195</f>
        <v>645043805</v>
      </c>
      <c r="X119" s="305">
        <f>DTR!U195</f>
        <v>757881624</v>
      </c>
      <c r="Y119" s="305">
        <f>DTR!V195</f>
        <v>621393506</v>
      </c>
      <c r="Z119" s="305">
        <f>DTR!W195</f>
        <v>844098636</v>
      </c>
      <c r="AA119" s="305">
        <f>DTR!X195</f>
        <v>1011211322</v>
      </c>
      <c r="AB119" s="305">
        <f>DTR!Y195</f>
        <v>120205688</v>
      </c>
      <c r="AC119" s="305">
        <f>DTR!Z195</f>
        <v>252471998</v>
      </c>
      <c r="AD119" s="305">
        <f t="shared" ca="1" si="28"/>
        <v>4544790500</v>
      </c>
      <c r="AE119" s="318">
        <f t="shared" ca="1" si="30"/>
        <v>1643945913</v>
      </c>
      <c r="AF119" s="305">
        <f>DTR!AA$195</f>
        <v>282378363</v>
      </c>
      <c r="AG119" s="305">
        <f>DTR!AB$195</f>
        <v>195993248</v>
      </c>
      <c r="AH119" s="305">
        <f>DTR!AC$195</f>
        <v>773200542</v>
      </c>
      <c r="AI119" s="305">
        <f>DTR!AD$195</f>
        <v>16042566</v>
      </c>
      <c r="AJ119" s="305">
        <f>DTR!AE$195</f>
        <v>618868933</v>
      </c>
      <c r="AK119" s="305">
        <f>DTR!AF$195</f>
        <v>0</v>
      </c>
      <c r="AL119" s="305">
        <f>DTR!AG$195</f>
        <v>0</v>
      </c>
      <c r="AM119" s="305">
        <f>DTR!AH$195</f>
        <v>0</v>
      </c>
      <c r="AN119" s="305">
        <f>DTR!AI$195</f>
        <v>0</v>
      </c>
      <c r="AO119" s="305">
        <f>DTR!AJ$195</f>
        <v>0</v>
      </c>
      <c r="AP119" s="305">
        <f>DTR!AK$195</f>
        <v>0</v>
      </c>
      <c r="AQ119" s="305">
        <f>DTR!AL$195</f>
        <v>0</v>
      </c>
      <c r="AR119" s="305">
        <f t="shared" ca="1" si="29"/>
        <v>1886483652</v>
      </c>
      <c r="AS119" s="305">
        <f t="shared" ca="1" si="31"/>
        <v>618868933</v>
      </c>
    </row>
    <row r="120" spans="1:45">
      <c r="A120" t="s">
        <v>227</v>
      </c>
      <c r="B120" t="s">
        <v>2</v>
      </c>
      <c r="D120" s="298" t="s">
        <v>228</v>
      </c>
      <c r="E120" s="333">
        <f>DTR!C196</f>
        <v>31037848308</v>
      </c>
      <c r="F120" s="333">
        <f>DTR!D196</f>
        <v>22669663716</v>
      </c>
      <c r="G120" s="333">
        <f>DTR!E196</f>
        <v>6664945115</v>
      </c>
      <c r="H120" s="333">
        <f>DTR!F196</f>
        <v>15574807889</v>
      </c>
      <c r="I120" s="333">
        <f>DTR!G196</f>
        <v>16007340290</v>
      </c>
      <c r="J120" s="333">
        <f>DTR!H196</f>
        <v>3678057757</v>
      </c>
      <c r="K120" s="333">
        <f>DTR!I196</f>
        <v>36916493026</v>
      </c>
      <c r="L120" s="333">
        <f>DTR!J196</f>
        <v>16748498285</v>
      </c>
      <c r="M120" s="333">
        <f>DTR!K196</f>
        <v>33251814637</v>
      </c>
      <c r="N120" s="333">
        <f>DTR!L196</f>
        <v>56773964959</v>
      </c>
      <c r="O120" s="333">
        <f>DTR!M196</f>
        <v>43420355696</v>
      </c>
      <c r="P120" s="333">
        <f>DTR!N196</f>
        <v>39805017284</v>
      </c>
      <c r="Q120" s="333">
        <f ca="1">IF($AD$26=1,E120,SUM(OFFSET(E120:P120,0,0,1,$AD$26))-SUM(OFFSET(E120:P120,0,0,1,$AD$26-1)))</f>
        <v>16007340290</v>
      </c>
      <c r="R120" s="333">
        <f>DTR!O196</f>
        <v>76486895109</v>
      </c>
      <c r="S120" s="333">
        <f>DTR!P196</f>
        <v>33258200889</v>
      </c>
      <c r="T120" s="333">
        <f>DTR!Q196</f>
        <v>23555271373</v>
      </c>
      <c r="U120" s="333">
        <f>DTR!R196</f>
        <v>37590058839</v>
      </c>
      <c r="V120" s="333">
        <f>DTR!S196</f>
        <v>21868727527</v>
      </c>
      <c r="W120" s="333">
        <f>DTR!T196</f>
        <v>32470900772</v>
      </c>
      <c r="X120" s="333">
        <f>DTR!U196</f>
        <v>30661632458</v>
      </c>
      <c r="Y120" s="333">
        <f>DTR!V196</f>
        <v>29770776625</v>
      </c>
      <c r="Z120" s="333">
        <f>DTR!W196</f>
        <v>64296693910</v>
      </c>
      <c r="AA120" s="333">
        <f>DTR!X196</f>
        <v>53646701293</v>
      </c>
      <c r="AB120" s="333">
        <f>DTR!Y196</f>
        <v>55165406320</v>
      </c>
      <c r="AC120" s="333">
        <f>DTR!Z196</f>
        <v>36834893155</v>
      </c>
      <c r="AD120" s="333">
        <f ca="1">IF($AD$26=1,R120,SUM(OFFSET(R120:AC120,0,0,1,$AD$26))-SUM(OFFSET(R120:AC120,0,0,1,$AD$26-1)))</f>
        <v>21868727527</v>
      </c>
      <c r="AE120" s="318">
        <f t="shared" ca="1" si="30"/>
        <v>21868727527</v>
      </c>
      <c r="AF120" s="333">
        <f>DTR!AA$196</f>
        <v>42126572011</v>
      </c>
      <c r="AG120" s="333">
        <f>DTR!AB$196</f>
        <v>45981412915</v>
      </c>
      <c r="AH120" s="333">
        <f>DTR!AC$196</f>
        <v>33613094972</v>
      </c>
      <c r="AI120" s="333">
        <f>DTR!AD$196</f>
        <v>47135211556</v>
      </c>
      <c r="AJ120" s="333">
        <f>DTR!AE$196</f>
        <v>41014004605</v>
      </c>
      <c r="AK120" s="333">
        <f>DTR!AF$196</f>
        <v>0</v>
      </c>
      <c r="AL120" s="333">
        <f>DTR!AG$196</f>
        <v>0</v>
      </c>
      <c r="AM120" s="333">
        <f>DTR!AH$196</f>
        <v>0</v>
      </c>
      <c r="AN120" s="333">
        <f>DTR!AI$196</f>
        <v>0</v>
      </c>
      <c r="AO120" s="333">
        <f>DTR!AJ$196</f>
        <v>0</v>
      </c>
      <c r="AP120" s="333">
        <f>DTR!AK$196</f>
        <v>0</v>
      </c>
      <c r="AQ120" s="333">
        <f>DTR!AL$196</f>
        <v>0</v>
      </c>
      <c r="AR120" s="333">
        <f ca="1">SUM(AR96:AR108)</f>
        <v>179018652543</v>
      </c>
      <c r="AS120" s="333">
        <f t="shared" ca="1" si="31"/>
        <v>41014004605</v>
      </c>
    </row>
    <row r="121" spans="1:45" s="336" customFormat="1" ht="17" thickBot="1">
      <c r="B121" s="336" t="s">
        <v>2</v>
      </c>
      <c r="D121" s="337" t="s">
        <v>229</v>
      </c>
      <c r="E121" s="297"/>
      <c r="F121" s="297"/>
      <c r="G121" s="297"/>
      <c r="H121" s="297"/>
      <c r="I121" s="297"/>
      <c r="J121" s="297"/>
      <c r="K121" s="297"/>
      <c r="L121" s="297"/>
      <c r="M121" s="297"/>
      <c r="N121" s="297"/>
      <c r="O121" s="297"/>
      <c r="P121" s="297"/>
      <c r="Q121" s="345">
        <f>(AVERAGE(E84:P84)+AVERAGE(E88:P88))/SUM(E68:P68)</f>
        <v>1.8879330294359509</v>
      </c>
      <c r="R121" s="346">
        <f>(AVERAGE(F84:P84,R84)+AVERAGE(F88:P88,R88))/SUM(F68:P68,R68)</f>
        <v>1.8762645532761708</v>
      </c>
      <c r="S121" s="346">
        <f>(AVERAGE(G84:$P84,$R84:S84)+AVERAGE(G88:$P88,$R88:S88))/SUM(G68:$P68,$R68:S68)</f>
        <v>1.5442871983147037</v>
      </c>
      <c r="T121" s="346">
        <f>(AVERAGE(H84:$P84,$R84:T84)+AVERAGE(H88:$P88,$R88:T88))/SUM(H68:$P68,$R68:T68)</f>
        <v>1.4367723726202748</v>
      </c>
      <c r="U121" s="346">
        <f>(AVERAGE(I84:$P84,$R84:U84)+AVERAGE(I88:$P88,$R88:U88))/SUM(I68:$P68,$R68:U68)</f>
        <v>1.440425665073171</v>
      </c>
      <c r="V121" s="346">
        <f>(AVERAGE(J84:$P84,$R84:V84)+AVERAGE(J88:$P88,$R88:V88))/SUM(J68:$P68,$R68:V68)</f>
        <v>1.3296440578804576</v>
      </c>
      <c r="W121" s="346">
        <f>(AVERAGE(K84:$P84,$R84:W84)+AVERAGE(K88:$P88,$R88:W88))/SUM(K68:$P68,$R68:W68)</f>
        <v>1.2631838093596282</v>
      </c>
      <c r="X121" s="346">
        <f>(AVERAGE(L84:$P84,$R84:X84)+AVERAGE(L88:$P88,$R88:X88))/SUM(L68:$P68,$R68:X68)</f>
        <v>1.2184330898127274</v>
      </c>
      <c r="Y121" s="346">
        <f>(AVERAGE(M84:$P84,$R84:Y84)+AVERAGE(M88:$P88,$R88:Y88))/SUM(M68:$P68,$R68:Y68)</f>
        <v>1.2280420798510812</v>
      </c>
      <c r="Z121" s="346">
        <f>(AVERAGE(N84:$P84,$R84:Z84)+AVERAGE(N88:$P88,$R88:Z88))/SUM(N68:$P68,$R68:Z68)</f>
        <v>1.4216756939294741</v>
      </c>
      <c r="AA121" s="346">
        <f>(AVERAGE(O84:$P84,$R84:AA84)+AVERAGE(O88:$P88,$R88:AA88))/SUM(O68:$P68,$R68:AA68)</f>
        <v>1.4557591764187898</v>
      </c>
      <c r="AB121" s="346">
        <f>(AVERAGE(P84:$P84,$R84:AB84)+AVERAGE(P88:$P88,$R88:AB88))/SUM(P68:$P68,$R68:AB68)</f>
        <v>1.5035965422007971</v>
      </c>
      <c r="AC121" s="346">
        <f ca="1">(AVERAGE($P84:Q84,$R84:AC84)+AVERAGE($P88:Q88,$R88:AC88))/SUM($P68:Q68,$R68:AC68)</f>
        <v>1.3411941266120997</v>
      </c>
      <c r="AD121" s="347">
        <f>(AVERAGE($R84:AC84)+AVERAGE($R88:AC88))/SUM($R68:AC68)</f>
        <v>3.094123141490897</v>
      </c>
      <c r="AE121" s="297"/>
      <c r="AF121" s="346">
        <f>(AVERAGE(S84:$AC84,$AF84:AF84)+AVERAGE(S88:AC88,$AF88:AF88))/SUM(S68:$AC68,$AF68:AF68)</f>
        <v>3.4398438159317153</v>
      </c>
      <c r="AG121" s="346">
        <f ca="1">(AVERAGE(T84:$AC84,$AF84:AG84)+AVERAGE(T88:AD88,$AF88:AG88))/SUM(T68:$AC68,$AF68:AG68)</f>
        <v>5.3788851302160552</v>
      </c>
      <c r="AH121" s="346">
        <f ca="1">(AVERAGE(U84:$AC84,$AF84:AH84)+AVERAGE(U88:AE88,$AF88:AH88))/SUM(U68:$AC68,$AF68:AH68)</f>
        <v>7.7397987096348677</v>
      </c>
      <c r="AI121" s="346">
        <f ca="1">(AVERAGE(V84:$AC84,$AF84:AI84)+AVERAGE(V88:AF88,$AF88:AI88))/SUM(V68:$AC68,$AF68:AI68)</f>
        <v>8.0330949009319745</v>
      </c>
      <c r="AJ121" s="346">
        <f ca="1">(AVERAGE(W84:$AC84,$AF84:AJ84)+AVERAGE(W88:AG88,$AF88:AJ88))/SUM(W68:$AC68,$AF68:AJ68)</f>
        <v>9.1511709769650871</v>
      </c>
      <c r="AK121" s="346">
        <f ca="1">(AVERAGE(X84:$AC84,$AF84:AK84)+AVERAGE(X88:AH88,$AF88:AK88))/SUM(X68:$AC68,$AF68:AK68)</f>
        <v>10.563101464242859</v>
      </c>
      <c r="AL121" s="346">
        <f ca="1">(AVERAGE(Y84:$AC84,$AF84:AL84)+AVERAGE(Y88:AI88,$AF88:AL88))/SUM(Y68:$AC68,$AF68:AL68)</f>
        <v>11.103914093921118</v>
      </c>
      <c r="AM121" s="346">
        <f ca="1">(AVERAGE(Z84:$AC84,$AF84:AM84)+AVERAGE(Z88:AJ88,$AF88:AM88))/SUM(Z68:$AC68,$AF68:AM68)</f>
        <v>13.32708098507589</v>
      </c>
      <c r="AN121" s="346">
        <f ca="1">(AVERAGE(AA84:$AC84,$AF84:AN84)+AVERAGE(AA88:AK88,$AF88:AN88))/SUM(AA68:$AC68,$AF68:AN68)</f>
        <v>8.7177866663272354</v>
      </c>
      <c r="AO121" s="346">
        <f ca="1">(AVERAGE(AB84:$AC84,$AF84:AO84)+AVERAGE(AB88:AL88,$AF88:AO88))/SUM(AB68:$AC68,$AF68:AO68)</f>
        <v>7.6431653434228899</v>
      </c>
      <c r="AP121" s="346">
        <f ca="1">(AVERAGE(AC84:$AC84,$AF84:AP84)+AVERAGE(AC88:AM88,$AF88:AP88))/SUM(AC68:$AC68,$AF68:AP68)</f>
        <v>5.9144493771297801</v>
      </c>
      <c r="AQ121" s="346">
        <f ca="1">(AVERAGE($AC84:AD84,$AF84:AQ84)+AVERAGE(AD88:AN88,$AF88:AQ88))/SUM($AC68:AD68,$AF68:AQ68)</f>
        <v>1.4407026187652339</v>
      </c>
      <c r="AR121" s="346">
        <f>(AVERAGE($AF84:AQ84)+AVERAGE($AF88:AQ88))/SUM($AF68:AQ68)</f>
        <v>8.4028692377132135</v>
      </c>
      <c r="AS121" s="334"/>
    </row>
    <row r="122" spans="1:45">
      <c r="A122" s="317"/>
      <c r="B122" t="s">
        <v>230</v>
      </c>
      <c r="C122" s="317"/>
      <c r="D122" s="317" t="s">
        <v>67</v>
      </c>
      <c r="E122" s="313">
        <v>0</v>
      </c>
      <c r="F122" s="313">
        <v>0</v>
      </c>
      <c r="G122" s="313">
        <v>0</v>
      </c>
      <c r="H122" s="313">
        <v>0</v>
      </c>
      <c r="I122" s="313">
        <v>0</v>
      </c>
      <c r="J122" s="313">
        <v>0</v>
      </c>
      <c r="K122" s="313">
        <v>0</v>
      </c>
      <c r="L122" s="313">
        <v>0</v>
      </c>
      <c r="M122" s="313">
        <v>0</v>
      </c>
      <c r="N122" s="313">
        <v>0</v>
      </c>
      <c r="O122" s="313">
        <v>0</v>
      </c>
      <c r="P122" s="313">
        <v>0</v>
      </c>
      <c r="Q122" s="313">
        <f ca="1">AVERAGE(OFFSET(E122:P122,0,0,1,$AD$26))</f>
        <v>0</v>
      </c>
      <c r="R122" s="313">
        <v>0</v>
      </c>
      <c r="S122" s="313">
        <v>0</v>
      </c>
      <c r="T122" s="313">
        <v>0</v>
      </c>
      <c r="U122" s="313">
        <v>0</v>
      </c>
      <c r="V122" s="313">
        <v>0</v>
      </c>
      <c r="W122" s="313">
        <v>0</v>
      </c>
      <c r="X122" s="313">
        <v>0</v>
      </c>
      <c r="Y122" s="313">
        <v>0</v>
      </c>
      <c r="Z122" s="313">
        <v>0</v>
      </c>
      <c r="AA122" s="313">
        <v>0</v>
      </c>
      <c r="AB122" s="313">
        <v>0</v>
      </c>
      <c r="AC122" s="313">
        <v>0</v>
      </c>
      <c r="AD122" s="313">
        <f ca="1">AVERAGE(OFFSET(R122:AC122,0,0,1,$AD$26))</f>
        <v>0</v>
      </c>
      <c r="AE122" s="318">
        <f t="shared" ref="AE122:AE145" ca="1" si="32">IF($AD$26=1,R122,SUM(OFFSET(R122:AC122,0,0,1,$AD$26))-SUM(OFFSET(R122:AC122,0,0,1,$AD$26-1)))</f>
        <v>0</v>
      </c>
      <c r="AF122" s="313">
        <v>491.32</v>
      </c>
      <c r="AG122" s="313">
        <v>506.40909090909088</v>
      </c>
      <c r="AH122" s="313">
        <v>503.09635416666669</v>
      </c>
      <c r="AI122" s="313">
        <v>504.35185185185185</v>
      </c>
      <c r="AJ122" s="313">
        <v>0</v>
      </c>
      <c r="AK122" s="313">
        <v>0</v>
      </c>
      <c r="AL122" s="313">
        <v>0</v>
      </c>
      <c r="AM122" s="313">
        <v>0</v>
      </c>
      <c r="AN122" s="313">
        <v>0</v>
      </c>
      <c r="AO122" s="313">
        <v>0</v>
      </c>
      <c r="AP122" s="313">
        <v>0</v>
      </c>
      <c r="AQ122" s="313">
        <v>0</v>
      </c>
      <c r="AR122" s="313">
        <f ca="1">AVERAGE(OFFSET(AF122:AQ122,0,0,1,$AR$26))</f>
        <v>401.0354593855219</v>
      </c>
      <c r="AS122">
        <f t="shared" ref="AS122:AS145" ca="1" si="33">IF($AR$26=1,AF122,SUM(OFFSET(AF122:AQ122,0,0,1,$AR$26))-SUM(OFFSET(AF122:AQ122,0,0,1,$AR$26-1)))</f>
        <v>0</v>
      </c>
    </row>
    <row r="123" spans="1:45">
      <c r="A123" s="317"/>
      <c r="B123" t="s">
        <v>230</v>
      </c>
      <c r="C123" s="317"/>
      <c r="D123" s="317" t="s">
        <v>64</v>
      </c>
      <c r="E123" s="313">
        <v>0</v>
      </c>
      <c r="F123" s="313">
        <v>0</v>
      </c>
      <c r="G123" s="313">
        <v>0</v>
      </c>
      <c r="H123" s="313">
        <v>0</v>
      </c>
      <c r="I123" s="313">
        <v>0</v>
      </c>
      <c r="J123" s="313">
        <v>0</v>
      </c>
      <c r="K123" s="313">
        <v>0</v>
      </c>
      <c r="L123" s="313">
        <v>0</v>
      </c>
      <c r="M123" s="313">
        <v>0</v>
      </c>
      <c r="N123" s="313">
        <v>0</v>
      </c>
      <c r="O123" s="313">
        <v>0</v>
      </c>
      <c r="P123" s="313">
        <v>0</v>
      </c>
      <c r="Q123" s="313">
        <f ca="1">SUM(OFFSET(E123:P123,0,0,1,$AD$26))</f>
        <v>0</v>
      </c>
      <c r="R123" s="313">
        <v>0</v>
      </c>
      <c r="S123" s="313">
        <v>0</v>
      </c>
      <c r="T123" s="313">
        <v>0</v>
      </c>
      <c r="U123" s="313">
        <v>0</v>
      </c>
      <c r="V123" s="313">
        <v>0</v>
      </c>
      <c r="W123" s="313">
        <v>0</v>
      </c>
      <c r="X123" s="313">
        <v>0</v>
      </c>
      <c r="Y123" s="313">
        <v>0</v>
      </c>
      <c r="Z123" s="313">
        <v>0</v>
      </c>
      <c r="AA123" s="313">
        <v>0</v>
      </c>
      <c r="AB123" s="313">
        <v>0</v>
      </c>
      <c r="AC123" s="313">
        <v>0</v>
      </c>
      <c r="AD123" s="313">
        <f ca="1">SUM(OFFSET(R123:AC123,0,0,1,$AD$26))</f>
        <v>0</v>
      </c>
      <c r="AE123" s="318">
        <f t="shared" ca="1" si="32"/>
        <v>0</v>
      </c>
      <c r="AF123" s="313">
        <v>9721.098750000001</v>
      </c>
      <c r="AG123" s="313">
        <v>7952.42</v>
      </c>
      <c r="AH123" s="313">
        <v>9804.5962499999987</v>
      </c>
      <c r="AI123" s="313">
        <v>11832.626249999999</v>
      </c>
      <c r="AJ123" s="313">
        <v>0</v>
      </c>
      <c r="AK123" s="313">
        <v>0</v>
      </c>
      <c r="AL123" s="313">
        <v>0</v>
      </c>
      <c r="AM123" s="313">
        <v>0</v>
      </c>
      <c r="AN123" s="313">
        <v>0</v>
      </c>
      <c r="AO123" s="313">
        <v>0</v>
      </c>
      <c r="AP123" s="313">
        <v>0</v>
      </c>
      <c r="AQ123" s="313">
        <v>0</v>
      </c>
      <c r="AR123" s="313">
        <f ca="1">SUM(OFFSET(AF123:AQ123,0,0,1,$AR$26))</f>
        <v>39310.741249999999</v>
      </c>
      <c r="AS123">
        <f t="shared" ca="1" si="33"/>
        <v>0</v>
      </c>
    </row>
    <row r="124" spans="1:45">
      <c r="A124" s="320" t="s">
        <v>111</v>
      </c>
      <c r="B124" t="s">
        <v>230</v>
      </c>
      <c r="C124" s="317"/>
      <c r="D124" s="317" t="s">
        <v>6</v>
      </c>
      <c r="E124" s="313">
        <v>0</v>
      </c>
      <c r="F124" s="313">
        <v>0</v>
      </c>
      <c r="G124" s="313">
        <v>0</v>
      </c>
      <c r="H124" s="313">
        <v>0</v>
      </c>
      <c r="I124" s="313">
        <v>0</v>
      </c>
      <c r="J124" s="313">
        <v>0</v>
      </c>
      <c r="K124" s="313">
        <v>0</v>
      </c>
      <c r="L124" s="313">
        <v>0</v>
      </c>
      <c r="M124" s="313">
        <v>0</v>
      </c>
      <c r="N124" s="313">
        <v>0</v>
      </c>
      <c r="O124" s="313">
        <v>0</v>
      </c>
      <c r="P124" s="313">
        <v>0</v>
      </c>
      <c r="Q124" s="313">
        <f ca="1">SUM(OFFSET(E124:P124,0,0,1,$AD$26))</f>
        <v>0</v>
      </c>
      <c r="R124" s="313">
        <v>0</v>
      </c>
      <c r="S124" s="313">
        <v>0</v>
      </c>
      <c r="T124" s="313">
        <v>0</v>
      </c>
      <c r="U124" s="313">
        <v>0</v>
      </c>
      <c r="V124" s="313">
        <v>0</v>
      </c>
      <c r="W124" s="313">
        <v>0</v>
      </c>
      <c r="X124" s="313">
        <v>0</v>
      </c>
      <c r="Y124" s="313">
        <v>0</v>
      </c>
      <c r="Z124" s="313">
        <v>0</v>
      </c>
      <c r="AA124" s="313">
        <v>0</v>
      </c>
      <c r="AB124" s="313">
        <v>0</v>
      </c>
      <c r="AC124" s="313">
        <v>0</v>
      </c>
      <c r="AD124" s="313">
        <f ca="1">SUM(OFFSET(R124:AC124,0,0,1,$AD$26))</f>
        <v>0</v>
      </c>
      <c r="AE124" s="318">
        <f t="shared" ca="1" si="32"/>
        <v>0</v>
      </c>
      <c r="AF124" s="313">
        <v>5161.3962499999998</v>
      </c>
      <c r="AG124" s="313">
        <v>3284.6660000000002</v>
      </c>
      <c r="AH124" s="313">
        <v>7091.869999999999</v>
      </c>
      <c r="AI124" s="313">
        <v>6687.1723999999995</v>
      </c>
      <c r="AJ124" s="313">
        <v>0</v>
      </c>
      <c r="AK124" s="313">
        <v>0</v>
      </c>
      <c r="AL124" s="313">
        <v>0</v>
      </c>
      <c r="AM124" s="313">
        <v>0</v>
      </c>
      <c r="AN124" s="313">
        <v>0</v>
      </c>
      <c r="AO124" s="313">
        <v>0</v>
      </c>
      <c r="AP124" s="313">
        <v>0</v>
      </c>
      <c r="AQ124" s="313">
        <v>0</v>
      </c>
      <c r="AR124" s="313">
        <f ca="1">SUM(OFFSET(AF124:AQ124,0,0,1,$AR$26))</f>
        <v>22225.104649999997</v>
      </c>
      <c r="AS124">
        <f t="shared" ca="1" si="33"/>
        <v>0</v>
      </c>
    </row>
    <row r="125" spans="1:45">
      <c r="A125" s="317"/>
      <c r="B125" t="s">
        <v>230</v>
      </c>
      <c r="C125" s="317"/>
      <c r="D125" s="317" t="s">
        <v>110</v>
      </c>
      <c r="E125" s="313">
        <v>496.32407407407408</v>
      </c>
      <c r="F125" s="313">
        <v>471.94230769230768</v>
      </c>
      <c r="G125" s="313">
        <v>513.77</v>
      </c>
      <c r="H125" s="313">
        <v>540.26851851851848</v>
      </c>
      <c r="I125" s="313">
        <v>554.88461538461536</v>
      </c>
      <c r="J125" s="313">
        <v>562.61538461538464</v>
      </c>
      <c r="K125" s="313">
        <v>566.125</v>
      </c>
      <c r="L125" s="313">
        <v>558.92307692307691</v>
      </c>
      <c r="M125" s="313">
        <v>592</v>
      </c>
      <c r="N125" s="313">
        <v>615.61057692307691</v>
      </c>
      <c r="O125" s="313">
        <v>652.78846153846155</v>
      </c>
      <c r="P125" s="313">
        <v>659.65384615384619</v>
      </c>
      <c r="Q125" s="313">
        <f ca="1">AVERAGE(OFFSET(E125:P125,0,0,1,$AD$26))</f>
        <v>515.43790313390309</v>
      </c>
      <c r="R125" s="313">
        <v>729.7037037037037</v>
      </c>
      <c r="S125" s="313">
        <v>739.96153846153845</v>
      </c>
      <c r="T125" s="313">
        <v>806.22916666666663</v>
      </c>
      <c r="U125" s="313">
        <v>805.57407407407402</v>
      </c>
      <c r="V125" s="313">
        <v>802.74</v>
      </c>
      <c r="W125" s="313">
        <v>841.75480769230774</v>
      </c>
      <c r="X125" s="313">
        <v>893.15384615384619</v>
      </c>
      <c r="Y125" s="313">
        <v>913.73076923076928</v>
      </c>
      <c r="Z125" s="313">
        <v>924.2037037037037</v>
      </c>
      <c r="AA125" s="313">
        <v>875.40865384615381</v>
      </c>
      <c r="AB125" s="313">
        <v>822.38461538461536</v>
      </c>
      <c r="AC125" s="313">
        <v>815.42788461538464</v>
      </c>
      <c r="AD125" s="313">
        <f ca="1">AVERAGE(OFFSET(R125:AC125,0,0,1,$AD$26))</f>
        <v>776.8416965811964</v>
      </c>
      <c r="AE125" s="318">
        <f t="shared" ca="1" si="32"/>
        <v>802.73999999999978</v>
      </c>
      <c r="AF125" s="313">
        <v>821.32</v>
      </c>
      <c r="AG125" s="313">
        <v>829.40909090909088</v>
      </c>
      <c r="AH125" s="313">
        <v>828.09635416666663</v>
      </c>
      <c r="AI125" s="313">
        <v>826.35185185185185</v>
      </c>
      <c r="AJ125" s="313">
        <v>0</v>
      </c>
      <c r="AK125" s="313">
        <v>0</v>
      </c>
      <c r="AL125" s="313">
        <v>0</v>
      </c>
      <c r="AM125" s="313">
        <v>0</v>
      </c>
      <c r="AN125" s="313">
        <v>0</v>
      </c>
      <c r="AO125" s="313">
        <v>0</v>
      </c>
      <c r="AP125" s="313">
        <v>0</v>
      </c>
      <c r="AQ125" s="313">
        <v>0</v>
      </c>
      <c r="AR125" s="313">
        <f ca="1">AVERAGE(OFFSET(AF125:AQ125,0,0,1,$AR$26))</f>
        <v>661.0354593855219</v>
      </c>
      <c r="AS125">
        <f t="shared" ca="1" si="33"/>
        <v>0</v>
      </c>
    </row>
    <row r="126" spans="1:45">
      <c r="A126" s="320" t="s">
        <v>112</v>
      </c>
      <c r="B126" t="s">
        <v>230</v>
      </c>
      <c r="C126" s="321"/>
      <c r="D126" s="321" t="s">
        <v>8</v>
      </c>
      <c r="E126" s="319">
        <v>5518.2</v>
      </c>
      <c r="F126" s="319">
        <v>3259.0509999999999</v>
      </c>
      <c r="G126" s="319">
        <v>4458.0680000000002</v>
      </c>
      <c r="H126" s="319">
        <v>4436.7520000000004</v>
      </c>
      <c r="I126" s="319">
        <v>5081.5820000000003</v>
      </c>
      <c r="J126" s="319">
        <v>4083.3249999999998</v>
      </c>
      <c r="K126" s="319">
        <v>3155.7620000000002</v>
      </c>
      <c r="L126" s="319">
        <v>6338.1232</v>
      </c>
      <c r="M126" s="319">
        <v>6038.5769999999993</v>
      </c>
      <c r="N126" s="319">
        <v>5469.1299999999992</v>
      </c>
      <c r="O126" s="319">
        <v>3828.8560000000002</v>
      </c>
      <c r="P126" s="319">
        <v>4310.3960000000006</v>
      </c>
      <c r="Q126" s="319">
        <f ca="1">SUM(OFFSET(E126:P126,0,0,1,$AD$26))</f>
        <v>22753.652999999998</v>
      </c>
      <c r="R126" s="319">
        <v>4326.8272999999999</v>
      </c>
      <c r="S126" s="319">
        <v>7041.2209999999995</v>
      </c>
      <c r="T126" s="319">
        <v>6707.6940000000004</v>
      </c>
      <c r="U126" s="319">
        <v>5802.5090000000009</v>
      </c>
      <c r="V126" s="319">
        <v>6591.7012999999997</v>
      </c>
      <c r="W126" s="319">
        <v>6133.6050000000005</v>
      </c>
      <c r="X126" s="319">
        <v>7206.6190999999999</v>
      </c>
      <c r="Y126" s="319">
        <v>8211.0020000000004</v>
      </c>
      <c r="Z126" s="319">
        <v>5363.2189999999991</v>
      </c>
      <c r="AA126" s="319">
        <v>5435.7289999999994</v>
      </c>
      <c r="AB126" s="319">
        <v>4429.1560000000009</v>
      </c>
      <c r="AC126" s="319">
        <v>5015.4809999999998</v>
      </c>
      <c r="AD126" s="319">
        <f t="shared" ref="AD126:AD159" ca="1" si="34">SUM(OFFSET(R126:AC126,0,0,1,$AD$26))</f>
        <v>30469.952600000001</v>
      </c>
      <c r="AE126" s="318">
        <f t="shared" ca="1" si="32"/>
        <v>6591.7013000000006</v>
      </c>
      <c r="AF126" s="319">
        <v>4402.0519999999997</v>
      </c>
      <c r="AG126" s="319">
        <v>3277.83</v>
      </c>
      <c r="AH126" s="319">
        <v>6446.3829999999998</v>
      </c>
      <c r="AI126" s="319">
        <v>5783.4650000000001</v>
      </c>
      <c r="AJ126" s="319">
        <v>0</v>
      </c>
      <c r="AK126" s="319">
        <v>0</v>
      </c>
      <c r="AL126" s="319">
        <v>0</v>
      </c>
      <c r="AM126" s="319">
        <v>0</v>
      </c>
      <c r="AN126" s="319">
        <v>0</v>
      </c>
      <c r="AO126" s="319">
        <v>0</v>
      </c>
      <c r="AP126" s="319">
        <v>0</v>
      </c>
      <c r="AQ126" s="319">
        <v>0</v>
      </c>
      <c r="AR126" s="313">
        <f t="shared" ref="AR126:AR159" ca="1" si="35">SUM(OFFSET(AF126:AQ126,0,0,1,$AR$26))</f>
        <v>19909.73</v>
      </c>
      <c r="AS126">
        <f t="shared" ca="1" si="33"/>
        <v>0</v>
      </c>
    </row>
    <row r="127" spans="1:45">
      <c r="A127" s="320" t="s">
        <v>113</v>
      </c>
      <c r="B127" t="s">
        <v>230</v>
      </c>
      <c r="C127" s="321"/>
      <c r="D127" s="321" t="s">
        <v>103</v>
      </c>
      <c r="E127" s="319">
        <v>130037940981</v>
      </c>
      <c r="F127" s="319">
        <v>83479666256</v>
      </c>
      <c r="G127" s="319">
        <v>115625416433</v>
      </c>
      <c r="H127" s="319">
        <v>117647266094</v>
      </c>
      <c r="I127" s="319">
        <v>127949052494</v>
      </c>
      <c r="J127" s="319">
        <v>95661572209</v>
      </c>
      <c r="K127" s="319">
        <v>74679662458</v>
      </c>
      <c r="L127" s="319">
        <v>172591848921</v>
      </c>
      <c r="M127" s="319">
        <v>175469299237</v>
      </c>
      <c r="N127" s="319">
        <v>140289207742</v>
      </c>
      <c r="O127" s="319">
        <v>97148112990</v>
      </c>
      <c r="P127" s="319">
        <v>124006684306</v>
      </c>
      <c r="Q127" s="319">
        <f t="shared" ref="Q127:Q159" ca="1" si="36">SUM(OFFSET(E127:P127,0,0,1,$AD$26))</f>
        <v>574739342258</v>
      </c>
      <c r="R127" s="319">
        <v>125865386644</v>
      </c>
      <c r="S127" s="319">
        <v>206729300358</v>
      </c>
      <c r="T127" s="319">
        <v>180953486769</v>
      </c>
      <c r="U127" s="319">
        <v>157703774948</v>
      </c>
      <c r="V127" s="319">
        <v>185417705908</v>
      </c>
      <c r="W127" s="319">
        <v>158702876594</v>
      </c>
      <c r="X127" s="319">
        <v>186253289196</v>
      </c>
      <c r="Y127" s="319">
        <v>215574603413</v>
      </c>
      <c r="Z127" s="319">
        <v>120047723523</v>
      </c>
      <c r="AA127" s="319">
        <v>138182161108</v>
      </c>
      <c r="AB127" s="319">
        <v>108239774086</v>
      </c>
      <c r="AC127" s="319">
        <v>126231147931</v>
      </c>
      <c r="AD127" s="319">
        <f t="shared" ca="1" si="34"/>
        <v>856669654627</v>
      </c>
      <c r="AE127" s="318">
        <f t="shared" ca="1" si="32"/>
        <v>185417705908</v>
      </c>
      <c r="AF127" s="319">
        <v>125782603723</v>
      </c>
      <c r="AG127" s="319">
        <v>96549191406</v>
      </c>
      <c r="AH127" s="319">
        <v>173006660265</v>
      </c>
      <c r="AI127" s="319">
        <v>159150007911</v>
      </c>
      <c r="AJ127" s="319">
        <v>0</v>
      </c>
      <c r="AK127" s="319">
        <v>0</v>
      </c>
      <c r="AL127" s="319">
        <v>0</v>
      </c>
      <c r="AM127" s="319">
        <v>0</v>
      </c>
      <c r="AN127" s="319">
        <v>0</v>
      </c>
      <c r="AO127" s="319">
        <v>0</v>
      </c>
      <c r="AP127" s="319">
        <v>0</v>
      </c>
      <c r="AQ127" s="319">
        <v>0</v>
      </c>
      <c r="AR127" s="319">
        <f t="shared" ca="1" si="35"/>
        <v>554488463305</v>
      </c>
      <c r="AS127">
        <f t="shared" ca="1" si="33"/>
        <v>0</v>
      </c>
    </row>
    <row r="128" spans="1:45">
      <c r="A128" s="320" t="s">
        <v>114</v>
      </c>
      <c r="B128" t="s">
        <v>230</v>
      </c>
      <c r="C128" s="321"/>
      <c r="D128" s="338" t="s">
        <v>14</v>
      </c>
      <c r="E128" s="319">
        <v>82123174705</v>
      </c>
      <c r="F128" s="319">
        <v>82123174705</v>
      </c>
      <c r="G128" s="319">
        <v>82123174705</v>
      </c>
      <c r="H128" s="319">
        <v>82123174705</v>
      </c>
      <c r="I128" s="319">
        <v>82123174705</v>
      </c>
      <c r="J128" s="319">
        <v>82123174705</v>
      </c>
      <c r="K128" s="319">
        <v>82123174705</v>
      </c>
      <c r="L128" s="319">
        <v>82123174705</v>
      </c>
      <c r="M128" s="319">
        <v>82123174705</v>
      </c>
      <c r="N128" s="319">
        <v>82123174705</v>
      </c>
      <c r="O128" s="319">
        <v>82123174705</v>
      </c>
      <c r="P128" s="319">
        <v>82123174705</v>
      </c>
      <c r="Q128" s="319">
        <f t="shared" ca="1" si="36"/>
        <v>410615873525</v>
      </c>
      <c r="R128" s="319">
        <v>82123174705</v>
      </c>
      <c r="S128" s="319">
        <v>127754884829</v>
      </c>
      <c r="T128" s="319">
        <v>103667980875</v>
      </c>
      <c r="U128" s="319">
        <v>89699052245</v>
      </c>
      <c r="V128" s="319">
        <v>114824058990</v>
      </c>
      <c r="W128" s="319">
        <v>70054412500</v>
      </c>
      <c r="X128" s="319">
        <v>88123126474</v>
      </c>
      <c r="Y128" s="319">
        <v>94069028914</v>
      </c>
      <c r="Z128" s="319">
        <v>24953975916</v>
      </c>
      <c r="AA128" s="319">
        <v>27056388040</v>
      </c>
      <c r="AB128" s="319">
        <v>21625208400</v>
      </c>
      <c r="AC128" s="319">
        <v>30893476900</v>
      </c>
      <c r="AD128" s="319">
        <f t="shared" ca="1" si="34"/>
        <v>518069151644</v>
      </c>
      <c r="AE128" s="318">
        <f t="shared" ca="1" si="32"/>
        <v>114824058990</v>
      </c>
      <c r="AF128" s="319">
        <v>70701288516</v>
      </c>
      <c r="AG128" s="319">
        <v>58540341826</v>
      </c>
      <c r="AH128" s="319">
        <v>80759624796</v>
      </c>
      <c r="AI128" s="319">
        <v>67176948835</v>
      </c>
      <c r="AJ128" s="319">
        <v>0</v>
      </c>
      <c r="AK128" s="319">
        <v>0</v>
      </c>
      <c r="AL128" s="319">
        <v>0</v>
      </c>
      <c r="AM128" s="319">
        <v>0</v>
      </c>
      <c r="AN128" s="319">
        <v>0</v>
      </c>
      <c r="AO128" s="319">
        <v>0</v>
      </c>
      <c r="AP128" s="319">
        <v>0</v>
      </c>
      <c r="AQ128" s="319">
        <v>0</v>
      </c>
      <c r="AR128" s="319">
        <f t="shared" ca="1" si="35"/>
        <v>277178203973</v>
      </c>
      <c r="AS128">
        <f t="shared" ca="1" si="33"/>
        <v>0</v>
      </c>
    </row>
    <row r="129" spans="1:45">
      <c r="A129" s="320" t="s">
        <v>115</v>
      </c>
      <c r="B129" t="s">
        <v>230</v>
      </c>
      <c r="C129" s="321"/>
      <c r="D129" s="338" t="s">
        <v>18</v>
      </c>
      <c r="E129" s="319">
        <v>66415659942</v>
      </c>
      <c r="F129" s="319">
        <v>46879254957</v>
      </c>
      <c r="G129" s="319">
        <v>55855243997</v>
      </c>
      <c r="H129" s="319">
        <v>52497508897</v>
      </c>
      <c r="I129" s="319">
        <v>57923389847</v>
      </c>
      <c r="J129" s="319">
        <v>59907737797</v>
      </c>
      <c r="K129" s="319">
        <v>50567728463</v>
      </c>
      <c r="L129" s="319">
        <v>50903316446</v>
      </c>
      <c r="M129" s="319">
        <v>50978738209</v>
      </c>
      <c r="N129" s="319">
        <v>55815944693</v>
      </c>
      <c r="O129" s="319">
        <v>53361308853</v>
      </c>
      <c r="P129" s="319">
        <v>50135931323</v>
      </c>
      <c r="Q129" s="319">
        <f t="shared" ca="1" si="36"/>
        <v>279571057640</v>
      </c>
      <c r="R129" s="319">
        <v>43742211939</v>
      </c>
      <c r="S129" s="319">
        <v>78974415529</v>
      </c>
      <c r="T129" s="319">
        <v>77106133292</v>
      </c>
      <c r="U129" s="319">
        <v>68004722703</v>
      </c>
      <c r="V129" s="319">
        <v>70593646918</v>
      </c>
      <c r="W129" s="319">
        <v>88648464094</v>
      </c>
      <c r="X129" s="319">
        <v>98130162722</v>
      </c>
      <c r="Y129" s="319">
        <v>121323380852</v>
      </c>
      <c r="Z129" s="319">
        <v>93675390807</v>
      </c>
      <c r="AA129" s="319">
        <v>101370826668</v>
      </c>
      <c r="AB129" s="319">
        <v>83219314485</v>
      </c>
      <c r="AC129" s="319">
        <v>88719344531</v>
      </c>
      <c r="AD129" s="319">
        <f t="shared" ca="1" si="34"/>
        <v>338421130381</v>
      </c>
      <c r="AE129" s="318">
        <f t="shared" ca="1" si="32"/>
        <v>70593646918</v>
      </c>
      <c r="AF129" s="319">
        <v>54914430207</v>
      </c>
      <c r="AG129" s="319">
        <v>37428902690</v>
      </c>
      <c r="AH129" s="319">
        <v>91166520469.000031</v>
      </c>
      <c r="AI129" s="319">
        <v>91973059076</v>
      </c>
      <c r="AJ129" s="319">
        <v>0</v>
      </c>
      <c r="AK129" s="319">
        <v>0</v>
      </c>
      <c r="AL129" s="319">
        <v>0</v>
      </c>
      <c r="AM129" s="319">
        <v>0</v>
      </c>
      <c r="AN129" s="319">
        <v>0</v>
      </c>
      <c r="AO129" s="319">
        <v>0</v>
      </c>
      <c r="AP129" s="319">
        <v>0</v>
      </c>
      <c r="AQ129" s="319">
        <v>0</v>
      </c>
      <c r="AR129" s="319">
        <f t="shared" ca="1" si="35"/>
        <v>275482912442</v>
      </c>
      <c r="AS129">
        <f t="shared" ca="1" si="33"/>
        <v>0</v>
      </c>
    </row>
    <row r="130" spans="1:45">
      <c r="A130" s="320" t="s">
        <v>116</v>
      </c>
      <c r="B130" t="s">
        <v>230</v>
      </c>
      <c r="C130" s="321"/>
      <c r="D130" s="338" t="s">
        <v>22</v>
      </c>
      <c r="E130" s="319">
        <v>0</v>
      </c>
      <c r="F130" s="319">
        <v>0</v>
      </c>
      <c r="G130" s="319">
        <v>0</v>
      </c>
      <c r="H130" s="319">
        <v>0</v>
      </c>
      <c r="I130" s="319">
        <v>0</v>
      </c>
      <c r="J130" s="319">
        <v>0</v>
      </c>
      <c r="K130" s="319">
        <v>0</v>
      </c>
      <c r="L130" s="319">
        <v>0</v>
      </c>
      <c r="M130" s="319">
        <v>0</v>
      </c>
      <c r="N130" s="319">
        <v>0</v>
      </c>
      <c r="O130" s="319">
        <v>0</v>
      </c>
      <c r="P130" s="319">
        <v>0</v>
      </c>
      <c r="Q130" s="319">
        <f t="shared" ca="1" si="36"/>
        <v>0</v>
      </c>
      <c r="R130" s="319">
        <v>0</v>
      </c>
      <c r="S130" s="319">
        <v>0</v>
      </c>
      <c r="T130" s="319">
        <v>179372602</v>
      </c>
      <c r="U130" s="319">
        <v>0</v>
      </c>
      <c r="V130" s="319">
        <v>0</v>
      </c>
      <c r="W130" s="319">
        <v>0</v>
      </c>
      <c r="X130" s="319">
        <v>0</v>
      </c>
      <c r="Y130" s="319">
        <v>182193647</v>
      </c>
      <c r="Z130" s="319">
        <v>1418356800</v>
      </c>
      <c r="AA130" s="319">
        <v>9754946400</v>
      </c>
      <c r="AB130" s="319">
        <v>3395251201</v>
      </c>
      <c r="AC130" s="319">
        <v>8295287500</v>
      </c>
      <c r="AD130" s="319">
        <f t="shared" ca="1" si="34"/>
        <v>179372602</v>
      </c>
      <c r="AE130" s="318">
        <f t="shared" ca="1" si="32"/>
        <v>0</v>
      </c>
      <c r="AF130" s="319">
        <v>166885000</v>
      </c>
      <c r="AG130" s="319">
        <v>579946890</v>
      </c>
      <c r="AH130" s="319">
        <v>1080515000</v>
      </c>
      <c r="AI130" s="319">
        <v>0</v>
      </c>
      <c r="AJ130" s="319">
        <v>0</v>
      </c>
      <c r="AK130" s="319">
        <v>0</v>
      </c>
      <c r="AL130" s="319">
        <v>0</v>
      </c>
      <c r="AM130" s="319">
        <v>0</v>
      </c>
      <c r="AN130" s="319">
        <v>0</v>
      </c>
      <c r="AO130" s="319">
        <v>0</v>
      </c>
      <c r="AP130" s="319">
        <v>0</v>
      </c>
      <c r="AQ130" s="319">
        <v>0</v>
      </c>
      <c r="AR130" s="319">
        <f t="shared" ca="1" si="35"/>
        <v>1827346890</v>
      </c>
      <c r="AS130">
        <f t="shared" ca="1" si="33"/>
        <v>0</v>
      </c>
    </row>
    <row r="131" spans="1:45">
      <c r="A131" s="320" t="s">
        <v>117</v>
      </c>
      <c r="B131" t="s">
        <v>230</v>
      </c>
      <c r="D131" t="s">
        <v>118</v>
      </c>
      <c r="E131" s="305">
        <v>120065457134</v>
      </c>
      <c r="F131" s="305">
        <v>83995360322</v>
      </c>
      <c r="G131" s="305">
        <v>109165390822</v>
      </c>
      <c r="H131" s="305">
        <v>105655387173</v>
      </c>
      <c r="I131" s="305">
        <v>125507167216</v>
      </c>
      <c r="J131" s="305">
        <v>98477492806</v>
      </c>
      <c r="K131" s="305">
        <v>80393606783</v>
      </c>
      <c r="L131" s="305">
        <v>167228552558</v>
      </c>
      <c r="M131" s="305">
        <v>152083786508</v>
      </c>
      <c r="N131" s="305">
        <v>135696763155</v>
      </c>
      <c r="O131" s="305">
        <v>92718574459</v>
      </c>
      <c r="P131" s="305">
        <v>-4137926966</v>
      </c>
      <c r="Q131" s="305">
        <f t="shared" ca="1" si="36"/>
        <v>544388762667</v>
      </c>
      <c r="R131" s="305">
        <v>109382281376</v>
      </c>
      <c r="S131" s="305">
        <v>174422967873</v>
      </c>
      <c r="T131" s="305">
        <v>159767562826</v>
      </c>
      <c r="U131" s="305">
        <v>140574223882</v>
      </c>
      <c r="V131" s="305">
        <v>161629972631</v>
      </c>
      <c r="W131" s="305">
        <v>143522031759</v>
      </c>
      <c r="X131" s="305">
        <v>172510521735</v>
      </c>
      <c r="Y131" s="305">
        <v>197853154230</v>
      </c>
      <c r="Z131" s="305">
        <v>117237912996</v>
      </c>
      <c r="AA131" s="305">
        <v>127411416365</v>
      </c>
      <c r="AB131" s="305">
        <v>99943651539</v>
      </c>
      <c r="AC131" s="305">
        <v>94554593203</v>
      </c>
      <c r="AD131" s="305">
        <f t="shared" ca="1" si="34"/>
        <v>745777008588</v>
      </c>
      <c r="AE131" s="318">
        <f t="shared" ca="1" si="32"/>
        <v>161629972631</v>
      </c>
      <c r="AF131" s="305">
        <v>114204897263.19444</v>
      </c>
      <c r="AG131" s="305">
        <v>89643992316.171509</v>
      </c>
      <c r="AH131" s="305">
        <v>163965172379.59167</v>
      </c>
      <c r="AI131" s="305">
        <v>139017443039.16925</v>
      </c>
      <c r="AJ131" s="305">
        <v>0</v>
      </c>
      <c r="AK131" s="305">
        <v>0</v>
      </c>
      <c r="AL131" s="305">
        <v>0</v>
      </c>
      <c r="AM131" s="305">
        <v>0</v>
      </c>
      <c r="AN131" s="305">
        <v>0</v>
      </c>
      <c r="AO131" s="305">
        <v>0</v>
      </c>
      <c r="AP131" s="305">
        <v>0</v>
      </c>
      <c r="AQ131" s="305">
        <v>0</v>
      </c>
      <c r="AR131" s="305">
        <f t="shared" ca="1" si="35"/>
        <v>506831504998.12689</v>
      </c>
      <c r="AS131">
        <f t="shared" ca="1" si="33"/>
        <v>0</v>
      </c>
    </row>
    <row r="132" spans="1:45">
      <c r="A132" s="320" t="s">
        <v>119</v>
      </c>
      <c r="B132" t="s">
        <v>230</v>
      </c>
      <c r="C132" s="317" t="s">
        <v>120</v>
      </c>
      <c r="D132" s="317" t="s">
        <v>29</v>
      </c>
      <c r="E132" s="313">
        <v>81511693383.037109</v>
      </c>
      <c r="F132" s="313">
        <v>53601375093</v>
      </c>
      <c r="G132" s="313">
        <v>69919257927.000031</v>
      </c>
      <c r="H132" s="313">
        <v>71441977203.000015</v>
      </c>
      <c r="I132" s="313">
        <v>82818271495.000015</v>
      </c>
      <c r="J132" s="313">
        <v>67449996404.000008</v>
      </c>
      <c r="K132" s="313">
        <v>53547986862.000031</v>
      </c>
      <c r="L132" s="313">
        <v>116668555350.00002</v>
      </c>
      <c r="M132" s="313">
        <v>108914084341.99994</v>
      </c>
      <c r="N132" s="313">
        <v>94387420825.000031</v>
      </c>
      <c r="O132" s="313">
        <v>60503750219.000008</v>
      </c>
      <c r="P132" s="313">
        <v>70578894455.18457</v>
      </c>
      <c r="Q132" s="313">
        <f t="shared" ca="1" si="36"/>
        <v>359292575101.03717</v>
      </c>
      <c r="R132" s="313">
        <v>77963301144.415436</v>
      </c>
      <c r="S132" s="313">
        <v>129398798791.12552</v>
      </c>
      <c r="T132" s="313">
        <v>122307607712.99997</v>
      </c>
      <c r="U132" s="313">
        <v>105994593526.99998</v>
      </c>
      <c r="V132" s="313">
        <v>125196545645.45706</v>
      </c>
      <c r="W132" s="313">
        <v>111964101311.50363</v>
      </c>
      <c r="X132" s="313">
        <v>134864077814.83778</v>
      </c>
      <c r="Y132" s="313">
        <v>151737202355.16876</v>
      </c>
      <c r="Z132" s="313">
        <v>89619010520.984756</v>
      </c>
      <c r="AA132" s="313">
        <v>89848933628.370422</v>
      </c>
      <c r="AB132" s="313">
        <v>69132230483</v>
      </c>
      <c r="AC132" s="313">
        <v>77606456653.406631</v>
      </c>
      <c r="AD132" s="313">
        <f t="shared" ca="1" si="34"/>
        <v>560860846820.99792</v>
      </c>
      <c r="AE132" s="318">
        <f t="shared" ca="1" si="32"/>
        <v>125196545645.45703</v>
      </c>
      <c r="AF132" s="313">
        <v>78605609400.069443</v>
      </c>
      <c r="AG132" s="313">
        <v>55010928614.1717</v>
      </c>
      <c r="AH132" s="313">
        <v>113157024901.59149</v>
      </c>
      <c r="AI132" s="313">
        <v>94952607662.169495</v>
      </c>
      <c r="AJ132" s="313">
        <v>0</v>
      </c>
      <c r="AK132" s="313">
        <v>0</v>
      </c>
      <c r="AL132" s="313">
        <v>0</v>
      </c>
      <c r="AM132" s="313">
        <v>0</v>
      </c>
      <c r="AN132" s="313">
        <v>0</v>
      </c>
      <c r="AO132" s="313">
        <v>0</v>
      </c>
      <c r="AP132" s="313">
        <v>0</v>
      </c>
      <c r="AQ132" s="313">
        <v>0</v>
      </c>
      <c r="AR132" s="313">
        <f t="shared" ca="1" si="35"/>
        <v>341726170578.00214</v>
      </c>
      <c r="AS132">
        <f t="shared" ca="1" si="33"/>
        <v>0</v>
      </c>
    </row>
    <row r="133" spans="1:45">
      <c r="A133" s="320" t="s">
        <v>121</v>
      </c>
      <c r="B133" t="s">
        <v>230</v>
      </c>
      <c r="C133" s="317" t="s">
        <v>120</v>
      </c>
      <c r="D133" s="317" t="s">
        <v>33</v>
      </c>
      <c r="E133" s="313">
        <v>5633536214</v>
      </c>
      <c r="F133" s="313">
        <v>4218804747</v>
      </c>
      <c r="G133" s="313">
        <v>5277457689</v>
      </c>
      <c r="H133" s="313">
        <v>5640546007</v>
      </c>
      <c r="I133" s="313">
        <v>6135005782</v>
      </c>
      <c r="J133" s="313">
        <v>4929402224</v>
      </c>
      <c r="K133" s="313">
        <v>3179430849</v>
      </c>
      <c r="L133" s="313">
        <v>3699873699</v>
      </c>
      <c r="M133" s="313">
        <v>4830298039</v>
      </c>
      <c r="N133" s="313">
        <v>5712960239</v>
      </c>
      <c r="O133" s="313">
        <v>6617782248</v>
      </c>
      <c r="P133" s="313">
        <v>5055645410</v>
      </c>
      <c r="Q133" s="313">
        <f t="shared" ca="1" si="36"/>
        <v>26905350439</v>
      </c>
      <c r="R133" s="313">
        <v>3251260170</v>
      </c>
      <c r="S133" s="313">
        <v>4315309924</v>
      </c>
      <c r="T133" s="313">
        <v>6623355231</v>
      </c>
      <c r="U133" s="313">
        <v>6273807206</v>
      </c>
      <c r="V133" s="313">
        <v>6722994944</v>
      </c>
      <c r="W133" s="313">
        <v>6507752698</v>
      </c>
      <c r="X133" s="313">
        <v>7271316533</v>
      </c>
      <c r="Y133" s="313">
        <v>7436976178</v>
      </c>
      <c r="Z133" s="313">
        <v>7216018373</v>
      </c>
      <c r="AA133" s="313">
        <v>6406802012</v>
      </c>
      <c r="AB133" s="313">
        <v>4428291360</v>
      </c>
      <c r="AC133" s="313">
        <v>5049014702</v>
      </c>
      <c r="AD133" s="313">
        <f t="shared" ca="1" si="34"/>
        <v>27186727475</v>
      </c>
      <c r="AE133" s="318">
        <f t="shared" ca="1" si="32"/>
        <v>6722994944</v>
      </c>
      <c r="AF133" s="313">
        <v>4270809981</v>
      </c>
      <c r="AG133" s="313">
        <v>2618542807</v>
      </c>
      <c r="AH133" s="313">
        <v>5985766334</v>
      </c>
      <c r="AI133" s="313">
        <v>5974706459</v>
      </c>
      <c r="AJ133" s="313">
        <v>0</v>
      </c>
      <c r="AK133" s="313">
        <v>0</v>
      </c>
      <c r="AL133" s="313">
        <v>0</v>
      </c>
      <c r="AM133" s="313">
        <v>0</v>
      </c>
      <c r="AN133" s="313">
        <v>0</v>
      </c>
      <c r="AO133" s="313">
        <v>0</v>
      </c>
      <c r="AP133" s="313">
        <v>0</v>
      </c>
      <c r="AQ133" s="313">
        <v>0</v>
      </c>
      <c r="AR133" s="313">
        <f t="shared" ca="1" si="35"/>
        <v>18849825581</v>
      </c>
      <c r="AS133">
        <f t="shared" ca="1" si="33"/>
        <v>0</v>
      </c>
    </row>
    <row r="134" spans="1:45">
      <c r="A134" s="320" t="s">
        <v>122</v>
      </c>
      <c r="B134" t="s">
        <v>230</v>
      </c>
      <c r="C134" s="317" t="s">
        <v>123</v>
      </c>
      <c r="D134" s="317" t="s">
        <v>36</v>
      </c>
      <c r="E134" s="313">
        <v>673524358</v>
      </c>
      <c r="F134" s="313">
        <v>445330075</v>
      </c>
      <c r="G134" s="313">
        <v>646654899</v>
      </c>
      <c r="H134" s="313">
        <v>1789160297</v>
      </c>
      <c r="I134" s="313">
        <v>743322765</v>
      </c>
      <c r="J134" s="313">
        <v>710659695</v>
      </c>
      <c r="K134" s="313">
        <v>562555746</v>
      </c>
      <c r="L134" s="313">
        <v>273359738</v>
      </c>
      <c r="M134" s="313">
        <v>293591517</v>
      </c>
      <c r="N134" s="313">
        <v>342226346</v>
      </c>
      <c r="O134" s="313">
        <v>357205652</v>
      </c>
      <c r="P134" s="313">
        <v>352714337</v>
      </c>
      <c r="Q134" s="313">
        <f t="shared" ca="1" si="36"/>
        <v>4297992394</v>
      </c>
      <c r="R134" s="313">
        <v>326525959</v>
      </c>
      <c r="S134" s="313">
        <v>301395737</v>
      </c>
      <c r="T134" s="313">
        <v>353064382</v>
      </c>
      <c r="U134" s="313">
        <v>367893640</v>
      </c>
      <c r="V134" s="313">
        <v>583268535</v>
      </c>
      <c r="W134" s="313">
        <v>409683221</v>
      </c>
      <c r="X134" s="313">
        <v>382580514</v>
      </c>
      <c r="Y134" s="313">
        <v>409675223</v>
      </c>
      <c r="Z134" s="313">
        <v>681336938</v>
      </c>
      <c r="AA134" s="313">
        <v>434513561</v>
      </c>
      <c r="AB134" s="313">
        <v>359300470</v>
      </c>
      <c r="AC134" s="313">
        <v>371608824</v>
      </c>
      <c r="AD134" s="313">
        <f t="shared" ca="1" si="34"/>
        <v>1932148253</v>
      </c>
      <c r="AE134" s="318">
        <f t="shared" ca="1" si="32"/>
        <v>583268535</v>
      </c>
      <c r="AF134" s="313">
        <v>578015294</v>
      </c>
      <c r="AG134" s="313">
        <v>422132130</v>
      </c>
      <c r="AH134" s="313">
        <v>522055933</v>
      </c>
      <c r="AI134" s="313">
        <v>564796416</v>
      </c>
      <c r="AJ134" s="313">
        <v>0</v>
      </c>
      <c r="AK134" s="313">
        <v>0</v>
      </c>
      <c r="AL134" s="313">
        <v>0</v>
      </c>
      <c r="AM134" s="313">
        <v>0</v>
      </c>
      <c r="AN134" s="313">
        <v>0</v>
      </c>
      <c r="AO134" s="313">
        <v>0</v>
      </c>
      <c r="AP134" s="313">
        <v>0</v>
      </c>
      <c r="AQ134" s="313">
        <v>0</v>
      </c>
      <c r="AR134" s="313">
        <f t="shared" ca="1" si="35"/>
        <v>2086999773</v>
      </c>
      <c r="AS134">
        <f t="shared" ca="1" si="33"/>
        <v>0</v>
      </c>
    </row>
    <row r="135" spans="1:45">
      <c r="A135" s="320" t="s">
        <v>124</v>
      </c>
      <c r="B135" t="s">
        <v>230</v>
      </c>
      <c r="C135" s="317" t="s">
        <v>123</v>
      </c>
      <c r="D135" s="317" t="s">
        <v>41</v>
      </c>
      <c r="E135" s="313">
        <v>3843086149.9818697</v>
      </c>
      <c r="F135" s="313">
        <v>1910051655.3750136</v>
      </c>
      <c r="G135" s="313">
        <v>2072407820.4333446</v>
      </c>
      <c r="H135" s="313">
        <v>1128978042.6601763</v>
      </c>
      <c r="I135" s="313">
        <v>2265340161.9734478</v>
      </c>
      <c r="J135" s="313">
        <v>2149916933.6088824</v>
      </c>
      <c r="K135" s="313">
        <v>2058174135.2235169</v>
      </c>
      <c r="L135" s="313">
        <v>2376821175</v>
      </c>
      <c r="M135" s="313">
        <v>2499469566</v>
      </c>
      <c r="N135" s="313">
        <v>2764544765</v>
      </c>
      <c r="O135" s="313">
        <v>2743073038</v>
      </c>
      <c r="P135" s="313">
        <v>5818427993</v>
      </c>
      <c r="Q135" s="313">
        <f t="shared" ca="1" si="36"/>
        <v>11219863830.423853</v>
      </c>
      <c r="R135" s="313">
        <v>2949057104</v>
      </c>
      <c r="S135" s="313">
        <v>2960606111</v>
      </c>
      <c r="T135" s="313">
        <v>3210763690</v>
      </c>
      <c r="U135" s="313">
        <v>3407507701</v>
      </c>
      <c r="V135" s="313">
        <v>3397220306</v>
      </c>
      <c r="W135" s="313">
        <v>3796425559</v>
      </c>
      <c r="X135" s="313">
        <v>4750657524</v>
      </c>
      <c r="Y135" s="313">
        <v>4298453785</v>
      </c>
      <c r="Z135" s="313">
        <v>4420779952</v>
      </c>
      <c r="AA135" s="313">
        <v>3919907639</v>
      </c>
      <c r="AB135" s="313">
        <v>3348887414</v>
      </c>
      <c r="AC135" s="313">
        <v>3371565251</v>
      </c>
      <c r="AD135" s="313">
        <f t="shared" ca="1" si="34"/>
        <v>15925154912</v>
      </c>
      <c r="AE135" s="318">
        <f t="shared" ca="1" si="32"/>
        <v>3397220306</v>
      </c>
      <c r="AF135" s="313">
        <v>3370111492</v>
      </c>
      <c r="AG135" s="313">
        <v>2825995386</v>
      </c>
      <c r="AH135" s="313">
        <v>3197546285</v>
      </c>
      <c r="AI135" s="313">
        <v>3797149210</v>
      </c>
      <c r="AJ135" s="313">
        <v>0</v>
      </c>
      <c r="AK135" s="313">
        <v>0</v>
      </c>
      <c r="AL135" s="313">
        <v>0</v>
      </c>
      <c r="AM135" s="313">
        <v>0</v>
      </c>
      <c r="AN135" s="313">
        <v>0</v>
      </c>
      <c r="AO135" s="313">
        <v>0</v>
      </c>
      <c r="AP135" s="313">
        <v>0</v>
      </c>
      <c r="AQ135" s="313">
        <v>0</v>
      </c>
      <c r="AR135" s="313">
        <f t="shared" ca="1" si="35"/>
        <v>13190802373</v>
      </c>
      <c r="AS135">
        <f t="shared" ca="1" si="33"/>
        <v>0</v>
      </c>
    </row>
    <row r="136" spans="1:45">
      <c r="A136" s="320" t="s">
        <v>125</v>
      </c>
      <c r="B136" t="s">
        <v>230</v>
      </c>
      <c r="C136" s="317" t="s">
        <v>123</v>
      </c>
      <c r="D136" s="317" t="s">
        <v>44</v>
      </c>
      <c r="E136" s="313">
        <v>3061164041.8109894</v>
      </c>
      <c r="F136" s="313">
        <v>2924794385.0677309</v>
      </c>
      <c r="G136" s="313">
        <v>3080387685.2969875</v>
      </c>
      <c r="H136" s="313">
        <v>3316681231.3368888</v>
      </c>
      <c r="I136" s="313">
        <v>3417539377.9194965</v>
      </c>
      <c r="J136" s="313">
        <v>3497823304.235589</v>
      </c>
      <c r="K136" s="313">
        <v>3313515264.0513844</v>
      </c>
      <c r="L136" s="313">
        <v>3416209456</v>
      </c>
      <c r="M136" s="313">
        <v>3640520515</v>
      </c>
      <c r="N136" s="313">
        <v>3740999809</v>
      </c>
      <c r="O136" s="313">
        <v>3781915058</v>
      </c>
      <c r="P136" s="313">
        <v>3867477497</v>
      </c>
      <c r="Q136" s="313">
        <f t="shared" ca="1" si="36"/>
        <v>15800566721.432095</v>
      </c>
      <c r="R136" s="313">
        <v>4196668500</v>
      </c>
      <c r="S136" s="313">
        <v>3900186978</v>
      </c>
      <c r="T136" s="313">
        <v>3964240422</v>
      </c>
      <c r="U136" s="313">
        <v>4516035115</v>
      </c>
      <c r="V136" s="313">
        <v>4443139973</v>
      </c>
      <c r="W136" s="313">
        <v>4575468853</v>
      </c>
      <c r="X136" s="313">
        <v>4598145771</v>
      </c>
      <c r="Y136" s="313">
        <v>4656462356</v>
      </c>
      <c r="Z136" s="313">
        <v>4899878296</v>
      </c>
      <c r="AA136" s="313">
        <v>4454337337</v>
      </c>
      <c r="AB136" s="313">
        <v>4259125777</v>
      </c>
      <c r="AC136" s="313">
        <v>4344310092</v>
      </c>
      <c r="AD136" s="313">
        <f t="shared" ca="1" si="34"/>
        <v>21020270988</v>
      </c>
      <c r="AE136" s="318">
        <f t="shared" ca="1" si="32"/>
        <v>4443139973</v>
      </c>
      <c r="AF136" s="313">
        <v>4513795276</v>
      </c>
      <c r="AG136" s="313">
        <v>4342835287</v>
      </c>
      <c r="AH136" s="313">
        <v>4322762647</v>
      </c>
      <c r="AI136" s="313">
        <v>4812054993</v>
      </c>
      <c r="AJ136" s="313">
        <v>0</v>
      </c>
      <c r="AK136" s="313">
        <v>0</v>
      </c>
      <c r="AL136" s="313">
        <v>0</v>
      </c>
      <c r="AM136" s="313">
        <v>0</v>
      </c>
      <c r="AN136" s="313">
        <v>0</v>
      </c>
      <c r="AO136" s="313">
        <v>0</v>
      </c>
      <c r="AP136" s="313">
        <v>0</v>
      </c>
      <c r="AQ136" s="313">
        <v>0</v>
      </c>
      <c r="AR136" s="313">
        <f t="shared" ca="1" si="35"/>
        <v>17991448203</v>
      </c>
      <c r="AS136">
        <f t="shared" ca="1" si="33"/>
        <v>0</v>
      </c>
    </row>
    <row r="137" spans="1:45">
      <c r="A137" s="320" t="s">
        <v>126</v>
      </c>
      <c r="B137" t="s">
        <v>230</v>
      </c>
      <c r="C137" s="317" t="s">
        <v>123</v>
      </c>
      <c r="D137" s="317" t="s">
        <v>46</v>
      </c>
      <c r="E137" s="313">
        <v>1174942381.2071409</v>
      </c>
      <c r="F137" s="313">
        <v>1237178207.5572553</v>
      </c>
      <c r="G137" s="313">
        <v>1064352756.2696679</v>
      </c>
      <c r="H137" s="313">
        <v>1204476976.0029349</v>
      </c>
      <c r="I137" s="313">
        <v>1265004916.2388949</v>
      </c>
      <c r="J137" s="313">
        <v>1158692876.1555285</v>
      </c>
      <c r="K137" s="313">
        <v>1175798773.7250986</v>
      </c>
      <c r="L137" s="313">
        <v>1124474891</v>
      </c>
      <c r="M137" s="313">
        <v>1316164106</v>
      </c>
      <c r="N137" s="313">
        <v>1248994093</v>
      </c>
      <c r="O137" s="313">
        <v>1321141888</v>
      </c>
      <c r="P137" s="313">
        <v>1853086356</v>
      </c>
      <c r="Q137" s="313">
        <f t="shared" ca="1" si="36"/>
        <v>5945955237.2758942</v>
      </c>
      <c r="R137" s="313">
        <v>1628144111</v>
      </c>
      <c r="S137" s="313">
        <v>1608553094</v>
      </c>
      <c r="T137" s="313">
        <v>1337399024</v>
      </c>
      <c r="U137" s="313">
        <v>1485754345</v>
      </c>
      <c r="V137" s="313">
        <v>1473012734</v>
      </c>
      <c r="W137" s="313">
        <v>1451931525</v>
      </c>
      <c r="X137" s="313">
        <v>1554703125</v>
      </c>
      <c r="Y137" s="313">
        <v>1573850639</v>
      </c>
      <c r="Z137" s="313">
        <v>1682275107</v>
      </c>
      <c r="AA137" s="313">
        <v>1636573318</v>
      </c>
      <c r="AB137" s="313">
        <v>1530748534</v>
      </c>
      <c r="AC137" s="313">
        <v>1647915140</v>
      </c>
      <c r="AD137" s="313">
        <f t="shared" ca="1" si="34"/>
        <v>7532863308</v>
      </c>
      <c r="AE137" s="318">
        <f t="shared" ca="1" si="32"/>
        <v>1473012734</v>
      </c>
      <c r="AF137" s="313">
        <v>1609987098</v>
      </c>
      <c r="AG137" s="313">
        <v>1285614628</v>
      </c>
      <c r="AH137" s="313">
        <v>1455948875</v>
      </c>
      <c r="AI137" s="313">
        <v>1459196120</v>
      </c>
      <c r="AJ137" s="313">
        <v>0</v>
      </c>
      <c r="AK137" s="313">
        <v>0</v>
      </c>
      <c r="AL137" s="313">
        <v>0</v>
      </c>
      <c r="AM137" s="313">
        <v>0</v>
      </c>
      <c r="AN137" s="313">
        <v>0</v>
      </c>
      <c r="AO137" s="313">
        <v>0</v>
      </c>
      <c r="AP137" s="313">
        <v>0</v>
      </c>
      <c r="AQ137" s="313">
        <v>0</v>
      </c>
      <c r="AR137" s="313">
        <f t="shared" ca="1" si="35"/>
        <v>5810746721</v>
      </c>
      <c r="AS137">
        <f t="shared" ca="1" si="33"/>
        <v>0</v>
      </c>
    </row>
    <row r="138" spans="1:45">
      <c r="A138" s="320" t="s">
        <v>127</v>
      </c>
      <c r="B138" t="s">
        <v>230</v>
      </c>
      <c r="C138" s="317" t="s">
        <v>128</v>
      </c>
      <c r="D138" s="317" t="s">
        <v>49</v>
      </c>
      <c r="E138" s="313">
        <v>547129225</v>
      </c>
      <c r="F138" s="313">
        <v>498727731</v>
      </c>
      <c r="G138" s="313">
        <v>616126684</v>
      </c>
      <c r="H138" s="313">
        <v>586686960</v>
      </c>
      <c r="I138" s="313">
        <v>719357445</v>
      </c>
      <c r="J138" s="313">
        <v>782484238</v>
      </c>
      <c r="K138" s="313">
        <v>486672255</v>
      </c>
      <c r="L138" s="313">
        <v>645579115</v>
      </c>
      <c r="M138" s="313">
        <v>707495740</v>
      </c>
      <c r="N138" s="313">
        <v>824948395</v>
      </c>
      <c r="O138" s="313">
        <v>955063545</v>
      </c>
      <c r="P138" s="313">
        <v>1189418891</v>
      </c>
      <c r="Q138" s="313">
        <f t="shared" ca="1" si="36"/>
        <v>2968028045</v>
      </c>
      <c r="R138" s="313">
        <v>1027276210</v>
      </c>
      <c r="S138" s="313">
        <v>992026828</v>
      </c>
      <c r="T138" s="313">
        <v>1054911744</v>
      </c>
      <c r="U138" s="313">
        <v>1033128648</v>
      </c>
      <c r="V138" s="313">
        <v>1076619003</v>
      </c>
      <c r="W138" s="313">
        <v>1289653808</v>
      </c>
      <c r="X138" s="313">
        <v>1417209241</v>
      </c>
      <c r="Y138" s="313">
        <v>1311485817</v>
      </c>
      <c r="Z138" s="313">
        <v>1195654144</v>
      </c>
      <c r="AA138" s="313">
        <v>1181884289</v>
      </c>
      <c r="AB138" s="313">
        <v>1154570693</v>
      </c>
      <c r="AC138" s="313">
        <v>1159218542</v>
      </c>
      <c r="AD138" s="313">
        <f t="shared" ca="1" si="34"/>
        <v>5183962433</v>
      </c>
      <c r="AE138" s="318">
        <f t="shared" ca="1" si="32"/>
        <v>1076619003</v>
      </c>
      <c r="AF138" s="313">
        <v>1038529143</v>
      </c>
      <c r="AG138" s="313">
        <v>786120367</v>
      </c>
      <c r="AH138" s="313">
        <v>972488991</v>
      </c>
      <c r="AI138" s="313">
        <v>1094077016</v>
      </c>
      <c r="AJ138" s="313">
        <v>0</v>
      </c>
      <c r="AK138" s="313">
        <v>0</v>
      </c>
      <c r="AL138" s="313">
        <v>0</v>
      </c>
      <c r="AM138" s="313">
        <v>0</v>
      </c>
      <c r="AN138" s="313">
        <v>0</v>
      </c>
      <c r="AO138" s="313">
        <v>0</v>
      </c>
      <c r="AP138" s="313">
        <v>0</v>
      </c>
      <c r="AQ138" s="313">
        <v>0</v>
      </c>
      <c r="AR138" s="313">
        <f t="shared" ca="1" si="35"/>
        <v>3891215517</v>
      </c>
      <c r="AS138">
        <f t="shared" ca="1" si="33"/>
        <v>0</v>
      </c>
    </row>
    <row r="139" spans="1:45">
      <c r="A139" s="320" t="s">
        <v>129</v>
      </c>
      <c r="B139" t="s">
        <v>230</v>
      </c>
      <c r="C139" s="317" t="s">
        <v>128</v>
      </c>
      <c r="D139" s="317" t="s">
        <v>52</v>
      </c>
      <c r="E139" s="313">
        <v>4873502245</v>
      </c>
      <c r="F139" s="313">
        <v>4492927440</v>
      </c>
      <c r="G139" s="313">
        <v>10964698647</v>
      </c>
      <c r="H139" s="313">
        <v>9657065552</v>
      </c>
      <c r="I139" s="313">
        <v>9946230455</v>
      </c>
      <c r="J139" s="313">
        <v>9326220242</v>
      </c>
      <c r="K139" s="313">
        <v>8804186755</v>
      </c>
      <c r="L139" s="313">
        <v>8971905978</v>
      </c>
      <c r="M139" s="313">
        <v>9681559245</v>
      </c>
      <c r="N139" s="313">
        <v>8911474686</v>
      </c>
      <c r="O139" s="313">
        <v>8541326330</v>
      </c>
      <c r="P139" s="313">
        <v>5200338868</v>
      </c>
      <c r="Q139" s="313">
        <f t="shared" ca="1" si="36"/>
        <v>39934424339</v>
      </c>
      <c r="R139" s="313">
        <v>7816125280</v>
      </c>
      <c r="S139" s="313">
        <v>8150888126</v>
      </c>
      <c r="T139" s="313">
        <v>8346888546</v>
      </c>
      <c r="U139" s="313">
        <v>8650619880</v>
      </c>
      <c r="V139" s="313">
        <v>8260100382</v>
      </c>
      <c r="W139" s="313">
        <v>8627258684</v>
      </c>
      <c r="X139" s="313">
        <v>8477438943</v>
      </c>
      <c r="Y139" s="313">
        <v>9142204312</v>
      </c>
      <c r="Z139" s="313">
        <v>9013173264</v>
      </c>
      <c r="AA139" s="313">
        <v>8825711028</v>
      </c>
      <c r="AB139" s="313">
        <v>8373230527</v>
      </c>
      <c r="AC139" s="313">
        <v>8232005125</v>
      </c>
      <c r="AD139" s="313">
        <f t="shared" ca="1" si="34"/>
        <v>41224622214</v>
      </c>
      <c r="AE139" s="318">
        <f t="shared" ca="1" si="32"/>
        <v>8260100382</v>
      </c>
      <c r="AF139" s="313">
        <v>9303370978</v>
      </c>
      <c r="AG139" s="313">
        <v>8512992248</v>
      </c>
      <c r="AH139" s="313">
        <v>9951847682</v>
      </c>
      <c r="AI139" s="313">
        <v>10291370513</v>
      </c>
      <c r="AJ139" s="313">
        <v>0</v>
      </c>
      <c r="AK139" s="313">
        <v>0</v>
      </c>
      <c r="AL139" s="313">
        <v>0</v>
      </c>
      <c r="AM139" s="313">
        <v>0</v>
      </c>
      <c r="AN139" s="313">
        <v>0</v>
      </c>
      <c r="AO139" s="313">
        <v>0</v>
      </c>
      <c r="AP139" s="313">
        <v>0</v>
      </c>
      <c r="AQ139" s="313">
        <v>0</v>
      </c>
      <c r="AR139" s="313">
        <f t="shared" ca="1" si="35"/>
        <v>38059581421</v>
      </c>
      <c r="AS139">
        <f t="shared" ca="1" si="33"/>
        <v>0</v>
      </c>
    </row>
    <row r="140" spans="1:45">
      <c r="A140" s="320" t="s">
        <v>130</v>
      </c>
      <c r="B140" t="s">
        <v>230</v>
      </c>
      <c r="C140" s="317" t="s">
        <v>131</v>
      </c>
      <c r="D140" s="317" t="s">
        <v>55</v>
      </c>
      <c r="E140" s="313">
        <v>6224830108</v>
      </c>
      <c r="F140" s="313">
        <v>6213032910</v>
      </c>
      <c r="G140" s="313">
        <v>3516750532</v>
      </c>
      <c r="H140" s="313">
        <v>3600047122</v>
      </c>
      <c r="I140" s="313">
        <v>3778600715</v>
      </c>
      <c r="J140" s="313">
        <v>3856293277</v>
      </c>
      <c r="K140" s="313">
        <v>3756370427</v>
      </c>
      <c r="L140" s="313">
        <v>3779520408</v>
      </c>
      <c r="M140" s="313">
        <v>3914728758</v>
      </c>
      <c r="N140" s="313">
        <v>3938179978</v>
      </c>
      <c r="O140" s="313">
        <v>3985433047</v>
      </c>
      <c r="P140" s="313">
        <v>4256958086</v>
      </c>
      <c r="Q140" s="313">
        <f t="shared" ca="1" si="36"/>
        <v>23333261387</v>
      </c>
      <c r="R140" s="313">
        <v>7326216232</v>
      </c>
      <c r="S140" s="313">
        <v>7325902902</v>
      </c>
      <c r="T140" s="313">
        <v>7524548930</v>
      </c>
      <c r="U140" s="313">
        <v>7445613977</v>
      </c>
      <c r="V140" s="313">
        <v>7611262288</v>
      </c>
      <c r="W140" s="313">
        <v>8374316946</v>
      </c>
      <c r="X140" s="313">
        <v>9111145199</v>
      </c>
      <c r="Y140" s="313">
        <v>9148502920</v>
      </c>
      <c r="Z140" s="313">
        <v>9469971541</v>
      </c>
      <c r="AA140" s="313">
        <v>9277155664</v>
      </c>
      <c r="AB140" s="313">
        <v>9444523440</v>
      </c>
      <c r="AC140" s="313">
        <v>9481420794</v>
      </c>
      <c r="AD140" s="313">
        <f t="shared" ca="1" si="34"/>
        <v>37233544329</v>
      </c>
      <c r="AE140" s="318">
        <f t="shared" ca="1" si="32"/>
        <v>7611262288</v>
      </c>
      <c r="AF140" s="313">
        <v>6271685632</v>
      </c>
      <c r="AG140" s="313">
        <v>6246304754</v>
      </c>
      <c r="AH140" s="313">
        <v>6272796146</v>
      </c>
      <c r="AI140" s="313">
        <v>6428597858</v>
      </c>
      <c r="AJ140" s="313">
        <v>0</v>
      </c>
      <c r="AK140" s="313">
        <v>0</v>
      </c>
      <c r="AL140" s="313">
        <v>0</v>
      </c>
      <c r="AM140" s="313">
        <v>0</v>
      </c>
      <c r="AN140" s="313">
        <v>0</v>
      </c>
      <c r="AO140" s="313">
        <v>0</v>
      </c>
      <c r="AP140" s="313">
        <v>0</v>
      </c>
      <c r="AQ140" s="313">
        <v>0</v>
      </c>
      <c r="AR140" s="313">
        <f t="shared" ca="1" si="35"/>
        <v>25219384390</v>
      </c>
      <c r="AS140">
        <f t="shared" ca="1" si="33"/>
        <v>0</v>
      </c>
    </row>
    <row r="141" spans="1:45">
      <c r="A141" s="320" t="s">
        <v>132</v>
      </c>
      <c r="B141" t="s">
        <v>230</v>
      </c>
      <c r="C141" s="317"/>
      <c r="D141" s="317" t="s">
        <v>58</v>
      </c>
      <c r="E141" s="313">
        <v>11008792358</v>
      </c>
      <c r="F141" s="313">
        <v>14091966230</v>
      </c>
      <c r="G141" s="313">
        <v>14967977208</v>
      </c>
      <c r="H141" s="313">
        <v>9793313487</v>
      </c>
      <c r="I141" s="313">
        <v>10326586768</v>
      </c>
      <c r="J141" s="313">
        <v>10046707984</v>
      </c>
      <c r="K141" s="313">
        <v>10237671622</v>
      </c>
      <c r="L141" s="313">
        <v>11454537032.999998</v>
      </c>
      <c r="M141" s="313">
        <v>8202935246.1999998</v>
      </c>
      <c r="N141" s="313">
        <v>11930809359</v>
      </c>
      <c r="O141" s="313">
        <v>11338421470</v>
      </c>
      <c r="P141" s="313">
        <v>-100750162957.9847</v>
      </c>
      <c r="Q141" s="313">
        <f t="shared" ca="1" si="36"/>
        <v>60188636051</v>
      </c>
      <c r="R141" s="313">
        <v>1199313766.2285714</v>
      </c>
      <c r="S141" s="313">
        <v>3951106221</v>
      </c>
      <c r="T141" s="313">
        <v>2477786130</v>
      </c>
      <c r="U141" s="313">
        <v>2672108313</v>
      </c>
      <c r="V141" s="313">
        <v>1930915150</v>
      </c>
      <c r="W141" s="313">
        <v>-1171661984.999999</v>
      </c>
      <c r="X141" s="313">
        <v>-632408976</v>
      </c>
      <c r="Y141" s="313">
        <v>2450838410.0000019</v>
      </c>
      <c r="Z141" s="313">
        <v>-441819888</v>
      </c>
      <c r="AA141" s="313">
        <v>4410577869.999999</v>
      </c>
      <c r="AB141" s="313">
        <v>678871840.00000048</v>
      </c>
      <c r="AC141" s="313">
        <v>-14106508618.663048</v>
      </c>
      <c r="AD141" s="313">
        <f t="shared" ca="1" si="34"/>
        <v>12231229580.228571</v>
      </c>
      <c r="AE141" s="318">
        <f t="shared" ca="1" si="32"/>
        <v>1930915150</v>
      </c>
      <c r="AF141" s="313">
        <v>2276643786.3635092</v>
      </c>
      <c r="AG141" s="313">
        <v>1352870098.000001</v>
      </c>
      <c r="AH141" s="313">
        <v>2564820771.9999981</v>
      </c>
      <c r="AI141" s="313">
        <v>466017573.40080321</v>
      </c>
      <c r="AJ141" s="313">
        <v>0</v>
      </c>
      <c r="AK141" s="313">
        <v>0</v>
      </c>
      <c r="AL141" s="313">
        <v>0</v>
      </c>
      <c r="AM141" s="313">
        <v>0</v>
      </c>
      <c r="AN141" s="313">
        <v>0</v>
      </c>
      <c r="AO141" s="313">
        <v>0</v>
      </c>
      <c r="AP141" s="313">
        <v>0</v>
      </c>
      <c r="AQ141" s="313">
        <v>0</v>
      </c>
      <c r="AR141" s="313">
        <f t="shared" ca="1" si="35"/>
        <v>6660352229.7643118</v>
      </c>
      <c r="AS141">
        <f t="shared" ca="1" si="33"/>
        <v>0</v>
      </c>
    </row>
    <row r="142" spans="1:45">
      <c r="A142" s="320" t="s">
        <v>133</v>
      </c>
      <c r="B142" t="s">
        <v>230</v>
      </c>
      <c r="C142" s="317" t="s">
        <v>120</v>
      </c>
      <c r="D142" s="317" t="s">
        <v>60</v>
      </c>
      <c r="E142" s="313">
        <v>2408877200</v>
      </c>
      <c r="F142" s="313">
        <v>321736000</v>
      </c>
      <c r="G142" s="313">
        <v>407200000</v>
      </c>
      <c r="H142" s="313">
        <v>1027400000</v>
      </c>
      <c r="I142" s="313">
        <v>1296610000</v>
      </c>
      <c r="J142" s="313">
        <v>932027000</v>
      </c>
      <c r="K142" s="313">
        <v>1461251000</v>
      </c>
      <c r="L142" s="313">
        <v>1743703999</v>
      </c>
      <c r="M142" s="313">
        <v>838296001</v>
      </c>
      <c r="N142" s="313">
        <v>1688273746</v>
      </c>
      <c r="O142" s="313">
        <v>1220372826</v>
      </c>
      <c r="P142" s="313">
        <v>1496105366</v>
      </c>
      <c r="Q142" s="313">
        <f t="shared" ca="1" si="36"/>
        <v>5461823200</v>
      </c>
      <c r="R142" s="313">
        <v>380467548</v>
      </c>
      <c r="S142" s="313">
        <v>1845315600</v>
      </c>
      <c r="T142" s="313">
        <v>1342787586</v>
      </c>
      <c r="U142" s="313">
        <v>843454000</v>
      </c>
      <c r="V142" s="313">
        <v>350000000</v>
      </c>
      <c r="W142" s="313">
        <v>510000000</v>
      </c>
      <c r="X142" s="313">
        <v>200000000</v>
      </c>
      <c r="Y142" s="313">
        <v>898330000</v>
      </c>
      <c r="Z142" s="313">
        <v>1091045000</v>
      </c>
      <c r="AA142" s="313">
        <v>1155172500</v>
      </c>
      <c r="AB142" s="313">
        <v>975000000</v>
      </c>
      <c r="AC142" s="313">
        <v>930000000</v>
      </c>
      <c r="AD142" s="313">
        <f t="shared" ca="1" si="34"/>
        <v>4762024734</v>
      </c>
      <c r="AE142" s="318">
        <f t="shared" ca="1" si="32"/>
        <v>350000000</v>
      </c>
      <c r="AF142" s="313">
        <v>0</v>
      </c>
      <c r="AG142" s="313">
        <v>0</v>
      </c>
      <c r="AH142" s="313">
        <v>44274073</v>
      </c>
      <c r="AI142" s="313">
        <v>176148628</v>
      </c>
      <c r="AJ142" s="313">
        <v>0</v>
      </c>
      <c r="AK142" s="313">
        <v>0</v>
      </c>
      <c r="AL142" s="313">
        <v>0</v>
      </c>
      <c r="AM142" s="313">
        <v>0</v>
      </c>
      <c r="AN142" s="313">
        <v>0</v>
      </c>
      <c r="AO142" s="313">
        <v>0</v>
      </c>
      <c r="AP142" s="313">
        <v>0</v>
      </c>
      <c r="AQ142" s="313">
        <v>0</v>
      </c>
      <c r="AR142" s="313">
        <f t="shared" ca="1" si="35"/>
        <v>220422701</v>
      </c>
      <c r="AS142">
        <f t="shared" ca="1" si="33"/>
        <v>0</v>
      </c>
    </row>
    <row r="143" spans="1:45">
      <c r="A143" s="320" t="s">
        <v>134</v>
      </c>
      <c r="B143" t="s">
        <v>230</v>
      </c>
      <c r="C143" s="317"/>
      <c r="D143" s="317" t="s">
        <v>63</v>
      </c>
      <c r="E143" s="313">
        <v>-9255715734.0371094</v>
      </c>
      <c r="F143" s="313">
        <v>-9875899964</v>
      </c>
      <c r="G143" s="313">
        <v>-8859442685.0000305</v>
      </c>
      <c r="H143" s="313">
        <v>-9308196906.0000153</v>
      </c>
      <c r="I143" s="313">
        <v>-6486376878.131855</v>
      </c>
      <c r="J143" s="313">
        <v>-12559882092</v>
      </c>
      <c r="K143" s="313">
        <v>-12662059725.000031</v>
      </c>
      <c r="L143" s="313">
        <v>9230216127</v>
      </c>
      <c r="M143" s="313">
        <v>3146414922.8000641</v>
      </c>
      <c r="N143" s="313">
        <v>-4279157115.0000305</v>
      </c>
      <c r="O143" s="313">
        <v>-13449118427</v>
      </c>
      <c r="P143" s="313">
        <v>-3735613621.1998692</v>
      </c>
      <c r="Q143" s="313">
        <f t="shared" ca="1" si="36"/>
        <v>-43785632167.169006</v>
      </c>
      <c r="R143" s="313">
        <v>1317925351.3559875</v>
      </c>
      <c r="S143" s="313">
        <v>9672877560.8744812</v>
      </c>
      <c r="T143" s="313">
        <v>1224209428.0000305</v>
      </c>
      <c r="U143" s="313">
        <v>-2116292469.9999847</v>
      </c>
      <c r="V143" s="313">
        <v>584893670.54293823</v>
      </c>
      <c r="W143" s="313">
        <v>-2812898861.5036316</v>
      </c>
      <c r="X143" s="313">
        <v>515656046.16221619</v>
      </c>
      <c r="Y143" s="313">
        <v>4789172234.8312378</v>
      </c>
      <c r="Z143" s="313">
        <v>-11609410251.984756</v>
      </c>
      <c r="AA143" s="313">
        <v>-4140152481.3704224</v>
      </c>
      <c r="AB143" s="313">
        <v>-3741128999</v>
      </c>
      <c r="AC143" s="313">
        <v>-3532413301.7435913</v>
      </c>
      <c r="AD143" s="313">
        <f t="shared" ca="1" si="34"/>
        <v>10683613540.773453</v>
      </c>
      <c r="AE143" s="318">
        <f t="shared" ca="1" si="32"/>
        <v>584893670.54293823</v>
      </c>
      <c r="AF143" s="313">
        <v>2366339182.7614899</v>
      </c>
      <c r="AG143" s="313">
        <v>6239655996.9998169</v>
      </c>
      <c r="AH143" s="313">
        <v>15517839740.000183</v>
      </c>
      <c r="AI143" s="313">
        <v>9000720590.5989532</v>
      </c>
      <c r="AJ143" s="313">
        <v>0</v>
      </c>
      <c r="AK143" s="313">
        <v>0</v>
      </c>
      <c r="AL143" s="313">
        <v>0</v>
      </c>
      <c r="AM143" s="313">
        <v>0</v>
      </c>
      <c r="AN143" s="313">
        <v>0</v>
      </c>
      <c r="AO143" s="313">
        <v>0</v>
      </c>
      <c r="AP143" s="313">
        <v>0</v>
      </c>
      <c r="AQ143" s="313">
        <v>0</v>
      </c>
      <c r="AR143" s="313">
        <f t="shared" ca="1" si="35"/>
        <v>33124555510.360443</v>
      </c>
      <c r="AS143">
        <f t="shared" ca="1" si="33"/>
        <v>0</v>
      </c>
    </row>
    <row r="144" spans="1:45">
      <c r="A144" s="320" t="s">
        <v>135</v>
      </c>
      <c r="B144" t="s">
        <v>230</v>
      </c>
      <c r="D144" s="320" t="s">
        <v>66</v>
      </c>
      <c r="E144" s="323">
        <v>9972483847</v>
      </c>
      <c r="F144" s="323">
        <v>-515694066</v>
      </c>
      <c r="G144" s="323">
        <v>6460025611</v>
      </c>
      <c r="H144" s="323">
        <v>11991878921</v>
      </c>
      <c r="I144" s="323">
        <v>2441885278</v>
      </c>
      <c r="J144" s="323">
        <v>-2815920597</v>
      </c>
      <c r="K144" s="323">
        <v>-5713944325</v>
      </c>
      <c r="L144" s="323">
        <v>5363296363</v>
      </c>
      <c r="M144" s="323">
        <v>23385512729</v>
      </c>
      <c r="N144" s="323">
        <v>4592444587</v>
      </c>
      <c r="O144" s="323">
        <v>4429538531</v>
      </c>
      <c r="P144" s="323">
        <v>128144611272</v>
      </c>
      <c r="Q144" s="323">
        <f t="shared" ca="1" si="36"/>
        <v>30350579591</v>
      </c>
      <c r="R144" s="323">
        <v>16483105268</v>
      </c>
      <c r="S144" s="323">
        <v>32306332485</v>
      </c>
      <c r="T144" s="323">
        <v>21185923943</v>
      </c>
      <c r="U144" s="323">
        <v>17129551066</v>
      </c>
      <c r="V144" s="323">
        <v>23787733277</v>
      </c>
      <c r="W144" s="323">
        <v>15180844835</v>
      </c>
      <c r="X144" s="323">
        <v>13742767461</v>
      </c>
      <c r="Y144" s="323">
        <v>17721449183</v>
      </c>
      <c r="Z144" s="323">
        <v>2809810527</v>
      </c>
      <c r="AA144" s="323">
        <v>10770744743</v>
      </c>
      <c r="AB144" s="323">
        <v>8296122547</v>
      </c>
      <c r="AC144" s="323">
        <v>31676554728</v>
      </c>
      <c r="AD144" s="305">
        <f t="shared" ca="1" si="34"/>
        <v>110892646039</v>
      </c>
      <c r="AE144" s="318">
        <f t="shared" ca="1" si="32"/>
        <v>23787733277</v>
      </c>
      <c r="AF144" s="323">
        <v>11577706459.805557</v>
      </c>
      <c r="AG144" s="323">
        <v>6905199089.8284912</v>
      </c>
      <c r="AH144" s="323">
        <v>9041487885.4083328</v>
      </c>
      <c r="AI144" s="323">
        <v>20132564871.830753</v>
      </c>
      <c r="AJ144" s="323">
        <v>0</v>
      </c>
      <c r="AK144" s="323">
        <v>0</v>
      </c>
      <c r="AL144" s="323">
        <v>0</v>
      </c>
      <c r="AM144" s="323">
        <v>0</v>
      </c>
      <c r="AN144" s="323">
        <v>0</v>
      </c>
      <c r="AO144" s="323">
        <v>0</v>
      </c>
      <c r="AP144" s="323">
        <v>0</v>
      </c>
      <c r="AQ144" s="323">
        <v>0</v>
      </c>
      <c r="AR144" s="305">
        <f t="shared" ca="1" si="35"/>
        <v>47656958306.873138</v>
      </c>
      <c r="AS144">
        <f t="shared" ca="1" si="33"/>
        <v>0</v>
      </c>
    </row>
    <row r="145" spans="1:45">
      <c r="A145" s="320" t="s">
        <v>136</v>
      </c>
      <c r="B145" t="s">
        <v>230</v>
      </c>
      <c r="D145" t="s">
        <v>68</v>
      </c>
      <c r="E145" s="305">
        <v>10548689859</v>
      </c>
      <c r="F145" s="305">
        <v>6651318136</v>
      </c>
      <c r="G145" s="305">
        <v>9504394602</v>
      </c>
      <c r="H145" s="305">
        <v>10510934188</v>
      </c>
      <c r="I145" s="305">
        <v>8194451819</v>
      </c>
      <c r="J145" s="305">
        <v>8706926893</v>
      </c>
      <c r="K145" s="305">
        <v>8295057454</v>
      </c>
      <c r="L145" s="305">
        <v>15320582043</v>
      </c>
      <c r="M145" s="305">
        <v>15453676414</v>
      </c>
      <c r="N145" s="305">
        <v>12962422488</v>
      </c>
      <c r="O145" s="305">
        <v>11375962946</v>
      </c>
      <c r="P145" s="305">
        <v>17628711167</v>
      </c>
      <c r="Q145" s="305">
        <f t="shared" ca="1" si="36"/>
        <v>45409788604</v>
      </c>
      <c r="R145" s="305">
        <v>12729423886</v>
      </c>
      <c r="S145" s="305">
        <v>15563520220</v>
      </c>
      <c r="T145" s="305">
        <v>14247726794</v>
      </c>
      <c r="U145" s="305">
        <v>13141073297</v>
      </c>
      <c r="V145" s="305">
        <v>14519774886</v>
      </c>
      <c r="W145" s="305">
        <v>14477897160</v>
      </c>
      <c r="X145" s="305">
        <v>13247950536</v>
      </c>
      <c r="Y145" s="305">
        <v>15071819734</v>
      </c>
      <c r="Z145" s="305">
        <v>14450856934</v>
      </c>
      <c r="AA145" s="305">
        <v>12546723810</v>
      </c>
      <c r="AB145" s="305">
        <v>15299410262</v>
      </c>
      <c r="AC145" s="305">
        <v>22813660709</v>
      </c>
      <c r="AD145" s="305">
        <f t="shared" ca="1" si="34"/>
        <v>70201519083</v>
      </c>
      <c r="AE145" s="318">
        <f t="shared" ca="1" si="32"/>
        <v>14519774886</v>
      </c>
      <c r="AF145" s="305">
        <v>14050543074</v>
      </c>
      <c r="AG145" s="305">
        <v>13216448168</v>
      </c>
      <c r="AH145" s="305">
        <v>15403890301</v>
      </c>
      <c r="AI145" s="305">
        <v>15760911886</v>
      </c>
      <c r="AJ145" s="305">
        <v>0</v>
      </c>
      <c r="AK145" s="305">
        <v>0</v>
      </c>
      <c r="AL145" s="305">
        <v>0</v>
      </c>
      <c r="AM145" s="305">
        <v>0</v>
      </c>
      <c r="AN145" s="305">
        <v>0</v>
      </c>
      <c r="AO145" s="305">
        <v>0</v>
      </c>
      <c r="AP145" s="305">
        <v>0</v>
      </c>
      <c r="AQ145" s="305">
        <v>0</v>
      </c>
      <c r="AR145" s="305">
        <f t="shared" ca="1" si="35"/>
        <v>58431793429</v>
      </c>
      <c r="AS145">
        <f t="shared" ca="1" si="33"/>
        <v>0</v>
      </c>
    </row>
    <row r="146" spans="1:45">
      <c r="A146" s="320" t="s">
        <v>137</v>
      </c>
      <c r="B146" t="s">
        <v>230</v>
      </c>
      <c r="C146" s="317" t="s">
        <v>123</v>
      </c>
      <c r="D146" s="317" t="s">
        <v>71</v>
      </c>
      <c r="E146" s="313">
        <v>3214923110</v>
      </c>
      <c r="F146" s="313">
        <v>2957613435</v>
      </c>
      <c r="G146" s="313">
        <v>3345036747</v>
      </c>
      <c r="H146" s="313">
        <v>3501396915</v>
      </c>
      <c r="I146" s="313">
        <v>3366524162</v>
      </c>
      <c r="J146" s="313">
        <v>3340320721</v>
      </c>
      <c r="K146" s="313">
        <v>3460381915</v>
      </c>
      <c r="L146" s="313">
        <v>3453049498</v>
      </c>
      <c r="M146" s="313">
        <v>3583440887</v>
      </c>
      <c r="N146" s="313">
        <v>3437438865</v>
      </c>
      <c r="O146" s="313">
        <v>3832348186</v>
      </c>
      <c r="P146" s="313">
        <v>4768112750</v>
      </c>
      <c r="Q146" s="313">
        <f t="shared" ca="1" si="36"/>
        <v>16385494369</v>
      </c>
      <c r="R146" s="313">
        <v>4446179060</v>
      </c>
      <c r="S146" s="313">
        <v>4474335817</v>
      </c>
      <c r="T146" s="313">
        <v>4379891498</v>
      </c>
      <c r="U146" s="313">
        <v>4876786647</v>
      </c>
      <c r="V146" s="313">
        <v>4868603999</v>
      </c>
      <c r="W146" s="313">
        <v>5041736026</v>
      </c>
      <c r="X146" s="313">
        <v>4701002256</v>
      </c>
      <c r="Y146" s="313">
        <v>5254909713</v>
      </c>
      <c r="Z146" s="313">
        <v>5224643293</v>
      </c>
      <c r="AA146" s="313">
        <v>5059072186</v>
      </c>
      <c r="AB146" s="313">
        <v>5345988901</v>
      </c>
      <c r="AC146" s="313">
        <v>7637441273</v>
      </c>
      <c r="AD146" s="313">
        <f t="shared" ca="1" si="34"/>
        <v>23045797021</v>
      </c>
      <c r="AE146" s="318">
        <f t="shared" ref="AE146:AE208" ca="1" si="37">IF($AD$26=1,R146,SUM(OFFSET(R146:AC146,0,0,1,$AD$26))-SUM(OFFSET(R146:AC146,0,0,1,$AD$26-1)))</f>
        <v>4868603999</v>
      </c>
      <c r="AF146" s="313">
        <v>5605083139</v>
      </c>
      <c r="AG146" s="313">
        <v>5400585448</v>
      </c>
      <c r="AH146" s="313">
        <v>5585923601</v>
      </c>
      <c r="AI146" s="313">
        <v>6061344958</v>
      </c>
      <c r="AJ146" s="313">
        <v>0</v>
      </c>
      <c r="AK146" s="313">
        <v>0</v>
      </c>
      <c r="AL146" s="313">
        <v>0</v>
      </c>
      <c r="AM146" s="313">
        <v>0</v>
      </c>
      <c r="AN146" s="313">
        <v>0</v>
      </c>
      <c r="AO146" s="313">
        <v>0</v>
      </c>
      <c r="AP146" s="313">
        <v>0</v>
      </c>
      <c r="AQ146" s="313">
        <v>0</v>
      </c>
      <c r="AR146" s="313">
        <f t="shared" ca="1" si="35"/>
        <v>22652937146</v>
      </c>
      <c r="AS146">
        <f t="shared" ref="AS146:AS208" ca="1" si="38">IF($AR$26=1,AF146,SUM(OFFSET(AF146:AQ146,0,0,1,$AR$26))-SUM(OFFSET(AF146:AQ146,0,0,1,$AR$26-1)))</f>
        <v>0</v>
      </c>
    </row>
    <row r="147" spans="1:45">
      <c r="A147" s="320" t="s">
        <v>138</v>
      </c>
      <c r="B147" t="s">
        <v>230</v>
      </c>
      <c r="C147" s="317" t="s">
        <v>123</v>
      </c>
      <c r="D147" s="317" t="s">
        <v>75</v>
      </c>
      <c r="E147" s="313">
        <v>713067894</v>
      </c>
      <c r="F147" s="313">
        <v>699903881</v>
      </c>
      <c r="G147" s="313">
        <v>756885719</v>
      </c>
      <c r="H147" s="313">
        <v>736043695</v>
      </c>
      <c r="I147" s="313">
        <v>837466773</v>
      </c>
      <c r="J147" s="313">
        <v>807449562</v>
      </c>
      <c r="K147" s="313">
        <v>1001929713</v>
      </c>
      <c r="L147" s="313">
        <v>779248568</v>
      </c>
      <c r="M147" s="313">
        <v>1016830135</v>
      </c>
      <c r="N147" s="313">
        <v>950825382</v>
      </c>
      <c r="O147" s="313">
        <v>837861387</v>
      </c>
      <c r="P147" s="313">
        <v>1538220767</v>
      </c>
      <c r="Q147" s="313">
        <f t="shared" ca="1" si="36"/>
        <v>3743367962</v>
      </c>
      <c r="R147" s="313">
        <v>998035535</v>
      </c>
      <c r="S147" s="313">
        <v>1078767892</v>
      </c>
      <c r="T147" s="313">
        <v>1291638856</v>
      </c>
      <c r="U147" s="313">
        <v>1432129724</v>
      </c>
      <c r="V147" s="313">
        <v>1254285711</v>
      </c>
      <c r="W147" s="313">
        <v>1259213832</v>
      </c>
      <c r="X147" s="313">
        <v>1248138304</v>
      </c>
      <c r="Y147" s="313">
        <v>1368663127</v>
      </c>
      <c r="Z147" s="313">
        <v>1084218607</v>
      </c>
      <c r="AA147" s="313">
        <v>1404675917</v>
      </c>
      <c r="AB147" s="313">
        <v>1402553331</v>
      </c>
      <c r="AC147" s="313">
        <v>5047825496</v>
      </c>
      <c r="AD147" s="313">
        <f t="shared" ca="1" si="34"/>
        <v>6054857718</v>
      </c>
      <c r="AE147" s="318">
        <f t="shared" ca="1" si="37"/>
        <v>1254285711</v>
      </c>
      <c r="AF147" s="313">
        <v>1560539553</v>
      </c>
      <c r="AG147" s="313">
        <v>1321592436</v>
      </c>
      <c r="AH147" s="313">
        <v>1495843402</v>
      </c>
      <c r="AI147" s="313">
        <v>1759510024</v>
      </c>
      <c r="AJ147" s="313">
        <v>0</v>
      </c>
      <c r="AK147" s="313">
        <v>0</v>
      </c>
      <c r="AL147" s="313">
        <v>0</v>
      </c>
      <c r="AM147" s="313">
        <v>0</v>
      </c>
      <c r="AN147" s="313">
        <v>0</v>
      </c>
      <c r="AO147" s="313">
        <v>0</v>
      </c>
      <c r="AP147" s="313">
        <v>0</v>
      </c>
      <c r="AQ147" s="313">
        <v>0</v>
      </c>
      <c r="AR147" s="313">
        <f t="shared" ca="1" si="35"/>
        <v>6137485415</v>
      </c>
      <c r="AS147">
        <f t="shared" ca="1" si="38"/>
        <v>0</v>
      </c>
    </row>
    <row r="148" spans="1:45">
      <c r="A148" s="320" t="s">
        <v>139</v>
      </c>
      <c r="B148" t="s">
        <v>230</v>
      </c>
      <c r="C148" s="317" t="s">
        <v>140</v>
      </c>
      <c r="D148" s="317" t="s">
        <v>78</v>
      </c>
      <c r="E148" s="313">
        <v>369423744</v>
      </c>
      <c r="F148" s="313">
        <v>271418400</v>
      </c>
      <c r="G148" s="313">
        <v>484682880</v>
      </c>
      <c r="H148" s="313">
        <v>947585288</v>
      </c>
      <c r="I148" s="313">
        <v>732250680</v>
      </c>
      <c r="J148" s="313">
        <v>1259908312</v>
      </c>
      <c r="K148" s="313">
        <v>706508840</v>
      </c>
      <c r="L148" s="313">
        <v>1228570570</v>
      </c>
      <c r="M148" s="313">
        <v>805497700</v>
      </c>
      <c r="N148" s="313">
        <v>568126136</v>
      </c>
      <c r="O148" s="313">
        <v>338540380</v>
      </c>
      <c r="P148" s="313">
        <v>1203477272</v>
      </c>
      <c r="Q148" s="313">
        <f t="shared" ca="1" si="36"/>
        <v>2805360992</v>
      </c>
      <c r="R148" s="313">
        <v>1156648724</v>
      </c>
      <c r="S148" s="313">
        <v>1395989840</v>
      </c>
      <c r="T148" s="313">
        <v>718938840</v>
      </c>
      <c r="U148" s="313">
        <v>873725670</v>
      </c>
      <c r="V148" s="313">
        <v>801811330</v>
      </c>
      <c r="W148" s="313">
        <v>2343197427</v>
      </c>
      <c r="X148" s="313">
        <v>962161347</v>
      </c>
      <c r="Y148" s="313">
        <v>1102469718</v>
      </c>
      <c r="Z148" s="313">
        <v>793146505</v>
      </c>
      <c r="AA148" s="313">
        <v>728694366</v>
      </c>
      <c r="AB148" s="313">
        <v>819335524</v>
      </c>
      <c r="AC148" s="313">
        <v>914940436</v>
      </c>
      <c r="AD148" s="313">
        <f t="shared" ca="1" si="34"/>
        <v>4947114404</v>
      </c>
      <c r="AE148" s="318">
        <f t="shared" ca="1" si="37"/>
        <v>801811330</v>
      </c>
      <c r="AF148" s="313">
        <v>1284224102</v>
      </c>
      <c r="AG148" s="313">
        <v>828225273</v>
      </c>
      <c r="AH148" s="313">
        <v>2221270799</v>
      </c>
      <c r="AI148" s="313">
        <v>2175577325</v>
      </c>
      <c r="AJ148" s="313">
        <v>0</v>
      </c>
      <c r="AK148" s="313">
        <v>0</v>
      </c>
      <c r="AL148" s="313">
        <v>0</v>
      </c>
      <c r="AM148" s="313">
        <v>0</v>
      </c>
      <c r="AN148" s="313">
        <v>0</v>
      </c>
      <c r="AO148" s="313">
        <v>0</v>
      </c>
      <c r="AP148" s="313">
        <v>0</v>
      </c>
      <c r="AQ148" s="313">
        <v>0</v>
      </c>
      <c r="AR148" s="313">
        <f t="shared" ca="1" si="35"/>
        <v>6509297499</v>
      </c>
      <c r="AS148">
        <f t="shared" ca="1" si="38"/>
        <v>0</v>
      </c>
    </row>
    <row r="149" spans="1:45">
      <c r="A149" s="320" t="s">
        <v>141</v>
      </c>
      <c r="B149" t="s">
        <v>230</v>
      </c>
      <c r="C149" s="317" t="s">
        <v>140</v>
      </c>
      <c r="D149" s="317" t="s">
        <v>80</v>
      </c>
      <c r="E149" s="313">
        <v>470144123</v>
      </c>
      <c r="F149" s="313">
        <v>347024005</v>
      </c>
      <c r="G149" s="313">
        <v>491287500</v>
      </c>
      <c r="H149" s="313">
        <v>369174074</v>
      </c>
      <c r="I149" s="313">
        <v>353380000</v>
      </c>
      <c r="J149" s="313">
        <v>498593648</v>
      </c>
      <c r="K149" s="313">
        <v>325037900</v>
      </c>
      <c r="L149" s="313">
        <v>852697036</v>
      </c>
      <c r="M149" s="313">
        <v>753821481</v>
      </c>
      <c r="N149" s="313">
        <v>650899672</v>
      </c>
      <c r="O149" s="313">
        <v>612915926</v>
      </c>
      <c r="P149" s="313">
        <v>676577333</v>
      </c>
      <c r="Q149" s="313">
        <f t="shared" ca="1" si="36"/>
        <v>2031009702</v>
      </c>
      <c r="R149" s="313">
        <v>424528148</v>
      </c>
      <c r="S149" s="313">
        <v>821805186</v>
      </c>
      <c r="T149" s="313">
        <v>830298814</v>
      </c>
      <c r="U149" s="313">
        <v>864075557</v>
      </c>
      <c r="V149" s="313">
        <v>825497036</v>
      </c>
      <c r="W149" s="313">
        <v>1143377036</v>
      </c>
      <c r="X149" s="313">
        <v>1150793707</v>
      </c>
      <c r="Y149" s="313">
        <v>1817641347</v>
      </c>
      <c r="Z149" s="313">
        <v>1291571184</v>
      </c>
      <c r="AA149" s="313">
        <v>1239022223</v>
      </c>
      <c r="AB149" s="313">
        <v>942546706</v>
      </c>
      <c r="AC149" s="313">
        <v>1088877912</v>
      </c>
      <c r="AD149" s="313">
        <f t="shared" ca="1" si="34"/>
        <v>3766204741</v>
      </c>
      <c r="AE149" s="318">
        <f t="shared" ca="1" si="37"/>
        <v>825497036</v>
      </c>
      <c r="AF149" s="313">
        <v>921880148</v>
      </c>
      <c r="AG149" s="313">
        <v>632106741</v>
      </c>
      <c r="AH149" s="313">
        <v>1322520832</v>
      </c>
      <c r="AI149" s="313">
        <v>1462297700</v>
      </c>
      <c r="AJ149" s="313">
        <v>0</v>
      </c>
      <c r="AK149" s="313">
        <v>0</v>
      </c>
      <c r="AL149" s="313">
        <v>0</v>
      </c>
      <c r="AM149" s="313">
        <v>0</v>
      </c>
      <c r="AN149" s="313">
        <v>0</v>
      </c>
      <c r="AO149" s="313">
        <v>0</v>
      </c>
      <c r="AP149" s="313">
        <v>0</v>
      </c>
      <c r="AQ149" s="313">
        <v>0</v>
      </c>
      <c r="AR149" s="313">
        <f t="shared" ca="1" si="35"/>
        <v>4338805421</v>
      </c>
      <c r="AS149">
        <f t="shared" ca="1" si="38"/>
        <v>0</v>
      </c>
    </row>
    <row r="150" spans="1:45">
      <c r="A150" s="320" t="s">
        <v>142</v>
      </c>
      <c r="B150" t="s">
        <v>230</v>
      </c>
      <c r="C150" s="317" t="s">
        <v>140</v>
      </c>
      <c r="D150" s="317" t="s">
        <v>82</v>
      </c>
      <c r="E150" s="313">
        <v>1862640439</v>
      </c>
      <c r="F150" s="313">
        <v>439812589</v>
      </c>
      <c r="G150" s="313">
        <v>2669034839</v>
      </c>
      <c r="H150" s="313">
        <v>3032304136</v>
      </c>
      <c r="I150" s="313">
        <v>277880434</v>
      </c>
      <c r="J150" s="313">
        <v>318063920</v>
      </c>
      <c r="K150" s="313">
        <v>626032613</v>
      </c>
      <c r="L150" s="313">
        <v>5216793028</v>
      </c>
      <c r="M150" s="313">
        <v>5019652822</v>
      </c>
      <c r="N150" s="313">
        <v>2316276718</v>
      </c>
      <c r="O150" s="313">
        <v>404235983</v>
      </c>
      <c r="P150" s="313">
        <v>1317844326</v>
      </c>
      <c r="Q150" s="313">
        <f t="shared" ca="1" si="36"/>
        <v>8281672437</v>
      </c>
      <c r="R150" s="313">
        <v>1442696903</v>
      </c>
      <c r="S150" s="313">
        <v>3574837862</v>
      </c>
      <c r="T150" s="313">
        <v>1969857757</v>
      </c>
      <c r="U150" s="313">
        <v>1503984454</v>
      </c>
      <c r="V150" s="313">
        <v>2462711733</v>
      </c>
      <c r="W150" s="313">
        <v>1186353811</v>
      </c>
      <c r="X150" s="313">
        <v>1311037332</v>
      </c>
      <c r="Y150" s="313">
        <v>1643007682</v>
      </c>
      <c r="Z150" s="313">
        <v>437205501</v>
      </c>
      <c r="AA150" s="313">
        <v>492312502</v>
      </c>
      <c r="AB150" s="313">
        <v>653246467</v>
      </c>
      <c r="AC150" s="313">
        <v>692122387</v>
      </c>
      <c r="AD150" s="313">
        <f t="shared" ca="1" si="34"/>
        <v>10954088709</v>
      </c>
      <c r="AE150" s="318">
        <f t="shared" ca="1" si="37"/>
        <v>2462711733</v>
      </c>
      <c r="AF150" s="313">
        <v>1092685189</v>
      </c>
      <c r="AG150" s="313">
        <v>1193026840</v>
      </c>
      <c r="AH150" s="313">
        <v>1805602205</v>
      </c>
      <c r="AI150" s="313">
        <v>1237377546</v>
      </c>
      <c r="AJ150" s="313">
        <v>0</v>
      </c>
      <c r="AK150" s="313">
        <v>0</v>
      </c>
      <c r="AL150" s="313">
        <v>0</v>
      </c>
      <c r="AM150" s="313">
        <v>0</v>
      </c>
      <c r="AN150" s="313">
        <v>0</v>
      </c>
      <c r="AO150" s="313">
        <v>0</v>
      </c>
      <c r="AP150" s="313">
        <v>0</v>
      </c>
      <c r="AQ150" s="313">
        <v>0</v>
      </c>
      <c r="AR150" s="313">
        <f t="shared" ca="1" si="35"/>
        <v>5328691780</v>
      </c>
      <c r="AS150">
        <f t="shared" ca="1" si="38"/>
        <v>0</v>
      </c>
    </row>
    <row r="151" spans="1:45">
      <c r="A151" s="320" t="s">
        <v>143</v>
      </c>
      <c r="B151" t="s">
        <v>230</v>
      </c>
      <c r="C151" s="317" t="s">
        <v>131</v>
      </c>
      <c r="D151" s="317" t="s">
        <v>84</v>
      </c>
      <c r="E151" s="313">
        <v>164126749</v>
      </c>
      <c r="F151" s="313">
        <v>164126749</v>
      </c>
      <c r="G151" s="313">
        <v>159675084</v>
      </c>
      <c r="H151" s="313">
        <v>219288813</v>
      </c>
      <c r="I151" s="313">
        <v>223754967</v>
      </c>
      <c r="J151" s="313">
        <v>222296188</v>
      </c>
      <c r="K151" s="313">
        <v>227426380</v>
      </c>
      <c r="L151" s="313">
        <v>376548206</v>
      </c>
      <c r="M151" s="313">
        <v>376548211</v>
      </c>
      <c r="N151" s="313">
        <v>376548204</v>
      </c>
      <c r="O151" s="313">
        <v>375631804</v>
      </c>
      <c r="P151" s="313">
        <v>412558117</v>
      </c>
      <c r="Q151" s="313">
        <f t="shared" ca="1" si="36"/>
        <v>930972362</v>
      </c>
      <c r="R151" s="313">
        <v>473748924</v>
      </c>
      <c r="S151" s="313">
        <v>473748945</v>
      </c>
      <c r="T151" s="313">
        <v>453462317</v>
      </c>
      <c r="U151" s="313">
        <v>494917556</v>
      </c>
      <c r="V151" s="313">
        <v>494917559</v>
      </c>
      <c r="W151" s="313">
        <v>511017021</v>
      </c>
      <c r="X151" s="313">
        <v>358576486</v>
      </c>
      <c r="Y151" s="313">
        <v>365179546</v>
      </c>
      <c r="Z151" s="313">
        <v>503363905</v>
      </c>
      <c r="AA151" s="313">
        <v>406409496</v>
      </c>
      <c r="AB151" s="313">
        <v>406409498</v>
      </c>
      <c r="AC151" s="313">
        <v>355777830</v>
      </c>
      <c r="AD151" s="313">
        <f t="shared" ca="1" si="34"/>
        <v>2390795301</v>
      </c>
      <c r="AE151" s="318">
        <f t="shared" ca="1" si="37"/>
        <v>494917559</v>
      </c>
      <c r="AF151" s="313">
        <v>112821020</v>
      </c>
      <c r="AG151" s="313">
        <v>115496730</v>
      </c>
      <c r="AH151" s="313">
        <v>110515586</v>
      </c>
      <c r="AI151" s="313">
        <v>110797907</v>
      </c>
      <c r="AJ151" s="313">
        <v>0</v>
      </c>
      <c r="AK151" s="313">
        <v>0</v>
      </c>
      <c r="AL151" s="313">
        <v>0</v>
      </c>
      <c r="AM151" s="313">
        <v>0</v>
      </c>
      <c r="AN151" s="313">
        <v>0</v>
      </c>
      <c r="AO151" s="313">
        <v>0</v>
      </c>
      <c r="AP151" s="313">
        <v>0</v>
      </c>
      <c r="AQ151" s="313">
        <v>0</v>
      </c>
      <c r="AR151" s="313">
        <f t="shared" ca="1" si="35"/>
        <v>449631243</v>
      </c>
      <c r="AS151">
        <f t="shared" ca="1" si="38"/>
        <v>0</v>
      </c>
    </row>
    <row r="152" spans="1:45">
      <c r="A152" s="320" t="s">
        <v>144</v>
      </c>
      <c r="B152" t="s">
        <v>230</v>
      </c>
      <c r="C152" s="317" t="s">
        <v>128</v>
      </c>
      <c r="D152" s="317" t="s">
        <v>86</v>
      </c>
      <c r="E152" s="313">
        <v>1914642192</v>
      </c>
      <c r="F152" s="313">
        <v>1574367099</v>
      </c>
      <c r="G152" s="313">
        <v>1361106578</v>
      </c>
      <c r="H152" s="313">
        <v>1521090270</v>
      </c>
      <c r="I152" s="313">
        <v>2190323983</v>
      </c>
      <c r="J152" s="313">
        <v>2068598691</v>
      </c>
      <c r="K152" s="313">
        <v>1815587579</v>
      </c>
      <c r="L152" s="313">
        <v>3220266726</v>
      </c>
      <c r="M152" s="313">
        <v>3756829171</v>
      </c>
      <c r="N152" s="313">
        <v>4529161142</v>
      </c>
      <c r="O152" s="313">
        <v>4342337644</v>
      </c>
      <c r="P152" s="313">
        <v>8046875512</v>
      </c>
      <c r="Q152" s="313">
        <f t="shared" ca="1" si="36"/>
        <v>8561530122</v>
      </c>
      <c r="R152" s="313">
        <v>3787586592</v>
      </c>
      <c r="S152" s="313">
        <v>3744034738</v>
      </c>
      <c r="T152" s="313">
        <v>4603638712</v>
      </c>
      <c r="U152" s="313">
        <v>3095453689</v>
      </c>
      <c r="V152" s="313">
        <v>3811947518</v>
      </c>
      <c r="W152" s="313">
        <v>2993002007</v>
      </c>
      <c r="X152" s="313">
        <v>3516241104</v>
      </c>
      <c r="Y152" s="313">
        <v>3519948601</v>
      </c>
      <c r="Z152" s="313">
        <v>5116707939</v>
      </c>
      <c r="AA152" s="313">
        <v>3216537120</v>
      </c>
      <c r="AB152" s="313">
        <v>5729329835</v>
      </c>
      <c r="AC152" s="313">
        <v>7076675375</v>
      </c>
      <c r="AD152" s="313">
        <f t="shared" ca="1" si="34"/>
        <v>19042661249</v>
      </c>
      <c r="AE152" s="318">
        <f t="shared" ca="1" si="37"/>
        <v>3811947518</v>
      </c>
      <c r="AF152" s="313">
        <v>3473309923</v>
      </c>
      <c r="AG152" s="313">
        <v>3725414700</v>
      </c>
      <c r="AH152" s="313">
        <v>2862213876</v>
      </c>
      <c r="AI152" s="313">
        <v>2954006426</v>
      </c>
      <c r="AJ152" s="313">
        <v>0</v>
      </c>
      <c r="AK152" s="313">
        <v>0</v>
      </c>
      <c r="AL152" s="313">
        <v>0</v>
      </c>
      <c r="AM152" s="313">
        <v>0</v>
      </c>
      <c r="AN152" s="313">
        <v>0</v>
      </c>
      <c r="AO152" s="313">
        <v>0</v>
      </c>
      <c r="AP152" s="313">
        <v>0</v>
      </c>
      <c r="AQ152" s="313">
        <v>0</v>
      </c>
      <c r="AR152" s="313">
        <f t="shared" ca="1" si="35"/>
        <v>13014944925</v>
      </c>
      <c r="AS152">
        <f t="shared" ca="1" si="38"/>
        <v>0</v>
      </c>
    </row>
    <row r="153" spans="1:45">
      <c r="A153" s="320" t="s">
        <v>145</v>
      </c>
      <c r="B153" t="s">
        <v>230</v>
      </c>
      <c r="D153" t="s">
        <v>88</v>
      </c>
      <c r="E153" s="305">
        <v>801399604</v>
      </c>
      <c r="F153" s="305">
        <v>695500231</v>
      </c>
      <c r="G153" s="305">
        <v>663502461</v>
      </c>
      <c r="H153" s="305">
        <v>1555671370</v>
      </c>
      <c r="I153" s="305">
        <v>936492932</v>
      </c>
      <c r="J153" s="305">
        <v>1103852896</v>
      </c>
      <c r="K153" s="305">
        <v>1608708972</v>
      </c>
      <c r="L153" s="305">
        <v>1489581015</v>
      </c>
      <c r="M153" s="305">
        <v>1372261307</v>
      </c>
      <c r="N153" s="305">
        <v>636041020</v>
      </c>
      <c r="O153" s="305">
        <v>1257673070</v>
      </c>
      <c r="P153" s="305">
        <v>993026233</v>
      </c>
      <c r="Q153" s="305">
        <f t="shared" ca="1" si="36"/>
        <v>4652566598</v>
      </c>
      <c r="R153" s="305">
        <v>1529745602</v>
      </c>
      <c r="S153" s="305">
        <v>1349010483</v>
      </c>
      <c r="T153" s="305">
        <v>902730488</v>
      </c>
      <c r="U153" s="305">
        <v>1450570894</v>
      </c>
      <c r="V153" s="305">
        <v>858169737</v>
      </c>
      <c r="W153" s="305">
        <v>1483876982</v>
      </c>
      <c r="X153" s="305">
        <v>1318435167</v>
      </c>
      <c r="Y153" s="305">
        <v>1366041150</v>
      </c>
      <c r="Z153" s="305">
        <v>1603769193</v>
      </c>
      <c r="AA153" s="305">
        <v>2900732378</v>
      </c>
      <c r="AB153" s="305">
        <v>1301741764</v>
      </c>
      <c r="AC153" s="305">
        <v>2479436989</v>
      </c>
      <c r="AD153" s="305">
        <f t="shared" ca="1" si="34"/>
        <v>6090227204</v>
      </c>
      <c r="AE153" s="318">
        <f t="shared" ca="1" si="37"/>
        <v>858169737</v>
      </c>
      <c r="AF153" s="305">
        <v>1532817392</v>
      </c>
      <c r="AG153" s="305">
        <v>1578519037</v>
      </c>
      <c r="AH153" s="305">
        <v>1510605035</v>
      </c>
      <c r="AI153" s="305">
        <v>1999303711</v>
      </c>
      <c r="AJ153" s="305">
        <v>0</v>
      </c>
      <c r="AK153" s="305">
        <v>0</v>
      </c>
      <c r="AL153" s="305">
        <v>0</v>
      </c>
      <c r="AM153" s="305">
        <v>0</v>
      </c>
      <c r="AN153" s="305">
        <v>0</v>
      </c>
      <c r="AO153" s="305">
        <v>0</v>
      </c>
      <c r="AP153" s="305">
        <v>0</v>
      </c>
      <c r="AQ153" s="305">
        <v>0</v>
      </c>
      <c r="AR153" s="305">
        <f t="shared" ca="1" si="35"/>
        <v>6621245175</v>
      </c>
      <c r="AS153">
        <f t="shared" ca="1" si="38"/>
        <v>0</v>
      </c>
    </row>
    <row r="154" spans="1:45">
      <c r="A154" s="320" t="s">
        <v>146</v>
      </c>
      <c r="B154" t="s">
        <v>230</v>
      </c>
      <c r="C154" t="s">
        <v>147</v>
      </c>
      <c r="D154" s="322" t="s">
        <v>89</v>
      </c>
      <c r="E154" s="313">
        <v>460461775</v>
      </c>
      <c r="F154" s="313">
        <v>563909516</v>
      </c>
      <c r="G154" s="313">
        <v>587315920</v>
      </c>
      <c r="H154" s="313">
        <v>905708142</v>
      </c>
      <c r="I154" s="313">
        <v>974310029</v>
      </c>
      <c r="J154" s="313">
        <v>1115056080</v>
      </c>
      <c r="K154" s="313">
        <v>1160823006</v>
      </c>
      <c r="L154" s="313">
        <v>939585045</v>
      </c>
      <c r="M154" s="313">
        <v>859444105</v>
      </c>
      <c r="N154" s="313">
        <v>840165515</v>
      </c>
      <c r="O154" s="313">
        <v>889159081</v>
      </c>
      <c r="P154" s="313">
        <v>1032562923</v>
      </c>
      <c r="Q154" s="313">
        <f t="shared" ca="1" si="36"/>
        <v>3491705382</v>
      </c>
      <c r="R154" s="313">
        <v>1114824276</v>
      </c>
      <c r="S154" s="313">
        <v>928379281</v>
      </c>
      <c r="T154" s="313">
        <v>673966789</v>
      </c>
      <c r="U154" s="313">
        <v>888393452</v>
      </c>
      <c r="V154" s="313">
        <v>1186588729</v>
      </c>
      <c r="W154" s="313">
        <v>1448899822</v>
      </c>
      <c r="X154" s="313">
        <v>1245210526</v>
      </c>
      <c r="Y154" s="313">
        <v>1303560910</v>
      </c>
      <c r="Z154" s="313">
        <v>1595764355</v>
      </c>
      <c r="AA154" s="313">
        <v>1368802426</v>
      </c>
      <c r="AB154" s="313">
        <v>1256132292</v>
      </c>
      <c r="AC154" s="313">
        <v>1256103396</v>
      </c>
      <c r="AD154" s="313">
        <f t="shared" ca="1" si="34"/>
        <v>4792152527</v>
      </c>
      <c r="AE154" s="318">
        <f t="shared" ca="1" si="37"/>
        <v>1186588729</v>
      </c>
      <c r="AF154" s="313">
        <v>1240115065</v>
      </c>
      <c r="AG154" s="313">
        <v>1156279418</v>
      </c>
      <c r="AH154" s="313">
        <v>959718564</v>
      </c>
      <c r="AI154" s="313">
        <v>1062084475</v>
      </c>
      <c r="AJ154" s="313">
        <v>0</v>
      </c>
      <c r="AK154" s="313">
        <v>0</v>
      </c>
      <c r="AL154" s="313">
        <v>0</v>
      </c>
      <c r="AM154" s="313">
        <v>0</v>
      </c>
      <c r="AN154" s="313">
        <v>0</v>
      </c>
      <c r="AO154" s="313">
        <v>0</v>
      </c>
      <c r="AP154" s="313">
        <v>0</v>
      </c>
      <c r="AQ154" s="313">
        <v>0</v>
      </c>
      <c r="AR154" s="313">
        <f t="shared" ca="1" si="35"/>
        <v>4418197522</v>
      </c>
      <c r="AS154">
        <f t="shared" ca="1" si="38"/>
        <v>0</v>
      </c>
    </row>
    <row r="155" spans="1:45">
      <c r="A155" s="320" t="s">
        <v>148</v>
      </c>
      <c r="B155" t="s">
        <v>230</v>
      </c>
      <c r="D155" t="s">
        <v>90</v>
      </c>
      <c r="E155" s="305">
        <v>657619846</v>
      </c>
      <c r="F155" s="305">
        <v>1103579589</v>
      </c>
      <c r="G155" s="305">
        <v>964550164</v>
      </c>
      <c r="H155" s="305">
        <v>1743067054</v>
      </c>
      <c r="I155" s="305">
        <v>997251302</v>
      </c>
      <c r="J155" s="305">
        <v>484051741</v>
      </c>
      <c r="K155" s="305">
        <v>423434417</v>
      </c>
      <c r="L155" s="305">
        <v>1432848167</v>
      </c>
      <c r="M155" s="305">
        <v>1558693590</v>
      </c>
      <c r="N155" s="305">
        <v>2657307107</v>
      </c>
      <c r="O155" s="305">
        <v>2151947813</v>
      </c>
      <c r="P155" s="305">
        <v>-6614312133</v>
      </c>
      <c r="Q155" s="305">
        <f t="shared" ca="1" si="36"/>
        <v>5466067955</v>
      </c>
      <c r="R155" s="305">
        <v>875910631</v>
      </c>
      <c r="S155" s="305">
        <v>1679126684</v>
      </c>
      <c r="T155" s="305">
        <v>961425409</v>
      </c>
      <c r="U155" s="305">
        <v>1398627497</v>
      </c>
      <c r="V155" s="305">
        <v>2570972234</v>
      </c>
      <c r="W155" s="305">
        <v>1655506390</v>
      </c>
      <c r="X155" s="305">
        <v>1235838222</v>
      </c>
      <c r="Y155" s="305">
        <v>1469764485</v>
      </c>
      <c r="Z155" s="305">
        <v>707557774</v>
      </c>
      <c r="AA155" s="305">
        <v>-721760066</v>
      </c>
      <c r="AB155" s="305">
        <v>-536057574</v>
      </c>
      <c r="AC155" s="305">
        <v>-707688286</v>
      </c>
      <c r="AD155" s="305">
        <f t="shared" ca="1" si="34"/>
        <v>7486062455</v>
      </c>
      <c r="AE155" s="318">
        <f t="shared" ca="1" si="37"/>
        <v>2570972234</v>
      </c>
      <c r="AF155" s="305">
        <v>937480612</v>
      </c>
      <c r="AG155" s="305">
        <v>155097934</v>
      </c>
      <c r="AH155" s="305">
        <v>940152300</v>
      </c>
      <c r="AI155" s="305">
        <v>2530149620</v>
      </c>
      <c r="AJ155" s="305">
        <v>0</v>
      </c>
      <c r="AK155" s="305">
        <v>0</v>
      </c>
      <c r="AL155" s="305">
        <v>0</v>
      </c>
      <c r="AM155" s="305">
        <v>0</v>
      </c>
      <c r="AN155" s="305">
        <v>0</v>
      </c>
      <c r="AO155" s="305">
        <v>0</v>
      </c>
      <c r="AP155" s="305">
        <v>0</v>
      </c>
      <c r="AQ155" s="305">
        <v>0</v>
      </c>
      <c r="AR155" s="305">
        <f t="shared" ca="1" si="35"/>
        <v>4562880466</v>
      </c>
      <c r="AS155">
        <f t="shared" ca="1" si="38"/>
        <v>0</v>
      </c>
    </row>
    <row r="156" spans="1:45">
      <c r="A156" s="320" t="s">
        <v>149</v>
      </c>
      <c r="B156" t="s">
        <v>230</v>
      </c>
      <c r="C156" s="321"/>
      <c r="D156" s="321" t="s">
        <v>91</v>
      </c>
      <c r="E156" s="319">
        <v>3675898864</v>
      </c>
      <c r="F156" s="319">
        <v>-2249766799</v>
      </c>
      <c r="G156" s="319">
        <v>1785704666</v>
      </c>
      <c r="H156" s="319">
        <v>6750826694</v>
      </c>
      <c r="I156" s="319">
        <v>-452261713</v>
      </c>
      <c r="J156" s="319">
        <v>-6787951141</v>
      </c>
      <c r="K156" s="319">
        <v>-9754786291</v>
      </c>
      <c r="L156" s="319">
        <v>-4762037040</v>
      </c>
      <c r="M156" s="319">
        <v>13425158696</v>
      </c>
      <c r="N156" s="319">
        <v>-1041021395</v>
      </c>
      <c r="O156" s="319">
        <v>-668129018</v>
      </c>
      <c r="P156" s="319">
        <v>108733421490</v>
      </c>
      <c r="Q156" s="319">
        <f t="shared" ca="1" si="36"/>
        <v>9510401712</v>
      </c>
      <c r="R156" s="319">
        <v>9084402201</v>
      </c>
      <c r="S156" s="319">
        <v>22872990664</v>
      </c>
      <c r="T156" s="319">
        <v>12745104196</v>
      </c>
      <c r="U156" s="319">
        <v>9836693447</v>
      </c>
      <c r="V156" s="319">
        <v>17344763554</v>
      </c>
      <c r="W156" s="319">
        <v>7491353035</v>
      </c>
      <c r="X156" s="319">
        <v>6840781034</v>
      </c>
      <c r="Y156" s="319">
        <v>9226585015</v>
      </c>
      <c r="Z156" s="319">
        <v>-5431962765</v>
      </c>
      <c r="AA156" s="319">
        <v>1333218265</v>
      </c>
      <c r="AB156" s="319">
        <v>-2057039711</v>
      </c>
      <c r="AC156" s="319">
        <v>12529280339</v>
      </c>
      <c r="AD156" s="319">
        <f t="shared" ca="1" si="34"/>
        <v>71883954062</v>
      </c>
      <c r="AE156" s="318">
        <f t="shared" ca="1" si="37"/>
        <v>17344763554</v>
      </c>
      <c r="AF156" s="319">
        <v>554012905.80555725</v>
      </c>
      <c r="AG156" s="319">
        <v>-3725691363.1715088</v>
      </c>
      <c r="AH156" s="319">
        <v>-3109168604.5916672</v>
      </c>
      <c r="AI156" s="319">
        <v>8994877050.8307533</v>
      </c>
      <c r="AJ156" s="319">
        <v>0</v>
      </c>
      <c r="AK156" s="319">
        <v>0</v>
      </c>
      <c r="AL156" s="319">
        <v>0</v>
      </c>
      <c r="AM156" s="319">
        <v>0</v>
      </c>
      <c r="AN156" s="319">
        <v>0</v>
      </c>
      <c r="AO156" s="319">
        <v>0</v>
      </c>
      <c r="AP156" s="319">
        <v>0</v>
      </c>
      <c r="AQ156" s="319">
        <v>0</v>
      </c>
      <c r="AR156" s="319">
        <f t="shared" ca="1" si="35"/>
        <v>2714029988.8731346</v>
      </c>
      <c r="AS156">
        <f t="shared" ca="1" si="38"/>
        <v>0</v>
      </c>
    </row>
    <row r="157" spans="1:45">
      <c r="A157" s="320" t="s">
        <v>150</v>
      </c>
      <c r="B157" t="s">
        <v>230</v>
      </c>
      <c r="D157" t="s">
        <v>93</v>
      </c>
      <c r="E157" s="305">
        <v>-719985770</v>
      </c>
      <c r="F157" s="305">
        <v>-6758932844</v>
      </c>
      <c r="G157" s="305">
        <v>-2743321288</v>
      </c>
      <c r="H157" s="305">
        <v>1668340417</v>
      </c>
      <c r="I157" s="305">
        <v>-5691808171</v>
      </c>
      <c r="J157" s="305">
        <v>-12142648645</v>
      </c>
      <c r="K157" s="305">
        <v>-15194276334</v>
      </c>
      <c r="L157" s="305">
        <v>-10014018528</v>
      </c>
      <c r="M157" s="305">
        <v>8118268598</v>
      </c>
      <c r="N157" s="305">
        <v>-6348711814</v>
      </c>
      <c r="O157" s="305">
        <v>-6052149672</v>
      </c>
      <c r="P157" s="305">
        <v>102908561739</v>
      </c>
      <c r="Q157" s="305">
        <f t="shared" ca="1" si="36"/>
        <v>-14245707656</v>
      </c>
      <c r="R157" s="305">
        <v>3099846411</v>
      </c>
      <c r="S157" s="305">
        <v>17072928466</v>
      </c>
      <c r="T157" s="305">
        <v>6996892070</v>
      </c>
      <c r="U157" s="305">
        <v>3936534372</v>
      </c>
      <c r="V157" s="305">
        <v>10980760888</v>
      </c>
      <c r="W157" s="305">
        <v>874577083</v>
      </c>
      <c r="X157" s="305">
        <v>412219980</v>
      </c>
      <c r="Y157" s="305">
        <v>2753352784</v>
      </c>
      <c r="Z157" s="305">
        <v>-12537257826</v>
      </c>
      <c r="AA157" s="305">
        <v>-5398471511</v>
      </c>
      <c r="AB157" s="305">
        <v>-8841087053</v>
      </c>
      <c r="AC157" s="305">
        <v>5675768744</v>
      </c>
      <c r="AD157" s="305">
        <f t="shared" ca="1" si="34"/>
        <v>42086962207</v>
      </c>
      <c r="AE157" s="318">
        <f t="shared" ca="1" si="37"/>
        <v>10980760888</v>
      </c>
      <c r="AF157" s="305">
        <v>-3068173394.1944427</v>
      </c>
      <c r="AG157" s="305">
        <v>-7734670181.1715088</v>
      </c>
      <c r="AH157" s="305">
        <v>-6932855150.5916672</v>
      </c>
      <c r="AI157" s="305">
        <v>4902498894.8307533</v>
      </c>
      <c r="AJ157" s="305">
        <v>0</v>
      </c>
      <c r="AK157" s="305">
        <v>0</v>
      </c>
      <c r="AL157" s="305">
        <v>0</v>
      </c>
      <c r="AM157" s="305">
        <v>0</v>
      </c>
      <c r="AN157" s="305">
        <v>0</v>
      </c>
      <c r="AO157" s="305">
        <v>0</v>
      </c>
      <c r="AP157" s="305">
        <v>0</v>
      </c>
      <c r="AQ157" s="305">
        <v>0</v>
      </c>
      <c r="AR157" s="305">
        <f t="shared" ca="1" si="35"/>
        <v>-12833199831.126865</v>
      </c>
      <c r="AS157">
        <f t="shared" ca="1" si="38"/>
        <v>0</v>
      </c>
    </row>
    <row r="158" spans="1:45">
      <c r="A158" s="320" t="s">
        <v>151</v>
      </c>
      <c r="B158" t="s">
        <v>230</v>
      </c>
      <c r="D158" t="s">
        <v>94</v>
      </c>
      <c r="E158" s="305">
        <v>0</v>
      </c>
      <c r="F158" s="305">
        <v>0</v>
      </c>
      <c r="G158" s="305">
        <v>0</v>
      </c>
      <c r="H158" s="305">
        <v>0</v>
      </c>
      <c r="I158" s="305">
        <v>0</v>
      </c>
      <c r="J158" s="305">
        <v>0</v>
      </c>
      <c r="K158" s="305">
        <v>0</v>
      </c>
      <c r="L158" s="305">
        <v>32927331</v>
      </c>
      <c r="M158" s="305">
        <v>0</v>
      </c>
      <c r="N158" s="305">
        <v>0</v>
      </c>
      <c r="O158" s="305">
        <v>0</v>
      </c>
      <c r="P158" s="305">
        <v>13334207765</v>
      </c>
      <c r="Q158" s="305">
        <f t="shared" ca="1" si="36"/>
        <v>0</v>
      </c>
      <c r="R158" s="305">
        <v>864190686</v>
      </c>
      <c r="S158" s="305">
        <v>3012699780</v>
      </c>
      <c r="T158" s="305">
        <v>1252632187</v>
      </c>
      <c r="U158" s="305">
        <v>677293488</v>
      </c>
      <c r="V158" s="305">
        <v>1681800759</v>
      </c>
      <c r="W158" s="305">
        <v>189264839</v>
      </c>
      <c r="X158" s="305">
        <v>-2830986340</v>
      </c>
      <c r="Y158" s="305">
        <v>204199602</v>
      </c>
      <c r="Z158" s="305">
        <v>-1349170846</v>
      </c>
      <c r="AA158" s="305">
        <v>-516688622</v>
      </c>
      <c r="AB158" s="305">
        <v>-854033077</v>
      </c>
      <c r="AC158" s="305">
        <v>3330158442</v>
      </c>
      <c r="AD158" s="305">
        <f t="shared" ca="1" si="34"/>
        <v>7488616900</v>
      </c>
      <c r="AE158" s="318">
        <f t="shared" ca="1" si="37"/>
        <v>1681800759</v>
      </c>
      <c r="AF158" s="305">
        <v>0</v>
      </c>
      <c r="AG158" s="305">
        <v>0</v>
      </c>
      <c r="AH158" s="305">
        <v>153752926</v>
      </c>
      <c r="AI158" s="305">
        <v>105667873</v>
      </c>
      <c r="AJ158" s="305">
        <v>0</v>
      </c>
      <c r="AK158" s="305">
        <v>0</v>
      </c>
      <c r="AL158" s="305">
        <v>0</v>
      </c>
      <c r="AM158" s="305">
        <v>0</v>
      </c>
      <c r="AN158" s="305">
        <v>0</v>
      </c>
      <c r="AO158" s="305">
        <v>0</v>
      </c>
      <c r="AP158" s="305">
        <v>0</v>
      </c>
      <c r="AQ158" s="305">
        <v>0</v>
      </c>
      <c r="AR158" s="305">
        <f t="shared" ca="1" si="35"/>
        <v>259420799</v>
      </c>
      <c r="AS158">
        <f t="shared" ca="1" si="38"/>
        <v>0</v>
      </c>
    </row>
    <row r="159" spans="1:45">
      <c r="A159" s="320" t="s">
        <v>152</v>
      </c>
      <c r="B159" t="s">
        <v>230</v>
      </c>
      <c r="C159" s="321"/>
      <c r="D159" s="321" t="s">
        <v>109</v>
      </c>
      <c r="E159" s="319">
        <v>-719985770</v>
      </c>
      <c r="F159" s="319">
        <v>-6758932844</v>
      </c>
      <c r="G159" s="319">
        <v>-2743321288</v>
      </c>
      <c r="H159" s="319">
        <v>1668340417</v>
      </c>
      <c r="I159" s="319">
        <v>-5691808171</v>
      </c>
      <c r="J159" s="319">
        <v>-12142648645</v>
      </c>
      <c r="K159" s="319">
        <v>-15194276334</v>
      </c>
      <c r="L159" s="319">
        <v>-10046945859</v>
      </c>
      <c r="M159" s="319">
        <v>8118268598</v>
      </c>
      <c r="N159" s="319">
        <v>-6348711814</v>
      </c>
      <c r="O159" s="319">
        <v>-6052149672</v>
      </c>
      <c r="P159" s="319">
        <v>89574353974</v>
      </c>
      <c r="Q159" s="319">
        <f t="shared" ca="1" si="36"/>
        <v>-14245707656</v>
      </c>
      <c r="R159" s="319">
        <v>2235655725</v>
      </c>
      <c r="S159" s="319">
        <v>14060228686</v>
      </c>
      <c r="T159" s="319">
        <v>5744259883</v>
      </c>
      <c r="U159" s="319">
        <v>3259240884</v>
      </c>
      <c r="V159" s="319">
        <v>9298960129</v>
      </c>
      <c r="W159" s="319">
        <v>685312244</v>
      </c>
      <c r="X159" s="319">
        <v>3243206320</v>
      </c>
      <c r="Y159" s="319">
        <v>2549153182</v>
      </c>
      <c r="Z159" s="319">
        <v>-11188086980</v>
      </c>
      <c r="AA159" s="319">
        <v>-4881782889</v>
      </c>
      <c r="AB159" s="319">
        <v>-7987053976</v>
      </c>
      <c r="AC159" s="319">
        <v>2345610302</v>
      </c>
      <c r="AD159" s="319">
        <f t="shared" ca="1" si="34"/>
        <v>34598345307</v>
      </c>
      <c r="AE159" s="318">
        <f t="shared" ca="1" si="37"/>
        <v>9298960129</v>
      </c>
      <c r="AF159" s="319">
        <v>-3068173394.1944427</v>
      </c>
      <c r="AG159" s="319">
        <v>-7734670181.1715088</v>
      </c>
      <c r="AH159" s="319">
        <v>-7086608076.5916672</v>
      </c>
      <c r="AI159" s="319">
        <v>4796831021.8307533</v>
      </c>
      <c r="AJ159" s="319">
        <v>0</v>
      </c>
      <c r="AK159" s="319">
        <v>0</v>
      </c>
      <c r="AL159" s="319">
        <v>0</v>
      </c>
      <c r="AM159" s="319">
        <v>0</v>
      </c>
      <c r="AN159" s="319">
        <v>0</v>
      </c>
      <c r="AO159" s="319">
        <v>0</v>
      </c>
      <c r="AP159" s="319">
        <v>0</v>
      </c>
      <c r="AQ159" s="319">
        <v>0</v>
      </c>
      <c r="AR159" s="319">
        <f t="shared" ca="1" si="35"/>
        <v>-13092620630.126865</v>
      </c>
      <c r="AS159">
        <f t="shared" ca="1" si="38"/>
        <v>0</v>
      </c>
    </row>
    <row r="160" spans="1:45">
      <c r="A160" s="320" t="s">
        <v>153</v>
      </c>
      <c r="B160" t="s">
        <v>230</v>
      </c>
      <c r="D160" s="327" t="s">
        <v>7</v>
      </c>
      <c r="E160" s="325">
        <v>842504987537</v>
      </c>
      <c r="F160" s="325">
        <v>828028218928</v>
      </c>
      <c r="G160" s="325">
        <v>866642137961.85999</v>
      </c>
      <c r="H160" s="325">
        <v>928663771131.88196</v>
      </c>
      <c r="I160" s="325">
        <v>974972463666</v>
      </c>
      <c r="J160" s="325">
        <v>1000977606992</v>
      </c>
      <c r="K160" s="325">
        <v>945309048746</v>
      </c>
      <c r="L160" s="325">
        <v>891517737502</v>
      </c>
      <c r="M160" s="325">
        <v>936081186419</v>
      </c>
      <c r="N160" s="325">
        <v>958515464055</v>
      </c>
      <c r="O160" s="325">
        <v>1056118226546</v>
      </c>
      <c r="P160" s="325">
        <v>1029421488703.4821</v>
      </c>
      <c r="Q160" s="325">
        <f t="shared" ref="Q160:Q163" ca="1" si="39">IF($AD$26=1,E160,SUM(OFFSET(E160:P160,0,0,1,$AD$26))-SUM(OFFSET(E160:P160,0,0,1,$AD$26-1)))</f>
        <v>974972463666.00049</v>
      </c>
      <c r="R160" s="325">
        <v>954740542131.99988</v>
      </c>
      <c r="S160" s="325">
        <v>877015428635</v>
      </c>
      <c r="T160" s="325">
        <v>926476302308.48206</v>
      </c>
      <c r="U160" s="325">
        <v>989115466358</v>
      </c>
      <c r="V160" s="325">
        <v>1043487029181</v>
      </c>
      <c r="W160" s="325">
        <v>1075513704775.4821</v>
      </c>
      <c r="X160" s="325">
        <v>1073833366704.4821</v>
      </c>
      <c r="Y160" s="325">
        <v>1139765950215.4819</v>
      </c>
      <c r="Z160" s="325">
        <v>1115476774584.4819</v>
      </c>
      <c r="AA160" s="325">
        <v>1056225834095.4821</v>
      </c>
      <c r="AB160" s="325">
        <v>1031767070537.4821</v>
      </c>
      <c r="AC160" s="325">
        <v>1019507851284.4821</v>
      </c>
      <c r="AD160" s="325">
        <f t="shared" ref="AD160:AD163" ca="1" si="40">IF($AD$26=1,R160,SUM(OFFSET(R160:AC160,0,0,1,$AD$26))-SUM(OFFSET(R160:AC160,0,0,1,$AD$26-1)))</f>
        <v>1043487029181.0005</v>
      </c>
      <c r="AE160" s="318">
        <f t="shared" ca="1" si="37"/>
        <v>1043487029181.0005</v>
      </c>
      <c r="AF160" s="325">
        <v>1052772372027.8055</v>
      </c>
      <c r="AG160" s="325">
        <v>1046479024024.0341</v>
      </c>
      <c r="AH160" s="325">
        <v>995275074509.04236</v>
      </c>
      <c r="AI160" s="325">
        <v>955846785966.87305</v>
      </c>
      <c r="AJ160" s="325">
        <v>0</v>
      </c>
      <c r="AK160" s="325">
        <v>0</v>
      </c>
      <c r="AL160" s="325">
        <v>0</v>
      </c>
      <c r="AM160" s="325">
        <v>0</v>
      </c>
      <c r="AN160" s="325">
        <v>0</v>
      </c>
      <c r="AO160" s="325">
        <v>0</v>
      </c>
      <c r="AP160" s="325">
        <v>0</v>
      </c>
      <c r="AQ160" s="325">
        <v>0</v>
      </c>
      <c r="AR160" s="325">
        <f t="shared" ref="AR160:AR180" ca="1" si="41">IF($AR$26=1,AF160,SUM(OFFSET(AF160:AQ160,0,0,1,$AR$26))-SUM(OFFSET(AF160:AQ160,0,0,1,$AR$26-1)))</f>
        <v>0</v>
      </c>
      <c r="AS160">
        <f t="shared" ca="1" si="38"/>
        <v>0</v>
      </c>
    </row>
    <row r="161" spans="1:45">
      <c r="A161" s="320" t="s">
        <v>154</v>
      </c>
      <c r="B161" t="s">
        <v>230</v>
      </c>
      <c r="C161" s="321"/>
      <c r="D161" s="328" t="s">
        <v>9</v>
      </c>
      <c r="E161" s="326">
        <v>46633249760</v>
      </c>
      <c r="F161" s="326">
        <v>35851802774</v>
      </c>
      <c r="G161" s="326">
        <v>26393055917</v>
      </c>
      <c r="H161" s="326">
        <v>34593153167</v>
      </c>
      <c r="I161" s="326">
        <v>33199136312</v>
      </c>
      <c r="J161" s="326">
        <v>19638634542</v>
      </c>
      <c r="K161" s="326">
        <v>56271006190</v>
      </c>
      <c r="L161" s="326">
        <v>35429490170</v>
      </c>
      <c r="M161" s="326">
        <v>48429525475</v>
      </c>
      <c r="N161" s="326">
        <v>78014775934</v>
      </c>
      <c r="O161" s="326">
        <v>81105192016</v>
      </c>
      <c r="P161" s="326">
        <v>78515947311</v>
      </c>
      <c r="Q161" s="326">
        <f t="shared" ca="1" si="39"/>
        <v>33199136312</v>
      </c>
      <c r="R161" s="326">
        <v>108757458297</v>
      </c>
      <c r="S161" s="326">
        <v>63047560922</v>
      </c>
      <c r="T161" s="326">
        <v>57546333332</v>
      </c>
      <c r="U161" s="326">
        <v>72781093895</v>
      </c>
      <c r="V161" s="326">
        <v>53850392378</v>
      </c>
      <c r="W161" s="326">
        <v>47310681042</v>
      </c>
      <c r="X161" s="326">
        <v>46943683940</v>
      </c>
      <c r="Y161" s="326">
        <v>52760383890</v>
      </c>
      <c r="Z161" s="326">
        <v>94749581700</v>
      </c>
      <c r="AA161" s="326">
        <v>86336513720</v>
      </c>
      <c r="AB161" s="326">
        <v>82814145673</v>
      </c>
      <c r="AC161" s="326">
        <v>69226156404</v>
      </c>
      <c r="AD161" s="326">
        <f t="shared" ca="1" si="40"/>
        <v>53850392378</v>
      </c>
      <c r="AE161" s="318">
        <f t="shared" ca="1" si="37"/>
        <v>53850392378</v>
      </c>
      <c r="AF161" s="326">
        <v>160064376330</v>
      </c>
      <c r="AG161" s="326">
        <v>158595220342</v>
      </c>
      <c r="AH161" s="326">
        <v>147256262964</v>
      </c>
      <c r="AI161" s="326">
        <v>165964800039</v>
      </c>
      <c r="AJ161" s="326">
        <v>0</v>
      </c>
      <c r="AK161" s="326">
        <v>0</v>
      </c>
      <c r="AL161" s="326">
        <v>0</v>
      </c>
      <c r="AM161" s="326">
        <v>0</v>
      </c>
      <c r="AN161" s="326">
        <v>0</v>
      </c>
      <c r="AO161" s="326">
        <v>0</v>
      </c>
      <c r="AP161" s="326">
        <v>0</v>
      </c>
      <c r="AQ161" s="326">
        <v>0</v>
      </c>
      <c r="AR161" s="326">
        <f t="shared" ca="1" si="41"/>
        <v>0</v>
      </c>
      <c r="AS161">
        <f t="shared" ca="1" si="38"/>
        <v>0</v>
      </c>
    </row>
    <row r="162" spans="1:45">
      <c r="A162" s="320" t="s">
        <v>155</v>
      </c>
      <c r="B162" t="s">
        <v>230</v>
      </c>
      <c r="C162" s="321"/>
      <c r="D162" s="328" t="s">
        <v>156</v>
      </c>
      <c r="E162" s="326">
        <v>2212000000</v>
      </c>
      <c r="F162" s="326">
        <v>2212000000</v>
      </c>
      <c r="G162" s="326">
        <v>2212000000</v>
      </c>
      <c r="H162" s="326">
        <v>2212000000</v>
      </c>
      <c r="I162" s="326">
        <v>2212000000</v>
      </c>
      <c r="J162" s="326">
        <v>2212000000</v>
      </c>
      <c r="K162" s="326">
        <v>2212000000</v>
      </c>
      <c r="L162" s="326">
        <v>2212000000</v>
      </c>
      <c r="M162" s="326">
        <v>3042000000</v>
      </c>
      <c r="N162" s="326">
        <v>3042000000</v>
      </c>
      <c r="O162" s="326">
        <v>3042000000</v>
      </c>
      <c r="P162" s="326">
        <v>3042000000</v>
      </c>
      <c r="Q162" s="326">
        <f t="shared" ca="1" si="39"/>
        <v>2212000000</v>
      </c>
      <c r="R162" s="326">
        <v>2202000000</v>
      </c>
      <c r="S162" s="326">
        <v>202000000</v>
      </c>
      <c r="T162" s="326">
        <v>23042000000</v>
      </c>
      <c r="U162" s="326">
        <v>23042000000</v>
      </c>
      <c r="V162" s="326">
        <v>23042000000</v>
      </c>
      <c r="W162" s="326">
        <v>23042000000</v>
      </c>
      <c r="X162" s="326">
        <v>23042000000</v>
      </c>
      <c r="Y162" s="326">
        <v>23042000000</v>
      </c>
      <c r="Z162" s="326">
        <v>23042000000</v>
      </c>
      <c r="AA162" s="326">
        <v>33042000000</v>
      </c>
      <c r="AB162" s="326">
        <v>33042000000</v>
      </c>
      <c r="AC162" s="326">
        <v>33042000000</v>
      </c>
      <c r="AD162" s="326">
        <f t="shared" ca="1" si="40"/>
        <v>23042000000</v>
      </c>
      <c r="AE162" s="318">
        <f t="shared" ca="1" si="37"/>
        <v>23042000000</v>
      </c>
      <c r="AF162" s="326">
        <v>38542000000</v>
      </c>
      <c r="AG162" s="326">
        <v>38542000000</v>
      </c>
      <c r="AH162" s="326">
        <v>38542000000</v>
      </c>
      <c r="AI162" s="326">
        <v>41042000000</v>
      </c>
      <c r="AJ162" s="326">
        <v>0</v>
      </c>
      <c r="AK162" s="326">
        <v>0</v>
      </c>
      <c r="AL162" s="326">
        <v>0</v>
      </c>
      <c r="AM162" s="326">
        <v>0</v>
      </c>
      <c r="AN162" s="326">
        <v>0</v>
      </c>
      <c r="AO162" s="326">
        <v>0</v>
      </c>
      <c r="AP162" s="326">
        <v>0</v>
      </c>
      <c r="AQ162" s="326">
        <v>0</v>
      </c>
      <c r="AR162" s="326">
        <f t="shared" ca="1" si="41"/>
        <v>0</v>
      </c>
      <c r="AS162">
        <f t="shared" ca="1" si="38"/>
        <v>0</v>
      </c>
    </row>
    <row r="163" spans="1:45">
      <c r="A163" s="320" t="s">
        <v>157</v>
      </c>
      <c r="B163" t="s">
        <v>230</v>
      </c>
      <c r="C163" s="321"/>
      <c r="D163" s="328" t="s">
        <v>16</v>
      </c>
      <c r="E163" s="326">
        <v>314600353182.14001</v>
      </c>
      <c r="F163" s="326">
        <v>299744418242.14001</v>
      </c>
      <c r="G163" s="326">
        <v>306864870659</v>
      </c>
      <c r="H163" s="326">
        <v>313845226052</v>
      </c>
      <c r="I163" s="326">
        <v>316853076262.74799</v>
      </c>
      <c r="J163" s="326">
        <v>322970049283.74799</v>
      </c>
      <c r="K163" s="326">
        <v>208602463096.51801</v>
      </c>
      <c r="L163" s="326">
        <v>233577911032.51801</v>
      </c>
      <c r="M163" s="326">
        <v>264777889165.51801</v>
      </c>
      <c r="N163" s="326">
        <v>258577563703.51801</v>
      </c>
      <c r="O163" s="326">
        <v>338790031070.51801</v>
      </c>
      <c r="P163" s="326">
        <v>302029222269</v>
      </c>
      <c r="Q163" s="326">
        <f t="shared" ca="1" si="39"/>
        <v>316853076262.74805</v>
      </c>
      <c r="R163" s="326">
        <v>229129645841.51791</v>
      </c>
      <c r="S163" s="326">
        <v>278367400851.51801</v>
      </c>
      <c r="T163" s="326">
        <v>324742662943</v>
      </c>
      <c r="U163" s="326">
        <v>309165504820.51801</v>
      </c>
      <c r="V163" s="326">
        <v>368610863522.51801</v>
      </c>
      <c r="W163" s="326">
        <v>377711444308</v>
      </c>
      <c r="X163" s="326">
        <v>354440979923</v>
      </c>
      <c r="Y163" s="326">
        <v>445076992052</v>
      </c>
      <c r="Z163" s="326">
        <v>374103906007</v>
      </c>
      <c r="AA163" s="326">
        <v>334338695809</v>
      </c>
      <c r="AB163" s="326">
        <v>313357978370</v>
      </c>
      <c r="AC163" s="326">
        <v>323522426646</v>
      </c>
      <c r="AD163" s="326">
        <f t="shared" ca="1" si="40"/>
        <v>368610863522.51807</v>
      </c>
      <c r="AE163" s="318">
        <f t="shared" ca="1" si="37"/>
        <v>368610863522.51807</v>
      </c>
      <c r="AF163" s="326">
        <v>279961205359</v>
      </c>
      <c r="AG163" s="326">
        <v>303216966393.40002</v>
      </c>
      <c r="AH163" s="326">
        <v>343051411345</v>
      </c>
      <c r="AI163" s="326">
        <v>341187593965</v>
      </c>
      <c r="AJ163" s="326">
        <v>0</v>
      </c>
      <c r="AK163" s="326">
        <v>0</v>
      </c>
      <c r="AL163" s="326">
        <v>0</v>
      </c>
      <c r="AM163" s="326">
        <v>0</v>
      </c>
      <c r="AN163" s="326">
        <v>0</v>
      </c>
      <c r="AO163" s="326">
        <v>0</v>
      </c>
      <c r="AP163" s="326">
        <v>0</v>
      </c>
      <c r="AQ163" s="326">
        <v>0</v>
      </c>
      <c r="AR163" s="326">
        <f t="shared" ca="1" si="41"/>
        <v>0</v>
      </c>
      <c r="AS163">
        <f t="shared" ca="1" si="38"/>
        <v>0</v>
      </c>
    </row>
    <row r="164" spans="1:45">
      <c r="A164" s="320" t="s">
        <v>158</v>
      </c>
      <c r="B164" t="s">
        <v>230</v>
      </c>
      <c r="C164" s="321"/>
      <c r="D164" s="328" t="s">
        <v>159</v>
      </c>
      <c r="E164" s="326">
        <v>139866573147</v>
      </c>
      <c r="F164" s="326">
        <v>145639317187</v>
      </c>
      <c r="G164" s="326">
        <v>145029363992</v>
      </c>
      <c r="H164" s="326">
        <v>158990592845</v>
      </c>
      <c r="I164" s="326">
        <v>169879811667</v>
      </c>
      <c r="J164" s="326">
        <v>169929811366</v>
      </c>
      <c r="K164" s="326">
        <v>102331112462</v>
      </c>
      <c r="L164" s="326">
        <v>127587662576</v>
      </c>
      <c r="M164" s="326">
        <v>161236707683</v>
      </c>
      <c r="N164" s="326">
        <v>156193512518</v>
      </c>
      <c r="O164" s="326">
        <v>158918995344</v>
      </c>
      <c r="P164" s="326">
        <v>159389289311</v>
      </c>
      <c r="Q164" s="326">
        <f ca="1">IF($AD$26=1,E164,SUM(OFFSET(E164:P164,0,0,1,$AD$26))-SUM(OFFSET(E164:P164,0,0,1,$AD$26-1)))</f>
        <v>169879811667</v>
      </c>
      <c r="R164" s="326">
        <v>113701901891</v>
      </c>
      <c r="S164" s="326">
        <v>170046486972</v>
      </c>
      <c r="T164" s="326">
        <v>209405535919</v>
      </c>
      <c r="U164" s="326">
        <v>163509162106</v>
      </c>
      <c r="V164" s="326">
        <v>177734732744</v>
      </c>
      <c r="W164" s="326">
        <v>162106367908</v>
      </c>
      <c r="X164" s="326">
        <v>159236236016</v>
      </c>
      <c r="Y164" s="326">
        <v>197594299976</v>
      </c>
      <c r="Z164" s="326">
        <v>164503156733</v>
      </c>
      <c r="AA164" s="326">
        <v>160731498434</v>
      </c>
      <c r="AB164" s="326">
        <v>164239419507</v>
      </c>
      <c r="AC164" s="326">
        <v>158154595872</v>
      </c>
      <c r="AD164" s="326">
        <f ca="1">IF($AD$26=1,R164,SUM(OFFSET(R164:AC164,0,0,1,$AD$26))-SUM(OFFSET(R164:AC164,0,0,1,$AD$26-1)))</f>
        <v>177734732744</v>
      </c>
      <c r="AE164" s="318">
        <f t="shared" ca="1" si="37"/>
        <v>177734732744</v>
      </c>
      <c r="AF164" s="326">
        <v>132729767167</v>
      </c>
      <c r="AG164" s="326">
        <v>140125808596.39999</v>
      </c>
      <c r="AH164" s="326">
        <v>152517322708</v>
      </c>
      <c r="AI164" s="326">
        <v>177359967457</v>
      </c>
      <c r="AJ164" s="326">
        <v>0</v>
      </c>
      <c r="AK164" s="326">
        <v>0</v>
      </c>
      <c r="AL164" s="326">
        <v>0</v>
      </c>
      <c r="AM164" s="326">
        <v>0</v>
      </c>
      <c r="AN164" s="326">
        <v>0</v>
      </c>
      <c r="AO164" s="326">
        <v>0</v>
      </c>
      <c r="AP164" s="326">
        <v>0</v>
      </c>
      <c r="AQ164" s="326">
        <v>0</v>
      </c>
      <c r="AR164" s="326">
        <f t="shared" ca="1" si="41"/>
        <v>0</v>
      </c>
      <c r="AS164">
        <f t="shared" ca="1" si="38"/>
        <v>0</v>
      </c>
    </row>
    <row r="165" spans="1:45">
      <c r="A165" s="320" t="s">
        <v>160</v>
      </c>
      <c r="B165" t="s">
        <v>230</v>
      </c>
      <c r="C165" s="321"/>
      <c r="D165" s="328" t="s">
        <v>20</v>
      </c>
      <c r="E165" s="326">
        <v>430096484178.85999</v>
      </c>
      <c r="F165" s="326">
        <v>437301765372.85999</v>
      </c>
      <c r="G165" s="326">
        <v>477162060831.85999</v>
      </c>
      <c r="H165" s="326">
        <v>517614404978.88202</v>
      </c>
      <c r="I165" s="326">
        <v>557633015691.25195</v>
      </c>
      <c r="J165" s="326">
        <v>613742905725.25195</v>
      </c>
      <c r="K165" s="326">
        <v>630876783389.48206</v>
      </c>
      <c r="L165" s="326">
        <v>571035083187.48206</v>
      </c>
      <c r="M165" s="326">
        <v>562348665912.48206</v>
      </c>
      <c r="N165" s="326">
        <v>558117702257.48206</v>
      </c>
      <c r="O165" s="326">
        <v>599902987900.48206</v>
      </c>
      <c r="P165" s="326">
        <v>614300196665.48206</v>
      </c>
      <c r="Q165" s="326">
        <f t="shared" ref="Q165:Q173" ca="1" si="42">IF($AD$26=1,E165,SUM(OFFSET(E165:P165,0,0,1,$AD$26))-SUM(OFFSET(E165:P165,0,0,1,$AD$26-1)))</f>
        <v>557633015691.25171</v>
      </c>
      <c r="R165" s="326">
        <v>580289170770.48206</v>
      </c>
      <c r="S165" s="326">
        <v>500149972125.48199</v>
      </c>
      <c r="T165" s="326">
        <v>480641555258.48199</v>
      </c>
      <c r="U165" s="326">
        <v>534948091340.48199</v>
      </c>
      <c r="V165" s="326">
        <v>540062379851.48199</v>
      </c>
      <c r="W165" s="326">
        <v>559774086836.48206</v>
      </c>
      <c r="X165" s="326">
        <v>574368996605.48206</v>
      </c>
      <c r="Y165" s="326">
        <v>572758965444.48206</v>
      </c>
      <c r="Z165" s="326">
        <v>576109442562.48206</v>
      </c>
      <c r="AA165" s="326">
        <v>555856951749.48206</v>
      </c>
      <c r="AB165" s="326">
        <v>558085932410.48206</v>
      </c>
      <c r="AC165" s="326">
        <v>570584514136.48206</v>
      </c>
      <c r="AD165" s="326">
        <f t="shared" ref="AD165:AD173" ca="1" si="43">IF($AD$26=1,R165,SUM(OFFSET(R165:AC165,0,0,1,$AD$26))-SUM(OFFSET(R165:AC165,0,0,1,$AD$26-1)))</f>
        <v>540062379851.48218</v>
      </c>
      <c r="AE165" s="318">
        <f t="shared" ca="1" si="37"/>
        <v>540062379851.48218</v>
      </c>
      <c r="AF165" s="326">
        <v>548909898693.80554</v>
      </c>
      <c r="AG165" s="326">
        <v>518463893550.63403</v>
      </c>
      <c r="AH165" s="326">
        <v>438002733516.04236</v>
      </c>
      <c r="AI165" s="326">
        <v>378077083598.87311</v>
      </c>
      <c r="AJ165" s="326">
        <v>0</v>
      </c>
      <c r="AK165" s="326">
        <v>0</v>
      </c>
      <c r="AL165" s="326">
        <v>0</v>
      </c>
      <c r="AM165" s="326">
        <v>0</v>
      </c>
      <c r="AN165" s="326">
        <v>0</v>
      </c>
      <c r="AO165" s="326">
        <v>0</v>
      </c>
      <c r="AP165" s="326">
        <v>0</v>
      </c>
      <c r="AQ165" s="326">
        <v>0</v>
      </c>
      <c r="AR165" s="326">
        <f t="shared" ca="1" si="41"/>
        <v>0</v>
      </c>
      <c r="AS165">
        <f t="shared" ca="1" si="38"/>
        <v>0</v>
      </c>
    </row>
    <row r="166" spans="1:45">
      <c r="A166" s="320" t="s">
        <v>161</v>
      </c>
      <c r="B166" t="s">
        <v>230</v>
      </c>
      <c r="D166" t="s">
        <v>162</v>
      </c>
      <c r="E166" s="305">
        <v>332628379965</v>
      </c>
      <c r="F166" s="305">
        <v>328845304679</v>
      </c>
      <c r="G166" s="305">
        <v>326863184297</v>
      </c>
      <c r="H166" s="305">
        <v>325879802147</v>
      </c>
      <c r="I166" s="305">
        <v>323969385645</v>
      </c>
      <c r="J166" s="305">
        <v>324629341469</v>
      </c>
      <c r="K166" s="305">
        <v>322172715306</v>
      </c>
      <c r="L166" s="305">
        <v>326774643614</v>
      </c>
      <c r="M166" s="305">
        <v>324414095744</v>
      </c>
      <c r="N166" s="305">
        <v>324205243077</v>
      </c>
      <c r="O166" s="305">
        <v>324813983532</v>
      </c>
      <c r="P166" s="305">
        <v>336474874329</v>
      </c>
      <c r="Q166" s="305">
        <f t="shared" ca="1" si="42"/>
        <v>323969385645</v>
      </c>
      <c r="R166" s="305">
        <v>340380140059</v>
      </c>
      <c r="S166" s="305">
        <v>335623957890</v>
      </c>
      <c r="T166" s="305">
        <v>337167352653</v>
      </c>
      <c r="U166" s="305">
        <v>345195829633</v>
      </c>
      <c r="V166" s="305">
        <v>349130154104</v>
      </c>
      <c r="W166" s="305">
        <v>349265800786</v>
      </c>
      <c r="X166" s="305">
        <v>347766774950</v>
      </c>
      <c r="Y166" s="305">
        <v>347596408883</v>
      </c>
      <c r="Z166" s="305">
        <v>354522543809</v>
      </c>
      <c r="AA166" s="305">
        <v>365541010978</v>
      </c>
      <c r="AB166" s="305">
        <v>364826588171</v>
      </c>
      <c r="AC166" s="305">
        <v>370861954520</v>
      </c>
      <c r="AD166" s="305">
        <f t="shared" ca="1" si="43"/>
        <v>349130154104</v>
      </c>
      <c r="AE166" s="318">
        <f t="shared" ca="1" si="37"/>
        <v>349130154104</v>
      </c>
      <c r="AF166" s="305">
        <v>371950740747</v>
      </c>
      <c r="AG166" s="305">
        <v>393184153968</v>
      </c>
      <c r="AH166" s="305">
        <v>400308290666</v>
      </c>
      <c r="AI166" s="305">
        <v>422096241613</v>
      </c>
      <c r="AJ166" s="305">
        <v>0</v>
      </c>
      <c r="AK166" s="305">
        <v>0</v>
      </c>
      <c r="AL166" s="305">
        <v>0</v>
      </c>
      <c r="AM166" s="305">
        <v>0</v>
      </c>
      <c r="AN166" s="305">
        <v>0</v>
      </c>
      <c r="AO166" s="305">
        <v>0</v>
      </c>
      <c r="AP166" s="305">
        <v>0</v>
      </c>
      <c r="AQ166" s="305">
        <v>0</v>
      </c>
      <c r="AR166" s="305">
        <f t="shared" ca="1" si="41"/>
        <v>0</v>
      </c>
      <c r="AS166">
        <f t="shared" ca="1" si="38"/>
        <v>0</v>
      </c>
    </row>
    <row r="167" spans="1:45">
      <c r="A167" s="320" t="s">
        <v>163</v>
      </c>
      <c r="B167" t="s">
        <v>230</v>
      </c>
      <c r="D167" s="328" t="s">
        <v>26</v>
      </c>
      <c r="E167" s="326">
        <v>249655788198</v>
      </c>
      <c r="F167" s="326">
        <v>245716365002</v>
      </c>
      <c r="G167" s="326">
        <v>275559746506</v>
      </c>
      <c r="H167" s="326">
        <v>277827593851</v>
      </c>
      <c r="I167" s="326">
        <v>276054917951</v>
      </c>
      <c r="J167" s="326">
        <v>271729373194</v>
      </c>
      <c r="K167" s="326">
        <v>269325388109</v>
      </c>
      <c r="L167" s="326">
        <v>275400557911</v>
      </c>
      <c r="M167" s="326">
        <v>272127241547</v>
      </c>
      <c r="N167" s="326">
        <v>271857790006</v>
      </c>
      <c r="O167" s="326">
        <v>287235595670</v>
      </c>
      <c r="P167" s="326">
        <v>284367832366</v>
      </c>
      <c r="Q167" s="326">
        <f t="shared" ca="1" si="42"/>
        <v>276054917951</v>
      </c>
      <c r="R167" s="326">
        <v>280850195913</v>
      </c>
      <c r="S167" s="326">
        <v>286751550270</v>
      </c>
      <c r="T167" s="326">
        <v>290751177313</v>
      </c>
      <c r="U167" s="326">
        <v>287962022032</v>
      </c>
      <c r="V167" s="326">
        <v>282781975426</v>
      </c>
      <c r="W167" s="326">
        <v>278127416000</v>
      </c>
      <c r="X167" s="326">
        <v>275654584449</v>
      </c>
      <c r="Y167" s="326">
        <v>293217640642</v>
      </c>
      <c r="Z167" s="326">
        <v>289918627327</v>
      </c>
      <c r="AA167" s="326">
        <v>287386592779</v>
      </c>
      <c r="AB167" s="326">
        <v>291084744995</v>
      </c>
      <c r="AC167" s="326">
        <v>289480570421</v>
      </c>
      <c r="AD167" s="326">
        <f t="shared" ca="1" si="43"/>
        <v>282781975426</v>
      </c>
      <c r="AE167" s="318">
        <f t="shared" ca="1" si="37"/>
        <v>282781975426</v>
      </c>
      <c r="AF167" s="326">
        <v>289420127851</v>
      </c>
      <c r="AG167" s="326">
        <v>290580920269</v>
      </c>
      <c r="AH167" s="326">
        <v>311554672138</v>
      </c>
      <c r="AI167" s="326">
        <v>315947544274</v>
      </c>
      <c r="AJ167" s="326">
        <v>0</v>
      </c>
      <c r="AK167" s="326">
        <v>0</v>
      </c>
      <c r="AL167" s="326">
        <v>0</v>
      </c>
      <c r="AM167" s="326">
        <v>0</v>
      </c>
      <c r="AN167" s="326">
        <v>0</v>
      </c>
      <c r="AO167" s="326">
        <v>0</v>
      </c>
      <c r="AP167" s="326">
        <v>0</v>
      </c>
      <c r="AQ167" s="326">
        <v>0</v>
      </c>
      <c r="AR167" s="326">
        <f t="shared" ca="1" si="41"/>
        <v>0</v>
      </c>
      <c r="AS167">
        <f t="shared" ca="1" si="38"/>
        <v>0</v>
      </c>
    </row>
    <row r="168" spans="1:45">
      <c r="A168" s="320" t="s">
        <v>164</v>
      </c>
      <c r="B168" t="s">
        <v>230</v>
      </c>
      <c r="D168" s="328" t="s">
        <v>30</v>
      </c>
      <c r="E168" s="326">
        <v>323894603976</v>
      </c>
      <c r="F168" s="326">
        <v>323894603976</v>
      </c>
      <c r="G168" s="326">
        <v>357673862181</v>
      </c>
      <c r="H168" s="326">
        <v>363973036518</v>
      </c>
      <c r="I168" s="326">
        <v>366459763714</v>
      </c>
      <c r="J168" s="326">
        <v>366340027047</v>
      </c>
      <c r="K168" s="326">
        <v>368214708999</v>
      </c>
      <c r="L168" s="326">
        <v>378418714979</v>
      </c>
      <c r="M168" s="326">
        <v>379587011275</v>
      </c>
      <c r="N168" s="326">
        <v>383636513596</v>
      </c>
      <c r="O168" s="326">
        <v>387526262395</v>
      </c>
      <c r="P168" s="326">
        <v>389462962792</v>
      </c>
      <c r="Q168" s="326">
        <f t="shared" ca="1" si="42"/>
        <v>366459763714</v>
      </c>
      <c r="R168" s="326">
        <v>390617478961</v>
      </c>
      <c r="S168" s="326">
        <v>401387877611</v>
      </c>
      <c r="T168" s="326">
        <v>410459099700</v>
      </c>
      <c r="U168" s="326">
        <v>412270184751</v>
      </c>
      <c r="V168" s="326">
        <v>412264901791</v>
      </c>
      <c r="W168" s="326">
        <v>412105097175</v>
      </c>
      <c r="X168" s="326">
        <v>414575616147</v>
      </c>
      <c r="Y168" s="326">
        <v>436949904464</v>
      </c>
      <c r="Z168" s="326">
        <v>439201982652</v>
      </c>
      <c r="AA168" s="326">
        <v>442074396256</v>
      </c>
      <c r="AB168" s="326">
        <v>451342024318</v>
      </c>
      <c r="AC168" s="326">
        <v>455335257943</v>
      </c>
      <c r="AD168" s="326">
        <f t="shared" ca="1" si="43"/>
        <v>412264901791</v>
      </c>
      <c r="AE168" s="318">
        <f t="shared" ca="1" si="37"/>
        <v>412264901791</v>
      </c>
      <c r="AF168" s="326">
        <v>457554871883</v>
      </c>
      <c r="AG168" s="326">
        <v>461568363701</v>
      </c>
      <c r="AH168" s="326">
        <v>485408760635</v>
      </c>
      <c r="AI168" s="326">
        <v>492831926452</v>
      </c>
      <c r="AJ168" s="326">
        <v>0</v>
      </c>
      <c r="AK168" s="326">
        <v>0</v>
      </c>
      <c r="AL168" s="326">
        <v>0</v>
      </c>
      <c r="AM168" s="326">
        <v>0</v>
      </c>
      <c r="AN168" s="326">
        <v>0</v>
      </c>
      <c r="AO168" s="326">
        <v>0</v>
      </c>
      <c r="AP168" s="326">
        <v>0</v>
      </c>
      <c r="AQ168" s="326">
        <v>0</v>
      </c>
      <c r="AR168" s="326">
        <f t="shared" ca="1" si="41"/>
        <v>0</v>
      </c>
      <c r="AS168">
        <f t="shared" ca="1" si="38"/>
        <v>0</v>
      </c>
    </row>
    <row r="169" spans="1:45">
      <c r="A169" s="320" t="s">
        <v>165</v>
      </c>
      <c r="B169" t="s">
        <v>230</v>
      </c>
      <c r="D169" s="328" t="s">
        <v>34</v>
      </c>
      <c r="E169" s="326">
        <v>-74238815778</v>
      </c>
      <c r="F169" s="326">
        <v>-78178238974</v>
      </c>
      <c r="G169" s="326">
        <v>-82114115675</v>
      </c>
      <c r="H169" s="326">
        <v>-86145442667</v>
      </c>
      <c r="I169" s="326">
        <v>-90404845763</v>
      </c>
      <c r="J169" s="326">
        <v>-94610653853</v>
      </c>
      <c r="K169" s="326">
        <v>-98889320890</v>
      </c>
      <c r="L169" s="326">
        <v>-103018157068</v>
      </c>
      <c r="M169" s="326">
        <v>-107459769728</v>
      </c>
      <c r="N169" s="326">
        <v>-111778723590</v>
      </c>
      <c r="O169" s="326">
        <v>-100290666725</v>
      </c>
      <c r="P169" s="326">
        <v>-105095130426</v>
      </c>
      <c r="Q169" s="326">
        <f t="shared" ca="1" si="42"/>
        <v>-90404845763</v>
      </c>
      <c r="R169" s="326">
        <v>-109767283048</v>
      </c>
      <c r="S169" s="326">
        <v>-114636327341</v>
      </c>
      <c r="T169" s="326">
        <v>-119707922387</v>
      </c>
      <c r="U169" s="326">
        <v>-124308162719</v>
      </c>
      <c r="V169" s="326">
        <v>-129482926365</v>
      </c>
      <c r="W169" s="326">
        <v>-133977681175</v>
      </c>
      <c r="X169" s="326">
        <v>-138921031698</v>
      </c>
      <c r="Y169" s="326">
        <v>-143732263822</v>
      </c>
      <c r="Z169" s="326">
        <v>-149283355325</v>
      </c>
      <c r="AA169" s="326">
        <v>-154687803477</v>
      </c>
      <c r="AB169" s="326">
        <v>-160257279323</v>
      </c>
      <c r="AC169" s="326">
        <v>-165854687522</v>
      </c>
      <c r="AD169" s="326">
        <f t="shared" ca="1" si="43"/>
        <v>-129482926365</v>
      </c>
      <c r="AE169" s="318">
        <f t="shared" ca="1" si="37"/>
        <v>-129482926365</v>
      </c>
      <c r="AF169" s="326">
        <v>-168134744032</v>
      </c>
      <c r="AG169" s="326">
        <v>-170987443432</v>
      </c>
      <c r="AH169" s="326">
        <v>-173854088497</v>
      </c>
      <c r="AI169" s="326">
        <v>-176884382178</v>
      </c>
      <c r="AJ169" s="326">
        <v>0</v>
      </c>
      <c r="AK169" s="326">
        <v>0</v>
      </c>
      <c r="AL169" s="326">
        <v>0</v>
      </c>
      <c r="AM169" s="326">
        <v>0</v>
      </c>
      <c r="AN169" s="326">
        <v>0</v>
      </c>
      <c r="AO169" s="326">
        <v>0</v>
      </c>
      <c r="AP169" s="326">
        <v>0</v>
      </c>
      <c r="AQ169" s="326">
        <v>0</v>
      </c>
      <c r="AR169" s="326">
        <f t="shared" ca="1" si="41"/>
        <v>0</v>
      </c>
      <c r="AS169">
        <f t="shared" ca="1" si="38"/>
        <v>0</v>
      </c>
    </row>
    <row r="170" spans="1:45">
      <c r="A170" s="320" t="s">
        <v>166</v>
      </c>
      <c r="B170" t="s">
        <v>230</v>
      </c>
      <c r="D170" s="320" t="s">
        <v>37</v>
      </c>
      <c r="E170" s="323">
        <v>1175133367502</v>
      </c>
      <c r="F170" s="323">
        <v>1156873523607</v>
      </c>
      <c r="G170" s="323">
        <v>1193505322258.8601</v>
      </c>
      <c r="H170" s="323">
        <v>1254543573278.8821</v>
      </c>
      <c r="I170" s="323">
        <v>1298941849311</v>
      </c>
      <c r="J170" s="323">
        <v>1325606948461</v>
      </c>
      <c r="K170" s="323">
        <v>1267481764052</v>
      </c>
      <c r="L170" s="323">
        <v>1218292381116</v>
      </c>
      <c r="M170" s="323">
        <v>1260495282163</v>
      </c>
      <c r="N170" s="323">
        <v>1282720707132</v>
      </c>
      <c r="O170" s="323">
        <v>1380932210078</v>
      </c>
      <c r="P170" s="323">
        <v>1365896363032.4819</v>
      </c>
      <c r="Q170" s="323">
        <f t="shared" ca="1" si="42"/>
        <v>1298941849311</v>
      </c>
      <c r="R170" s="323">
        <v>1295120682191</v>
      </c>
      <c r="S170" s="323">
        <v>1212639386525</v>
      </c>
      <c r="T170" s="323">
        <v>1263643654961.4819</v>
      </c>
      <c r="U170" s="323">
        <v>1334311295991</v>
      </c>
      <c r="V170" s="323">
        <v>1392617183285</v>
      </c>
      <c r="W170" s="323">
        <v>1424779505561.4819</v>
      </c>
      <c r="X170" s="323">
        <v>1421600141654.4819</v>
      </c>
      <c r="Y170" s="323">
        <v>1487362359098.4819</v>
      </c>
      <c r="Z170" s="323">
        <v>1469999318393.4819</v>
      </c>
      <c r="AA170" s="323">
        <v>1421766845073.4819</v>
      </c>
      <c r="AB170" s="323">
        <v>1396593658708.4819</v>
      </c>
      <c r="AC170" s="323">
        <v>1390369805804.4819</v>
      </c>
      <c r="AD170" s="305">
        <f t="shared" ca="1" si="43"/>
        <v>1392617183285</v>
      </c>
      <c r="AE170" s="318">
        <f t="shared" ca="1" si="37"/>
        <v>1392617183285</v>
      </c>
      <c r="AF170" s="323">
        <v>1424723112774.8057</v>
      </c>
      <c r="AG170" s="323">
        <v>1439663177992.0342</v>
      </c>
      <c r="AH170" s="323">
        <v>1395583365175.0425</v>
      </c>
      <c r="AI170" s="323">
        <v>1377943027579.873</v>
      </c>
      <c r="AJ170" s="323">
        <v>0</v>
      </c>
      <c r="AK170" s="323">
        <v>0</v>
      </c>
      <c r="AL170" s="323">
        <v>0</v>
      </c>
      <c r="AM170" s="323">
        <v>0</v>
      </c>
      <c r="AN170" s="323">
        <v>0</v>
      </c>
      <c r="AO170" s="323">
        <v>0</v>
      </c>
      <c r="AP170" s="323">
        <v>0</v>
      </c>
      <c r="AQ170" s="323">
        <v>0</v>
      </c>
      <c r="AR170" s="305">
        <f t="shared" ca="1" si="41"/>
        <v>0</v>
      </c>
      <c r="AS170">
        <f t="shared" ca="1" si="38"/>
        <v>0</v>
      </c>
    </row>
    <row r="171" spans="1:45">
      <c r="A171" s="320" t="s">
        <v>167</v>
      </c>
      <c r="B171" t="s">
        <v>230</v>
      </c>
      <c r="D171" t="s">
        <v>42</v>
      </c>
      <c r="E171" s="305">
        <v>208892476524</v>
      </c>
      <c r="F171" s="305">
        <v>197465004481</v>
      </c>
      <c r="G171" s="305">
        <v>236899124420.85999</v>
      </c>
      <c r="H171" s="305">
        <v>296564228415.88202</v>
      </c>
      <c r="I171" s="305">
        <v>348607602622</v>
      </c>
      <c r="J171" s="305">
        <v>386086182417</v>
      </c>
      <c r="K171" s="305">
        <v>343042467734</v>
      </c>
      <c r="L171" s="305">
        <v>304556465657</v>
      </c>
      <c r="M171" s="305">
        <v>338046723106</v>
      </c>
      <c r="N171" s="305">
        <v>366397053281</v>
      </c>
      <c r="O171" s="305">
        <v>424034765899</v>
      </c>
      <c r="P171" s="305">
        <v>338131748251.48199</v>
      </c>
      <c r="Q171" s="305">
        <f t="shared" ca="1" si="42"/>
        <v>348607602622</v>
      </c>
      <c r="R171" s="305">
        <v>241480214161</v>
      </c>
      <c r="S171" s="305">
        <v>149186527587</v>
      </c>
      <c r="T171" s="305">
        <v>195283313918.48199</v>
      </c>
      <c r="U171" s="305">
        <v>263764715884</v>
      </c>
      <c r="V171" s="305">
        <v>317019921827</v>
      </c>
      <c r="W171" s="305">
        <v>369379868907.48199</v>
      </c>
      <c r="X171" s="305">
        <v>364029487200.48212</v>
      </c>
      <c r="Y171" s="305">
        <v>428827861240.48212</v>
      </c>
      <c r="Z171" s="305">
        <v>423489685293.48199</v>
      </c>
      <c r="AA171" s="305">
        <v>385192593588.48199</v>
      </c>
      <c r="AB171" s="305">
        <v>366448222199.48199</v>
      </c>
      <c r="AC171" s="305">
        <v>371627106506.48199</v>
      </c>
      <c r="AD171" s="305">
        <f t="shared" ca="1" si="43"/>
        <v>317019921827</v>
      </c>
      <c r="AE171" s="318">
        <f t="shared" ca="1" si="37"/>
        <v>317019921827</v>
      </c>
      <c r="AF171" s="305">
        <v>315958770885</v>
      </c>
      <c r="AG171" s="305">
        <v>316706006283.40002</v>
      </c>
      <c r="AH171" s="305">
        <v>271012801543</v>
      </c>
      <c r="AI171" s="305">
        <v>248575632926</v>
      </c>
      <c r="AJ171" s="305">
        <v>0</v>
      </c>
      <c r="AK171" s="305">
        <v>0</v>
      </c>
      <c r="AL171" s="305">
        <v>0</v>
      </c>
      <c r="AM171" s="305">
        <v>0</v>
      </c>
      <c r="AN171" s="305">
        <v>0</v>
      </c>
      <c r="AO171" s="305">
        <v>0</v>
      </c>
      <c r="AP171" s="305">
        <v>0</v>
      </c>
      <c r="AQ171" s="305">
        <v>0</v>
      </c>
      <c r="AR171" s="305">
        <f t="shared" ca="1" si="41"/>
        <v>0</v>
      </c>
      <c r="AS171">
        <f t="shared" ca="1" si="38"/>
        <v>0</v>
      </c>
    </row>
    <row r="172" spans="1:45">
      <c r="A172" s="320" t="s">
        <v>168</v>
      </c>
      <c r="B172" t="s">
        <v>230</v>
      </c>
      <c r="D172" s="328" t="s">
        <v>45</v>
      </c>
      <c r="E172" s="326">
        <v>62822745245</v>
      </c>
      <c r="F172" s="326">
        <v>57847834995</v>
      </c>
      <c r="G172" s="326">
        <v>101832582537</v>
      </c>
      <c r="H172" s="326">
        <v>144977288403</v>
      </c>
      <c r="I172" s="326">
        <v>178905916168</v>
      </c>
      <c r="J172" s="326">
        <v>190748518955</v>
      </c>
      <c r="K172" s="326">
        <v>168894814805</v>
      </c>
      <c r="L172" s="326">
        <v>126048766562</v>
      </c>
      <c r="M172" s="326">
        <v>139654417984</v>
      </c>
      <c r="N172" s="326">
        <v>155306260478</v>
      </c>
      <c r="O172" s="326">
        <v>165536679982</v>
      </c>
      <c r="P172" s="326">
        <v>192629821718</v>
      </c>
      <c r="Q172" s="326">
        <f t="shared" ca="1" si="42"/>
        <v>178905916168</v>
      </c>
      <c r="R172" s="326">
        <v>134925554251</v>
      </c>
      <c r="S172" s="326">
        <v>43611829278</v>
      </c>
      <c r="T172" s="326">
        <v>98003020481</v>
      </c>
      <c r="U172" s="326">
        <v>172928907420</v>
      </c>
      <c r="V172" s="326">
        <v>200666324688</v>
      </c>
      <c r="W172" s="326">
        <v>238388679271</v>
      </c>
      <c r="X172" s="326">
        <v>250573370780</v>
      </c>
      <c r="Y172" s="326">
        <v>294832243750</v>
      </c>
      <c r="Z172" s="326">
        <v>309616499760</v>
      </c>
      <c r="AA172" s="326">
        <v>263334816592</v>
      </c>
      <c r="AB172" s="326">
        <v>254700704679</v>
      </c>
      <c r="AC172" s="326">
        <v>262225979238</v>
      </c>
      <c r="AD172" s="326">
        <f t="shared" ca="1" si="43"/>
        <v>200666324688</v>
      </c>
      <c r="AE172" s="318">
        <f t="shared" ca="1" si="37"/>
        <v>200666324688</v>
      </c>
      <c r="AF172" s="326">
        <v>216818798145</v>
      </c>
      <c r="AG172" s="326">
        <v>231846507077</v>
      </c>
      <c r="AH172" s="326">
        <v>179737111410</v>
      </c>
      <c r="AI172" s="326">
        <v>147514569550</v>
      </c>
      <c r="AJ172" s="326">
        <v>0</v>
      </c>
      <c r="AK172" s="326">
        <v>0</v>
      </c>
      <c r="AL172" s="326">
        <v>0</v>
      </c>
      <c r="AM172" s="326">
        <v>0</v>
      </c>
      <c r="AN172" s="326">
        <v>0</v>
      </c>
      <c r="AO172" s="326">
        <v>0</v>
      </c>
      <c r="AP172" s="326">
        <v>0</v>
      </c>
      <c r="AQ172" s="326">
        <v>0</v>
      </c>
      <c r="AR172" s="326">
        <f t="shared" ca="1" si="41"/>
        <v>0</v>
      </c>
      <c r="AS172">
        <f t="shared" ca="1" si="38"/>
        <v>0</v>
      </c>
    </row>
    <row r="173" spans="1:45">
      <c r="A173" s="320" t="s">
        <v>169</v>
      </c>
      <c r="B173" t="s">
        <v>230</v>
      </c>
      <c r="D173" s="328" t="s">
        <v>47</v>
      </c>
      <c r="E173" s="326">
        <v>86981312996</v>
      </c>
      <c r="F173" s="326">
        <v>85403340041</v>
      </c>
      <c r="G173" s="326">
        <v>89306582216</v>
      </c>
      <c r="H173" s="326">
        <v>96362225624</v>
      </c>
      <c r="I173" s="326">
        <v>111938164262</v>
      </c>
      <c r="J173" s="326">
        <v>165230989816</v>
      </c>
      <c r="K173" s="326">
        <v>136214281376</v>
      </c>
      <c r="L173" s="326">
        <v>132520522755</v>
      </c>
      <c r="M173" s="326">
        <v>154631237030</v>
      </c>
      <c r="N173" s="326">
        <v>165490088235</v>
      </c>
      <c r="O173" s="326">
        <v>201681523119</v>
      </c>
      <c r="P173" s="326">
        <v>92760759003</v>
      </c>
      <c r="Q173" s="326">
        <f t="shared" ca="1" si="42"/>
        <v>111938164262</v>
      </c>
      <c r="R173" s="326">
        <v>68928087283</v>
      </c>
      <c r="S173" s="326">
        <v>56209315849</v>
      </c>
      <c r="T173" s="326">
        <v>70340643042</v>
      </c>
      <c r="U173" s="326">
        <v>60163765757</v>
      </c>
      <c r="V173" s="326">
        <v>56512166666</v>
      </c>
      <c r="W173" s="326">
        <v>86361589635</v>
      </c>
      <c r="X173" s="326">
        <v>58305499141</v>
      </c>
      <c r="Y173" s="326">
        <v>69730649073</v>
      </c>
      <c r="Z173" s="326">
        <v>67257393172</v>
      </c>
      <c r="AA173" s="326">
        <v>70963544330</v>
      </c>
      <c r="AB173" s="326">
        <v>56439709109</v>
      </c>
      <c r="AC173" s="326">
        <v>59215695719</v>
      </c>
      <c r="AD173" s="326">
        <f t="shared" ca="1" si="43"/>
        <v>56512166666</v>
      </c>
      <c r="AE173" s="318">
        <f t="shared" ca="1" si="37"/>
        <v>56512166666</v>
      </c>
      <c r="AF173" s="326">
        <v>46199461487</v>
      </c>
      <c r="AG173" s="326">
        <v>40063805792.400002</v>
      </c>
      <c r="AH173" s="326">
        <v>50375295994</v>
      </c>
      <c r="AI173" s="326">
        <v>54380470587</v>
      </c>
      <c r="AJ173" s="326">
        <v>0</v>
      </c>
      <c r="AK173" s="326">
        <v>0</v>
      </c>
      <c r="AL173" s="326">
        <v>0</v>
      </c>
      <c r="AM173" s="326">
        <v>0</v>
      </c>
      <c r="AN173" s="326">
        <v>0</v>
      </c>
      <c r="AO173" s="326">
        <v>0</v>
      </c>
      <c r="AP173" s="326">
        <v>0</v>
      </c>
      <c r="AQ173" s="326">
        <v>0</v>
      </c>
      <c r="AR173" s="326">
        <f t="shared" ca="1" si="41"/>
        <v>0</v>
      </c>
      <c r="AS173">
        <f t="shared" ca="1" si="38"/>
        <v>0</v>
      </c>
    </row>
    <row r="174" spans="1:45">
      <c r="A174" s="320" t="s">
        <v>170</v>
      </c>
      <c r="B174" t="s">
        <v>230</v>
      </c>
      <c r="D174" s="328" t="s">
        <v>171</v>
      </c>
      <c r="E174" s="326">
        <v>82949409956</v>
      </c>
      <c r="F174" s="326">
        <v>85403340041</v>
      </c>
      <c r="G174" s="326">
        <v>89847500656</v>
      </c>
      <c r="H174" s="326">
        <v>92084070378</v>
      </c>
      <c r="I174" s="326">
        <v>97185029412</v>
      </c>
      <c r="J174" s="326">
        <v>129200888383</v>
      </c>
      <c r="K174" s="326">
        <v>101456785709</v>
      </c>
      <c r="L174" s="326">
        <v>115528799746</v>
      </c>
      <c r="M174" s="326">
        <v>154591767517</v>
      </c>
      <c r="N174" s="326">
        <v>155116256899</v>
      </c>
      <c r="O174" s="326">
        <v>163705606191</v>
      </c>
      <c r="P174" s="326">
        <v>51214283090</v>
      </c>
      <c r="Q174" s="326">
        <f ca="1">IF($AD$26=1,E174,SUM(OFFSET(E174:P174,0,0,1,$AD$26))-SUM(OFFSET(E174:P174,0,0,1,$AD$26-1)))</f>
        <v>97185029412</v>
      </c>
      <c r="R174" s="326">
        <v>31540067237</v>
      </c>
      <c r="S174" s="326">
        <v>31335788440</v>
      </c>
      <c r="T174" s="326">
        <v>50987333343</v>
      </c>
      <c r="U174" s="326">
        <v>52255043007</v>
      </c>
      <c r="V174" s="326">
        <v>53884801313</v>
      </c>
      <c r="W174" s="326">
        <v>68071757035</v>
      </c>
      <c r="X174" s="326">
        <v>25729330082</v>
      </c>
      <c r="Y174" s="326">
        <v>34075061573</v>
      </c>
      <c r="Z174" s="326">
        <v>40338356505</v>
      </c>
      <c r="AA174" s="326">
        <v>51367985440</v>
      </c>
      <c r="AB174" s="326">
        <v>42761191239</v>
      </c>
      <c r="AC174" s="326">
        <v>32084909369</v>
      </c>
      <c r="AD174" s="326">
        <f ca="1">IF($AD$26=1,R174,SUM(OFFSET(R174:AC174,0,0,1,$AD$26))-SUM(OFFSET(R174:AC174,0,0,1,$AD$26-1)))</f>
        <v>53884801313</v>
      </c>
      <c r="AE174" s="318">
        <f t="shared" ca="1" si="37"/>
        <v>53884801313</v>
      </c>
      <c r="AF174" s="326">
        <v>34204260957</v>
      </c>
      <c r="AG174" s="326">
        <v>33850667391.400002</v>
      </c>
      <c r="AH174" s="326">
        <v>44076786444</v>
      </c>
      <c r="AI174" s="326">
        <v>44354699133</v>
      </c>
      <c r="AJ174" s="326">
        <v>0</v>
      </c>
      <c r="AK174" s="326">
        <v>0</v>
      </c>
      <c r="AL174" s="326">
        <v>0</v>
      </c>
      <c r="AM174" s="326">
        <v>0</v>
      </c>
      <c r="AN174" s="326">
        <v>0</v>
      </c>
      <c r="AO174" s="326">
        <v>0</v>
      </c>
      <c r="AP174" s="326">
        <v>0</v>
      </c>
      <c r="AQ174" s="326">
        <v>0</v>
      </c>
      <c r="AR174" s="326">
        <f t="shared" ca="1" si="41"/>
        <v>0</v>
      </c>
      <c r="AS174">
        <f t="shared" ca="1" si="38"/>
        <v>0</v>
      </c>
    </row>
    <row r="175" spans="1:45">
      <c r="A175" s="320" t="s">
        <v>172</v>
      </c>
      <c r="B175" t="s">
        <v>230</v>
      </c>
      <c r="D175" t="s">
        <v>50</v>
      </c>
      <c r="E175" s="305">
        <v>110386411070</v>
      </c>
      <c r="F175" s="305">
        <v>110292351070</v>
      </c>
      <c r="G175" s="305">
        <v>110233351070</v>
      </c>
      <c r="H175" s="305">
        <v>109938157678</v>
      </c>
      <c r="I175" s="305">
        <v>107984867678</v>
      </c>
      <c r="J175" s="305">
        <v>109314035678</v>
      </c>
      <c r="K175" s="305">
        <v>109426842286</v>
      </c>
      <c r="L175" s="305">
        <v>108769782286</v>
      </c>
      <c r="M175" s="305">
        <v>109364782286</v>
      </c>
      <c r="N175" s="305">
        <v>109588588894</v>
      </c>
      <c r="O175" s="305">
        <v>136214528894</v>
      </c>
      <c r="P175" s="305">
        <v>117507345522</v>
      </c>
      <c r="Q175" s="305">
        <f t="shared" ref="Q175:Q180" ca="1" si="44">IF($AD$26=1,E175,SUM(OFFSET(E175:P175,0,0,1,$AD$26))-SUM(OFFSET(E175:P175,0,0,1,$AD$26-1)))</f>
        <v>107984867678</v>
      </c>
      <c r="R175" s="305">
        <v>141180341946</v>
      </c>
      <c r="S175" s="305">
        <v>136932504168</v>
      </c>
      <c r="T175" s="305">
        <v>136095726390</v>
      </c>
      <c r="U175" s="305">
        <v>135022755220</v>
      </c>
      <c r="V175" s="305">
        <v>130774917442</v>
      </c>
      <c r="W175" s="305">
        <v>109891791394</v>
      </c>
      <c r="X175" s="305">
        <v>108818820224</v>
      </c>
      <c r="Y175" s="305">
        <v>107233510446</v>
      </c>
      <c r="Z175" s="305">
        <v>106396732668</v>
      </c>
      <c r="AA175" s="305">
        <v>101343133942</v>
      </c>
      <c r="AB175" s="305">
        <v>102401372942</v>
      </c>
      <c r="AC175" s="305">
        <v>83152254354</v>
      </c>
      <c r="AD175" s="305">
        <f t="shared" ref="AD175:AD180" ca="1" si="45">IF($AD$26=1,R175,SUM(OFFSET(R175:AC175,0,0,1,$AD$26))-SUM(OFFSET(R175:AC175,0,0,1,$AD$26-1)))</f>
        <v>130774917442</v>
      </c>
      <c r="AE175" s="318">
        <f t="shared" ca="1" si="37"/>
        <v>130774917442</v>
      </c>
      <c r="AF175" s="305">
        <v>82242841415</v>
      </c>
      <c r="AG175" s="305">
        <v>104170341415</v>
      </c>
      <c r="AH175" s="305">
        <v>112870341415</v>
      </c>
      <c r="AI175" s="305">
        <v>112870341415</v>
      </c>
      <c r="AJ175" s="305">
        <v>0</v>
      </c>
      <c r="AK175" s="305">
        <v>0</v>
      </c>
      <c r="AL175" s="305">
        <v>0</v>
      </c>
      <c r="AM175" s="305">
        <v>0</v>
      </c>
      <c r="AN175" s="305">
        <v>0</v>
      </c>
      <c r="AO175" s="305">
        <v>0</v>
      </c>
      <c r="AP175" s="305">
        <v>0</v>
      </c>
      <c r="AQ175" s="305">
        <v>0</v>
      </c>
      <c r="AR175" s="305">
        <f t="shared" ca="1" si="41"/>
        <v>0</v>
      </c>
      <c r="AS175">
        <f t="shared" ca="1" si="38"/>
        <v>0</v>
      </c>
    </row>
    <row r="176" spans="1:45">
      <c r="A176" s="320" t="s">
        <v>173</v>
      </c>
      <c r="B176" t="s">
        <v>230</v>
      </c>
      <c r="D176" s="328" t="s">
        <v>53</v>
      </c>
      <c r="E176" s="305">
        <v>110386411070</v>
      </c>
      <c r="F176" s="305">
        <v>110292351070</v>
      </c>
      <c r="G176" s="305">
        <v>110233351070</v>
      </c>
      <c r="H176" s="305">
        <v>109938157678</v>
      </c>
      <c r="I176" s="305">
        <v>107984867678</v>
      </c>
      <c r="J176" s="305">
        <v>109314035678</v>
      </c>
      <c r="K176" s="305">
        <v>109426842286</v>
      </c>
      <c r="L176" s="305">
        <v>108769782286</v>
      </c>
      <c r="M176" s="305">
        <v>109364782286</v>
      </c>
      <c r="N176" s="305">
        <v>109588588894</v>
      </c>
      <c r="O176" s="305">
        <v>136214528894</v>
      </c>
      <c r="P176" s="305">
        <v>115668404212</v>
      </c>
      <c r="Q176" s="305">
        <f t="shared" ca="1" si="44"/>
        <v>107984867678</v>
      </c>
      <c r="R176" s="305">
        <v>141180341946</v>
      </c>
      <c r="S176" s="305">
        <v>136932504168</v>
      </c>
      <c r="T176" s="305">
        <v>136095726390</v>
      </c>
      <c r="U176" s="305">
        <v>135022755220</v>
      </c>
      <c r="V176" s="305">
        <v>130774917442</v>
      </c>
      <c r="W176" s="305">
        <v>109891791394</v>
      </c>
      <c r="X176" s="305">
        <v>108818820224</v>
      </c>
      <c r="Y176" s="305">
        <v>107233510446</v>
      </c>
      <c r="Z176" s="305">
        <v>106396732668</v>
      </c>
      <c r="AA176" s="305">
        <v>101343133942</v>
      </c>
      <c r="AB176" s="305">
        <v>102401372942</v>
      </c>
      <c r="AC176" s="305">
        <v>83152254354</v>
      </c>
      <c r="AD176" s="305">
        <f t="shared" ca="1" si="45"/>
        <v>130774917442</v>
      </c>
      <c r="AE176" s="318">
        <f t="shared" ca="1" si="37"/>
        <v>130774917442</v>
      </c>
      <c r="AF176" s="305">
        <v>82242841415</v>
      </c>
      <c r="AG176" s="305">
        <v>104170341415</v>
      </c>
      <c r="AH176" s="305">
        <v>112870341415</v>
      </c>
      <c r="AI176" s="305">
        <v>112870341415</v>
      </c>
      <c r="AJ176" s="305">
        <v>0</v>
      </c>
      <c r="AK176" s="305">
        <v>0</v>
      </c>
      <c r="AL176" s="305">
        <v>0</v>
      </c>
      <c r="AM176" s="305">
        <v>0</v>
      </c>
      <c r="AN176" s="305">
        <v>0</v>
      </c>
      <c r="AO176" s="305">
        <v>0</v>
      </c>
      <c r="AP176" s="305">
        <v>0</v>
      </c>
      <c r="AQ176" s="305">
        <v>0</v>
      </c>
      <c r="AR176" s="305">
        <f t="shared" ca="1" si="41"/>
        <v>0</v>
      </c>
      <c r="AS176">
        <f t="shared" ca="1" si="38"/>
        <v>0</v>
      </c>
    </row>
    <row r="177" spans="1:45">
      <c r="A177" s="320" t="s">
        <v>174</v>
      </c>
      <c r="B177" t="s">
        <v>230</v>
      </c>
      <c r="D177" t="s">
        <v>56</v>
      </c>
      <c r="E177" s="305">
        <v>855854479908</v>
      </c>
      <c r="F177" s="305">
        <v>849116168056</v>
      </c>
      <c r="G177" s="305">
        <v>846372846768</v>
      </c>
      <c r="H177" s="305">
        <v>848041187185</v>
      </c>
      <c r="I177" s="305">
        <v>842349379011</v>
      </c>
      <c r="J177" s="305">
        <v>830206730366</v>
      </c>
      <c r="K177" s="305">
        <v>815012454032</v>
      </c>
      <c r="L177" s="305">
        <v>804966133173</v>
      </c>
      <c r="M177" s="305">
        <v>813083776771</v>
      </c>
      <c r="N177" s="305">
        <v>806735064957</v>
      </c>
      <c r="O177" s="305">
        <v>820682915285</v>
      </c>
      <c r="P177" s="305">
        <v>910257269259</v>
      </c>
      <c r="Q177" s="305">
        <f t="shared" ca="1" si="44"/>
        <v>842349379011</v>
      </c>
      <c r="R177" s="305">
        <v>912460126084</v>
      </c>
      <c r="S177" s="305">
        <v>926520354770</v>
      </c>
      <c r="T177" s="305">
        <v>932264614653</v>
      </c>
      <c r="U177" s="305">
        <v>935523824887</v>
      </c>
      <c r="V177" s="305">
        <v>944822344016</v>
      </c>
      <c r="W177" s="305">
        <v>945507845260</v>
      </c>
      <c r="X177" s="305">
        <v>948751834230</v>
      </c>
      <c r="Y177" s="305">
        <v>951300987412</v>
      </c>
      <c r="Z177" s="305">
        <v>940112900432</v>
      </c>
      <c r="AA177" s="305">
        <v>935231117543</v>
      </c>
      <c r="AB177" s="305">
        <v>927744063567</v>
      </c>
      <c r="AC177" s="305">
        <v>935590444648</v>
      </c>
      <c r="AD177" s="305">
        <f t="shared" ca="1" si="45"/>
        <v>944822344016</v>
      </c>
      <c r="AE177" s="318">
        <f t="shared" ca="1" si="37"/>
        <v>944822344016</v>
      </c>
      <c r="AF177" s="305">
        <v>1026521500474.8055</v>
      </c>
      <c r="AG177" s="305">
        <v>1018786830293.634</v>
      </c>
      <c r="AH177" s="305">
        <v>1011700222217.0424</v>
      </c>
      <c r="AI177" s="305">
        <v>1016497053238.873</v>
      </c>
      <c r="AJ177" s="305">
        <v>0</v>
      </c>
      <c r="AK177" s="305">
        <v>0</v>
      </c>
      <c r="AL177" s="305">
        <v>0</v>
      </c>
      <c r="AM177" s="305">
        <v>0</v>
      </c>
      <c r="AN177" s="305">
        <v>0</v>
      </c>
      <c r="AO177" s="305">
        <v>0</v>
      </c>
      <c r="AP177" s="305">
        <v>0</v>
      </c>
      <c r="AQ177" s="305">
        <v>0</v>
      </c>
      <c r="AR177" s="305">
        <f t="shared" ca="1" si="41"/>
        <v>0</v>
      </c>
      <c r="AS177">
        <f t="shared" ca="1" si="38"/>
        <v>0</v>
      </c>
    </row>
    <row r="178" spans="1:45">
      <c r="A178" s="320" t="s">
        <v>175</v>
      </c>
      <c r="B178" t="s">
        <v>230</v>
      </c>
      <c r="D178" t="s">
        <v>176</v>
      </c>
      <c r="E178" s="305">
        <v>752000000000</v>
      </c>
      <c r="F178" s="305">
        <v>752000000000</v>
      </c>
      <c r="G178" s="305">
        <v>752000000000</v>
      </c>
      <c r="H178" s="305">
        <v>752000000000</v>
      </c>
      <c r="I178" s="305">
        <v>752000000000</v>
      </c>
      <c r="J178" s="305">
        <v>752000000000</v>
      </c>
      <c r="K178" s="305">
        <v>752000000000</v>
      </c>
      <c r="L178" s="305">
        <v>752000000000</v>
      </c>
      <c r="M178" s="305">
        <v>752000000000</v>
      </c>
      <c r="N178" s="305">
        <v>752000000000</v>
      </c>
      <c r="O178" s="305">
        <v>772000000000</v>
      </c>
      <c r="P178" s="305">
        <v>772000000000</v>
      </c>
      <c r="Q178" s="305">
        <f t="shared" ca="1" si="44"/>
        <v>752000000000</v>
      </c>
      <c r="R178" s="305">
        <v>772000000000</v>
      </c>
      <c r="S178" s="305">
        <v>772000000000</v>
      </c>
      <c r="T178" s="305">
        <v>772000000000</v>
      </c>
      <c r="U178" s="305">
        <v>772000000000</v>
      </c>
      <c r="V178" s="305">
        <v>772000000000</v>
      </c>
      <c r="W178" s="305">
        <v>772000000000</v>
      </c>
      <c r="X178" s="305">
        <v>772000000000</v>
      </c>
      <c r="Y178" s="305">
        <v>772000000000</v>
      </c>
      <c r="Z178" s="305">
        <v>772000000000</v>
      </c>
      <c r="AA178" s="305">
        <v>772000000000</v>
      </c>
      <c r="AB178" s="305">
        <v>772500000000</v>
      </c>
      <c r="AC178" s="305">
        <v>778000000000</v>
      </c>
      <c r="AD178" s="305">
        <f t="shared" ca="1" si="45"/>
        <v>772000000000</v>
      </c>
      <c r="AE178" s="318">
        <f t="shared" ca="1" si="37"/>
        <v>772000000000</v>
      </c>
      <c r="AF178" s="305">
        <v>872000000000</v>
      </c>
      <c r="AG178" s="305">
        <v>872000000000</v>
      </c>
      <c r="AH178" s="305">
        <v>872000000000</v>
      </c>
      <c r="AI178" s="305">
        <v>872000000000</v>
      </c>
      <c r="AJ178" s="305">
        <v>0</v>
      </c>
      <c r="AK178" s="305">
        <v>0</v>
      </c>
      <c r="AL178" s="305">
        <v>0</v>
      </c>
      <c r="AM178" s="305">
        <v>0</v>
      </c>
      <c r="AN178" s="305">
        <v>0</v>
      </c>
      <c r="AO178" s="305">
        <v>0</v>
      </c>
      <c r="AP178" s="305">
        <v>0</v>
      </c>
      <c r="AQ178" s="305">
        <v>0</v>
      </c>
      <c r="AR178" s="305">
        <f t="shared" ca="1" si="41"/>
        <v>0</v>
      </c>
      <c r="AS178">
        <f t="shared" ca="1" si="38"/>
        <v>0</v>
      </c>
    </row>
    <row r="179" spans="1:45">
      <c r="A179" s="320" t="s">
        <v>177</v>
      </c>
      <c r="B179" t="s">
        <v>230</v>
      </c>
      <c r="D179" s="328" t="s">
        <v>59</v>
      </c>
      <c r="E179" s="319">
        <v>103854479908</v>
      </c>
      <c r="F179" s="319">
        <v>97116168056</v>
      </c>
      <c r="G179" s="319">
        <v>94372846768</v>
      </c>
      <c r="H179" s="319">
        <v>96041187185</v>
      </c>
      <c r="I179" s="319">
        <v>90349379011</v>
      </c>
      <c r="J179" s="319">
        <v>78206730366</v>
      </c>
      <c r="K179" s="319">
        <v>63012454032</v>
      </c>
      <c r="L179" s="319">
        <v>52966133173</v>
      </c>
      <c r="M179" s="319">
        <v>61083776771</v>
      </c>
      <c r="N179" s="319">
        <v>54735064957</v>
      </c>
      <c r="O179" s="319">
        <v>48682915285</v>
      </c>
      <c r="P179" s="319">
        <v>138257269259</v>
      </c>
      <c r="Q179" s="319">
        <f t="shared" ca="1" si="44"/>
        <v>90349379011</v>
      </c>
      <c r="R179" s="319">
        <v>140460126084</v>
      </c>
      <c r="S179" s="319">
        <v>154520354770</v>
      </c>
      <c r="T179" s="319">
        <v>160264614653</v>
      </c>
      <c r="U179" s="319">
        <v>163523824887</v>
      </c>
      <c r="V179" s="319">
        <v>172822344016</v>
      </c>
      <c r="W179" s="319">
        <v>173507845260</v>
      </c>
      <c r="X179" s="319">
        <v>176751834230</v>
      </c>
      <c r="Y179" s="319">
        <v>179300987412</v>
      </c>
      <c r="Z179" s="319">
        <v>168112900432</v>
      </c>
      <c r="AA179" s="319">
        <v>163231117543</v>
      </c>
      <c r="AB179" s="319">
        <v>155244063567</v>
      </c>
      <c r="AC179" s="319">
        <v>157590444648</v>
      </c>
      <c r="AD179" s="319">
        <f t="shared" ca="1" si="45"/>
        <v>172822344016</v>
      </c>
      <c r="AE179" s="318">
        <f t="shared" ca="1" si="37"/>
        <v>172822344016</v>
      </c>
      <c r="AF179" s="319">
        <v>154521500474.80554</v>
      </c>
      <c r="AG179" s="319">
        <v>146786830293.63403</v>
      </c>
      <c r="AH179" s="319">
        <v>139700222217.04236</v>
      </c>
      <c r="AI179" s="319">
        <v>144497053238.87311</v>
      </c>
      <c r="AJ179" s="319">
        <v>0</v>
      </c>
      <c r="AK179" s="319">
        <v>0</v>
      </c>
      <c r="AL179" s="319">
        <v>0</v>
      </c>
      <c r="AM179" s="319">
        <v>0</v>
      </c>
      <c r="AN179" s="319">
        <v>0</v>
      </c>
      <c r="AO179" s="319">
        <v>0</v>
      </c>
      <c r="AP179" s="319">
        <v>0</v>
      </c>
      <c r="AQ179" s="319">
        <v>0</v>
      </c>
      <c r="AR179" s="319">
        <f t="shared" ca="1" si="41"/>
        <v>0</v>
      </c>
      <c r="AS179">
        <f t="shared" ca="1" si="38"/>
        <v>0</v>
      </c>
    </row>
    <row r="180" spans="1:45">
      <c r="A180" s="320" t="s">
        <v>178</v>
      </c>
      <c r="B180" t="s">
        <v>230</v>
      </c>
      <c r="D180" s="320" t="s">
        <v>61</v>
      </c>
      <c r="E180" s="329">
        <v>1175133367502</v>
      </c>
      <c r="F180" s="329">
        <v>1156873523607</v>
      </c>
      <c r="G180" s="329">
        <v>1193505322258.8601</v>
      </c>
      <c r="H180" s="329">
        <v>1254543573278.8821</v>
      </c>
      <c r="I180" s="329">
        <v>1298941849311</v>
      </c>
      <c r="J180" s="329">
        <v>1325606948461</v>
      </c>
      <c r="K180" s="329">
        <v>1267481764052</v>
      </c>
      <c r="L180" s="329">
        <v>1218292381116</v>
      </c>
      <c r="M180" s="329">
        <v>1260495282163</v>
      </c>
      <c r="N180" s="329">
        <v>1282720707132</v>
      </c>
      <c r="O180" s="329">
        <v>1380932210078</v>
      </c>
      <c r="P180" s="329">
        <v>1365896363032.4819</v>
      </c>
      <c r="Q180" s="329">
        <f t="shared" ca="1" si="44"/>
        <v>1298941849311</v>
      </c>
      <c r="R180" s="329">
        <v>1295120682191</v>
      </c>
      <c r="S180" s="329">
        <v>1212639386525</v>
      </c>
      <c r="T180" s="329">
        <v>1263643654961.4819</v>
      </c>
      <c r="U180" s="329">
        <v>1334311295991</v>
      </c>
      <c r="V180" s="329">
        <v>1392617183285</v>
      </c>
      <c r="W180" s="329">
        <v>1424779505561.4819</v>
      </c>
      <c r="X180" s="329">
        <v>1421600141654.4822</v>
      </c>
      <c r="Y180" s="329">
        <v>1487362359098.4822</v>
      </c>
      <c r="Z180" s="329">
        <v>1469999318393.4819</v>
      </c>
      <c r="AA180" s="329">
        <v>1421766845073.4819</v>
      </c>
      <c r="AB180" s="329">
        <v>1396593658708.4819</v>
      </c>
      <c r="AC180" s="329">
        <v>1390369805508.4819</v>
      </c>
      <c r="AD180" s="341">
        <f t="shared" ca="1" si="45"/>
        <v>1392617183285</v>
      </c>
      <c r="AE180" s="318">
        <f t="shared" ca="1" si="37"/>
        <v>1392617183285</v>
      </c>
      <c r="AF180" s="329">
        <v>1424723112774.8057</v>
      </c>
      <c r="AG180" s="329">
        <v>1439663177992.0342</v>
      </c>
      <c r="AH180" s="329">
        <v>1395583365175.0425</v>
      </c>
      <c r="AI180" s="329">
        <v>1377943027579.873</v>
      </c>
      <c r="AJ180" s="329">
        <v>0</v>
      </c>
      <c r="AK180" s="329">
        <v>0</v>
      </c>
      <c r="AL180" s="329">
        <v>0</v>
      </c>
      <c r="AM180" s="329">
        <v>0</v>
      </c>
      <c r="AN180" s="329">
        <v>0</v>
      </c>
      <c r="AO180" s="329">
        <v>0</v>
      </c>
      <c r="AP180" s="329">
        <v>0</v>
      </c>
      <c r="AQ180" s="329">
        <v>0</v>
      </c>
      <c r="AR180" s="305">
        <f t="shared" ca="1" si="41"/>
        <v>0</v>
      </c>
      <c r="AS180">
        <f t="shared" ca="1" si="38"/>
        <v>0</v>
      </c>
    </row>
    <row r="181" spans="1:45">
      <c r="A181" s="317"/>
      <c r="B181" t="s">
        <v>230</v>
      </c>
      <c r="C181" s="343"/>
      <c r="D181" s="339" t="s">
        <v>102</v>
      </c>
      <c r="E181" s="330">
        <f t="shared" ref="E181:P181" si="46">SUM(E135:E139)+SUM(E146:E147)+E152</f>
        <v>19342457239</v>
      </c>
      <c r="F181" s="330">
        <f t="shared" si="46"/>
        <v>16295563834</v>
      </c>
      <c r="G181" s="330">
        <f t="shared" si="46"/>
        <v>23261002637</v>
      </c>
      <c r="H181" s="330">
        <f t="shared" si="46"/>
        <v>21652419642</v>
      </c>
      <c r="I181" s="330">
        <f t="shared" si="46"/>
        <v>24007787274.13184</v>
      </c>
      <c r="J181" s="330">
        <f t="shared" si="46"/>
        <v>23131506568</v>
      </c>
      <c r="K181" s="330">
        <f t="shared" si="46"/>
        <v>22116246390</v>
      </c>
      <c r="L181" s="330">
        <f t="shared" si="46"/>
        <v>23987555407</v>
      </c>
      <c r="M181" s="330">
        <f t="shared" si="46"/>
        <v>26202309365</v>
      </c>
      <c r="N181" s="330">
        <f t="shared" si="46"/>
        <v>26408387137</v>
      </c>
      <c r="O181" s="330">
        <f t="shared" si="46"/>
        <v>26355067076</v>
      </c>
      <c r="P181" s="330">
        <f t="shared" si="46"/>
        <v>32281958634</v>
      </c>
      <c r="Q181" s="330">
        <f ca="1">SUM(OFFSET(E181:P181,0,0,1,$AD$26))</f>
        <v>104559230626.13184</v>
      </c>
      <c r="R181" s="330">
        <f>SUM(R135:R139)+SUM(R146:R147)+R152</f>
        <v>26849072392</v>
      </c>
      <c r="S181" s="330">
        <f t="shared" ref="S181:AC181" si="47">SUM(S135:S139)+SUM(S146:S147)+S152</f>
        <v>26909399584</v>
      </c>
      <c r="T181" s="330">
        <f t="shared" si="47"/>
        <v>28189372492</v>
      </c>
      <c r="U181" s="330">
        <f t="shared" si="47"/>
        <v>28497415749</v>
      </c>
      <c r="V181" s="330">
        <f t="shared" si="47"/>
        <v>28584929626</v>
      </c>
      <c r="W181" s="330">
        <f t="shared" si="47"/>
        <v>29034690294</v>
      </c>
      <c r="X181" s="330">
        <f t="shared" si="47"/>
        <v>30263536268</v>
      </c>
      <c r="Y181" s="330">
        <f t="shared" si="47"/>
        <v>31125978350</v>
      </c>
      <c r="Z181" s="330">
        <f t="shared" si="47"/>
        <v>32637330602</v>
      </c>
      <c r="AA181" s="330">
        <f t="shared" si="47"/>
        <v>29698698834</v>
      </c>
      <c r="AB181" s="330">
        <f t="shared" si="47"/>
        <v>31144435012</v>
      </c>
      <c r="AC181" s="330">
        <f t="shared" si="47"/>
        <v>38516956294</v>
      </c>
      <c r="AD181" s="330">
        <f ca="1">SUM(OFFSET(R181:AC181,0,0,1,$AD$26))</f>
        <v>139030189843</v>
      </c>
      <c r="AE181" s="318">
        <f t="shared" ca="1" si="37"/>
        <v>28584929626</v>
      </c>
      <c r="AF181" s="330">
        <f t="shared" ref="AF181:AQ181" si="48">SUM(AF135:AF139)+SUM(AF146:AF147)+AF152</f>
        <v>30474726602</v>
      </c>
      <c r="AG181" s="330">
        <f t="shared" si="48"/>
        <v>28201150500</v>
      </c>
      <c r="AH181" s="330">
        <f t="shared" si="48"/>
        <v>29844575359</v>
      </c>
      <c r="AI181" s="330">
        <f t="shared" si="48"/>
        <v>32228709260</v>
      </c>
      <c r="AJ181" s="330">
        <f t="shared" si="48"/>
        <v>0</v>
      </c>
      <c r="AK181" s="330">
        <f t="shared" si="48"/>
        <v>0</v>
      </c>
      <c r="AL181" s="330">
        <f t="shared" si="48"/>
        <v>0</v>
      </c>
      <c r="AM181" s="330">
        <f t="shared" si="48"/>
        <v>0</v>
      </c>
      <c r="AN181" s="330">
        <f t="shared" si="48"/>
        <v>0</v>
      </c>
      <c r="AO181" s="330">
        <f t="shared" si="48"/>
        <v>0</v>
      </c>
      <c r="AP181" s="330">
        <f t="shared" si="48"/>
        <v>0</v>
      </c>
      <c r="AQ181" s="330">
        <f t="shared" si="48"/>
        <v>0</v>
      </c>
      <c r="AR181" s="331">
        <f ca="1">SUM(OFFSET(AF181:AQ181,0,0,1,$AR$26))</f>
        <v>120749161721</v>
      </c>
      <c r="AS181">
        <f t="shared" ca="1" si="38"/>
        <v>0</v>
      </c>
    </row>
    <row r="182" spans="1:45">
      <c r="A182" s="320"/>
      <c r="B182" t="s">
        <v>230</v>
      </c>
      <c r="C182" s="320"/>
      <c r="D182" s="342" t="s">
        <v>179</v>
      </c>
      <c r="E182" s="332">
        <v>75200000</v>
      </c>
      <c r="F182" s="332">
        <v>75200000</v>
      </c>
      <c r="G182" s="332">
        <v>75200000</v>
      </c>
      <c r="H182" s="332">
        <v>75200000</v>
      </c>
      <c r="I182" s="332">
        <v>75200000</v>
      </c>
      <c r="J182" s="332">
        <v>75200000</v>
      </c>
      <c r="K182" s="332">
        <v>75200000</v>
      </c>
      <c r="L182" s="332">
        <v>75200000</v>
      </c>
      <c r="M182" s="332">
        <v>75200000</v>
      </c>
      <c r="N182" s="332">
        <v>75200000</v>
      </c>
      <c r="O182" s="332">
        <v>77200000</v>
      </c>
      <c r="P182" s="332">
        <v>77200000</v>
      </c>
      <c r="Q182" s="332">
        <f ca="1">IF($AD$26=1,E182,SUM(OFFSET(E182:P182,0,0,1,$AD$26))-SUM(OFFSET(E182:P182,0,0,1,$AD$26-1)))</f>
        <v>75200000</v>
      </c>
      <c r="R182" s="332">
        <v>77200000</v>
      </c>
      <c r="S182" s="332">
        <v>77200000</v>
      </c>
      <c r="T182" s="332">
        <v>77200000</v>
      </c>
      <c r="U182" s="332">
        <v>77200000</v>
      </c>
      <c r="V182" s="332">
        <v>77200000</v>
      </c>
      <c r="W182" s="332">
        <v>77200000</v>
      </c>
      <c r="X182" s="332">
        <v>77200000</v>
      </c>
      <c r="Y182" s="332">
        <v>77200000</v>
      </c>
      <c r="Z182" s="332">
        <v>77200000</v>
      </c>
      <c r="AA182" s="332">
        <v>77200000</v>
      </c>
      <c r="AB182" s="332">
        <v>77250000</v>
      </c>
      <c r="AC182" s="332">
        <v>77800000</v>
      </c>
      <c r="AD182" s="332">
        <f ca="1">IF($AD$26=1,R182,SUM(OFFSET(R182:AC182,0,0,1,$AD$26))-SUM(OFFSET(R182:AC182,0,0,1,$AD$26-1)))</f>
        <v>77200000</v>
      </c>
      <c r="AE182" s="318">
        <f t="shared" ca="1" si="37"/>
        <v>77200000</v>
      </c>
      <c r="AF182" s="332">
        <v>87200000</v>
      </c>
      <c r="AG182" s="332">
        <v>87200000</v>
      </c>
      <c r="AH182" s="332">
        <v>87200000</v>
      </c>
      <c r="AI182" s="332">
        <v>87200000</v>
      </c>
      <c r="AJ182" s="332">
        <v>0</v>
      </c>
      <c r="AK182" s="332">
        <v>0</v>
      </c>
      <c r="AL182" s="332">
        <v>0</v>
      </c>
      <c r="AM182" s="332">
        <v>0</v>
      </c>
      <c r="AN182" s="332">
        <v>0</v>
      </c>
      <c r="AO182" s="332">
        <v>0</v>
      </c>
      <c r="AP182" s="332">
        <v>0</v>
      </c>
      <c r="AQ182" s="332">
        <v>0</v>
      </c>
      <c r="AR182" s="332">
        <f ca="1">IF($AR$26=1,AF182,SUM(OFFSET(AF182:AQ182,0,0,1,$AR$26))-SUM(OFFSET(AF182:AQ182,0,0,1,$AR$26-1)))</f>
        <v>0</v>
      </c>
      <c r="AS182">
        <f t="shared" ca="1" si="38"/>
        <v>0</v>
      </c>
    </row>
    <row r="183" spans="1:45">
      <c r="A183" t="s">
        <v>180</v>
      </c>
      <c r="B183" t="s">
        <v>230</v>
      </c>
      <c r="D183" s="298" t="s">
        <v>181</v>
      </c>
      <c r="E183" s="333">
        <v>-719985770</v>
      </c>
      <c r="F183" s="333">
        <v>-6758932844</v>
      </c>
      <c r="G183" s="333">
        <v>-2743321288</v>
      </c>
      <c r="H183" s="333">
        <v>1668340417</v>
      </c>
      <c r="I183" s="333">
        <v>-5691808171</v>
      </c>
      <c r="J183" s="333">
        <v>-12142648645</v>
      </c>
      <c r="K183" s="333">
        <v>-15194276334</v>
      </c>
      <c r="L183" s="333">
        <v>-10014018528</v>
      </c>
      <c r="M183" s="333">
        <v>8118268598</v>
      </c>
      <c r="N183" s="333">
        <v>-6348711814</v>
      </c>
      <c r="O183" s="333">
        <v>-6052149672</v>
      </c>
      <c r="P183" s="333">
        <v>102908561739</v>
      </c>
      <c r="Q183" s="333">
        <f ca="1">SUM(OFFSET(E183:P183,0,0,1,$AD$26))</f>
        <v>-14245707656</v>
      </c>
      <c r="R183" s="333">
        <v>3099846411</v>
      </c>
      <c r="S183" s="333">
        <v>17072928466</v>
      </c>
      <c r="T183" s="333">
        <v>6996892070</v>
      </c>
      <c r="U183" s="333">
        <v>3936534372</v>
      </c>
      <c r="V183" s="333">
        <v>10980760888</v>
      </c>
      <c r="W183" s="333">
        <v>874577083</v>
      </c>
      <c r="X183" s="333">
        <v>412219980</v>
      </c>
      <c r="Y183" s="333">
        <v>2753352784</v>
      </c>
      <c r="Z183" s="333">
        <v>-12537257826</v>
      </c>
      <c r="AA183" s="333">
        <v>-5398471511</v>
      </c>
      <c r="AB183" s="333">
        <v>-8841087053</v>
      </c>
      <c r="AC183" s="333">
        <v>5675768744</v>
      </c>
      <c r="AD183" s="333">
        <f ca="1">SUM(OFFSET(R183:AC183,0,0,1,$AD$26))</f>
        <v>42086962207</v>
      </c>
      <c r="AE183" s="318">
        <f t="shared" ca="1" si="37"/>
        <v>10980760888</v>
      </c>
      <c r="AF183" s="333">
        <v>-3068173394.1944447</v>
      </c>
      <c r="AG183" s="333">
        <v>-7734670181.1715136</v>
      </c>
      <c r="AH183" s="333">
        <v>-6932855150.5916672</v>
      </c>
      <c r="AI183" s="333">
        <v>4902498894.8307524</v>
      </c>
      <c r="AJ183" s="333">
        <v>0</v>
      </c>
      <c r="AK183" s="333">
        <v>0</v>
      </c>
      <c r="AL183" s="333">
        <v>0</v>
      </c>
      <c r="AM183" s="333">
        <v>0</v>
      </c>
      <c r="AN183" s="333">
        <v>0</v>
      </c>
      <c r="AO183" s="333">
        <v>0</v>
      </c>
      <c r="AP183" s="333">
        <v>0</v>
      </c>
      <c r="AQ183" s="333">
        <v>0</v>
      </c>
      <c r="AR183" s="333">
        <f ca="1">SUM(OFFSET(AF183:AQ183,0,0,1,$AR$26))</f>
        <v>-12833199831.126873</v>
      </c>
      <c r="AS183">
        <f t="shared" ca="1" si="38"/>
        <v>0</v>
      </c>
    </row>
    <row r="184" spans="1:45">
      <c r="A184" t="s">
        <v>182</v>
      </c>
      <c r="B184" t="s">
        <v>230</v>
      </c>
      <c r="D184" t="s">
        <v>183</v>
      </c>
      <c r="E184" s="305">
        <v>3935422859</v>
      </c>
      <c r="F184" s="305">
        <v>3945256529</v>
      </c>
      <c r="G184" s="305">
        <v>3941710034</v>
      </c>
      <c r="H184" s="305">
        <v>4176778135</v>
      </c>
      <c r="I184" s="305">
        <v>4265236429</v>
      </c>
      <c r="J184" s="305">
        <v>4239641424</v>
      </c>
      <c r="K184" s="305">
        <v>4278667037</v>
      </c>
      <c r="L184" s="305">
        <v>4312396443</v>
      </c>
      <c r="M184" s="305">
        <v>4447445993</v>
      </c>
      <c r="N184" s="305">
        <v>4467524904</v>
      </c>
      <c r="O184" s="305">
        <v>4494861573</v>
      </c>
      <c r="P184" s="305">
        <v>4792296828</v>
      </c>
      <c r="Q184" s="305">
        <f t="shared" ref="Q184:Q205" ca="1" si="49">SUM(OFFSET(E184:P184,0,0,1,$AD$26))</f>
        <v>20264403986</v>
      </c>
      <c r="R184" s="305">
        <v>4869731514</v>
      </c>
      <c r="S184" s="305">
        <v>4871682917</v>
      </c>
      <c r="T184" s="305">
        <v>5074245337</v>
      </c>
      <c r="U184" s="305">
        <v>5011765623</v>
      </c>
      <c r="V184" s="305">
        <v>5177413937</v>
      </c>
      <c r="W184" s="305">
        <v>5167876130</v>
      </c>
      <c r="X184" s="305">
        <v>5183350528</v>
      </c>
      <c r="Y184" s="305">
        <v>5169671321</v>
      </c>
      <c r="Z184" s="305">
        <v>5509530706</v>
      </c>
      <c r="AA184" s="305">
        <v>5362887350</v>
      </c>
      <c r="AB184" s="305">
        <v>5527915050</v>
      </c>
      <c r="AC184" s="305">
        <v>5597408199</v>
      </c>
      <c r="AD184" s="305">
        <f ca="1">SUM(OFFSET(R184:AC184,0,0,1,$AD$26))</f>
        <v>25004839328</v>
      </c>
      <c r="AE184" s="318">
        <f t="shared" ca="1" si="37"/>
        <v>5177413937</v>
      </c>
      <c r="AF184" s="305">
        <v>2382071235</v>
      </c>
      <c r="AG184" s="305">
        <v>2852699400</v>
      </c>
      <c r="AH184" s="305">
        <v>2863967982</v>
      </c>
      <c r="AI184" s="305">
        <v>3030293681</v>
      </c>
      <c r="AJ184" s="305">
        <v>0</v>
      </c>
      <c r="AK184" s="305">
        <v>0</v>
      </c>
      <c r="AL184" s="305">
        <v>0</v>
      </c>
      <c r="AM184" s="305">
        <v>0</v>
      </c>
      <c r="AN184" s="305">
        <v>0</v>
      </c>
      <c r="AO184" s="305">
        <v>0</v>
      </c>
      <c r="AP184" s="305">
        <v>0</v>
      </c>
      <c r="AQ184" s="305">
        <v>0</v>
      </c>
      <c r="AR184" s="305">
        <f>AF184</f>
        <v>2382071235</v>
      </c>
      <c r="AS184">
        <f t="shared" ca="1" si="38"/>
        <v>0</v>
      </c>
    </row>
    <row r="185" spans="1:45">
      <c r="A185" t="s">
        <v>184</v>
      </c>
      <c r="B185" t="s">
        <v>230</v>
      </c>
      <c r="D185" t="s">
        <v>185</v>
      </c>
      <c r="E185" s="305">
        <v>834916742667.6261</v>
      </c>
      <c r="F185" s="305">
        <v>518911070157.90454</v>
      </c>
      <c r="G185" s="305">
        <v>645172057904.89343</v>
      </c>
      <c r="H185" s="305">
        <v>717556570743.20325</v>
      </c>
      <c r="I185" s="305">
        <v>719790652063.4469</v>
      </c>
      <c r="J185" s="305">
        <v>529326955201.71814</v>
      </c>
      <c r="K185" s="305">
        <v>608167570495.47595</v>
      </c>
      <c r="L185" s="305">
        <v>874320815439.03259</v>
      </c>
      <c r="M185" s="305">
        <v>1012356934604.865</v>
      </c>
      <c r="N185" s="305">
        <v>930977034250.76135</v>
      </c>
      <c r="O185" s="305">
        <v>704173257228.65027</v>
      </c>
      <c r="P185" s="305">
        <v>2957204219496.7866</v>
      </c>
      <c r="Q185" s="305">
        <f t="shared" ca="1" si="49"/>
        <v>3436347093537.0742</v>
      </c>
      <c r="R185" s="305">
        <v>2649867456315.7734</v>
      </c>
      <c r="S185" s="305">
        <v>2168033781259.5469</v>
      </c>
      <c r="T185" s="305">
        <v>2484419851921.1631</v>
      </c>
      <c r="U185" s="305">
        <v>2950340139423.293</v>
      </c>
      <c r="V185" s="305">
        <v>3163744130289.7529</v>
      </c>
      <c r="W185" s="305">
        <v>3140557986660.5298</v>
      </c>
      <c r="X185" s="305">
        <v>3361670419942.8994</v>
      </c>
      <c r="Y185" s="305">
        <v>3841111221664.8887</v>
      </c>
      <c r="Z185" s="305">
        <v>3597559387042.3623</v>
      </c>
      <c r="AA185" s="305">
        <v>3239572922886.1768</v>
      </c>
      <c r="AB185" s="305">
        <v>3041738038090.5313</v>
      </c>
      <c r="AC185" s="305">
        <v>3025032909251.3037</v>
      </c>
      <c r="AD185" s="305">
        <f t="shared" ref="AD185:AD205" ca="1" si="50">SUM(OFFSET(R185:AC185,0,0,1,$AD$26))</f>
        <v>13416405359209.531</v>
      </c>
      <c r="AE185" s="318">
        <f t="shared" ca="1" si="37"/>
        <v>3163744130289.7539</v>
      </c>
      <c r="AF185" s="305">
        <v>762008133</v>
      </c>
      <c r="AG185" s="305">
        <v>895070205</v>
      </c>
      <c r="AH185" s="305">
        <v>-1861553523</v>
      </c>
      <c r="AI185" s="305">
        <v>-1390795045</v>
      </c>
      <c r="AJ185" s="305">
        <v>0</v>
      </c>
      <c r="AK185" s="305">
        <v>0</v>
      </c>
      <c r="AL185" s="305">
        <v>0</v>
      </c>
      <c r="AM185" s="305">
        <v>0</v>
      </c>
      <c r="AN185" s="305">
        <v>0</v>
      </c>
      <c r="AO185" s="305">
        <v>0</v>
      </c>
      <c r="AP185" s="305">
        <v>0</v>
      </c>
      <c r="AQ185" s="305">
        <v>0</v>
      </c>
      <c r="AR185" s="305">
        <f t="shared" ref="AR185:AR207" ca="1" si="51">SUM(OFFSET(AF185:AQ185,0,0,1,$AR$26))</f>
        <v>-1595270230</v>
      </c>
      <c r="AS185">
        <f t="shared" ca="1" si="38"/>
        <v>0</v>
      </c>
    </row>
    <row r="186" spans="1:45">
      <c r="A186" t="s">
        <v>186</v>
      </c>
      <c r="B186" t="s">
        <v>230</v>
      </c>
      <c r="D186" s="298" t="s">
        <v>187</v>
      </c>
      <c r="E186" s="333">
        <v>892891401</v>
      </c>
      <c r="F186" s="333">
        <v>-2692231331</v>
      </c>
      <c r="G186" s="333">
        <v>1249376108</v>
      </c>
      <c r="H186" s="333">
        <v>6430652668</v>
      </c>
      <c r="I186" s="333">
        <v>-1294083429</v>
      </c>
      <c r="J186" s="333">
        <v>-7067664309</v>
      </c>
      <c r="K186" s="333">
        <v>-9970648327</v>
      </c>
      <c r="L186" s="333">
        <v>-5034637842</v>
      </c>
      <c r="M186" s="333">
        <v>13117376914</v>
      </c>
      <c r="N186" s="333">
        <v>-2680457596</v>
      </c>
      <c r="O186" s="333">
        <v>-1210240562</v>
      </c>
      <c r="P186" s="333">
        <v>105942824710</v>
      </c>
      <c r="Q186" s="333">
        <f t="shared" ca="1" si="49"/>
        <v>4586605417</v>
      </c>
      <c r="R186" s="333">
        <v>7902165813</v>
      </c>
      <c r="S186" s="333">
        <v>20673251163</v>
      </c>
      <c r="T186" s="333">
        <v>12128228749</v>
      </c>
      <c r="U186" s="333">
        <v>9130171028</v>
      </c>
      <c r="V186" s="333">
        <v>15704492556</v>
      </c>
      <c r="W186" s="333">
        <v>6853393586</v>
      </c>
      <c r="X186" s="333">
        <v>5928681128</v>
      </c>
      <c r="Y186" s="333">
        <v>8611889519</v>
      </c>
      <c r="Z186" s="333">
        <v>-6256348969</v>
      </c>
      <c r="AA186" s="333">
        <v>-424172644</v>
      </c>
      <c r="AB186" s="333">
        <v>-2263241036</v>
      </c>
      <c r="AC186" s="333">
        <v>11929044745</v>
      </c>
      <c r="AD186" s="333">
        <f t="shared" ca="1" si="50"/>
        <v>65538309309</v>
      </c>
      <c r="AE186" s="318">
        <f t="shared" ca="1" si="37"/>
        <v>15704492556</v>
      </c>
      <c r="AF186" s="333">
        <v>75905973.805555344</v>
      </c>
      <c r="AG186" s="333">
        <v>-3986900576.1715136</v>
      </c>
      <c r="AH186" s="333">
        <v>-5930440691.5916672</v>
      </c>
      <c r="AI186" s="333">
        <v>6541997530.8307524</v>
      </c>
      <c r="AJ186" s="333">
        <v>0</v>
      </c>
      <c r="AK186" s="333">
        <v>0</v>
      </c>
      <c r="AL186" s="333">
        <v>0</v>
      </c>
      <c r="AM186" s="333">
        <v>0</v>
      </c>
      <c r="AN186" s="333">
        <v>0</v>
      </c>
      <c r="AO186" s="333">
        <v>0</v>
      </c>
      <c r="AP186" s="333">
        <v>0</v>
      </c>
      <c r="AQ186" s="333">
        <v>0</v>
      </c>
      <c r="AR186" s="305">
        <f t="shared" ca="1" si="51"/>
        <v>-3299437763.126874</v>
      </c>
      <c r="AS186">
        <f t="shared" ca="1" si="38"/>
        <v>0</v>
      </c>
    </row>
    <row r="187" spans="1:45">
      <c r="A187" t="s">
        <v>188</v>
      </c>
      <c r="B187" t="s">
        <v>230</v>
      </c>
      <c r="D187" s="324" t="s">
        <v>189</v>
      </c>
      <c r="E187" s="305">
        <v>-12246234123.139999</v>
      </c>
      <c r="F187" s="305">
        <v>10826066152</v>
      </c>
      <c r="G187" s="305">
        <v>-15227377699.860001</v>
      </c>
      <c r="H187" s="305">
        <v>-18242361446</v>
      </c>
      <c r="I187" s="305">
        <v>-17831483386.748001</v>
      </c>
      <c r="J187" s="305">
        <v>-24693912300</v>
      </c>
      <c r="K187" s="305">
        <v>90882621825.229996</v>
      </c>
      <c r="L187" s="305">
        <v>-25565536759</v>
      </c>
      <c r="M187" s="305">
        <v>-37899408750</v>
      </c>
      <c r="N187" s="305">
        <v>1909176260</v>
      </c>
      <c r="O187" s="305">
        <v>-52509399614</v>
      </c>
      <c r="P187" s="305">
        <v>52498955385.517998</v>
      </c>
      <c r="Q187" s="305">
        <f t="shared" ca="1" si="49"/>
        <v>-52721390503.748001</v>
      </c>
      <c r="R187" s="305">
        <v>50044734419.482101</v>
      </c>
      <c r="S187" s="305">
        <v>-48295472255.000099</v>
      </c>
      <c r="T187" s="305">
        <v>-35474140723.482002</v>
      </c>
      <c r="U187" s="305">
        <v>30568041507.481998</v>
      </c>
      <c r="V187" s="305">
        <v>-58367242966</v>
      </c>
      <c r="W187" s="305">
        <v>-16252360559.482</v>
      </c>
      <c r="X187" s="305">
        <v>1540007271</v>
      </c>
      <c r="Y187" s="305">
        <v>-61917992095</v>
      </c>
      <c r="Z187" s="305">
        <v>56301270650</v>
      </c>
      <c r="AA187" s="305">
        <v>39177988321</v>
      </c>
      <c r="AB187" s="305">
        <v>12392718435</v>
      </c>
      <c r="AC187" s="305">
        <v>-16597576976</v>
      </c>
      <c r="AD187" s="305">
        <f t="shared" ca="1" si="50"/>
        <v>-61524080017.518005</v>
      </c>
      <c r="AE187" s="318">
        <f t="shared" ca="1" si="37"/>
        <v>-58367242966</v>
      </c>
      <c r="AF187" s="305">
        <v>41432499374</v>
      </c>
      <c r="AG187" s="305">
        <v>2218696211.5999985</v>
      </c>
      <c r="AH187" s="305">
        <v>-3343051671</v>
      </c>
      <c r="AI187" s="305">
        <v>42141861613</v>
      </c>
      <c r="AJ187" s="305">
        <v>0</v>
      </c>
      <c r="AK187" s="305">
        <v>0</v>
      </c>
      <c r="AL187" s="305">
        <v>0</v>
      </c>
      <c r="AM187" s="305">
        <v>0</v>
      </c>
      <c r="AN187" s="305">
        <v>0</v>
      </c>
      <c r="AO187" s="305">
        <v>0</v>
      </c>
      <c r="AP187" s="305">
        <v>0</v>
      </c>
      <c r="AQ187" s="305">
        <v>0</v>
      </c>
      <c r="AR187" s="305">
        <f t="shared" ca="1" si="51"/>
        <v>82450005527.600006</v>
      </c>
      <c r="AS187">
        <f t="shared" ca="1" si="38"/>
        <v>0</v>
      </c>
    </row>
    <row r="188" spans="1:45">
      <c r="A188" t="s">
        <v>190</v>
      </c>
      <c r="B188" t="s">
        <v>230</v>
      </c>
      <c r="D188" s="324" t="s">
        <v>191</v>
      </c>
      <c r="E188" s="305">
        <v>-49549238548</v>
      </c>
      <c r="F188" s="305">
        <v>-7205281194</v>
      </c>
      <c r="G188" s="305">
        <v>-39860295459</v>
      </c>
      <c r="H188" s="305">
        <v>-40452344147.022003</v>
      </c>
      <c r="I188" s="305">
        <v>-40018610715.370003</v>
      </c>
      <c r="J188" s="305">
        <v>-22253771084</v>
      </c>
      <c r="K188" s="305">
        <v>-21156666302.23</v>
      </c>
      <c r="L188" s="305">
        <v>40083282616</v>
      </c>
      <c r="M188" s="305">
        <v>-10488525390</v>
      </c>
      <c r="N188" s="305">
        <v>4230963655</v>
      </c>
      <c r="O188" s="305">
        <v>-41785285643</v>
      </c>
      <c r="P188" s="305">
        <v>-14397208765</v>
      </c>
      <c r="Q188" s="305">
        <f t="shared" ca="1" si="49"/>
        <v>-177085770063.392</v>
      </c>
      <c r="R188" s="305">
        <v>34011025895</v>
      </c>
      <c r="S188" s="305">
        <v>80139198645</v>
      </c>
      <c r="T188" s="305">
        <v>19508416867</v>
      </c>
      <c r="U188" s="305">
        <v>-54306536082</v>
      </c>
      <c r="V188" s="305">
        <v>-5114288511</v>
      </c>
      <c r="W188" s="305">
        <v>-19711706985</v>
      </c>
      <c r="X188" s="305">
        <v>-14594923828</v>
      </c>
      <c r="Y188" s="305">
        <v>1610031161</v>
      </c>
      <c r="Z188" s="305">
        <v>-3350477118</v>
      </c>
      <c r="AA188" s="305">
        <v>20252490813</v>
      </c>
      <c r="AB188" s="305">
        <v>-2228980661</v>
      </c>
      <c r="AC188" s="305">
        <v>-12498581726</v>
      </c>
      <c r="AD188" s="305">
        <f t="shared" ca="1" si="50"/>
        <v>74237816814</v>
      </c>
      <c r="AE188" s="318">
        <f t="shared" ca="1" si="37"/>
        <v>-5114288511</v>
      </c>
      <c r="AF188" s="305">
        <v>21674615442.676445</v>
      </c>
      <c r="AG188" s="305">
        <v>30446005143.171513</v>
      </c>
      <c r="AH188" s="305">
        <v>80461160034.591675</v>
      </c>
      <c r="AI188" s="305">
        <v>59925649917.16925</v>
      </c>
      <c r="AJ188" s="305">
        <v>0</v>
      </c>
      <c r="AK188" s="305">
        <v>0</v>
      </c>
      <c r="AL188" s="305">
        <v>0</v>
      </c>
      <c r="AM188" s="305">
        <v>0</v>
      </c>
      <c r="AN188" s="305">
        <v>0</v>
      </c>
      <c r="AO188" s="305">
        <v>0</v>
      </c>
      <c r="AP188" s="305">
        <v>0</v>
      </c>
      <c r="AQ188" s="305">
        <v>0</v>
      </c>
      <c r="AR188" s="305">
        <f t="shared" ca="1" si="51"/>
        <v>192507430537.60889</v>
      </c>
      <c r="AS188">
        <f t="shared" ca="1" si="38"/>
        <v>0</v>
      </c>
    </row>
    <row r="189" spans="1:45">
      <c r="A189" t="s">
        <v>192</v>
      </c>
      <c r="B189" t="s">
        <v>230</v>
      </c>
      <c r="D189" s="324" t="s">
        <v>193</v>
      </c>
      <c r="E189" s="305">
        <v>5172642277.1399994</v>
      </c>
      <c r="F189" s="305">
        <v>4278312829</v>
      </c>
      <c r="G189" s="305">
        <v>3821000527.8600006</v>
      </c>
      <c r="H189" s="305">
        <v>17456991667.021999</v>
      </c>
      <c r="I189" s="305">
        <v>27971780976.118</v>
      </c>
      <c r="J189" s="305">
        <v>28656935853</v>
      </c>
      <c r="K189" s="305">
        <v>13949162110</v>
      </c>
      <c r="L189" s="305">
        <v>15821078146</v>
      </c>
      <c r="M189" s="305">
        <v>36706376899</v>
      </c>
      <c r="N189" s="305">
        <v>12026587562</v>
      </c>
      <c r="O189" s="305">
        <v>46633842767</v>
      </c>
      <c r="P189" s="305">
        <v>-144613571973.51801</v>
      </c>
      <c r="Q189" s="305">
        <f t="shared" ca="1" si="49"/>
        <v>58700728277.139999</v>
      </c>
      <c r="R189" s="305">
        <v>-14723795485.482</v>
      </c>
      <c r="S189" s="305">
        <v>563551013</v>
      </c>
      <c r="T189" s="305">
        <v>-13256494094.518</v>
      </c>
      <c r="U189" s="305">
        <v>-14886720513.482</v>
      </c>
      <c r="V189" s="305">
        <v>21965041111</v>
      </c>
      <c r="W189" s="305">
        <v>17589115523.482002</v>
      </c>
      <c r="X189" s="305">
        <v>-13512474795.999901</v>
      </c>
      <c r="Y189" s="305">
        <v>19288575433</v>
      </c>
      <c r="Z189" s="305">
        <v>-18368729384.000099</v>
      </c>
      <c r="AA189" s="305">
        <v>8202293771</v>
      </c>
      <c r="AB189" s="305">
        <v>-10404906191</v>
      </c>
      <c r="AC189" s="305">
        <v>-1852508770</v>
      </c>
      <c r="AD189" s="305">
        <f t="shared" ca="1" si="50"/>
        <v>-20338417969.482002</v>
      </c>
      <c r="AE189" s="318">
        <f t="shared" ca="1" si="37"/>
        <v>21965041111</v>
      </c>
      <c r="AF189" s="305">
        <v>-9880013016.4820004</v>
      </c>
      <c r="AG189" s="305">
        <v>-30314729949.599998</v>
      </c>
      <c r="AH189" s="305">
        <v>-14991190710</v>
      </c>
      <c r="AI189" s="305">
        <v>-18812121522</v>
      </c>
      <c r="AJ189" s="305">
        <v>0</v>
      </c>
      <c r="AK189" s="305">
        <v>0</v>
      </c>
      <c r="AL189" s="305">
        <v>0</v>
      </c>
      <c r="AM189" s="305">
        <v>0</v>
      </c>
      <c r="AN189" s="305">
        <v>0</v>
      </c>
      <c r="AO189" s="305">
        <v>0</v>
      </c>
      <c r="AP189" s="305">
        <v>0</v>
      </c>
      <c r="AQ189" s="305">
        <v>0</v>
      </c>
      <c r="AR189" s="305">
        <f t="shared" ca="1" si="51"/>
        <v>-73998055198.082001</v>
      </c>
      <c r="AS189">
        <f t="shared" ca="1" si="38"/>
        <v>0</v>
      </c>
    </row>
    <row r="190" spans="1:45">
      <c r="A190" t="s">
        <v>194</v>
      </c>
      <c r="B190" t="s">
        <v>230</v>
      </c>
      <c r="D190" s="324" t="s">
        <v>195</v>
      </c>
      <c r="E190" s="305">
        <v>-422755791</v>
      </c>
      <c r="F190" s="305">
        <v>-563909516</v>
      </c>
      <c r="G190" s="305">
        <v>-567924561</v>
      </c>
      <c r="H190" s="305">
        <v>-840791009</v>
      </c>
      <c r="I190" s="305">
        <v>-961855770</v>
      </c>
      <c r="J190" s="305">
        <v>-1030712173</v>
      </c>
      <c r="K190" s="305">
        <v>-1160823006</v>
      </c>
      <c r="L190" s="305">
        <v>-939585045</v>
      </c>
      <c r="M190" s="305">
        <v>-859444105</v>
      </c>
      <c r="N190" s="305">
        <v>-840165515</v>
      </c>
      <c r="O190" s="305">
        <v>-889159081</v>
      </c>
      <c r="P190" s="305">
        <v>-1032562923</v>
      </c>
      <c r="Q190" s="305">
        <f t="shared" ca="1" si="49"/>
        <v>-3357236647</v>
      </c>
      <c r="R190" s="305">
        <v>-739360517</v>
      </c>
      <c r="S190" s="305">
        <v>-1303843040</v>
      </c>
      <c r="T190" s="305">
        <v>-673966789</v>
      </c>
      <c r="U190" s="305">
        <v>-888393452</v>
      </c>
      <c r="V190" s="305">
        <v>-1186588729</v>
      </c>
      <c r="W190" s="305">
        <v>-1448899822</v>
      </c>
      <c r="X190" s="305">
        <v>-1242023326</v>
      </c>
      <c r="Y190" s="305">
        <v>-1303560910</v>
      </c>
      <c r="Z190" s="305">
        <v>-1595764355</v>
      </c>
      <c r="AA190" s="305">
        <v>-1368802426</v>
      </c>
      <c r="AB190" s="305">
        <v>-1256132292</v>
      </c>
      <c r="AC190" s="305">
        <v>-1256103396</v>
      </c>
      <c r="AD190" s="305">
        <f t="shared" ca="1" si="50"/>
        <v>-4792152527</v>
      </c>
      <c r="AE190" s="318">
        <f t="shared" ca="1" si="37"/>
        <v>-1186588729</v>
      </c>
      <c r="AF190" s="305">
        <v>-1240115065</v>
      </c>
      <c r="AG190" s="305">
        <v>-1156279418</v>
      </c>
      <c r="AH190" s="305">
        <v>-959718564</v>
      </c>
      <c r="AI190" s="305">
        <v>-1062084475</v>
      </c>
      <c r="AJ190" s="305">
        <v>0</v>
      </c>
      <c r="AK190" s="305">
        <v>0</v>
      </c>
      <c r="AL190" s="305">
        <v>0</v>
      </c>
      <c r="AM190" s="305">
        <v>0</v>
      </c>
      <c r="AN190" s="305">
        <v>0</v>
      </c>
      <c r="AO190" s="305">
        <v>0</v>
      </c>
      <c r="AP190" s="305">
        <v>0</v>
      </c>
      <c r="AQ190" s="305">
        <v>0</v>
      </c>
      <c r="AR190" s="305">
        <f t="shared" ca="1" si="51"/>
        <v>-4418197522</v>
      </c>
      <c r="AS190">
        <f t="shared" ca="1" si="38"/>
        <v>0</v>
      </c>
    </row>
    <row r="191" spans="1:45">
      <c r="A191" t="s">
        <v>196</v>
      </c>
      <c r="B191" t="s">
        <v>230</v>
      </c>
      <c r="D191" s="324" t="s">
        <v>197</v>
      </c>
      <c r="E191" s="305">
        <v>1780911555488.2522</v>
      </c>
      <c r="F191" s="305">
        <v>1027924963844.8092</v>
      </c>
      <c r="G191" s="305">
        <v>1390636387274.7866</v>
      </c>
      <c r="H191" s="305">
        <v>1504553091806.4065</v>
      </c>
      <c r="I191" s="305">
        <v>1502458980082.8938</v>
      </c>
      <c r="J191" s="305">
        <v>1108507504588.4365</v>
      </c>
      <c r="K191" s="305">
        <v>1068248689558.952</v>
      </c>
      <c r="L191" s="305">
        <v>1698186553916.0647</v>
      </c>
      <c r="M191" s="305">
        <v>2021338668316.73</v>
      </c>
      <c r="N191" s="305">
        <v>1833473184711.5229</v>
      </c>
      <c r="O191" s="305">
        <v>1505912407162.3</v>
      </c>
      <c r="P191" s="305">
        <v>5920296801483.5723</v>
      </c>
      <c r="Q191" s="305">
        <f t="shared" ca="1" si="49"/>
        <v>7206484978497.1484</v>
      </c>
      <c r="R191" s="305">
        <v>5146734894972.5459</v>
      </c>
      <c r="S191" s="305">
        <v>4237769152055.0942</v>
      </c>
      <c r="T191" s="305">
        <v>5002977989225.3262</v>
      </c>
      <c r="U191" s="305">
        <v>5958865622780.5859</v>
      </c>
      <c r="V191" s="305">
        <v>6380475281565.5078</v>
      </c>
      <c r="W191" s="305">
        <v>6310005082184.0586</v>
      </c>
      <c r="X191" s="305">
        <v>6766102276476.7959</v>
      </c>
      <c r="Y191" s="305">
        <v>7747825047300.7754</v>
      </c>
      <c r="Z191" s="305">
        <v>7136128704505.7256</v>
      </c>
      <c r="AA191" s="305">
        <v>6345277020089.3535</v>
      </c>
      <c r="AB191" s="305">
        <v>6084990314839.0625</v>
      </c>
      <c r="AC191" s="305">
        <v>6087939401091.6074</v>
      </c>
      <c r="AD191" s="305">
        <f t="shared" ca="1" si="50"/>
        <v>26726822940599.063</v>
      </c>
      <c r="AE191" s="318">
        <f t="shared" ca="1" si="37"/>
        <v>6380475281565.5078</v>
      </c>
      <c r="AF191" s="305">
        <v>-5602392829</v>
      </c>
      <c r="AG191" s="305">
        <v>-1302799503</v>
      </c>
      <c r="AH191" s="305">
        <v>-3976878375</v>
      </c>
      <c r="AI191" s="305">
        <v>-530008825</v>
      </c>
      <c r="AJ191" s="305">
        <v>0</v>
      </c>
      <c r="AK191" s="305">
        <v>0</v>
      </c>
      <c r="AL191" s="305">
        <v>0</v>
      </c>
      <c r="AM191" s="305">
        <v>0</v>
      </c>
      <c r="AN191" s="305">
        <v>0</v>
      </c>
      <c r="AO191" s="305">
        <v>0</v>
      </c>
      <c r="AP191" s="305">
        <v>0</v>
      </c>
      <c r="AQ191" s="305">
        <v>0</v>
      </c>
      <c r="AR191" s="305">
        <f t="shared" ca="1" si="51"/>
        <v>-11412079532</v>
      </c>
      <c r="AS191">
        <f t="shared" ca="1" si="38"/>
        <v>0</v>
      </c>
    </row>
    <row r="192" spans="1:45">
      <c r="A192" t="s">
        <v>198</v>
      </c>
      <c r="B192" t="s">
        <v>230</v>
      </c>
      <c r="D192" s="298" t="s">
        <v>51</v>
      </c>
      <c r="E192" s="333">
        <v>-23270975034</v>
      </c>
      <c r="F192" s="333">
        <v>-1343945791</v>
      </c>
      <c r="G192" s="333">
        <v>-52707132900</v>
      </c>
      <c r="H192" s="333">
        <v>-32847116763</v>
      </c>
      <c r="I192" s="333">
        <v>-32201413154</v>
      </c>
      <c r="J192" s="333">
        <v>-26150974323</v>
      </c>
      <c r="K192" s="333">
        <v>59894819254</v>
      </c>
      <c r="L192" s="333">
        <v>22973774841</v>
      </c>
      <c r="M192" s="333">
        <v>57520546</v>
      </c>
      <c r="N192" s="333">
        <v>14505150483</v>
      </c>
      <c r="O192" s="333">
        <v>-49344151598</v>
      </c>
      <c r="P192" s="333">
        <v>-1703229829.9999998</v>
      </c>
      <c r="Q192" s="333">
        <f t="shared" ca="1" si="49"/>
        <v>-142370583642</v>
      </c>
      <c r="R192" s="333">
        <v>73442833735.000107</v>
      </c>
      <c r="S192" s="333">
        <v>48071415904.999901</v>
      </c>
      <c r="T192" s="333">
        <v>-17204590181</v>
      </c>
      <c r="U192" s="333">
        <v>-31578643179</v>
      </c>
      <c r="V192" s="333">
        <v>-24664732507</v>
      </c>
      <c r="W192" s="333">
        <v>-17259429454</v>
      </c>
      <c r="X192" s="333">
        <v>-28403748185.999901</v>
      </c>
      <c r="Y192" s="333">
        <v>-32846855547</v>
      </c>
      <c r="Z192" s="333">
        <v>27488458719.999901</v>
      </c>
      <c r="AA192" s="333">
        <v>67153057901</v>
      </c>
      <c r="AB192" s="333">
        <v>-1637423795</v>
      </c>
      <c r="AC192" s="333">
        <v>-21426266508</v>
      </c>
      <c r="AD192" s="333">
        <f t="shared" ca="1" si="50"/>
        <v>48066283773</v>
      </c>
      <c r="AE192" s="318">
        <f t="shared" ca="1" si="37"/>
        <v>-24664732507</v>
      </c>
      <c r="AF192" s="333">
        <v>46460499880</v>
      </c>
      <c r="AG192" s="333">
        <v>-4096008092</v>
      </c>
      <c r="AH192" s="333">
        <v>51259880023</v>
      </c>
      <c r="AI192" s="333">
        <v>88205294239</v>
      </c>
      <c r="AJ192" s="333">
        <v>0</v>
      </c>
      <c r="AK192" s="333">
        <v>0</v>
      </c>
      <c r="AL192" s="333">
        <v>0</v>
      </c>
      <c r="AM192" s="333">
        <v>0</v>
      </c>
      <c r="AN192" s="333">
        <v>0</v>
      </c>
      <c r="AO192" s="333">
        <v>0</v>
      </c>
      <c r="AP192" s="333">
        <v>0</v>
      </c>
      <c r="AQ192" s="333">
        <v>0</v>
      </c>
      <c r="AR192" s="305">
        <f t="shared" ca="1" si="51"/>
        <v>181829666050</v>
      </c>
      <c r="AS192">
        <f t="shared" ca="1" si="38"/>
        <v>0</v>
      </c>
    </row>
    <row r="193" spans="1:45">
      <c r="A193" t="s">
        <v>199</v>
      </c>
      <c r="B193" t="s">
        <v>230</v>
      </c>
      <c r="D193" s="324" t="s">
        <v>200</v>
      </c>
      <c r="E193" s="305">
        <v>-4433253562</v>
      </c>
      <c r="F193" s="305">
        <v>-4806499635</v>
      </c>
      <c r="G193" s="305">
        <v>-1178976480</v>
      </c>
      <c r="H193" s="305">
        <v>-2137822833</v>
      </c>
      <c r="I193" s="305">
        <v>-1997868497</v>
      </c>
      <c r="J193" s="305">
        <v>-779289764</v>
      </c>
      <c r="K193" s="305">
        <v>-1731396930</v>
      </c>
      <c r="L193" s="305">
        <v>-587684497</v>
      </c>
      <c r="M193" s="305">
        <v>-737051257</v>
      </c>
      <c r="N193" s="305">
        <v>-2432817561</v>
      </c>
      <c r="O193" s="305">
        <v>-4956702014.9965801</v>
      </c>
      <c r="P193" s="305">
        <v>-10070018910.996582</v>
      </c>
      <c r="Q193" s="305">
        <f t="shared" ca="1" si="49"/>
        <v>-14554421007</v>
      </c>
      <c r="R193" s="305">
        <v>-9821622713</v>
      </c>
      <c r="S193" s="305">
        <v>-2791142302</v>
      </c>
      <c r="T193" s="305">
        <v>-5471315854</v>
      </c>
      <c r="U193" s="305">
        <v>-3883627959</v>
      </c>
      <c r="V193" s="305">
        <v>-9506285511</v>
      </c>
      <c r="W193" s="305">
        <v>-7002001812</v>
      </c>
      <c r="X193" s="305">
        <v>1109740305</v>
      </c>
      <c r="Y193" s="305">
        <v>-4865692586</v>
      </c>
      <c r="Z193" s="305">
        <v>-12299284463</v>
      </c>
      <c r="AA193" s="305">
        <v>-16012258392</v>
      </c>
      <c r="AB193" s="305">
        <v>-5017993937</v>
      </c>
      <c r="AC193" s="305">
        <v>-11567056729</v>
      </c>
      <c r="AD193" s="305">
        <f t="shared" ca="1" si="50"/>
        <v>-31473994339</v>
      </c>
      <c r="AE193" s="318">
        <f t="shared" ca="1" si="37"/>
        <v>-9506285511</v>
      </c>
      <c r="AF193" s="305">
        <v>1844370204</v>
      </c>
      <c r="AG193" s="305">
        <v>-22551974424</v>
      </c>
      <c r="AH193" s="305">
        <v>-6819813192</v>
      </c>
      <c r="AI193" s="305">
        <v>-24665546926</v>
      </c>
      <c r="AJ193" s="305">
        <v>0</v>
      </c>
      <c r="AK193" s="305">
        <v>0</v>
      </c>
      <c r="AL193" s="305">
        <v>0</v>
      </c>
      <c r="AM193" s="305">
        <v>0</v>
      </c>
      <c r="AN193" s="305">
        <v>0</v>
      </c>
      <c r="AO193" s="305">
        <v>0</v>
      </c>
      <c r="AP193" s="305">
        <v>0</v>
      </c>
      <c r="AQ193" s="305">
        <v>0</v>
      </c>
      <c r="AR193" s="305">
        <f t="shared" ca="1" si="51"/>
        <v>-52192964338</v>
      </c>
      <c r="AS193">
        <f t="shared" ca="1" si="38"/>
        <v>0</v>
      </c>
    </row>
    <row r="194" spans="1:45">
      <c r="A194" t="s">
        <v>201</v>
      </c>
      <c r="B194" t="s">
        <v>230</v>
      </c>
      <c r="D194" s="324" t="s">
        <v>202</v>
      </c>
      <c r="E194" s="305">
        <v>0</v>
      </c>
      <c r="F194" s="305">
        <v>0</v>
      </c>
      <c r="G194" s="305">
        <v>0</v>
      </c>
      <c r="H194" s="305">
        <v>81700000</v>
      </c>
      <c r="I194" s="305">
        <v>0</v>
      </c>
      <c r="J194" s="305">
        <v>0</v>
      </c>
      <c r="K194" s="305">
        <v>0</v>
      </c>
      <c r="L194" s="305">
        <v>0</v>
      </c>
      <c r="M194" s="305">
        <v>0</v>
      </c>
      <c r="N194" s="305">
        <v>0</v>
      </c>
      <c r="O194" s="305">
        <v>0</v>
      </c>
      <c r="P194" s="305">
        <v>0</v>
      </c>
      <c r="Q194" s="305">
        <f t="shared" ca="1" si="49"/>
        <v>81700000</v>
      </c>
      <c r="R194" s="305">
        <v>0</v>
      </c>
      <c r="S194" s="305">
        <v>0</v>
      </c>
      <c r="T194" s="305">
        <v>0</v>
      </c>
      <c r="U194" s="305">
        <v>623633187</v>
      </c>
      <c r="V194" s="305">
        <v>95000000</v>
      </c>
      <c r="W194" s="305">
        <v>226000000</v>
      </c>
      <c r="X194" s="305">
        <v>0</v>
      </c>
      <c r="Y194" s="305">
        <v>226000000</v>
      </c>
      <c r="Z194" s="305">
        <v>0</v>
      </c>
      <c r="AA194" s="305">
        <v>0</v>
      </c>
      <c r="AB194" s="305">
        <v>0</v>
      </c>
      <c r="AC194" s="305">
        <v>0</v>
      </c>
      <c r="AD194" s="305">
        <f t="shared" ca="1" si="50"/>
        <v>718633187</v>
      </c>
      <c r="AE194" s="318">
        <f t="shared" ca="1" si="37"/>
        <v>95000000</v>
      </c>
      <c r="AF194" s="305">
        <v>0</v>
      </c>
      <c r="AG194" s="305">
        <v>0</v>
      </c>
      <c r="AH194" s="305">
        <v>0</v>
      </c>
      <c r="AI194" s="305">
        <v>0</v>
      </c>
      <c r="AJ194" s="305">
        <v>0</v>
      </c>
      <c r="AK194" s="305">
        <v>0</v>
      </c>
      <c r="AL194" s="305">
        <v>0</v>
      </c>
      <c r="AM194" s="305">
        <v>0</v>
      </c>
      <c r="AN194" s="305">
        <v>0</v>
      </c>
      <c r="AO194" s="305">
        <v>0</v>
      </c>
      <c r="AP194" s="305">
        <v>0</v>
      </c>
      <c r="AQ194" s="305">
        <v>0</v>
      </c>
      <c r="AR194" s="305">
        <f t="shared" ca="1" si="51"/>
        <v>0</v>
      </c>
      <c r="AS194">
        <f t="shared" ca="1" si="38"/>
        <v>0</v>
      </c>
    </row>
    <row r="195" spans="1:45">
      <c r="A195" t="s">
        <v>203</v>
      </c>
      <c r="B195" t="s">
        <v>230</v>
      </c>
      <c r="D195" s="324" t="s">
        <v>204</v>
      </c>
      <c r="E195" s="305">
        <v>0</v>
      </c>
      <c r="F195" s="305">
        <v>0</v>
      </c>
      <c r="G195" s="305">
        <v>0</v>
      </c>
      <c r="H195" s="305">
        <v>0</v>
      </c>
      <c r="I195" s="305">
        <v>0</v>
      </c>
      <c r="J195" s="305">
        <v>0</v>
      </c>
      <c r="K195" s="305">
        <v>0</v>
      </c>
      <c r="L195" s="305">
        <v>0</v>
      </c>
      <c r="M195" s="305">
        <v>0</v>
      </c>
      <c r="N195" s="305">
        <v>0</v>
      </c>
      <c r="O195" s="305">
        <v>0</v>
      </c>
      <c r="P195" s="305">
        <v>0</v>
      </c>
      <c r="Q195" s="305">
        <f t="shared" ca="1" si="49"/>
        <v>0</v>
      </c>
      <c r="R195" s="305">
        <v>-2000000000</v>
      </c>
      <c r="S195" s="305">
        <v>2000000000</v>
      </c>
      <c r="T195" s="305">
        <v>-37000000000</v>
      </c>
      <c r="U195" s="305">
        <v>-30000000000</v>
      </c>
      <c r="V195" s="305">
        <v>-10000000000</v>
      </c>
      <c r="W195" s="305">
        <v>0</v>
      </c>
      <c r="X195" s="305">
        <v>0</v>
      </c>
      <c r="Y195" s="305">
        <v>0</v>
      </c>
      <c r="Z195" s="305">
        <v>0</v>
      </c>
      <c r="AA195" s="305">
        <v>-20000000000</v>
      </c>
      <c r="AB195" s="305">
        <v>-20000000000</v>
      </c>
      <c r="AC195" s="305">
        <v>0</v>
      </c>
      <c r="AD195" s="305">
        <f t="shared" ca="1" si="50"/>
        <v>-77000000000</v>
      </c>
      <c r="AE195" s="318">
        <f t="shared" ca="1" si="37"/>
        <v>-10000000000</v>
      </c>
      <c r="AF195" s="305">
        <v>0</v>
      </c>
      <c r="AG195" s="305">
        <v>-12000000000</v>
      </c>
      <c r="AH195" s="305">
        <v>-18200000000</v>
      </c>
      <c r="AI195" s="305">
        <v>-20800000000</v>
      </c>
      <c r="AJ195" s="305">
        <v>0</v>
      </c>
      <c r="AK195" s="305">
        <v>0</v>
      </c>
      <c r="AL195" s="305">
        <v>0</v>
      </c>
      <c r="AM195" s="305">
        <v>0</v>
      </c>
      <c r="AN195" s="305">
        <v>0</v>
      </c>
      <c r="AO195" s="305">
        <v>0</v>
      </c>
      <c r="AP195" s="305">
        <v>0</v>
      </c>
      <c r="AQ195" s="305">
        <v>0</v>
      </c>
      <c r="AR195" s="305">
        <f t="shared" ca="1" si="51"/>
        <v>-51000000000</v>
      </c>
      <c r="AS195">
        <f t="shared" ca="1" si="38"/>
        <v>0</v>
      </c>
    </row>
    <row r="196" spans="1:45">
      <c r="A196" t="s">
        <v>205</v>
      </c>
      <c r="B196" t="s">
        <v>230</v>
      </c>
      <c r="D196" s="324" t="s">
        <v>206</v>
      </c>
      <c r="E196" s="305">
        <v>0</v>
      </c>
      <c r="F196" s="305">
        <v>0</v>
      </c>
      <c r="G196" s="305">
        <v>0</v>
      </c>
      <c r="H196" s="305">
        <v>0</v>
      </c>
      <c r="I196" s="305">
        <v>0</v>
      </c>
      <c r="J196" s="305">
        <v>0</v>
      </c>
      <c r="K196" s="305">
        <v>0</v>
      </c>
      <c r="L196" s="305">
        <v>0</v>
      </c>
      <c r="M196" s="305">
        <v>0</v>
      </c>
      <c r="N196" s="305">
        <v>0</v>
      </c>
      <c r="O196" s="305">
        <v>0</v>
      </c>
      <c r="P196" s="305">
        <v>0</v>
      </c>
      <c r="Q196" s="305">
        <f t="shared" ca="1" si="49"/>
        <v>0</v>
      </c>
      <c r="R196" s="305">
        <v>0</v>
      </c>
      <c r="S196" s="305">
        <v>0</v>
      </c>
      <c r="T196" s="305">
        <v>0</v>
      </c>
      <c r="U196" s="305">
        <v>5500000000</v>
      </c>
      <c r="V196" s="305">
        <v>0</v>
      </c>
      <c r="W196" s="305">
        <v>0</v>
      </c>
      <c r="X196" s="305">
        <v>15000000000</v>
      </c>
      <c r="Y196" s="305">
        <v>0</v>
      </c>
      <c r="Z196" s="305">
        <v>12000000000</v>
      </c>
      <c r="AA196" s="305">
        <v>10000000000</v>
      </c>
      <c r="AB196" s="305">
        <v>30000000000</v>
      </c>
      <c r="AC196" s="305">
        <v>25000000000</v>
      </c>
      <c r="AD196" s="305">
        <f t="shared" ca="1" si="50"/>
        <v>5500000000</v>
      </c>
      <c r="AE196" s="318">
        <f t="shared" ca="1" si="37"/>
        <v>0</v>
      </c>
      <c r="AF196" s="305">
        <v>0</v>
      </c>
      <c r="AG196" s="305">
        <v>0</v>
      </c>
      <c r="AH196" s="305">
        <v>3000000000</v>
      </c>
      <c r="AI196" s="305">
        <v>6200000000</v>
      </c>
      <c r="AJ196" s="305">
        <v>0</v>
      </c>
      <c r="AK196" s="305">
        <v>0</v>
      </c>
      <c r="AL196" s="305">
        <v>0</v>
      </c>
      <c r="AM196" s="305">
        <v>0</v>
      </c>
      <c r="AN196" s="305">
        <v>0</v>
      </c>
      <c r="AO196" s="305">
        <v>0</v>
      </c>
      <c r="AP196" s="305">
        <v>0</v>
      </c>
      <c r="AQ196" s="305">
        <v>0</v>
      </c>
      <c r="AR196" s="305">
        <f t="shared" ca="1" si="51"/>
        <v>9200000000</v>
      </c>
      <c r="AS196">
        <f t="shared" ca="1" si="38"/>
        <v>0</v>
      </c>
    </row>
    <row r="197" spans="1:45">
      <c r="A197" t="s">
        <v>207</v>
      </c>
      <c r="B197" t="s">
        <v>230</v>
      </c>
      <c r="D197" s="324" t="s">
        <v>208</v>
      </c>
      <c r="E197" s="305">
        <v>885558874192.6261</v>
      </c>
      <c r="F197" s="305">
        <v>526284016390.90454</v>
      </c>
      <c r="G197" s="305">
        <v>751714312822.89343</v>
      </c>
      <c r="H197" s="305">
        <v>784721392986.20325</v>
      </c>
      <c r="I197" s="305">
        <v>786058858555.4469</v>
      </c>
      <c r="J197" s="305">
        <v>581572850699.71826</v>
      </c>
      <c r="K197" s="305">
        <v>489164367947.47614</v>
      </c>
      <c r="L197" s="305">
        <v>828293966011.03259</v>
      </c>
      <c r="M197" s="305">
        <v>1012427282446.865</v>
      </c>
      <c r="N197" s="305">
        <v>905198821531.76135</v>
      </c>
      <c r="O197" s="305">
        <v>807471214902.64673</v>
      </c>
      <c r="P197" s="305">
        <v>2972438731924.7832</v>
      </c>
      <c r="Q197" s="305">
        <f t="shared" ca="1" si="49"/>
        <v>3734337454948.0742</v>
      </c>
      <c r="R197" s="305">
        <v>2514870823670.7734</v>
      </c>
      <c r="S197" s="305">
        <v>2073953451971.5474</v>
      </c>
      <c r="T197" s="305">
        <v>2561243256795.1631</v>
      </c>
      <c r="U197" s="305">
        <v>3041075549520.293</v>
      </c>
      <c r="V197" s="305">
        <v>3232938563083.7529</v>
      </c>
      <c r="W197" s="305">
        <v>3181041907007.5298</v>
      </c>
      <c r="X197" s="305">
        <v>3402035065389.8989</v>
      </c>
      <c r="Y197" s="305">
        <v>3910755759930.8887</v>
      </c>
      <c r="Z197" s="305">
        <v>3542127575144.3623</v>
      </c>
      <c r="AA197" s="305">
        <v>3131667589942.1768</v>
      </c>
      <c r="AB197" s="305">
        <v>3038980948650.5313</v>
      </c>
      <c r="AC197" s="305">
        <v>3053796631194.3037</v>
      </c>
      <c r="AD197" s="305">
        <f t="shared" ca="1" si="50"/>
        <v>13424081645041.531</v>
      </c>
      <c r="AE197" s="318">
        <f t="shared" ca="1" si="37"/>
        <v>3232938563083.7539</v>
      </c>
      <c r="AF197" s="305">
        <v>67565511</v>
      </c>
      <c r="AG197" s="305">
        <v>27624348</v>
      </c>
      <c r="AH197" s="305">
        <v>2057170916</v>
      </c>
      <c r="AI197" s="305">
        <v>1975289056</v>
      </c>
      <c r="AJ197" s="305">
        <v>0</v>
      </c>
      <c r="AK197" s="305">
        <v>0</v>
      </c>
      <c r="AL197" s="305">
        <v>0</v>
      </c>
      <c r="AM197" s="305">
        <v>0</v>
      </c>
      <c r="AN197" s="305">
        <v>0</v>
      </c>
      <c r="AO197" s="305">
        <v>0</v>
      </c>
      <c r="AP197" s="305">
        <v>0</v>
      </c>
      <c r="AQ197" s="305">
        <v>0</v>
      </c>
      <c r="AR197" s="305">
        <f t="shared" ca="1" si="51"/>
        <v>4127649831</v>
      </c>
      <c r="AS197">
        <f t="shared" ca="1" si="38"/>
        <v>0</v>
      </c>
    </row>
    <row r="198" spans="1:45">
      <c r="A198" t="s">
        <v>209</v>
      </c>
      <c r="B198" t="s">
        <v>230</v>
      </c>
      <c r="D198" s="298" t="s">
        <v>54</v>
      </c>
      <c r="E198" s="333">
        <v>-4423845414</v>
      </c>
      <c r="F198" s="333">
        <v>-4795608259</v>
      </c>
      <c r="G198" s="333">
        <v>-997378566</v>
      </c>
      <c r="H198" s="333">
        <v>-2044694191</v>
      </c>
      <c r="I198" s="333">
        <v>-1986523247</v>
      </c>
      <c r="J198" s="333">
        <v>-766522032</v>
      </c>
      <c r="K198" s="333">
        <v>-1698024960</v>
      </c>
      <c r="L198" s="333">
        <v>-576143181</v>
      </c>
      <c r="M198" s="333">
        <v>-1555185521</v>
      </c>
      <c r="N198" s="333">
        <v>-2224570304</v>
      </c>
      <c r="O198" s="333">
        <v>-4944370080.9965801</v>
      </c>
      <c r="P198" s="333">
        <v>-8744302137.996582</v>
      </c>
      <c r="Q198" s="333">
        <f t="shared" ca="1" si="49"/>
        <v>-14248049677</v>
      </c>
      <c r="R198" s="333">
        <v>-11366773112</v>
      </c>
      <c r="S198" s="333">
        <v>504384952</v>
      </c>
      <c r="T198" s="333">
        <v>-42460019097</v>
      </c>
      <c r="U198" s="333">
        <v>-27697743736</v>
      </c>
      <c r="V198" s="333">
        <v>-19399494413</v>
      </c>
      <c r="W198" s="333">
        <v>-6764554222</v>
      </c>
      <c r="X198" s="333">
        <v>16167149121</v>
      </c>
      <c r="Y198" s="333">
        <v>-4631401201</v>
      </c>
      <c r="Z198" s="333">
        <v>-290837778</v>
      </c>
      <c r="AA198" s="333">
        <v>-25242055309</v>
      </c>
      <c r="AB198" s="333">
        <v>5070722973</v>
      </c>
      <c r="AC198" s="333">
        <v>13809649270</v>
      </c>
      <c r="AD198" s="333">
        <f t="shared" ca="1" si="50"/>
        <v>-100419645406</v>
      </c>
      <c r="AE198" s="318">
        <f t="shared" ca="1" si="37"/>
        <v>-19399494413</v>
      </c>
      <c r="AF198" s="333">
        <v>1911935715</v>
      </c>
      <c r="AG198" s="333">
        <v>-34524350076</v>
      </c>
      <c r="AH198" s="333">
        <v>-19962642276</v>
      </c>
      <c r="AI198" s="333">
        <v>-37290257870</v>
      </c>
      <c r="AJ198" s="333">
        <v>0</v>
      </c>
      <c r="AK198" s="333">
        <v>0</v>
      </c>
      <c r="AL198" s="333">
        <v>0</v>
      </c>
      <c r="AM198" s="333">
        <v>0</v>
      </c>
      <c r="AN198" s="333">
        <v>0</v>
      </c>
      <c r="AO198" s="333">
        <v>0</v>
      </c>
      <c r="AP198" s="333">
        <v>0</v>
      </c>
      <c r="AQ198" s="333">
        <v>0</v>
      </c>
      <c r="AR198" s="305">
        <f t="shared" ca="1" si="51"/>
        <v>-89865314507</v>
      </c>
      <c r="AS198">
        <f t="shared" ca="1" si="38"/>
        <v>0</v>
      </c>
    </row>
    <row r="199" spans="1:45">
      <c r="A199" t="s">
        <v>210</v>
      </c>
      <c r="B199" t="s">
        <v>230</v>
      </c>
      <c r="D199" s="324" t="s">
        <v>211</v>
      </c>
      <c r="E199" s="305">
        <v>57270669795</v>
      </c>
      <c r="F199" s="305">
        <v>2700000000</v>
      </c>
      <c r="G199" s="305">
        <v>51941747542</v>
      </c>
      <c r="H199" s="305">
        <v>43144705866</v>
      </c>
      <c r="I199" s="305">
        <v>34881897765</v>
      </c>
      <c r="J199" s="305">
        <v>19187776584</v>
      </c>
      <c r="K199" s="305">
        <v>4706000000</v>
      </c>
      <c r="L199" s="305">
        <v>51191060696</v>
      </c>
      <c r="M199" s="305">
        <v>84691804308</v>
      </c>
      <c r="N199" s="305">
        <v>102825721496</v>
      </c>
      <c r="O199" s="305">
        <v>83853569555</v>
      </c>
      <c r="P199" s="305">
        <v>37383794832</v>
      </c>
      <c r="Q199" s="305">
        <f t="shared" ca="1" si="49"/>
        <v>189939020968</v>
      </c>
      <c r="R199" s="305">
        <v>2310562000</v>
      </c>
      <c r="S199" s="305">
        <v>5428000000</v>
      </c>
      <c r="T199" s="305">
        <v>58529191203</v>
      </c>
      <c r="U199" s="305">
        <v>90358841948</v>
      </c>
      <c r="V199" s="305">
        <v>46360978617</v>
      </c>
      <c r="W199" s="305">
        <v>47723278583</v>
      </c>
      <c r="X199" s="305">
        <v>49379624959</v>
      </c>
      <c r="Y199" s="305">
        <v>76433887270</v>
      </c>
      <c r="Z199" s="305">
        <v>74543374853</v>
      </c>
      <c r="AA199" s="305">
        <v>35990648109</v>
      </c>
      <c r="AB199" s="305">
        <v>46874996976</v>
      </c>
      <c r="AC199" s="305">
        <v>40177257513</v>
      </c>
      <c r="AD199" s="305">
        <f t="shared" ca="1" si="50"/>
        <v>202987573768</v>
      </c>
      <c r="AE199" s="318">
        <f t="shared" ca="1" si="37"/>
        <v>46360978617</v>
      </c>
      <c r="AF199" s="305">
        <v>56609988510</v>
      </c>
      <c r="AG199" s="305">
        <v>47431035680</v>
      </c>
      <c r="AH199" s="305">
        <v>28824946157</v>
      </c>
      <c r="AI199" s="305">
        <v>0</v>
      </c>
      <c r="AJ199" s="305">
        <v>0</v>
      </c>
      <c r="AK199" s="305">
        <v>0</v>
      </c>
      <c r="AL199" s="305">
        <v>0</v>
      </c>
      <c r="AM199" s="305">
        <v>0</v>
      </c>
      <c r="AN199" s="305">
        <v>0</v>
      </c>
      <c r="AO199" s="305">
        <v>0</v>
      </c>
      <c r="AP199" s="305">
        <v>0</v>
      </c>
      <c r="AQ199" s="305">
        <v>0</v>
      </c>
      <c r="AR199" s="305">
        <f t="shared" ca="1" si="51"/>
        <v>132865970347</v>
      </c>
      <c r="AS199">
        <f t="shared" ca="1" si="38"/>
        <v>0</v>
      </c>
    </row>
    <row r="200" spans="1:45">
      <c r="A200" t="s">
        <v>212</v>
      </c>
      <c r="B200" t="s">
        <v>230</v>
      </c>
      <c r="D200" s="324" t="s">
        <v>213</v>
      </c>
      <c r="E200" s="305">
        <v>832702641663.6261</v>
      </c>
      <c r="F200" s="305">
        <v>528368733273.90454</v>
      </c>
      <c r="G200" s="305">
        <v>700588345932.89343</v>
      </c>
      <c r="H200" s="305">
        <v>743609952669.20325</v>
      </c>
      <c r="I200" s="305">
        <v>753152138787.4469</v>
      </c>
      <c r="J200" s="305">
        <v>563138828415.71814</v>
      </c>
      <c r="K200" s="305">
        <v>486123020937.47614</v>
      </c>
      <c r="L200" s="305">
        <v>777667507180.03259</v>
      </c>
      <c r="M200" s="305">
        <v>930108797923.86475</v>
      </c>
      <c r="N200" s="305">
        <v>804389423082.76135</v>
      </c>
      <c r="O200" s="305">
        <v>708549683494.64343</v>
      </c>
      <c r="P200" s="305">
        <v>2942473522457.7798</v>
      </c>
      <c r="Q200" s="305">
        <f t="shared" ca="1" si="49"/>
        <v>3558421812327.0742</v>
      </c>
      <c r="R200" s="305">
        <v>2523472185181.7734</v>
      </c>
      <c r="S200" s="305">
        <v>2066725539765.5474</v>
      </c>
      <c r="T200" s="305">
        <v>2545162787932.1631</v>
      </c>
      <c r="U200" s="305">
        <v>2978352200272.293</v>
      </c>
      <c r="V200" s="305">
        <v>3205965287781.7529</v>
      </c>
      <c r="W200" s="305">
        <v>3140071735056.5298</v>
      </c>
      <c r="X200" s="305">
        <v>3336430882493.8989</v>
      </c>
      <c r="Y200" s="305">
        <v>3838944982476.8887</v>
      </c>
      <c r="Z200" s="305">
        <v>3467866591384.3623</v>
      </c>
      <c r="AA200" s="305">
        <v>3120148794059.1768</v>
      </c>
      <c r="AB200" s="305">
        <v>2986446511791.5313</v>
      </c>
      <c r="AC200" s="305">
        <v>2993933018412.3037</v>
      </c>
      <c r="AD200" s="305">
        <f t="shared" ca="1" si="50"/>
        <v>13319678000933.531</v>
      </c>
      <c r="AE200" s="318">
        <f t="shared" ca="1" si="37"/>
        <v>3205965287781.7539</v>
      </c>
      <c r="AF200" s="305">
        <v>-102926582542</v>
      </c>
      <c r="AG200" s="305">
        <v>-10475826748</v>
      </c>
      <c r="AH200" s="305">
        <v>-72234341824</v>
      </c>
      <c r="AI200" s="305">
        <v>-32222541860</v>
      </c>
      <c r="AJ200" s="305">
        <v>0</v>
      </c>
      <c r="AK200" s="305">
        <v>0</v>
      </c>
      <c r="AL200" s="305">
        <v>0</v>
      </c>
      <c r="AM200" s="305">
        <v>0</v>
      </c>
      <c r="AN200" s="305">
        <v>0</v>
      </c>
      <c r="AO200" s="305">
        <v>0</v>
      </c>
      <c r="AP200" s="305">
        <v>0</v>
      </c>
      <c r="AQ200" s="305">
        <v>0</v>
      </c>
      <c r="AR200" s="305">
        <f t="shared" ca="1" si="51"/>
        <v>-217859292974</v>
      </c>
      <c r="AS200">
        <f t="shared" ca="1" si="38"/>
        <v>0</v>
      </c>
    </row>
    <row r="201" spans="1:45">
      <c r="A201" t="s">
        <v>214</v>
      </c>
      <c r="B201" t="s">
        <v>230</v>
      </c>
      <c r="D201" s="324" t="s">
        <v>215</v>
      </c>
      <c r="E201" s="305">
        <v>0</v>
      </c>
      <c r="F201" s="305">
        <v>0</v>
      </c>
      <c r="G201" s="305">
        <v>0</v>
      </c>
      <c r="H201" s="305">
        <v>0</v>
      </c>
      <c r="I201" s="305">
        <v>0</v>
      </c>
      <c r="J201" s="305">
        <v>0</v>
      </c>
      <c r="K201" s="305">
        <v>0</v>
      </c>
      <c r="L201" s="305">
        <v>0</v>
      </c>
      <c r="M201" s="305">
        <v>0</v>
      </c>
      <c r="N201" s="305">
        <v>0</v>
      </c>
      <c r="O201" s="305">
        <v>20000000000</v>
      </c>
      <c r="P201" s="305">
        <v>0</v>
      </c>
      <c r="Q201" s="305">
        <f t="shared" ca="1" si="49"/>
        <v>0</v>
      </c>
      <c r="R201" s="305">
        <v>0</v>
      </c>
      <c r="S201" s="305">
        <v>0</v>
      </c>
      <c r="T201" s="305">
        <v>0</v>
      </c>
      <c r="U201" s="305">
        <v>0</v>
      </c>
      <c r="V201" s="305">
        <v>0</v>
      </c>
      <c r="W201" s="305">
        <v>0</v>
      </c>
      <c r="X201" s="305">
        <v>0</v>
      </c>
      <c r="Y201" s="305">
        <v>0</v>
      </c>
      <c r="Z201" s="305">
        <v>0</v>
      </c>
      <c r="AA201" s="305">
        <v>0</v>
      </c>
      <c r="AB201" s="305">
        <v>500000000</v>
      </c>
      <c r="AC201" s="305">
        <v>5500000000</v>
      </c>
      <c r="AD201" s="305">
        <f t="shared" ca="1" si="50"/>
        <v>0</v>
      </c>
      <c r="AE201" s="318">
        <f t="shared" ca="1" si="37"/>
        <v>0</v>
      </c>
      <c r="AF201" s="305">
        <v>94000000000</v>
      </c>
      <c r="AG201" s="305">
        <v>0</v>
      </c>
      <c r="AH201" s="305">
        <v>0</v>
      </c>
      <c r="AI201" s="305">
        <v>0</v>
      </c>
      <c r="AJ201" s="305">
        <v>0</v>
      </c>
      <c r="AK201" s="305">
        <v>0</v>
      </c>
      <c r="AL201" s="305">
        <v>0</v>
      </c>
      <c r="AM201" s="305">
        <v>0</v>
      </c>
      <c r="AN201" s="305">
        <v>0</v>
      </c>
      <c r="AO201" s="305">
        <v>0</v>
      </c>
      <c r="AP201" s="305">
        <v>0</v>
      </c>
      <c r="AQ201" s="305">
        <v>0</v>
      </c>
      <c r="AR201" s="305">
        <f t="shared" ca="1" si="51"/>
        <v>94000000000</v>
      </c>
      <c r="AS201">
        <f t="shared" ca="1" si="38"/>
        <v>0</v>
      </c>
    </row>
    <row r="202" spans="1:45">
      <c r="A202" t="s">
        <v>216</v>
      </c>
      <c r="B202" t="s">
        <v>230</v>
      </c>
      <c r="D202" s="324" t="s">
        <v>217</v>
      </c>
      <c r="E202" s="305">
        <v>0</v>
      </c>
      <c r="F202" s="305">
        <v>0</v>
      </c>
      <c r="G202" s="305">
        <v>0</v>
      </c>
      <c r="H202" s="305">
        <v>0</v>
      </c>
      <c r="I202" s="305">
        <v>0</v>
      </c>
      <c r="J202" s="305">
        <v>0</v>
      </c>
      <c r="K202" s="305">
        <v>0</v>
      </c>
      <c r="L202" s="305">
        <v>0</v>
      </c>
      <c r="M202" s="305">
        <v>0</v>
      </c>
      <c r="N202" s="305">
        <v>0</v>
      </c>
      <c r="O202" s="305">
        <v>0</v>
      </c>
      <c r="P202" s="305">
        <v>0</v>
      </c>
      <c r="Q202" s="305">
        <f t="shared" ca="1" si="49"/>
        <v>0</v>
      </c>
      <c r="R202" s="305">
        <v>0</v>
      </c>
      <c r="S202" s="305">
        <v>0</v>
      </c>
      <c r="T202" s="305">
        <v>0</v>
      </c>
      <c r="U202" s="305">
        <v>0</v>
      </c>
      <c r="V202" s="305">
        <v>0</v>
      </c>
      <c r="W202" s="305">
        <v>0</v>
      </c>
      <c r="X202" s="305">
        <v>0</v>
      </c>
      <c r="Y202" s="305">
        <v>0</v>
      </c>
      <c r="Z202" s="305">
        <v>0</v>
      </c>
      <c r="AA202" s="305">
        <v>0</v>
      </c>
      <c r="AB202" s="305">
        <v>0</v>
      </c>
      <c r="AC202" s="305">
        <v>0</v>
      </c>
      <c r="AD202" s="305">
        <f t="shared" ca="1" si="50"/>
        <v>0</v>
      </c>
      <c r="AE202" s="318">
        <f t="shared" ca="1" si="37"/>
        <v>0</v>
      </c>
      <c r="AF202" s="305">
        <v>0</v>
      </c>
      <c r="AG202" s="305">
        <v>0</v>
      </c>
      <c r="AH202" s="305">
        <v>0</v>
      </c>
      <c r="AI202" s="305">
        <v>0</v>
      </c>
      <c r="AJ202" s="305">
        <v>0</v>
      </c>
      <c r="AK202" s="305">
        <v>0</v>
      </c>
      <c r="AL202" s="305">
        <v>0</v>
      </c>
      <c r="AM202" s="305">
        <v>0</v>
      </c>
      <c r="AN202" s="305">
        <v>0</v>
      </c>
      <c r="AO202" s="305">
        <v>0</v>
      </c>
      <c r="AP202" s="305">
        <v>0</v>
      </c>
      <c r="AQ202" s="305">
        <v>0</v>
      </c>
      <c r="AR202" s="305">
        <f t="shared" ca="1" si="51"/>
        <v>0</v>
      </c>
      <c r="AS202">
        <f t="shared" ca="1" si="38"/>
        <v>0</v>
      </c>
    </row>
    <row r="203" spans="1:45">
      <c r="A203" t="s">
        <v>218</v>
      </c>
      <c r="B203" t="s">
        <v>230</v>
      </c>
      <c r="D203" s="324" t="s">
        <v>219</v>
      </c>
      <c r="E203" s="305">
        <v>0</v>
      </c>
      <c r="F203" s="305">
        <v>0</v>
      </c>
      <c r="G203" s="305">
        <v>0</v>
      </c>
      <c r="H203" s="305">
        <v>0</v>
      </c>
      <c r="I203" s="305">
        <v>0</v>
      </c>
      <c r="J203" s="305">
        <v>0</v>
      </c>
      <c r="K203" s="305">
        <v>0</v>
      </c>
      <c r="L203" s="305">
        <v>0</v>
      </c>
      <c r="M203" s="305">
        <v>0</v>
      </c>
      <c r="N203" s="305">
        <v>0</v>
      </c>
      <c r="O203" s="305">
        <v>0</v>
      </c>
      <c r="P203" s="305">
        <v>0</v>
      </c>
      <c r="Q203" s="305">
        <f t="shared" ca="1" si="49"/>
        <v>0</v>
      </c>
      <c r="R203" s="305">
        <v>0</v>
      </c>
      <c r="S203" s="305">
        <v>0</v>
      </c>
      <c r="T203" s="305">
        <v>0</v>
      </c>
      <c r="U203" s="305">
        <v>0</v>
      </c>
      <c r="V203" s="305">
        <v>0</v>
      </c>
      <c r="W203" s="305">
        <v>0</v>
      </c>
      <c r="X203" s="305">
        <v>0</v>
      </c>
      <c r="Y203" s="305">
        <v>0</v>
      </c>
      <c r="Z203" s="305">
        <v>0</v>
      </c>
      <c r="AA203" s="305">
        <v>0</v>
      </c>
      <c r="AB203" s="305">
        <v>0</v>
      </c>
      <c r="AC203" s="305">
        <v>0</v>
      </c>
      <c r="AD203" s="305">
        <f t="shared" ca="1" si="50"/>
        <v>0</v>
      </c>
      <c r="AE203" s="318">
        <f t="shared" ca="1" si="37"/>
        <v>0</v>
      </c>
      <c r="AF203" s="305">
        <v>0</v>
      </c>
      <c r="AG203" s="305">
        <v>0</v>
      </c>
      <c r="AH203" s="305">
        <v>0</v>
      </c>
      <c r="AI203" s="305">
        <v>0</v>
      </c>
      <c r="AJ203" s="305">
        <v>0</v>
      </c>
      <c r="AK203" s="305">
        <v>0</v>
      </c>
      <c r="AL203" s="305">
        <v>0</v>
      </c>
      <c r="AM203" s="305">
        <v>0</v>
      </c>
      <c r="AN203" s="305">
        <v>0</v>
      </c>
      <c r="AO203" s="305">
        <v>0</v>
      </c>
      <c r="AP203" s="305">
        <v>0</v>
      </c>
      <c r="AQ203" s="305">
        <v>0</v>
      </c>
      <c r="AR203" s="305">
        <f t="shared" ca="1" si="51"/>
        <v>0</v>
      </c>
      <c r="AS203">
        <f t="shared" ca="1" si="38"/>
        <v>0</v>
      </c>
    </row>
    <row r="204" spans="1:45">
      <c r="A204" t="s">
        <v>220</v>
      </c>
      <c r="B204" t="s">
        <v>230</v>
      </c>
      <c r="D204" s="298" t="s">
        <v>57</v>
      </c>
      <c r="E204" s="333">
        <v>57270669795</v>
      </c>
      <c r="F204" s="333">
        <v>-5068970250</v>
      </c>
      <c r="G204" s="333">
        <v>43925747542</v>
      </c>
      <c r="H204" s="333">
        <v>42849512474</v>
      </c>
      <c r="I204" s="333">
        <v>31975337765</v>
      </c>
      <c r="J204" s="333">
        <v>13171770787</v>
      </c>
      <c r="K204" s="333">
        <v>-21745297542</v>
      </c>
      <c r="L204" s="333">
        <v>-43503108243</v>
      </c>
      <c r="M204" s="333">
        <v>14200651422</v>
      </c>
      <c r="N204" s="333">
        <v>15875649102</v>
      </c>
      <c r="O204" s="333">
        <v>56856359504</v>
      </c>
      <c r="P204" s="333">
        <v>6547017054</v>
      </c>
      <c r="Q204" s="333">
        <f t="shared" ca="1" si="49"/>
        <v>170952297326</v>
      </c>
      <c r="R204" s="333">
        <v>-32192329733</v>
      </c>
      <c r="S204" s="333">
        <v>-95561562751</v>
      </c>
      <c r="T204" s="333">
        <v>53554413425</v>
      </c>
      <c r="U204" s="333">
        <v>73852915769</v>
      </c>
      <c r="V204" s="333">
        <v>23489579490</v>
      </c>
      <c r="W204" s="333">
        <v>16839228535</v>
      </c>
      <c r="X204" s="333">
        <v>11111720339</v>
      </c>
      <c r="Y204" s="333">
        <v>42673563192</v>
      </c>
      <c r="Z204" s="333">
        <v>13947478232</v>
      </c>
      <c r="AA204" s="333">
        <v>-51335281894</v>
      </c>
      <c r="AB204" s="333">
        <v>-7075872913</v>
      </c>
      <c r="AC204" s="333">
        <v>-6223844029</v>
      </c>
      <c r="AD204" s="333">
        <f t="shared" ca="1" si="50"/>
        <v>23143016200</v>
      </c>
      <c r="AE204" s="318">
        <f t="shared" ca="1" si="37"/>
        <v>23489579490</v>
      </c>
      <c r="AF204" s="333">
        <v>47683405968</v>
      </c>
      <c r="AG204" s="333">
        <v>36955208932</v>
      </c>
      <c r="AH204" s="333">
        <v>-43409395667</v>
      </c>
      <c r="AI204" s="333">
        <v>-32222541860</v>
      </c>
      <c r="AJ204" s="333">
        <v>0</v>
      </c>
      <c r="AK204" s="333">
        <v>0</v>
      </c>
      <c r="AL204" s="333">
        <v>0</v>
      </c>
      <c r="AM204" s="333">
        <v>0</v>
      </c>
      <c r="AN204" s="333">
        <v>0</v>
      </c>
      <c r="AO204" s="333">
        <v>0</v>
      </c>
      <c r="AP204" s="333">
        <v>0</v>
      </c>
      <c r="AQ204" s="333">
        <v>0</v>
      </c>
      <c r="AR204" s="305">
        <f t="shared" ca="1" si="51"/>
        <v>9006677373</v>
      </c>
      <c r="AS204">
        <f t="shared" ca="1" si="38"/>
        <v>0</v>
      </c>
    </row>
    <row r="205" spans="1:45">
      <c r="A205" t="s">
        <v>221</v>
      </c>
      <c r="B205" t="s">
        <v>230</v>
      </c>
      <c r="D205" s="335" t="s">
        <v>222</v>
      </c>
      <c r="E205" s="333">
        <v>29575849347</v>
      </c>
      <c r="F205" s="333">
        <v>-11208524300</v>
      </c>
      <c r="G205" s="333">
        <v>-9778763924</v>
      </c>
      <c r="H205" s="333">
        <v>7957701520</v>
      </c>
      <c r="I205" s="333">
        <v>-2212598636</v>
      </c>
      <c r="J205" s="333">
        <v>-13745725568</v>
      </c>
      <c r="K205" s="333">
        <v>36451496752</v>
      </c>
      <c r="L205" s="333">
        <v>-21105476583</v>
      </c>
      <c r="M205" s="333">
        <v>12702986447</v>
      </c>
      <c r="N205" s="333">
        <v>28156229281</v>
      </c>
      <c r="O205" s="333">
        <v>2567837825.003418</v>
      </c>
      <c r="P205" s="333">
        <v>-3900514913.996582</v>
      </c>
      <c r="Q205" s="333">
        <f t="shared" ca="1" si="49"/>
        <v>14333664007</v>
      </c>
      <c r="R205" s="333">
        <v>29883730890.000099</v>
      </c>
      <c r="S205" s="333">
        <v>-46985761894.000099</v>
      </c>
      <c r="T205" s="333">
        <v>-6110195852.999999</v>
      </c>
      <c r="U205" s="333">
        <v>14576528854</v>
      </c>
      <c r="V205" s="333">
        <v>-20574647430</v>
      </c>
      <c r="W205" s="333">
        <v>-7184755141</v>
      </c>
      <c r="X205" s="333">
        <v>-1124878725.9999003</v>
      </c>
      <c r="Y205" s="333">
        <v>5195306444</v>
      </c>
      <c r="Z205" s="333">
        <v>41145099173.999901</v>
      </c>
      <c r="AA205" s="333">
        <v>-9424279302</v>
      </c>
      <c r="AB205" s="333">
        <v>-3642573735</v>
      </c>
      <c r="AC205" s="333">
        <v>-13840461267</v>
      </c>
      <c r="AD205" s="333">
        <f t="shared" ca="1" si="50"/>
        <v>-29210345433</v>
      </c>
      <c r="AE205" s="318">
        <f t="shared" ca="1" si="37"/>
        <v>-20574647430</v>
      </c>
      <c r="AF205" s="333">
        <v>96055841563</v>
      </c>
      <c r="AG205" s="333">
        <v>-1665149236</v>
      </c>
      <c r="AH205" s="333">
        <v>-12112157920</v>
      </c>
      <c r="AI205" s="333">
        <v>18692494509</v>
      </c>
      <c r="AJ205" s="333">
        <v>0</v>
      </c>
      <c r="AK205" s="333">
        <v>0</v>
      </c>
      <c r="AL205" s="333">
        <v>0</v>
      </c>
      <c r="AM205" s="333">
        <v>0</v>
      </c>
      <c r="AN205" s="333">
        <v>0</v>
      </c>
      <c r="AO205" s="333">
        <v>0</v>
      </c>
      <c r="AP205" s="333">
        <v>0</v>
      </c>
      <c r="AQ205" s="333">
        <v>0</v>
      </c>
      <c r="AR205" s="305">
        <f t="shared" ca="1" si="51"/>
        <v>100971028916</v>
      </c>
      <c r="AS205">
        <f t="shared" ca="1" si="38"/>
        <v>0</v>
      </c>
    </row>
    <row r="206" spans="1:45">
      <c r="A206" t="s">
        <v>223</v>
      </c>
      <c r="B206" t="s">
        <v>230</v>
      </c>
      <c r="D206" s="298" t="s">
        <v>224</v>
      </c>
      <c r="E206" s="333">
        <v>17112680118</v>
      </c>
      <c r="F206" s="333">
        <v>46633249760</v>
      </c>
      <c r="G206" s="333">
        <v>35851802774</v>
      </c>
      <c r="H206" s="333">
        <v>26393055917</v>
      </c>
      <c r="I206" s="333">
        <v>34593153167</v>
      </c>
      <c r="J206" s="333">
        <v>33199136312</v>
      </c>
      <c r="K206" s="333">
        <v>19638634542</v>
      </c>
      <c r="L206" s="333">
        <v>56271006190</v>
      </c>
      <c r="M206" s="333">
        <v>35429490170</v>
      </c>
      <c r="N206" s="333">
        <v>48429525475</v>
      </c>
      <c r="O206" s="333">
        <v>78014775934</v>
      </c>
      <c r="P206" s="333">
        <v>81105192016.003418</v>
      </c>
      <c r="Q206" s="333">
        <f>E206</f>
        <v>17112680118</v>
      </c>
      <c r="R206" s="333">
        <v>78515947311.006836</v>
      </c>
      <c r="S206" s="333">
        <v>108757458297.00694</v>
      </c>
      <c r="T206" s="333">
        <v>63047560922.006836</v>
      </c>
      <c r="U206" s="333">
        <v>57546333332.006836</v>
      </c>
      <c r="V206" s="333">
        <v>72781093895.006836</v>
      </c>
      <c r="W206" s="333">
        <v>53850392378.006836</v>
      </c>
      <c r="X206" s="333">
        <v>47310681042.006836</v>
      </c>
      <c r="Y206" s="333">
        <v>46943683940.006935</v>
      </c>
      <c r="Z206" s="333">
        <v>52760383890.006935</v>
      </c>
      <c r="AA206" s="333">
        <v>94749581700.006836</v>
      </c>
      <c r="AB206" s="333">
        <v>86336513720.006836</v>
      </c>
      <c r="AC206" s="333">
        <v>82814145673.006836</v>
      </c>
      <c r="AD206" s="333">
        <f>R206</f>
        <v>78515947311.006836</v>
      </c>
      <c r="AE206" s="318">
        <f t="shared" ca="1" si="37"/>
        <v>72781093895.006836</v>
      </c>
      <c r="AF206" s="333">
        <v>63726156403.996582</v>
      </c>
      <c r="AG206" s="333">
        <v>160064376330.00684</v>
      </c>
      <c r="AH206" s="333">
        <v>158595220342.00684</v>
      </c>
      <c r="AI206" s="333">
        <v>147256262964</v>
      </c>
      <c r="AJ206" s="333">
        <v>0</v>
      </c>
      <c r="AK206" s="333">
        <v>0</v>
      </c>
      <c r="AL206" s="333">
        <v>0</v>
      </c>
      <c r="AM206" s="333">
        <v>0</v>
      </c>
      <c r="AN206" s="333">
        <v>0</v>
      </c>
      <c r="AO206" s="333">
        <v>0</v>
      </c>
      <c r="AP206" s="333">
        <v>0</v>
      </c>
      <c r="AQ206" s="333">
        <v>0</v>
      </c>
      <c r="AR206" s="305">
        <f t="shared" ca="1" si="51"/>
        <v>529642016040.01025</v>
      </c>
      <c r="AS206">
        <f t="shared" ca="1" si="38"/>
        <v>0</v>
      </c>
    </row>
    <row r="207" spans="1:45">
      <c r="A207" t="s">
        <v>225</v>
      </c>
      <c r="B207" t="s">
        <v>230</v>
      </c>
      <c r="D207" s="324" t="s">
        <v>226</v>
      </c>
      <c r="E207" s="305">
        <v>-55279705</v>
      </c>
      <c r="F207" s="305">
        <v>427077314</v>
      </c>
      <c r="G207" s="305">
        <v>320017067</v>
      </c>
      <c r="H207" s="305">
        <v>242395730</v>
      </c>
      <c r="I207" s="305">
        <v>818581781</v>
      </c>
      <c r="J207" s="305">
        <v>185223798</v>
      </c>
      <c r="K207" s="305">
        <v>180874896</v>
      </c>
      <c r="L207" s="305">
        <v>263960563</v>
      </c>
      <c r="M207" s="305">
        <v>297048858</v>
      </c>
      <c r="N207" s="305">
        <v>1429021178</v>
      </c>
      <c r="O207" s="305">
        <v>522578257</v>
      </c>
      <c r="P207" s="305">
        <v>1311270209</v>
      </c>
      <c r="Q207" s="305">
        <f ca="1">SUM(OFFSET(E207:P207,0,0,1,$AD$26))</f>
        <v>1752792187</v>
      </c>
      <c r="R207" s="305">
        <v>357780096</v>
      </c>
      <c r="S207" s="305">
        <v>1275864519</v>
      </c>
      <c r="T207" s="305">
        <v>608968263</v>
      </c>
      <c r="U207" s="305">
        <v>658231709</v>
      </c>
      <c r="V207" s="305">
        <v>1643945913</v>
      </c>
      <c r="W207" s="305">
        <v>645043805</v>
      </c>
      <c r="X207" s="305">
        <v>757881624</v>
      </c>
      <c r="Y207" s="305">
        <v>621393506</v>
      </c>
      <c r="Z207" s="305">
        <v>844098636</v>
      </c>
      <c r="AA207" s="305">
        <v>1011211322</v>
      </c>
      <c r="AB207" s="305">
        <v>120205688</v>
      </c>
      <c r="AC207" s="305">
        <v>252471998</v>
      </c>
      <c r="AD207" s="305">
        <f t="shared" ref="AD207" ca="1" si="52">SUM(OFFSET(R207:AC207,0,0,1,$AD$26))</f>
        <v>4544790500</v>
      </c>
      <c r="AE207" s="318">
        <f t="shared" ca="1" si="37"/>
        <v>1643945913</v>
      </c>
      <c r="AF207" s="305">
        <v>282378363</v>
      </c>
      <c r="AG207" s="305">
        <v>195993248</v>
      </c>
      <c r="AH207" s="305">
        <v>773200542</v>
      </c>
      <c r="AI207" s="305">
        <v>16042566</v>
      </c>
      <c r="AJ207" s="305">
        <v>0</v>
      </c>
      <c r="AK207" s="305">
        <v>0</v>
      </c>
      <c r="AL207" s="305">
        <v>0</v>
      </c>
      <c r="AM207" s="305">
        <v>0</v>
      </c>
      <c r="AN207" s="305">
        <v>0</v>
      </c>
      <c r="AO207" s="305">
        <v>0</v>
      </c>
      <c r="AP207" s="305">
        <v>0</v>
      </c>
      <c r="AQ207" s="305">
        <v>0</v>
      </c>
      <c r="AR207" s="305">
        <f t="shared" ca="1" si="51"/>
        <v>1267614719</v>
      </c>
      <c r="AS207">
        <f t="shared" ca="1" si="38"/>
        <v>0</v>
      </c>
    </row>
    <row r="208" spans="1:45">
      <c r="A208" t="s">
        <v>227</v>
      </c>
      <c r="B208" t="s">
        <v>230</v>
      </c>
      <c r="D208" s="298" t="s">
        <v>228</v>
      </c>
      <c r="E208" s="333">
        <v>46633249760</v>
      </c>
      <c r="F208" s="333">
        <v>35851802774</v>
      </c>
      <c r="G208" s="333">
        <v>26393055917</v>
      </c>
      <c r="H208" s="333">
        <v>34593153167</v>
      </c>
      <c r="I208" s="333">
        <v>33199136312</v>
      </c>
      <c r="J208" s="333">
        <v>19638634542</v>
      </c>
      <c r="K208" s="333">
        <v>56271006190</v>
      </c>
      <c r="L208" s="333">
        <v>35429490170</v>
      </c>
      <c r="M208" s="333">
        <v>48429525475</v>
      </c>
      <c r="N208" s="333">
        <v>78014775934</v>
      </c>
      <c r="O208" s="333">
        <v>81105192016.003418</v>
      </c>
      <c r="P208" s="333">
        <v>78515947311.006836</v>
      </c>
      <c r="Q208" s="333">
        <f ca="1">IF($AD$26=1,E208,SUM(OFFSET(E208:P208,0,0,1,$AD$26))-SUM(OFFSET(E208:P208,0,0,1,$AD$26-1)))</f>
        <v>33199136312</v>
      </c>
      <c r="R208" s="333">
        <v>108757458297.00694</v>
      </c>
      <c r="S208" s="333">
        <v>63047560922.006836</v>
      </c>
      <c r="T208" s="333">
        <v>57546333332.006836</v>
      </c>
      <c r="U208" s="333">
        <v>72781093895.006836</v>
      </c>
      <c r="V208" s="333">
        <v>53850392378.006836</v>
      </c>
      <c r="W208" s="333">
        <v>47310681042.006836</v>
      </c>
      <c r="X208" s="333">
        <v>46943683940.006935</v>
      </c>
      <c r="Y208" s="333">
        <v>52760383890.006935</v>
      </c>
      <c r="Z208" s="333">
        <v>94749581700.006836</v>
      </c>
      <c r="AA208" s="333">
        <v>86336513720.006836</v>
      </c>
      <c r="AB208" s="333">
        <v>82814145673.006836</v>
      </c>
      <c r="AC208" s="333">
        <v>69226156404.006836</v>
      </c>
      <c r="AD208" s="333">
        <f ca="1">IF($AD$26=1,R208,SUM(OFFSET(R208:AC208,0,0,1,$AD$26))-SUM(OFFSET(R208:AC208,0,0,1,$AD$26-1)))</f>
        <v>53850392378.006836</v>
      </c>
      <c r="AE208" s="318">
        <f t="shared" ca="1" si="37"/>
        <v>53850392378.006836</v>
      </c>
      <c r="AF208" s="333">
        <v>160064376329.99658</v>
      </c>
      <c r="AG208" s="333">
        <v>158595220342.00684</v>
      </c>
      <c r="AH208" s="333">
        <v>147256262964.00684</v>
      </c>
      <c r="AI208" s="333">
        <v>165964800039</v>
      </c>
      <c r="AJ208" s="333">
        <v>0</v>
      </c>
      <c r="AK208" s="333">
        <v>0</v>
      </c>
      <c r="AL208" s="333">
        <v>0</v>
      </c>
      <c r="AM208" s="333">
        <v>0</v>
      </c>
      <c r="AN208" s="333">
        <v>0</v>
      </c>
      <c r="AO208" s="333">
        <v>0</v>
      </c>
      <c r="AP208" s="333">
        <v>0</v>
      </c>
      <c r="AQ208" s="333">
        <v>0</v>
      </c>
      <c r="AR208" s="333">
        <f ca="1">SUM(AR184:AR196)</f>
        <v>270453168767</v>
      </c>
      <c r="AS208">
        <f t="shared" ca="1" si="38"/>
        <v>0</v>
      </c>
    </row>
    <row r="209" spans="2:44" ht="16.5">
      <c r="B209" t="s">
        <v>230</v>
      </c>
      <c r="D209" s="348" t="s">
        <v>229</v>
      </c>
      <c r="Q209" s="345">
        <f>(AVERAGE(E172:P172)+AVERAGE(E176:P176))/SUM(E156:P156)</f>
        <v>2.3256992006756381</v>
      </c>
      <c r="R209" s="346">
        <f>(AVERAGE(F172:P172,R172)+AVERAGE(F176:P176,R176))/SUM(F156:P156,R156)</f>
        <v>2.2905975121790942</v>
      </c>
      <c r="S209" s="346">
        <f>(AVERAGE(G172:$P172,$R172:S172)+AVERAGE(G176:$P176,$R176:S176))/SUM(G156:$P156,$R156:S156)</f>
        <v>1.8845773825903824</v>
      </c>
      <c r="T209" s="346">
        <f>(AVERAGE(H172:$P172,$R172:T172)+AVERAGE(H176:$P176,$R176:T176))/SUM(H156:$P156,$R156:T156)</f>
        <v>1.7592473429328315</v>
      </c>
      <c r="U209" s="346">
        <f>(AVERAGE(I172:$P172,$R172:U172)+AVERAGE(I176:$P176,$R176:U176))/SUM(I156:$P156,$R156:U156)</f>
        <v>1.7526617673900124</v>
      </c>
      <c r="V209" s="346">
        <f>(AVERAGE(J172:$P172,$R172:V172)+AVERAGE(J176:$P176,$R176:V176))/SUM(J156:$P156,$R156:V156)</f>
        <v>1.5919890725072083</v>
      </c>
      <c r="W209" s="346">
        <f>(AVERAGE(K172:$P172,$R172:W172)+AVERAGE(K176:$P176,$R176:W176))/SUM(K156:$P156,$R156:W156)</f>
        <v>1.4909985849211149</v>
      </c>
      <c r="X209" s="346">
        <f>(AVERAGE(L172:$P172,$R172:X172)+AVERAGE(L176:$P176,$R176:X176))/SUM(L156:$P156,$R156:X156)</f>
        <v>1.4019060665827543</v>
      </c>
      <c r="Y209" s="346">
        <f>(AVERAGE(M172:$P172,$R172:Y172)+AVERAGE(M176:$P176,$R176:Y176))/SUM(M156:$P156,$R156:Y156)</f>
        <v>1.375626888544301</v>
      </c>
      <c r="Z209" s="346">
        <f>(AVERAGE(N172:$P172,$R172:Z172)+AVERAGE(N176:$P176,$R176:Z176))/SUM(N156:$P156,$R156:Z156)</f>
        <v>1.5779083939595882</v>
      </c>
      <c r="AA209" s="346">
        <f>(AVERAGE(O172:$P172,$R172:AA172)+AVERAGE(O176:$P176,$R176:AA176))/SUM(O156:$P156,$R156:AA156)</f>
        <v>1.6008207032087036</v>
      </c>
      <c r="AB209" s="346">
        <f>(AVERAGE(P172:$P172,$R172:AB172)+AVERAGE(P176:$P176,$R176:AB176))/SUM(P156:$P156,$R156:AB156)</f>
        <v>1.6353422599773373</v>
      </c>
      <c r="AC209" s="346">
        <f ca="1">(AVERAGE($P172:Q172,$R172:AC172)+AVERAGE($P176:Q176,$R176:AC176))/SUM($P156:Q156,$R156:AC156)</f>
        <v>1.4665613779299507</v>
      </c>
      <c r="AD209" s="347">
        <f>(AVERAGE($R172:AC172)+AVERAGE($R176:AC176))/SUM($R156:AC156)</f>
        <v>3.2108945459394391</v>
      </c>
      <c r="AF209" s="346">
        <f>(AVERAGE(S172:$AC172,$AF172:AF172)+AVERAGE(S176:AC176,$AF176:AF176))/SUM(S156:$AC156,$AF156:AF156)</f>
        <v>3.5250170100805018</v>
      </c>
      <c r="AG209" s="346">
        <f ca="1">(AVERAGE(T172:$AC172,$AF172:AG172)+AVERAGE(T176:AD176,$AF176:AG176))/SUM(T156:$AC156,$AF156:AG156)</f>
        <v>5.150440342321513</v>
      </c>
      <c r="AH209" s="346">
        <f ca="1">(AVERAGE(U172:$AC172,$AF172:AH172)+AVERAGE(U176:AE176,$AF176:AH176))/SUM(U156:$AC156,$AF156:AH156)</f>
        <v>6.8864626348520144</v>
      </c>
      <c r="AI209" s="346">
        <f ca="1">(AVERAGE(V172:$AC172,$AF172:AI172)+AVERAGE(V176:AF176,$AF176:AI176))/SUM(V156:$AC156,$AF156:AI156)</f>
        <v>6.8929442984313267</v>
      </c>
      <c r="AJ209" s="346">
        <f ca="1">(AVERAGE(W172:$AC172,$AF172:AJ172)+AVERAGE(W176:AG176,$AF176:AJ176))/SUM(W156:$AC156,$AF156:AJ156)</f>
        <v>9.7869988089203375</v>
      </c>
      <c r="AK209" s="346">
        <f ca="1">(AVERAGE(X172:$AC172,$AF172:AK172)+AVERAGE(X176:AH176,$AF176:AK176))/SUM(X156:$AC156,$AF156:AK156)</f>
        <v>11.688056388589473</v>
      </c>
      <c r="AL209" s="346">
        <f ca="1">(AVERAGE(Y172:$AC172,$AF172:AL172)+AVERAGE(Y176:AI176,$AF176:AL176))/SUM(Y156:$AC156,$AF156:AL156)</f>
        <v>14.643612425103113</v>
      </c>
      <c r="AM209" s="346">
        <f ca="1">(AVERAGE(Z172:$AC172,$AF172:AM172)+AVERAGE(Z176:AJ176,$AF176:AM176))/SUM(Z156:$AC156,$AF156:AM156)</f>
        <v>25.676181650758487</v>
      </c>
      <c r="AN209" s="346">
        <f ca="1">(AVERAGE(AA172:$AC172,$AF172:AN172)+AVERAGE(AA176:AK176,$AF176:AN176))/SUM(AA156:$AC156,$AF156:AN156)</f>
        <v>13.658831832384617</v>
      </c>
      <c r="AO209" s="346">
        <f ca="1">(AVERAGE(AB172:$AC172,$AF172:AO172)+AVERAGE(AB176:AL176,$AF176:AO176))/SUM(AB156:$AC156,$AF156:AO156)</f>
        <v>12.761785918422252</v>
      </c>
      <c r="AP209" s="346">
        <f ca="1">(AVERAGE(AC172:$AC172,$AF172:AP172)+AVERAGE(AC176:AM176,$AF176:AP176))/SUM(AC156:$AC156,$AF156:AP156)</f>
        <v>9.1613121301486036</v>
      </c>
      <c r="AQ209" s="346">
        <f ca="1">(AVERAGE($AC172:AD172,$AF172:AQ172)+AVERAGE(AD176:AN176,$AF176:AQ176))/SUM($AC156:AD156,$AF156:AQ156)</f>
        <v>1.5574639849617278</v>
      </c>
      <c r="AR209" s="346">
        <f>(AVERAGE($AF172:AQ172)+AVERAGE($AF176:AQ176))/SUM($AF156:AQ156)</f>
        <v>36.479296369629992</v>
      </c>
    </row>
  </sheetData>
  <autoFilter ref="A28:AR209" xr:uid="{05BC8F23-209B-4E07-8BD0-49640C175B12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EB803-4204-47F8-ABF9-F881AD145A15}">
  <sheetPr>
    <outlinePr summaryBelow="0" summaryRight="0"/>
  </sheetPr>
  <dimension ref="A1:AU112"/>
  <sheetViews>
    <sheetView showGridLines="0" showZeros="0" tabSelected="1" zoomScale="80" zoomScaleNormal="80" zoomScalePageLayoutView="90" workbookViewId="0">
      <pane xSplit="3" ySplit="2" topLeftCell="D11" activePane="bottomRight" state="frozen"/>
      <selection activeCell="M2" sqref="M2"/>
      <selection pane="topRight" activeCell="M2" sqref="M2"/>
      <selection pane="bottomLeft" activeCell="M2" sqref="M2"/>
      <selection pane="bottomRight" activeCell="F26" sqref="F26"/>
    </sheetView>
  </sheetViews>
  <sheetFormatPr defaultColWidth="8.7265625" defaultRowHeight="16.5" outlineLevelRow="1"/>
  <cols>
    <col min="1" max="1" width="3.453125" style="1" customWidth="1"/>
    <col min="2" max="2" width="41.7265625" style="9" hidden="1" customWidth="1"/>
    <col min="3" max="3" width="40.7265625" style="9" bestFit="1" customWidth="1"/>
    <col min="4" max="4" width="11.08984375" style="9" customWidth="1"/>
    <col min="5" max="7" width="9.54296875" style="9" customWidth="1"/>
    <col min="8" max="8" width="11.453125" style="9" bestFit="1" customWidth="1"/>
    <col min="9" max="9" width="10.1796875" style="9" customWidth="1"/>
    <col min="10" max="10" width="11.81640625" style="9" bestFit="1" customWidth="1"/>
    <col min="11" max="11" width="10.453125" style="9" bestFit="1" customWidth="1"/>
    <col min="12" max="12" width="10.453125" style="9" customWidth="1"/>
    <col min="13" max="13" width="11.1796875" style="9" customWidth="1"/>
    <col min="14" max="14" width="11.81640625" style="9" bestFit="1" customWidth="1"/>
    <col min="15" max="15" width="10.453125" style="9" bestFit="1" customWidth="1"/>
    <col min="16" max="16" width="11.26953125" style="9" customWidth="1"/>
    <col min="17" max="17" width="10.453125" style="9" bestFit="1" customWidth="1"/>
    <col min="18" max="19" width="9.54296875" style="9" customWidth="1"/>
    <col min="20" max="20" width="11" style="9" customWidth="1"/>
    <col min="21" max="21" width="9.54296875" style="31" customWidth="1"/>
    <col min="22" max="22" width="10.7265625" style="31" bestFit="1" customWidth="1"/>
    <col min="23" max="23" width="10.7265625" style="9" customWidth="1"/>
    <col min="24" max="24" width="9.54296875" style="9" customWidth="1"/>
    <col min="25" max="25" width="10.453125" style="9" bestFit="1" customWidth="1"/>
    <col min="26" max="26" width="11.54296875" style="9" hidden="1" customWidth="1"/>
    <col min="27" max="27" width="15.81640625" style="9" bestFit="1" customWidth="1"/>
    <col min="28" max="28" width="9.81640625" style="20" customWidth="1"/>
    <col min="29" max="29" width="12" style="34" bestFit="1" customWidth="1"/>
    <col min="30" max="67" width="8.7265625" style="9"/>
    <col min="68" max="68" width="10.7265625" style="9" customWidth="1"/>
    <col min="69" max="69" width="21.54296875" style="9" customWidth="1"/>
    <col min="70" max="70" width="20.26953125" style="9" customWidth="1"/>
    <col min="71" max="16384" width="8.7265625" style="9"/>
  </cols>
  <sheetData>
    <row r="1" spans="1:30" ht="27" customHeight="1">
      <c r="A1" s="6" t="s">
        <v>1</v>
      </c>
      <c r="B1" s="2" t="s">
        <v>231</v>
      </c>
      <c r="C1" s="3" t="str">
        <f>IF(A1="EN",B1,"BÁO CÁO TÀI CHÍNH")</f>
        <v>BÁO CÁO TÀI CHÍNH</v>
      </c>
      <c r="D1" s="349"/>
      <c r="E1" s="350"/>
      <c r="F1" s="349"/>
      <c r="G1" s="349"/>
      <c r="H1" s="349"/>
      <c r="I1" s="349" t="s">
        <v>232</v>
      </c>
      <c r="J1" s="349"/>
      <c r="K1" s="349" t="s">
        <v>233</v>
      </c>
      <c r="L1" s="349" t="s">
        <v>233</v>
      </c>
      <c r="M1" s="349"/>
      <c r="N1" s="349"/>
      <c r="O1" s="349"/>
      <c r="P1" s="349"/>
      <c r="Q1" s="349"/>
      <c r="R1" s="349" t="s">
        <v>233</v>
      </c>
      <c r="S1" s="349" t="s">
        <v>232</v>
      </c>
      <c r="T1" s="349" t="s">
        <v>233</v>
      </c>
      <c r="U1" s="4"/>
      <c r="V1" s="349" t="s">
        <v>234</v>
      </c>
      <c r="W1" s="351">
        <f>_xlfn.XLOOKUP(Y1,Performance!H1:I1,Performance!H2:I2)</f>
        <v>5</v>
      </c>
      <c r="X1" s="349" t="str">
        <f>IF(A1="EN","Year","Năm")</f>
        <v>Năm</v>
      </c>
      <c r="Y1" s="352">
        <v>2026</v>
      </c>
      <c r="Z1" s="349"/>
      <c r="AA1" s="353" t="str">
        <f>IF(A1="EN","Unit: m VND","Đvt : Triệu đồng")</f>
        <v>Đvt : Triệu đồng</v>
      </c>
      <c r="AB1" s="4"/>
      <c r="AC1" s="33"/>
      <c r="AD1" s="8"/>
    </row>
    <row r="2" spans="1:30" s="360" customFormat="1">
      <c r="A2" s="354"/>
      <c r="B2" s="355" t="s">
        <v>4</v>
      </c>
      <c r="C2" s="356" t="str">
        <f>IF($A$1="EN",B2,"KẾT QUẢ KINH DOANH")</f>
        <v>KẾT QUẢ KINH DOANH</v>
      </c>
      <c r="D2" s="357" t="s">
        <v>2</v>
      </c>
      <c r="E2" s="358"/>
      <c r="F2" s="359"/>
    </row>
    <row r="3" spans="1:30" ht="17">
      <c r="A3" s="125" t="s">
        <v>111</v>
      </c>
      <c r="B3" s="35" t="s">
        <v>6</v>
      </c>
      <c r="C3" s="36" t="str">
        <f>IF($A$1="EN",B3,"Sản lượng sản xuất")</f>
        <v>Sản lượng sản xuất</v>
      </c>
      <c r="D3" s="38" cm="1">
        <f t="array" aca="1" ref="D3" ca="1">IF($V$1="Tháng",
_xlfn.SWITCH(TRUE(),
$Y$1=2025,SUMIFS(Data!$AE:$AE,Data!$B:$B,'FS matrix'!D$2,Data!$D:$D,'FS matrix'!$B3),
$Y$1=2026,SUMIFS(Data!$AS:$AS,Data!$B:$B,'FS matrix'!D$2,Data!$D:$D,'FS matrix'!$B3)),
_xlfn.SWITCH(TRUE(),
$Y$1=2025,SUMIFS(Data!$AD:$AD,Data!$B:$B,'FS matrix'!D$2,Data!$D:$D,'FS matrix'!$B3),
$Y$1=2026,SUMIFS(Data!$AR:$AR,Data!$B:$B,'FS matrix'!D$2,Data!$D:$D,'FS matrix'!$B3)))</f>
        <v>3592.6819999999989</v>
      </c>
      <c r="E3" s="361"/>
      <c r="F3" s="271"/>
      <c r="U3" s="9"/>
      <c r="V3" s="9"/>
      <c r="AB3" s="9"/>
      <c r="AC3" s="9"/>
    </row>
    <row r="4" spans="1:30" ht="16.399999999999999" customHeight="1">
      <c r="A4" s="125" t="s">
        <v>112</v>
      </c>
      <c r="B4" s="51" t="s">
        <v>8</v>
      </c>
      <c r="C4" s="52" t="str">
        <f>IF($A$1="EN",B4,"Sản lượng bán")</f>
        <v>Sản lượng bán</v>
      </c>
      <c r="D4" s="54" cm="1">
        <f t="array" aca="1" ref="D4" ca="1">IF($V$1="Tháng",
_xlfn.SWITCH(TRUE(),
$Y$1=2025,SUMIFS(Data!$AE:$AE,Data!$B:$B,'FS matrix'!D$2,Data!$D:$D,'FS matrix'!$B4),
$Y$1=2026,SUMIFS(Data!$AS:$AS,Data!$B:$B,'FS matrix'!D$2,Data!$D:$D,'FS matrix'!$B4)),
_xlfn.SWITCH(TRUE(),
$Y$1=2025,SUMIFS(Data!$AD:$AD,Data!$B:$B,'FS matrix'!D$2,Data!$D:$D,'FS matrix'!$B4),
$Y$1=2026,SUMIFS(Data!$AR:$AR,Data!$B:$B,'FS matrix'!D$2,Data!$D:$D,'FS matrix'!$B4)))</f>
        <v>5140.9239999999991</v>
      </c>
      <c r="E4" s="362"/>
      <c r="F4" s="34"/>
      <c r="U4" s="9"/>
      <c r="V4" s="9"/>
      <c r="AB4" s="9"/>
      <c r="AC4" s="9"/>
    </row>
    <row r="5" spans="1:30" ht="16.399999999999999" customHeight="1">
      <c r="A5" s="125" t="s">
        <v>113</v>
      </c>
      <c r="B5" s="363" t="s">
        <v>11</v>
      </c>
      <c r="C5" s="364" t="str">
        <f>IF($A$1="EN",B5,"Doanh thu thuần")</f>
        <v>Doanh thu thuần</v>
      </c>
      <c r="D5" s="365" cm="1">
        <f t="array" aca="1" ref="D5" ca="1">IF($V$1="Tháng",
_xlfn.SWITCH(TRUE(),
$Y$1=2025,SUMIFS(Data!$AE:$AE,Data!$B:$B,'FS matrix'!D$2,Data!$D:$D,'FS matrix'!$B5),
$Y$1=2026,SUMIFS(Data!$AS:$AS,Data!$B:$B,'FS matrix'!D$2,Data!$D:$D,'FS matrix'!$B5)),
_xlfn.SWITCH(TRUE(),
$Y$1=2025,SUMIFS(Data!$AD:$AD,Data!$B:$B,'FS matrix'!D$2,Data!$D:$D,'FS matrix'!$B5),
$Y$1=2026,SUMIFS(Data!$AR:$AR,Data!$B:$B,'FS matrix'!D$2,Data!$D:$D,'FS matrix'!$B5)))</f>
        <v>159765309037</v>
      </c>
      <c r="E5" s="362"/>
      <c r="F5" s="34"/>
      <c r="U5" s="9"/>
      <c r="V5" s="9"/>
      <c r="AB5" s="9"/>
      <c r="AC5" s="9"/>
    </row>
    <row r="6" spans="1:30" ht="16.399999999999999" customHeight="1" outlineLevel="1">
      <c r="A6" s="125" t="s">
        <v>114</v>
      </c>
      <c r="B6" s="71" t="s">
        <v>14</v>
      </c>
      <c r="C6" s="58" t="str">
        <f>IF($A$1="EN",B6,"Xuất khẩu")</f>
        <v>Xuất khẩu</v>
      </c>
      <c r="D6" s="366" cm="1">
        <f t="array" aca="1" ref="D6" ca="1">IF($V$1="Tháng",
_xlfn.SWITCH(TRUE(),
$Y$1=2025,SUMIFS(Data!$AE:$AE,Data!$B:$B,'FS matrix'!D$2,Data!$D:$D,'FS matrix'!$B6),
$Y$1=2026,SUMIFS(Data!$AS:$AS,Data!$B:$B,'FS matrix'!D$2,Data!$D:$D,'FS matrix'!$B6)),
_xlfn.SWITCH(TRUE(),
$Y$1=2025,SUMIFS(Data!$AD:$AD,Data!$B:$B,'FS matrix'!D$2,Data!$D:$D,'FS matrix'!$B6),
$Y$1=2026,SUMIFS(Data!$AR:$AR,Data!$B:$B,'FS matrix'!D$2,Data!$D:$D,'FS matrix'!$B6)))</f>
        <v>87346708460</v>
      </c>
      <c r="E6" s="362"/>
      <c r="F6" s="34"/>
      <c r="U6" s="9"/>
      <c r="V6" s="9"/>
      <c r="AB6" s="9"/>
      <c r="AC6" s="9"/>
    </row>
    <row r="7" spans="1:30" ht="16.399999999999999" customHeight="1" outlineLevel="1">
      <c r="A7" s="125" t="s">
        <v>115</v>
      </c>
      <c r="B7" s="71" t="s">
        <v>18</v>
      </c>
      <c r="C7" s="58" t="str">
        <f>IF($A$1="EN",B7,"Trong nước")</f>
        <v>Trong nước</v>
      </c>
      <c r="D7" s="366" cm="1">
        <f t="array" aca="1" ref="D7" ca="1">IF($V$1="Tháng",
_xlfn.SWITCH(TRUE(),
$Y$1=2025,SUMIFS(Data!$AE:$AE,Data!$B:$B,'FS matrix'!D$2,Data!$D:$D,'FS matrix'!$B7),
$Y$1=2026,SUMIFS(Data!$AS:$AS,Data!$B:$B,'FS matrix'!D$2,Data!$D:$D,'FS matrix'!$B7)),
_xlfn.SWITCH(TRUE(),
$Y$1=2025,SUMIFS(Data!$AD:$AD,Data!$B:$B,'FS matrix'!D$2,Data!$D:$D,'FS matrix'!$B7),
$Y$1=2026,SUMIFS(Data!$AR:$AR,Data!$B:$B,'FS matrix'!D$2,Data!$D:$D,'FS matrix'!$B7)))</f>
        <v>70741575322</v>
      </c>
      <c r="E7" s="362"/>
      <c r="F7" s="34"/>
      <c r="U7" s="9"/>
      <c r="V7" s="9"/>
      <c r="AB7" s="9"/>
      <c r="AC7" s="9"/>
    </row>
    <row r="8" spans="1:30" ht="16.399999999999999" customHeight="1" outlineLevel="1">
      <c r="A8" s="125" t="s">
        <v>116</v>
      </c>
      <c r="B8" s="71" t="s">
        <v>22</v>
      </c>
      <c r="C8" s="58" t="str">
        <f>IF($A$1="EN",B8,"Khác")</f>
        <v>Khác</v>
      </c>
      <c r="D8" s="366" cm="1">
        <f t="array" aca="1" ref="D8" ca="1">IF($V$1="Tháng",
_xlfn.SWITCH(TRUE(),
$Y$1=2025,SUMIFS(Data!$AE:$AE,Data!$B:$B,'FS matrix'!D$2,Data!$D:$D,'FS matrix'!$B8),
$Y$1=2026,SUMIFS(Data!$AS:$AS,Data!$B:$B,'FS matrix'!D$2,Data!$D:$D,'FS matrix'!$B8)),
_xlfn.SWITCH(TRUE(),
$Y$1=2025,SUMIFS(Data!$AD:$AD,Data!$B:$B,'FS matrix'!D$2,Data!$D:$D,'FS matrix'!$B8),
$Y$1=2026,SUMIFS(Data!$AR:$AR,Data!$B:$B,'FS matrix'!D$2,Data!$D:$D,'FS matrix'!$B8)))</f>
        <v>1677025255</v>
      </c>
      <c r="E8" s="362"/>
      <c r="F8" s="34"/>
      <c r="U8" s="9"/>
      <c r="V8" s="9"/>
      <c r="AB8" s="9"/>
      <c r="AC8" s="9"/>
    </row>
    <row r="9" spans="1:30" ht="16.399999999999999" customHeight="1">
      <c r="A9" s="125" t="s">
        <v>117</v>
      </c>
      <c r="B9" s="367" t="s">
        <v>25</v>
      </c>
      <c r="C9" s="41" t="str">
        <f>IF($A$1="EN",B9,"Giá vốn hàng bán")</f>
        <v>Giá vốn hàng bán</v>
      </c>
      <c r="D9" s="368" cm="1">
        <f t="array" aca="1" ref="D9" ca="1">IF($V$1="Tháng",
_xlfn.SWITCH(TRUE(),
$Y$1=2025,SUMIFS(Data!$AE:$AE,Data!$B:$B,'FS matrix'!D$2,Data!$D:$D,'FS matrix'!$B9),
$Y$1=2026,SUMIFS(Data!$AS:$AS,Data!$B:$B,'FS matrix'!D$2,Data!$D:$D,'FS matrix'!$B9)),
_xlfn.SWITCH(TRUE(),
$Y$1=2025,SUMIFS(Data!$AD:$AD,Data!$B:$B,'FS matrix'!D$2,Data!$D:$D,'FS matrix'!$B9),
$Y$1=2026,SUMIFS(Data!$AR:$AR,Data!$B:$B,'FS matrix'!D$2,Data!$D:$D,'FS matrix'!$B9)))</f>
        <v>137580032058</v>
      </c>
      <c r="E9" s="362"/>
      <c r="F9" s="34"/>
      <c r="U9" s="9"/>
      <c r="V9" s="9"/>
      <c r="AB9" s="9"/>
      <c r="AC9" s="9"/>
    </row>
    <row r="10" spans="1:30" ht="16.399999999999999" customHeight="1" outlineLevel="1">
      <c r="A10" s="125" t="s">
        <v>119</v>
      </c>
      <c r="B10" s="71" t="s">
        <v>29</v>
      </c>
      <c r="C10" s="93" t="str">
        <f>IF($A$1="EN",B10,"Chi phí nguyên vật liệu")</f>
        <v>Chi phí nguyên vật liệu</v>
      </c>
      <c r="D10" s="369" cm="1">
        <f t="array" aca="1" ref="D10" ca="1">IF($V$1="Tháng",
_xlfn.SWITCH(TRUE(),
$Y$1=2025,SUMIFS(Data!$AE:$AE,Data!$B:$B,'FS matrix'!D$2,Data!$D:$D,'FS matrix'!$B10),
$Y$1=2026,SUMIFS(Data!$AS:$AS,Data!$B:$B,'FS matrix'!D$2,Data!$D:$D,'FS matrix'!$B10)),
_xlfn.SWITCH(TRUE(),
$Y$1=2025,SUMIFS(Data!$AD:$AD,Data!$B:$B,'FS matrix'!D$2,Data!$D:$D,'FS matrix'!$B10),
$Y$1=2026,SUMIFS(Data!$AR:$AR,Data!$B:$B,'FS matrix'!D$2,Data!$D:$D,'FS matrix'!$B10)))</f>
        <v>100676110279.99994</v>
      </c>
      <c r="E10" s="362"/>
      <c r="F10" s="34"/>
      <c r="U10" s="9"/>
      <c r="V10" s="9"/>
      <c r="AB10" s="9"/>
      <c r="AC10" s="9"/>
    </row>
    <row r="11" spans="1:30" ht="16.399999999999999" customHeight="1" outlineLevel="1">
      <c r="A11" s="125" t="s">
        <v>121</v>
      </c>
      <c r="B11" s="71" t="s">
        <v>33</v>
      </c>
      <c r="C11" s="93" t="str">
        <f>IF($A$1="EN",B11,"Chi phí điện")</f>
        <v>Chi phí điện</v>
      </c>
      <c r="D11" s="369" cm="1">
        <f t="array" aca="1" ref="D11" ca="1">IF($V$1="Tháng",
_xlfn.SWITCH(TRUE(),
$Y$1=2025,SUMIFS(Data!$AE:$AE,Data!$B:$B,'FS matrix'!D$2,Data!$D:$D,'FS matrix'!$B11),
$Y$1=2026,SUMIFS(Data!$AS:$AS,Data!$B:$B,'FS matrix'!D$2,Data!$D:$D,'FS matrix'!$B11)),
_xlfn.SWITCH(TRUE(),
$Y$1=2025,SUMIFS(Data!$AD:$AD,Data!$B:$B,'FS matrix'!D$2,Data!$D:$D,'FS matrix'!$B11),
$Y$1=2026,SUMIFS(Data!$AR:$AR,Data!$B:$B,'FS matrix'!D$2,Data!$D:$D,'FS matrix'!$B11)))</f>
        <v>5769165884</v>
      </c>
      <c r="E11" s="362"/>
      <c r="F11" s="34"/>
      <c r="U11" s="9"/>
      <c r="V11" s="9"/>
      <c r="AB11" s="9"/>
      <c r="AC11" s="9"/>
    </row>
    <row r="12" spans="1:30" ht="16.399999999999999" customHeight="1" outlineLevel="1">
      <c r="A12" s="125" t="s">
        <v>122</v>
      </c>
      <c r="B12" s="71" t="s">
        <v>36</v>
      </c>
      <c r="C12" s="93" t="str">
        <f>IF($A$1="EN",B12,"Lương ngoài giờ")</f>
        <v>Lương ngoài giờ</v>
      </c>
      <c r="D12" s="369" cm="1">
        <f t="array" aca="1" ref="D12" ca="1">IF($V$1="Tháng",
_xlfn.SWITCH(TRUE(),
$Y$1=2025,SUMIFS(Data!$AE:$AE,Data!$B:$B,'FS matrix'!D$2,Data!$D:$D,'FS matrix'!$B12),
$Y$1=2026,SUMIFS(Data!$AS:$AS,Data!$B:$B,'FS matrix'!D$2,Data!$D:$D,'FS matrix'!$B12)),
_xlfn.SWITCH(TRUE(),
$Y$1=2025,SUMIFS(Data!$AD:$AD,Data!$B:$B,'FS matrix'!D$2,Data!$D:$D,'FS matrix'!$B12),
$Y$1=2026,SUMIFS(Data!$AR:$AR,Data!$B:$B,'FS matrix'!D$2,Data!$D:$D,'FS matrix'!$B12)))</f>
        <v>354846806</v>
      </c>
      <c r="E12" s="362"/>
      <c r="F12" s="34"/>
      <c r="U12" s="9"/>
      <c r="V12" s="9"/>
      <c r="AB12" s="9"/>
      <c r="AC12" s="9"/>
    </row>
    <row r="13" spans="1:30" ht="16.399999999999999" customHeight="1" outlineLevel="1">
      <c r="A13" s="125" t="s">
        <v>124</v>
      </c>
      <c r="B13" s="71" t="s">
        <v>41</v>
      </c>
      <c r="C13" s="109" t="str">
        <f>IF($A$1="EN",B13,"Lương nhân công trực tiếp")</f>
        <v>Lương nhân công trực tiếp</v>
      </c>
      <c r="D13" s="370" cm="1">
        <f t="array" aca="1" ref="D13" ca="1">IF($V$1="Tháng",
_xlfn.SWITCH(TRUE(),
$Y$1=2025,SUMIFS(Data!$AE:$AE,Data!$B:$B,'FS matrix'!D$2,Data!$D:$D,'FS matrix'!$B13),
$Y$1=2026,SUMIFS(Data!$AS:$AS,Data!$B:$B,'FS matrix'!D$2,Data!$D:$D,'FS matrix'!$B13)),
_xlfn.SWITCH(TRUE(),
$Y$1=2025,SUMIFS(Data!$AD:$AD,Data!$B:$B,'FS matrix'!D$2,Data!$D:$D,'FS matrix'!$B13),
$Y$1=2026,SUMIFS(Data!$AR:$AR,Data!$B:$B,'FS matrix'!D$2,Data!$D:$D,'FS matrix'!$B13)))</f>
        <v>2407536723</v>
      </c>
      <c r="E13" s="362"/>
      <c r="F13" s="34"/>
      <c r="U13" s="9"/>
      <c r="V13" s="9"/>
      <c r="AB13" s="9"/>
      <c r="AC13" s="9"/>
    </row>
    <row r="14" spans="1:30" ht="16.399999999999999" customHeight="1" outlineLevel="1">
      <c r="A14" s="125" t="s">
        <v>125</v>
      </c>
      <c r="B14" s="71" t="s">
        <v>44</v>
      </c>
      <c r="C14" s="109" t="str">
        <f>IF($A$1="EN",B14,"Lương nhân công gián tiếp")</f>
        <v>Lương nhân công gián tiếp</v>
      </c>
      <c r="D14" s="370" cm="1">
        <f t="array" aca="1" ref="D14" ca="1">IF($V$1="Tháng",
_xlfn.SWITCH(TRUE(),
$Y$1=2025,SUMIFS(Data!$AE:$AE,Data!$B:$B,'FS matrix'!D$2,Data!$D:$D,'FS matrix'!$B14),
$Y$1=2026,SUMIFS(Data!$AS:$AS,Data!$B:$B,'FS matrix'!D$2,Data!$D:$D,'FS matrix'!$B14)),
_xlfn.SWITCH(TRUE(),
$Y$1=2025,SUMIFS(Data!$AD:$AD,Data!$B:$B,'FS matrix'!D$2,Data!$D:$D,'FS matrix'!$B14),
$Y$1=2026,SUMIFS(Data!$AR:$AR,Data!$B:$B,'FS matrix'!D$2,Data!$D:$D,'FS matrix'!$B14)))</f>
        <v>4083134231</v>
      </c>
      <c r="E14" s="362"/>
      <c r="F14" s="34"/>
      <c r="U14" s="9"/>
      <c r="V14" s="9"/>
      <c r="AB14" s="9"/>
      <c r="AC14" s="9"/>
    </row>
    <row r="15" spans="1:30" ht="16.399999999999999" customHeight="1" outlineLevel="1">
      <c r="A15" s="125" t="s">
        <v>126</v>
      </c>
      <c r="B15" s="71" t="s">
        <v>46</v>
      </c>
      <c r="C15" s="109" t="str">
        <f>IF($A$1="EN",B15,"Phúc lợi nhân viên")</f>
        <v>Phúc lợi nhân viên</v>
      </c>
      <c r="D15" s="370" cm="1">
        <f t="array" aca="1" ref="D15" ca="1">IF($V$1="Tháng",
_xlfn.SWITCH(TRUE(),
$Y$1=2025,SUMIFS(Data!$AE:$AE,Data!$B:$B,'FS matrix'!D$2,Data!$D:$D,'FS matrix'!$B15),
$Y$1=2026,SUMIFS(Data!$AS:$AS,Data!$B:$B,'FS matrix'!D$2,Data!$D:$D,'FS matrix'!$B15)),
_xlfn.SWITCH(TRUE(),
$Y$1=2025,SUMIFS(Data!$AD:$AD,Data!$B:$B,'FS matrix'!D$2,Data!$D:$D,'FS matrix'!$B15),
$Y$1=2026,SUMIFS(Data!$AR:$AR,Data!$B:$B,'FS matrix'!D$2,Data!$D:$D,'FS matrix'!$B15)))</f>
        <v>1357271039</v>
      </c>
      <c r="E15" s="371" t="s">
        <v>48</v>
      </c>
      <c r="F15" s="34"/>
      <c r="U15" s="9"/>
      <c r="V15" s="9"/>
      <c r="AB15" s="9"/>
      <c r="AC15" s="9"/>
    </row>
    <row r="16" spans="1:30" ht="16.399999999999999" customHeight="1" outlineLevel="1">
      <c r="A16" s="125" t="s">
        <v>127</v>
      </c>
      <c r="B16" s="71" t="s">
        <v>49</v>
      </c>
      <c r="C16" s="109" t="str">
        <f>IF($A$1="EN",B16,"Sửa chữa, bảo trì")</f>
        <v>Sửa chữa, bảo trì</v>
      </c>
      <c r="D16" s="370" cm="1">
        <f t="array" aca="1" ref="D16" ca="1">IF($V$1="Tháng",
_xlfn.SWITCH(TRUE(),
$Y$1=2025,SUMIFS(Data!$AE:$AE,Data!$B:$B,'FS matrix'!D$2,Data!$D:$D,'FS matrix'!$B16),
$Y$1=2026,SUMIFS(Data!$AS:$AS,Data!$B:$B,'FS matrix'!D$2,Data!$D:$D,'FS matrix'!$B16)),
_xlfn.SWITCH(TRUE(),
$Y$1=2025,SUMIFS(Data!$AD:$AD,Data!$B:$B,'FS matrix'!D$2,Data!$D:$D,'FS matrix'!$B16),
$Y$1=2026,SUMIFS(Data!$AR:$AR,Data!$B:$B,'FS matrix'!D$2,Data!$D:$D,'FS matrix'!$B16)))</f>
        <v>776152179</v>
      </c>
      <c r="E16" s="362"/>
      <c r="F16" s="34"/>
      <c r="U16" s="9"/>
      <c r="V16" s="9"/>
      <c r="AB16" s="9"/>
      <c r="AC16" s="9"/>
    </row>
    <row r="17" spans="1:29" ht="16.399999999999999" customHeight="1" outlineLevel="1">
      <c r="A17" s="125" t="s">
        <v>129</v>
      </c>
      <c r="B17" s="71" t="s">
        <v>52</v>
      </c>
      <c r="C17" s="109" t="str">
        <f>IF($A$1="EN",B17,"Chi phí chung phân xưởng")</f>
        <v>Chi phí chung phân xưởng</v>
      </c>
      <c r="D17" s="370" cm="1">
        <f t="array" aca="1" ref="D17" ca="1">IF($V$1="Tháng",
_xlfn.SWITCH(TRUE(),
$Y$1=2025,SUMIFS(Data!$AE:$AE,Data!$B:$B,'FS matrix'!D$2,Data!$D:$D,'FS matrix'!$B17),
$Y$1=2026,SUMIFS(Data!$AS:$AS,Data!$B:$B,'FS matrix'!D$2,Data!$D:$D,'FS matrix'!$B17)),
_xlfn.SWITCH(TRUE(),
$Y$1=2025,SUMIFS(Data!$AD:$AD,Data!$B:$B,'FS matrix'!D$2,Data!$D:$D,'FS matrix'!$B17),
$Y$1=2026,SUMIFS(Data!$AR:$AR,Data!$B:$B,'FS matrix'!D$2,Data!$D:$D,'FS matrix'!$B17)))</f>
        <v>8532632034</v>
      </c>
      <c r="E17" s="372"/>
      <c r="F17" s="34"/>
      <c r="U17" s="9"/>
      <c r="V17" s="9"/>
      <c r="AB17" s="9"/>
      <c r="AC17" s="9"/>
    </row>
    <row r="18" spans="1:29" ht="16.399999999999999" customHeight="1" outlineLevel="1">
      <c r="A18" s="125" t="s">
        <v>130</v>
      </c>
      <c r="B18" s="133" t="s">
        <v>55</v>
      </c>
      <c r="C18" s="134" t="str">
        <f>IF($A$1="EN",B18,"Khấu hao")</f>
        <v>Khấu hao</v>
      </c>
      <c r="D18" s="373" cm="1">
        <f t="array" aca="1" ref="D18" ca="1">IF($V$1="Tháng",
_xlfn.SWITCH(TRUE(),
$Y$1=2025,SUMIFS(Data!$AE:$AE,Data!$B:$B,'FS matrix'!D$2,Data!$D:$D,'FS matrix'!$B18),
$Y$1=2026,SUMIFS(Data!$AS:$AS,Data!$B:$B,'FS matrix'!D$2,Data!$D:$D,'FS matrix'!$B18)),
_xlfn.SWITCH(TRUE(),
$Y$1=2025,SUMIFS(Data!$AD:$AD,Data!$B:$B,'FS matrix'!D$2,Data!$D:$D,'FS matrix'!$B18),
$Y$1=2026,SUMIFS(Data!$AR:$AR,Data!$B:$B,'FS matrix'!D$2,Data!$D:$D,'FS matrix'!$B18)))</f>
        <v>5764064909</v>
      </c>
      <c r="E18" s="374"/>
      <c r="F18" s="34"/>
      <c r="U18" s="9"/>
      <c r="V18" s="9"/>
      <c r="AB18" s="9"/>
      <c r="AC18" s="9"/>
    </row>
    <row r="19" spans="1:29" ht="16.399999999999999" customHeight="1" outlineLevel="1">
      <c r="A19" s="125" t="s">
        <v>132</v>
      </c>
      <c r="B19" s="133" t="s">
        <v>58</v>
      </c>
      <c r="C19" s="74" t="str">
        <f>IF($A$1="EN",B19,"Giá vốn Khác")</f>
        <v>Giá vốn Khác</v>
      </c>
      <c r="D19" s="375" cm="1">
        <f t="array" aca="1" ref="D19" ca="1">IF($V$1="Tháng",
_xlfn.SWITCH(TRUE(),
$Y$1=2025,SUMIFS(Data!$AE:$AE,Data!$B:$B,'FS matrix'!D$2,Data!$D:$D,'FS matrix'!$B19),
$Y$1=2026,SUMIFS(Data!$AS:$AS,Data!$B:$B,'FS matrix'!D$2,Data!$D:$D,'FS matrix'!$B19)),
_xlfn.SWITCH(TRUE(),
$Y$1=2025,SUMIFS(Data!$AD:$AD,Data!$B:$B,'FS matrix'!D$2,Data!$D:$D,'FS matrix'!$B19),
$Y$1=2026,SUMIFS(Data!$AR:$AR,Data!$B:$B,'FS matrix'!D$2,Data!$D:$D,'FS matrix'!$B19)))</f>
        <v>3071676706.9998636</v>
      </c>
      <c r="E19" s="374"/>
      <c r="F19" s="34"/>
      <c r="U19" s="9"/>
      <c r="V19" s="9"/>
      <c r="AB19" s="9"/>
      <c r="AC19" s="9"/>
    </row>
    <row r="20" spans="1:29" ht="16.399999999999999" customHeight="1" outlineLevel="1">
      <c r="A20" s="125" t="s">
        <v>133</v>
      </c>
      <c r="B20" s="133" t="s">
        <v>60</v>
      </c>
      <c r="C20" s="376" t="str">
        <f>IF($A$1="EN",B20,"Phí gia công")</f>
        <v>Phí gia công</v>
      </c>
      <c r="D20" s="377" cm="1">
        <f t="array" aca="1" ref="D20" ca="1">IF($V$1="Tháng",
_xlfn.SWITCH(TRUE(),
$Y$1=2025,SUMIFS(Data!$AE:$AE,Data!$B:$B,'FS matrix'!D$2,Data!$D:$D,'FS matrix'!$B20),
$Y$1=2026,SUMIFS(Data!$AS:$AS,Data!$B:$B,'FS matrix'!D$2,Data!$D:$D,'FS matrix'!$B20)),
_xlfn.SWITCH(TRUE(),
$Y$1=2025,SUMIFS(Data!$AD:$AD,Data!$B:$B,'FS matrix'!D$2,Data!$D:$D,'FS matrix'!$B20),
$Y$1=2026,SUMIFS(Data!$AR:$AR,Data!$B:$B,'FS matrix'!D$2,Data!$D:$D,'FS matrix'!$B20)))</f>
        <v>167431172</v>
      </c>
      <c r="E20" s="374"/>
      <c r="F20" s="34"/>
      <c r="U20" s="9"/>
      <c r="V20" s="9"/>
      <c r="AB20" s="9"/>
      <c r="AC20" s="9"/>
    </row>
    <row r="21" spans="1:29" ht="16.399999999999999" customHeight="1" outlineLevel="1">
      <c r="A21" s="125" t="s">
        <v>134</v>
      </c>
      <c r="B21" s="133" t="s">
        <v>235</v>
      </c>
      <c r="C21" s="148" t="str">
        <f>IF($A$1="EN",B21,"Giá vốn trong bán thành phẩm")</f>
        <v>Giá vốn trong bán thành phẩm</v>
      </c>
      <c r="D21" s="378" cm="1">
        <f t="array" ref="D21">IF($V$1="Tháng",
_xlfn.SWITCH(TRUE(),
$Y$1=2025,SUMIFS(Data!$AE:$AE,Data!$B:$B,'FS matrix'!D$2,Data!$D:$D,'FS matrix'!$B21),
$Y$1=2026,SUMIFS(Data!$AS:$AS,Data!$B:$B,'FS matrix'!D$2,Data!$D:$D,'FS matrix'!$B21)),
_xlfn.SWITCH(TRUE(),
$Y$1=2025,SUMIFS(Data!$AD:$AD,Data!$B:$B,'FS matrix'!D$2,Data!$D:$D,'FS matrix'!$B21),
$Y$1=2026,SUMIFS(Data!$AR:$AR,Data!$B:$B,'FS matrix'!D$2,Data!$D:$D,'FS matrix'!$B21)))</f>
        <v>0</v>
      </c>
      <c r="E21" s="374"/>
      <c r="F21" s="34"/>
      <c r="U21" s="9"/>
      <c r="V21" s="9"/>
      <c r="AB21" s="9"/>
      <c r="AC21" s="9"/>
    </row>
    <row r="22" spans="1:29" ht="17">
      <c r="A22" s="125" t="s">
        <v>135</v>
      </c>
      <c r="B22" s="160" t="s">
        <v>66</v>
      </c>
      <c r="C22" s="41" t="str">
        <f>IF($A$1="EN",B22,"Lợi nhuận gộp")</f>
        <v>Lợi nhuận gộp</v>
      </c>
      <c r="D22" s="368" cm="1">
        <f t="array" aca="1" ref="D22" ca="1">IF($V$1="Tháng",
_xlfn.SWITCH(TRUE(),
$Y$1=2025,SUMIFS(Data!$AE:$AE,Data!$B:$B,'FS matrix'!D$2,Data!$D:$D,'FS matrix'!$B22),
$Y$1=2026,SUMIFS(Data!$AS:$AS,Data!$B:$B,'FS matrix'!D$2,Data!$D:$D,'FS matrix'!$B22)),
_xlfn.SWITCH(TRUE(),
$Y$1=2025,SUMIFS(Data!$AD:$AD,Data!$B:$B,'FS matrix'!D$2,Data!$D:$D,'FS matrix'!$B22),
$Y$1=2026,SUMIFS(Data!$AR:$AR,Data!$B:$B,'FS matrix'!D$2,Data!$D:$D,'FS matrix'!$B22)))</f>
        <v>22185276979</v>
      </c>
      <c r="E22" s="374"/>
      <c r="F22" s="34"/>
      <c r="G22" s="379"/>
      <c r="H22"/>
      <c r="I22" s="380"/>
      <c r="J22"/>
      <c r="L22" s="11"/>
      <c r="U22" s="9"/>
      <c r="V22" s="9"/>
      <c r="AB22" s="9"/>
      <c r="AC22" s="9"/>
    </row>
    <row r="23" spans="1:29" ht="17">
      <c r="A23" s="125" t="s">
        <v>136</v>
      </c>
      <c r="B23" s="367" t="s">
        <v>68</v>
      </c>
      <c r="C23" s="381" t="str">
        <f>IF($A$1="EN",B23,"Chi phí bán hàng &amp; quản lý")</f>
        <v>Chi phí bán hàng &amp; quản lý</v>
      </c>
      <c r="D23" s="382" cm="1">
        <f t="array" aca="1" ref="D23" ca="1">IF($V$1="Tháng",
_xlfn.SWITCH(TRUE(),
$Y$1=2025,SUMIFS(Data!$AE:$AE,Data!$B:$B,'FS matrix'!D$2,Data!$D:$D,'FS matrix'!$B23),
$Y$1=2026,SUMIFS(Data!$AS:$AS,Data!$B:$B,'FS matrix'!D$2,Data!$D:$D,'FS matrix'!$B23)),
_xlfn.SWITCH(TRUE(),
$Y$1=2025,SUMIFS(Data!$AD:$AD,Data!$B:$B,'FS matrix'!D$2,Data!$D:$D,'FS matrix'!$B23),
$Y$1=2026,SUMIFS(Data!$AR:$AR,Data!$B:$B,'FS matrix'!D$2,Data!$D:$D,'FS matrix'!$B23)))</f>
        <v>13926607565</v>
      </c>
      <c r="E23" s="374"/>
      <c r="F23" s="33"/>
      <c r="G23" s="379"/>
      <c r="H23"/>
      <c r="I23" s="380"/>
      <c r="J23"/>
      <c r="L23" s="11"/>
      <c r="U23" s="9"/>
      <c r="V23" s="9"/>
      <c r="AB23" s="9"/>
      <c r="AC23" s="9"/>
    </row>
    <row r="24" spans="1:29" ht="16.399999999999999" customHeight="1" outlineLevel="1">
      <c r="A24" s="125" t="s">
        <v>137</v>
      </c>
      <c r="B24" s="71" t="s">
        <v>71</v>
      </c>
      <c r="C24" s="74" t="str">
        <f>IF($A$1="EN",B24,"Lương nhân viên")</f>
        <v>Lương nhân viên</v>
      </c>
      <c r="D24" s="375" cm="1">
        <f t="array" aca="1" ref="D24" ca="1">IF($V$1="Tháng",
_xlfn.SWITCH(TRUE(),
$Y$1=2025,SUMIFS(Data!$AE:$AE,Data!$B:$B,'FS matrix'!D$2,Data!$D:$D,'FS matrix'!$B24),
$Y$1=2026,SUMIFS(Data!$AS:$AS,Data!$B:$B,'FS matrix'!D$2,Data!$D:$D,'FS matrix'!$B24)),
_xlfn.SWITCH(TRUE(),
$Y$1=2025,SUMIFS(Data!$AD:$AD,Data!$B:$B,'FS matrix'!D$2,Data!$D:$D,'FS matrix'!$B24),
$Y$1=2026,SUMIFS(Data!$AR:$AR,Data!$B:$B,'FS matrix'!D$2,Data!$D:$D,'FS matrix'!$B24)))</f>
        <v>4969298326</v>
      </c>
      <c r="E24" s="374"/>
      <c r="F24" s="33"/>
      <c r="G24" s="383"/>
      <c r="H24"/>
      <c r="I24" s="384"/>
      <c r="J24"/>
      <c r="L24" s="11"/>
      <c r="U24" s="9"/>
      <c r="V24" s="9"/>
      <c r="AB24" s="9"/>
      <c r="AC24" s="9"/>
    </row>
    <row r="25" spans="1:29" ht="16.399999999999999" customHeight="1" outlineLevel="1">
      <c r="A25" s="125" t="s">
        <v>138</v>
      </c>
      <c r="B25" s="71" t="s">
        <v>75</v>
      </c>
      <c r="C25" s="74" t="str">
        <f>IF($A$1="EN",B25,"Phúc lợi nhân viên")</f>
        <v>Phúc lợi nhân viên</v>
      </c>
      <c r="D25" s="375" cm="1">
        <f t="array" aca="1" ref="D25" ca="1">IF($V$1="Tháng",
_xlfn.SWITCH(TRUE(),
$Y$1=2025,SUMIFS(Data!$AE:$AE,Data!$B:$B,'FS matrix'!D$2,Data!$D:$D,'FS matrix'!$B25),
$Y$1=2026,SUMIFS(Data!$AS:$AS,Data!$B:$B,'FS matrix'!D$2,Data!$D:$D,'FS matrix'!$B25)),
_xlfn.SWITCH(TRUE(),
$Y$1=2025,SUMIFS(Data!$AD:$AD,Data!$B:$B,'FS matrix'!D$2,Data!$D:$D,'FS matrix'!$B25),
$Y$1=2026,SUMIFS(Data!$AR:$AR,Data!$B:$B,'FS matrix'!D$2,Data!$D:$D,'FS matrix'!$B25)))</f>
        <v>1494821509</v>
      </c>
      <c r="E25" s="20"/>
      <c r="F25" s="33"/>
      <c r="U25" s="9"/>
      <c r="V25" s="9"/>
      <c r="AB25" s="9"/>
      <c r="AC25" s="9"/>
    </row>
    <row r="26" spans="1:29" ht="16.399999999999999" customHeight="1" outlineLevel="1">
      <c r="A26" s="125" t="s">
        <v>142</v>
      </c>
      <c r="B26" s="71" t="s">
        <v>82</v>
      </c>
      <c r="C26" s="74" t="str">
        <f>IF($A$1="EN",B26,"Chi phí xuất khẩu")</f>
        <v>Chi phí xuất khẩu</v>
      </c>
      <c r="D26" s="375" cm="1">
        <f t="array" aca="1" ref="D26" ca="1">IF($V$1="Tháng",
_xlfn.SWITCH(TRUE(),
$Y$1=2025,SUMIFS(Data!$AE:$AE,Data!$B:$B,'FS matrix'!D$2,Data!$D:$D,'FS matrix'!$B26),
$Y$1=2026,SUMIFS(Data!$AS:$AS,Data!$B:$B,'FS matrix'!D$2,Data!$D:$D,'FS matrix'!$B26)),
_xlfn.SWITCH(TRUE(),
$Y$1=2025,SUMIFS(Data!$AD:$AD,Data!$B:$B,'FS matrix'!D$2,Data!$D:$D,'FS matrix'!$B26),
$Y$1=2026,SUMIFS(Data!$AR:$AR,Data!$B:$B,'FS matrix'!D$2,Data!$D:$D,'FS matrix'!$B26)))</f>
        <v>1647931878</v>
      </c>
      <c r="E26" s="385"/>
      <c r="F26" s="386"/>
      <c r="G26" s="386"/>
      <c r="H26" s="386"/>
      <c r="I26" s="386"/>
      <c r="J26" s="386"/>
      <c r="U26" s="9"/>
      <c r="V26" s="9"/>
      <c r="AB26" s="9"/>
      <c r="AC26" s="9"/>
    </row>
    <row r="27" spans="1:29" ht="16.399999999999999" customHeight="1" outlineLevel="1">
      <c r="A27" s="125" t="s">
        <v>143</v>
      </c>
      <c r="B27" s="71" t="s">
        <v>84</v>
      </c>
      <c r="C27" s="74" t="str">
        <f>IF($A$1="EN",B27,"Chi phí khấu hao")</f>
        <v>Chi phí khấu hao</v>
      </c>
      <c r="D27" s="375" cm="1">
        <f t="array" aca="1" ref="D27" ca="1">IF($V$1="Tháng",
_xlfn.SWITCH(TRUE(),
$Y$1=2025,SUMIFS(Data!$AE:$AE,Data!$B:$B,'FS matrix'!D$2,Data!$D:$D,'FS matrix'!$B27),
$Y$1=2026,SUMIFS(Data!$AS:$AS,Data!$B:$B,'FS matrix'!D$2,Data!$D:$D,'FS matrix'!$B27)),
_xlfn.SWITCH(TRUE(),
$Y$1=2025,SUMIFS(Data!$AD:$AD,Data!$B:$B,'FS matrix'!D$2,Data!$D:$D,'FS matrix'!$B27),
$Y$1=2026,SUMIFS(Data!$AR:$AR,Data!$B:$B,'FS matrix'!D$2,Data!$D:$D,'FS matrix'!$B27)))</f>
        <v>83579315</v>
      </c>
      <c r="E27" s="385"/>
      <c r="F27" s="386"/>
      <c r="G27" s="386"/>
      <c r="H27" s="386"/>
      <c r="I27" s="386"/>
      <c r="J27" s="386"/>
      <c r="U27" s="9"/>
      <c r="V27" s="9"/>
      <c r="AB27" s="9"/>
      <c r="AC27" s="9"/>
    </row>
    <row r="28" spans="1:29" ht="16.399999999999999" customHeight="1" outlineLevel="1">
      <c r="A28" s="125" t="s">
        <v>144</v>
      </c>
      <c r="B28" s="71" t="s">
        <v>86</v>
      </c>
      <c r="C28" s="74" t="str">
        <f>IF($A$1="EN",B28,"Chi phí cần kiểm soát")</f>
        <v>Chi phí cần kiểm soát</v>
      </c>
      <c r="D28" s="375" cm="1">
        <f t="array" aca="1" ref="D28" ca="1">IF($V$1="Tháng",
_xlfn.SWITCH(TRUE(),
$Y$1=2025,SUMIFS(Data!$AE:$AE,Data!$B:$B,'FS matrix'!D$2,Data!$D:$D,'FS matrix'!$B28),
$Y$1=2026,SUMIFS(Data!$AS:$AS,Data!$B:$B,'FS matrix'!D$2,Data!$D:$D,'FS matrix'!$B28)),
_xlfn.SWITCH(TRUE(),
$Y$1=2025,SUMIFS(Data!$AD:$AD,Data!$B:$B,'FS matrix'!D$2,Data!$D:$D,'FS matrix'!$B28),
$Y$1=2026,SUMIFS(Data!$AR:$AR,Data!$B:$B,'FS matrix'!D$2,Data!$D:$D,'FS matrix'!$B28)))</f>
        <v>3106154577</v>
      </c>
      <c r="E28" s="385"/>
      <c r="F28" s="387"/>
      <c r="G28" s="387"/>
      <c r="H28" s="387"/>
      <c r="I28" s="387"/>
      <c r="J28" s="387"/>
      <c r="U28" s="9"/>
      <c r="V28" s="9"/>
      <c r="AB28" s="9"/>
      <c r="AC28" s="9"/>
    </row>
    <row r="29" spans="1:29" ht="16.399999999999999" customHeight="1">
      <c r="A29" s="125" t="s">
        <v>145</v>
      </c>
      <c r="B29" s="160" t="s">
        <v>88</v>
      </c>
      <c r="C29" s="52" t="str">
        <f>IF($A$1="EN",B29,"Chi phí tài chính")</f>
        <v>Chi phí tài chính</v>
      </c>
      <c r="D29" s="388" cm="1">
        <f t="array" aca="1" ref="D29" ca="1">IF($V$1="Tháng",
_xlfn.SWITCH(TRUE(),
$Y$1=2025,SUMIFS(Data!$AE:$AE,Data!$B:$B,'FS matrix'!D$2,Data!$D:$D,'FS matrix'!$B29),
$Y$1=2026,SUMIFS(Data!$AS:$AS,Data!$B:$B,'FS matrix'!D$2,Data!$D:$D,'FS matrix'!$B29)),
_xlfn.SWITCH(TRUE(),
$Y$1=2025,SUMIFS(Data!$AD:$AD,Data!$B:$B,'FS matrix'!D$2,Data!$D:$D,'FS matrix'!$B29),
$Y$1=2026,SUMIFS(Data!$AR:$AR,Data!$B:$B,'FS matrix'!D$2,Data!$D:$D,'FS matrix'!$B29)))</f>
        <v>1208736058</v>
      </c>
      <c r="E29" s="389"/>
      <c r="F29" s="33"/>
      <c r="U29" s="9"/>
      <c r="V29" s="9"/>
      <c r="AB29" s="9"/>
      <c r="AC29" s="9"/>
    </row>
    <row r="30" spans="1:29" ht="15.65" customHeight="1">
      <c r="A30" s="125" t="s">
        <v>146</v>
      </c>
      <c r="B30" s="193" t="s">
        <v>89</v>
      </c>
      <c r="C30" s="74" t="str">
        <f>IF($A$1="EN",B30,"Trong đó: Chi phí lãi vay")</f>
        <v>Trong đó: Chi phí lãi vay</v>
      </c>
      <c r="D30" s="375" cm="1">
        <f t="array" aca="1" ref="D30" ca="1">IF($V$1="Tháng",
_xlfn.SWITCH(TRUE(),
$Y$1=2025,SUMIFS(Data!$AE:$AE,Data!$B:$B,'FS matrix'!D$2,Data!$D:$D,'FS matrix'!$B30),
$Y$1=2026,SUMIFS(Data!$AS:$AS,Data!$B:$B,'FS matrix'!D$2,Data!$D:$D,'FS matrix'!$B30)),
_xlfn.SWITCH(TRUE(),
$Y$1=2025,SUMIFS(Data!$AD:$AD,Data!$B:$B,'FS matrix'!D$2,Data!$D:$D,'FS matrix'!$B30),
$Y$1=2026,SUMIFS(Data!$AR:$AR,Data!$B:$B,'FS matrix'!D$2,Data!$D:$D,'FS matrix'!$B30)))</f>
        <v>838836791</v>
      </c>
      <c r="E30" s="20"/>
      <c r="F30" s="33"/>
      <c r="U30" s="9"/>
      <c r="V30" s="9"/>
      <c r="AB30" s="9"/>
      <c r="AC30" s="9"/>
    </row>
    <row r="31" spans="1:29" ht="16.399999999999999" customHeight="1">
      <c r="A31" s="125" t="s">
        <v>148</v>
      </c>
      <c r="B31" s="200" t="s">
        <v>90</v>
      </c>
      <c r="C31" s="41" t="str">
        <f>IF($A$1="EN",B31,"Thu nhập khác")</f>
        <v>Thu nhập khác</v>
      </c>
      <c r="D31" s="368" cm="1">
        <f t="array" aca="1" ref="D31" ca="1">IF($V$1="Tháng",
_xlfn.SWITCH(TRUE(),
$Y$1=2025,SUMIFS(Data!$AE:$AE,Data!$B:$B,'FS matrix'!D$2,Data!$D:$D,'FS matrix'!$B31),
$Y$1=2026,SUMIFS(Data!$AS:$AS,Data!$B:$B,'FS matrix'!D$2,Data!$D:$D,'FS matrix'!$B31)),
_xlfn.SWITCH(TRUE(),
$Y$1=2025,SUMIFS(Data!$AD:$AD,Data!$B:$B,'FS matrix'!D$2,Data!$D:$D,'FS matrix'!$B31),
$Y$1=2026,SUMIFS(Data!$AR:$AR,Data!$B:$B,'FS matrix'!D$2,Data!$D:$D,'FS matrix'!$B31)))</f>
        <v>1131650562</v>
      </c>
      <c r="E31" s="20"/>
      <c r="F31" s="33"/>
      <c r="U31" s="9"/>
      <c r="V31" s="9"/>
      <c r="AB31" s="9"/>
      <c r="AC31" s="9"/>
    </row>
    <row r="32" spans="1:29" ht="17">
      <c r="A32" s="125" t="s">
        <v>149</v>
      </c>
      <c r="B32" s="390" t="s">
        <v>91</v>
      </c>
      <c r="C32" s="391" t="str">
        <f>IF($A$1="EN",B32,"EBITDA")</f>
        <v>EBITDA</v>
      </c>
      <c r="D32" s="392" cm="1">
        <f t="array" aca="1" ref="D32" ca="1">IF($V$1="Tháng",
_xlfn.SWITCH(TRUE(),
$Y$1=2025,SUMIFS(Data!$AE:$AE,Data!$B:$B,'FS matrix'!D$2,Data!$D:$D,'FS matrix'!$B32),
$Y$1=2026,SUMIFS(Data!$AS:$AS,Data!$B:$B,'FS matrix'!D$2,Data!$D:$D,'FS matrix'!$B32)),
_xlfn.SWITCH(TRUE(),
$Y$1=2025,SUMIFS(Data!$AD:$AD,Data!$B:$B,'FS matrix'!D$2,Data!$D:$D,'FS matrix'!$B32),
$Y$1=2026,SUMIFS(Data!$AR:$AR,Data!$B:$B,'FS matrix'!D$2,Data!$D:$D,'FS matrix'!$B32)))</f>
        <v>11351398266</v>
      </c>
      <c r="E32" s="393"/>
      <c r="F32" s="33"/>
      <c r="U32" s="9"/>
      <c r="V32" s="9"/>
      <c r="AB32" s="9"/>
      <c r="AC32" s="9"/>
    </row>
    <row r="33" spans="1:47" ht="15" customHeight="1">
      <c r="A33" s="125" t="s">
        <v>150</v>
      </c>
      <c r="B33" s="41" t="s">
        <v>93</v>
      </c>
      <c r="C33" s="381" t="str">
        <f>IF($A$1="EN",B33,"Lợi nhuận trước thuế")</f>
        <v>Lợi nhuận trước thuế</v>
      </c>
      <c r="D33" s="394" cm="1">
        <f t="array" aca="1" ref="D33" ca="1">IF($V$1="Tháng",
_xlfn.SWITCH(TRUE(),
$Y$1=2025,SUMIFS(Data!$AE:$AE,Data!$B:$B,'FS matrix'!D$2,Data!$D:$D,'FS matrix'!$B33),
$Y$1=2026,SUMIFS(Data!$AS:$AS,Data!$B:$B,'FS matrix'!D$2,Data!$D:$D,'FS matrix'!$B33)),
_xlfn.SWITCH(TRUE(),
$Y$1=2025,SUMIFS(Data!$AD:$AD,Data!$B:$B,'FS matrix'!D$2,Data!$D:$D,'FS matrix'!$B33),
$Y$1=2026,SUMIFS(Data!$AR:$AR,Data!$B:$B,'FS matrix'!D$2,Data!$D:$D,'FS matrix'!$B33)))</f>
        <v>8181583918</v>
      </c>
      <c r="E33" s="20"/>
      <c r="F33" s="33"/>
      <c r="U33" s="9"/>
      <c r="V33" s="9"/>
      <c r="AB33" s="9"/>
      <c r="AC33" s="9"/>
    </row>
    <row r="34" spans="1:47" s="213" customFormat="1" ht="17">
      <c r="A34" s="125" t="s">
        <v>151</v>
      </c>
      <c r="B34" s="113" t="s">
        <v>94</v>
      </c>
      <c r="C34" s="113" t="str">
        <f>IF($A$1="EN",B34,"Thuế TNDN")</f>
        <v>Thuế TNDN</v>
      </c>
      <c r="D34" s="377" cm="1">
        <f t="array" aca="1" ref="D34" ca="1">IF($V$1="Tháng",
_xlfn.SWITCH(TRUE(),
$Y$1=2025,SUMIFS(Data!$AE:$AE,Data!$B:$B,'FS matrix'!D$2,Data!$D:$D,'FS matrix'!$B34),
$Y$1=2026,SUMIFS(Data!$AS:$AS,Data!$B:$B,'FS matrix'!D$2,Data!$D:$D,'FS matrix'!$B34)),
_xlfn.SWITCH(TRUE(),
$Y$1=2025,SUMIFS(Data!$AD:$AD,Data!$B:$B,'FS matrix'!D$2,Data!$D:$D,'FS matrix'!$B34),
$Y$1=2026,SUMIFS(Data!$AR:$AR,Data!$B:$B,'FS matrix'!D$2,Data!$D:$D,'FS matrix'!$B34)))</f>
        <v>-45841499</v>
      </c>
      <c r="E34" s="20"/>
      <c r="F34" s="34"/>
    </row>
    <row r="35" spans="1:47" ht="17.5" thickBot="1">
      <c r="A35" s="125" t="s">
        <v>152</v>
      </c>
      <c r="B35" s="395" t="s">
        <v>109</v>
      </c>
      <c r="C35" s="396" t="str">
        <f>IF($A$1="EN","NET PROFIT","Lợi nhuận sau thuế")</f>
        <v>Lợi nhuận sau thuế</v>
      </c>
      <c r="D35" s="397" cm="1">
        <f t="array" aca="1" ref="D35" ca="1">IF($V$1="Tháng",
_xlfn.SWITCH(TRUE(),
$Y$1=2025,SUMIFS(Data!$AE:$AE,Data!$B:$B,'FS matrix'!D$2,Data!$D:$D,'FS matrix'!$B35),
$Y$1=2026,SUMIFS(Data!$AS:$AS,Data!$B:$B,'FS matrix'!D$2,Data!$D:$D,'FS matrix'!$B35)),
_xlfn.SWITCH(TRUE(),
$Y$1=2025,SUMIFS(Data!$AD:$AD,Data!$B:$B,'FS matrix'!D$2,Data!$D:$D,'FS matrix'!$B35),
$Y$1=2026,SUMIFS(Data!$AR:$AR,Data!$B:$B,'FS matrix'!D$2,Data!$D:$D,'FS matrix'!$B35)))</f>
        <v>8227425417</v>
      </c>
      <c r="E35" s="398"/>
      <c r="F35" s="34"/>
      <c r="U35" s="9"/>
      <c r="V35" s="9"/>
      <c r="AB35" s="9"/>
      <c r="AC35" s="9"/>
    </row>
    <row r="36" spans="1:47" ht="17" thickTop="1">
      <c r="A36" s="125"/>
      <c r="B36" s="282"/>
      <c r="C36" s="399"/>
      <c r="D36" s="400"/>
      <c r="E36" s="20"/>
      <c r="F36" s="34"/>
      <c r="U36" s="9"/>
      <c r="V36" s="9"/>
      <c r="AB36" s="9"/>
      <c r="AC36" s="9"/>
    </row>
    <row r="37" spans="1:47" s="360" customFormat="1">
      <c r="A37" s="354"/>
      <c r="B37" s="401" t="s">
        <v>5</v>
      </c>
      <c r="C37" s="356" t="str">
        <f>IF(A1="EN",B37,"BẢNG CÂN ĐỐI KẾ TOÁN")</f>
        <v>BẢNG CÂN ĐỐI KẾ TOÁN</v>
      </c>
      <c r="D37" s="357" t="str">
        <f t="shared" ref="D37" si="0">D2</f>
        <v>DTR</v>
      </c>
      <c r="E37" s="358"/>
      <c r="F37" s="359"/>
    </row>
    <row r="38" spans="1:47" ht="17">
      <c r="A38" s="125" t="s">
        <v>153</v>
      </c>
      <c r="B38" s="113" t="s">
        <v>7</v>
      </c>
      <c r="C38" s="41" t="str">
        <f>IF(A1="en",B38,"Tài sản ngắn hạn")</f>
        <v>Tài sản ngắn hạn</v>
      </c>
      <c r="D38" s="402" cm="1">
        <f t="array" aca="1" ref="D38" ca="1">_xlfn.SWITCH(TRUE(),
$Y$1=2025,SUMIFS(Data!$AD:$AD,Data!$B:$B,'FS matrix'!D$37,Data!$A:$A,'FS matrix'!$A38),
$Y$1=2026,SUMIFS(Data!$AR:$AR,Data!$B:$B,'FS matrix'!D$37,Data!$A:$A,'FS matrix'!$A38))</f>
        <v>886588369025</v>
      </c>
      <c r="E38" s="20"/>
      <c r="F38" s="34"/>
      <c r="U38" s="9"/>
      <c r="V38" s="9"/>
      <c r="AB38" s="9"/>
      <c r="AC38" s="9"/>
    </row>
    <row r="39" spans="1:47" ht="17" outlineLevel="1">
      <c r="A39" s="125" t="s">
        <v>154</v>
      </c>
      <c r="B39" s="58" t="s">
        <v>9</v>
      </c>
      <c r="C39" s="376" t="str">
        <f>IF($A$1="EN",B39,"Tiền")</f>
        <v>Tiền</v>
      </c>
      <c r="D39" s="403" cm="1">
        <f t="array" aca="1" ref="D39" ca="1">_xlfn.SWITCH(TRUE(),
$Y$1=2025,SUMIFS(Data!$AD:$AD,Data!$B:$B,'FS matrix'!D$37,Data!$A:$A,'FS matrix'!$A39),
$Y$1=2026,SUMIFS(Data!$AR:$AR,Data!$B:$B,'FS matrix'!D$37,Data!$A:$A,'FS matrix'!$A39))</f>
        <v>41014004605</v>
      </c>
      <c r="E39" s="20"/>
      <c r="F39" s="34"/>
      <c r="U39" s="9"/>
      <c r="V39" s="9"/>
      <c r="AB39" s="9"/>
      <c r="AC39" s="9"/>
    </row>
    <row r="40" spans="1:47" ht="17" outlineLevel="1">
      <c r="A40" s="125" t="s">
        <v>155</v>
      </c>
      <c r="B40" s="58" t="s">
        <v>12</v>
      </c>
      <c r="C40" s="376" t="str">
        <f>IF($A$1="EN",B40,"Đầu tư tài chính ngắn hạn")</f>
        <v>Đầu tư tài chính ngắn hạn</v>
      </c>
      <c r="D40" s="403" cm="1">
        <f t="array" aca="1" ref="D40" ca="1">_xlfn.SWITCH(TRUE(),
$Y$1=2025,SUMIFS(Data!$AD:$AD,Data!$B:$B,'FS matrix'!D$37,Data!$A:$A,'FS matrix'!$A40),
$Y$1=2026,SUMIFS(Data!$AR:$AR,Data!$B:$B,'FS matrix'!D$37,Data!$A:$A,'FS matrix'!$A40))</f>
        <v>34340000000</v>
      </c>
      <c r="E40" s="20"/>
      <c r="F40" s="34"/>
      <c r="U40" s="9"/>
      <c r="V40" s="9"/>
      <c r="AB40" s="9"/>
      <c r="AC40" s="9"/>
    </row>
    <row r="41" spans="1:47" ht="17" outlineLevel="1">
      <c r="A41" s="125" t="s">
        <v>157</v>
      </c>
      <c r="B41" s="58" t="s">
        <v>16</v>
      </c>
      <c r="C41" s="376" t="str">
        <f>IF($A$1="EN",B41,"Các khoản phải thu")</f>
        <v>Các khoản phải thu</v>
      </c>
      <c r="D41" s="403" cm="1">
        <f t="array" aca="1" ref="D41" ca="1">_xlfn.SWITCH(TRUE(),
$Y$1=2025,SUMIFS(Data!$AD:$AD,Data!$B:$B,'FS matrix'!D$37,Data!$A:$A,'FS matrix'!$A41),
$Y$1=2026,SUMIFS(Data!$AR:$AR,Data!$B:$B,'FS matrix'!D$37,Data!$A:$A,'FS matrix'!$A41))</f>
        <v>417392857129</v>
      </c>
      <c r="E41" s="20"/>
      <c r="F41" s="34"/>
      <c r="U41" s="9"/>
      <c r="V41" s="9"/>
      <c r="AB41" s="9"/>
      <c r="AC41" s="9"/>
    </row>
    <row r="42" spans="1:47" ht="17" outlineLevel="1">
      <c r="A42" s="125" t="s">
        <v>158</v>
      </c>
      <c r="B42" s="58" t="s">
        <v>159</v>
      </c>
      <c r="C42" s="404" t="str">
        <f>IF($A$1="EN",B42,"Trong đó: Phải thu khách hàng")</f>
        <v>Trong đó: Phải thu khách hàng</v>
      </c>
      <c r="D42" s="405" cm="1">
        <f t="array" aca="1" ref="D42" ca="1">_xlfn.SWITCH(TRUE(),
$Y$1=2025,SUMIFS(Data!$AD:$AD,Data!$B:$B,'FS matrix'!D$37,Data!$A:$A,'FS matrix'!$A42),
$Y$1=2026,SUMIFS(Data!$AR:$AR,Data!$B:$B,'FS matrix'!D$37,Data!$A:$A,'FS matrix'!$A42))</f>
        <v>178005616424</v>
      </c>
      <c r="E42" s="20"/>
      <c r="F42" s="34"/>
      <c r="U42" s="9"/>
      <c r="V42" s="9"/>
      <c r="AB42" s="9"/>
      <c r="AC42" s="9"/>
    </row>
    <row r="43" spans="1:47" ht="17" outlineLevel="1">
      <c r="A43" s="125" t="s">
        <v>160</v>
      </c>
      <c r="B43" s="58" t="s">
        <v>20</v>
      </c>
      <c r="C43" s="376" t="str">
        <f>IF($A$1="EN",B43,"Hàng tồn kho")</f>
        <v>Hàng tồn kho</v>
      </c>
      <c r="D43" s="403" cm="1">
        <f t="array" aca="1" ref="D43" ca="1">_xlfn.SWITCH(TRUE(),
$Y$1=2025,SUMIFS(Data!$AD:$AD,Data!$B:$B,'FS matrix'!D$37,Data!$A:$A,'FS matrix'!$A43),
$Y$1=2026,SUMIFS(Data!$AR:$AR,Data!$B:$B,'FS matrix'!D$37,Data!$A:$A,'FS matrix'!$A43))</f>
        <v>361880765551</v>
      </c>
      <c r="E43" s="20"/>
      <c r="F43" s="34"/>
      <c r="I43" s="406"/>
      <c r="U43" s="9"/>
      <c r="V43" s="9"/>
      <c r="AB43" s="9"/>
      <c r="AC43" s="9"/>
    </row>
    <row r="44" spans="1:47" ht="17">
      <c r="A44" s="125" t="s">
        <v>161</v>
      </c>
      <c r="B44" s="113" t="s">
        <v>24</v>
      </c>
      <c r="C44" s="41" t="str">
        <f>IF($A$1="EN",B44,"Tài sản dài hạn")</f>
        <v>Tài sản dài hạn</v>
      </c>
      <c r="D44" s="402" cm="1">
        <f t="array" aca="1" ref="D44" ca="1">_xlfn.SWITCH(TRUE(),
$Y$1=2025,SUMIFS(Data!$AD:$AD,Data!$B:$B,'FS matrix'!D$37,Data!$A:$A,'FS matrix'!$A44),
$Y$1=2026,SUMIFS(Data!$AR:$AR,Data!$B:$B,'FS matrix'!D$37,Data!$A:$A,'FS matrix'!$A44))</f>
        <v>365314011891</v>
      </c>
      <c r="E44" s="20"/>
      <c r="F44" s="34"/>
      <c r="U44" s="9"/>
      <c r="V44" s="9"/>
      <c r="AB44" s="9"/>
      <c r="AC44" s="9"/>
      <c r="AQ44" s="270"/>
      <c r="AS44" s="407"/>
      <c r="AT44" s="407"/>
      <c r="AU44" s="407"/>
    </row>
    <row r="45" spans="1:47" ht="17" outlineLevel="1">
      <c r="A45" s="125" t="s">
        <v>163</v>
      </c>
      <c r="B45" s="58" t="s">
        <v>26</v>
      </c>
      <c r="C45" s="376" t="str">
        <f>IF($A$1="EN",B45,"Tài sản cố định")</f>
        <v>Tài sản cố định</v>
      </c>
      <c r="D45" s="403" cm="1">
        <f t="array" aca="1" ref="D45" ca="1">_xlfn.SWITCH(TRUE(),
$Y$1=2025,SUMIFS(Data!$AD:$AD,Data!$B:$B,'FS matrix'!D$37,Data!$A:$A,'FS matrix'!$A45),
$Y$1=2026,SUMIFS(Data!$AR:$AR,Data!$B:$B,'FS matrix'!D$37,Data!$A:$A,'FS matrix'!$A45))</f>
        <v>268070715296</v>
      </c>
      <c r="E45" s="20"/>
      <c r="F45" s="34"/>
      <c r="U45" s="9"/>
      <c r="V45" s="9"/>
      <c r="AB45" s="9"/>
      <c r="AC45" s="9"/>
      <c r="AS45" s="407"/>
      <c r="AT45" s="407"/>
      <c r="AU45" s="407"/>
    </row>
    <row r="46" spans="1:47" ht="17" outlineLevel="1">
      <c r="A46" s="125" t="s">
        <v>164</v>
      </c>
      <c r="B46" s="97" t="s">
        <v>30</v>
      </c>
      <c r="C46" s="97" t="str">
        <f>IF($A$1="EN",B46,"Nguyên giá")</f>
        <v>Nguyên giá</v>
      </c>
      <c r="D46" s="408" cm="1">
        <f t="array" aca="1" ref="D46" ca="1">_xlfn.SWITCH(TRUE(),
$Y$1=2025,SUMIFS(Data!$AD:$AD,Data!$B:$B,'FS matrix'!D$37,Data!$A:$A,'FS matrix'!$A46),
$Y$1=2026,SUMIFS(Data!$AR:$AR,Data!$B:$B,'FS matrix'!D$37,Data!$A:$A,'FS matrix'!$A46))</f>
        <v>409700584982</v>
      </c>
      <c r="E46" s="20"/>
      <c r="F46" s="34"/>
      <c r="U46" s="9"/>
      <c r="V46" s="9"/>
      <c r="AB46" s="9"/>
      <c r="AC46" s="9"/>
      <c r="AS46" s="407"/>
      <c r="AT46" s="407"/>
      <c r="AU46" s="407"/>
    </row>
    <row r="47" spans="1:47" ht="17" outlineLevel="1">
      <c r="A47" s="125" t="s">
        <v>165</v>
      </c>
      <c r="B47" s="97" t="s">
        <v>34</v>
      </c>
      <c r="C47" s="97" t="str">
        <f>IF($A$1="EN",B47,"Hao mòn lũy kế")</f>
        <v>Hao mòn lũy kế</v>
      </c>
      <c r="D47" s="408" cm="1">
        <f t="array" aca="1" ref="D47" ca="1">_xlfn.SWITCH(TRUE(),
$Y$1=2025,SUMIFS(Data!$AD:$AD,Data!$B:$B,'FS matrix'!D$37,Data!$A:$A,'FS matrix'!$A47),
$Y$1=2026,SUMIFS(Data!$AR:$AR,Data!$B:$B,'FS matrix'!D$37,Data!$A:$A,'FS matrix'!$A47))</f>
        <v>-141629869686</v>
      </c>
      <c r="E47" s="20"/>
      <c r="F47" s="34"/>
      <c r="U47" s="9"/>
      <c r="V47" s="9"/>
      <c r="AB47" s="9"/>
      <c r="AC47" s="9"/>
    </row>
    <row r="48" spans="1:47" ht="17">
      <c r="A48" s="125" t="s">
        <v>166</v>
      </c>
      <c r="B48" s="87" t="s">
        <v>37</v>
      </c>
      <c r="C48" s="87" t="str">
        <f>IF($A$1="EN",B48,"Tổng Tài sản")</f>
        <v>Tổng Tài sản</v>
      </c>
      <c r="D48" s="409">
        <f t="shared" ref="D48" ca="1" si="1">D38+D44</f>
        <v>1251902380916</v>
      </c>
      <c r="E48" s="20"/>
      <c r="F48" s="34"/>
      <c r="U48" s="9"/>
      <c r="V48" s="9"/>
      <c r="AB48" s="9"/>
      <c r="AC48" s="9"/>
    </row>
    <row r="49" spans="1:47" ht="17">
      <c r="A49" s="125" t="s">
        <v>167</v>
      </c>
      <c r="B49" s="113" t="s">
        <v>42</v>
      </c>
      <c r="C49" s="41" t="str">
        <f>IF($A$1="EN",B49,"Nợ ngắn hạn")</f>
        <v>Nợ ngắn hạn</v>
      </c>
      <c r="D49" s="402" cm="1">
        <f t="array" aca="1" ref="D49" ca="1">_xlfn.SWITCH(TRUE(),
$Y$1=2025,SUMIFS(Data!$AD:$AD,Data!$B:$B,'FS matrix'!D$37,Data!$A:$A,'FS matrix'!$A49),
$Y$1=2026,SUMIFS(Data!$AR:$AR,Data!$B:$B,'FS matrix'!D$37,Data!$A:$A,'FS matrix'!$A49))</f>
        <v>219319635169</v>
      </c>
      <c r="E49" s="20"/>
      <c r="F49" s="34"/>
      <c r="U49" s="9"/>
      <c r="V49" s="9"/>
      <c r="AB49" s="9"/>
      <c r="AC49" s="9"/>
      <c r="AQ49" s="270"/>
      <c r="AS49" s="407"/>
      <c r="AT49" s="407"/>
      <c r="AU49" s="407"/>
    </row>
    <row r="50" spans="1:47" ht="17" outlineLevel="1">
      <c r="A50" s="125" t="s">
        <v>168</v>
      </c>
      <c r="B50" s="58" t="s">
        <v>45</v>
      </c>
      <c r="C50" s="376" t="str">
        <f>IF($A$1="EN",B50,"Vay ngắn hạn")</f>
        <v>Vay ngắn hạn</v>
      </c>
      <c r="D50" s="403" cm="1">
        <f t="array" aca="1" ref="D50" ca="1">_xlfn.SWITCH(TRUE(),
$Y$1=2025,SUMIFS(Data!$AD:$AD,Data!$B:$B,'FS matrix'!D$37,Data!$A:$A,'FS matrix'!$A50),
$Y$1=2026,SUMIFS(Data!$AR:$AR,Data!$B:$B,'FS matrix'!D$37,Data!$A:$A,'FS matrix'!$A50))</f>
        <v>116595603825</v>
      </c>
      <c r="E50" s="20"/>
      <c r="F50" s="34"/>
      <c r="U50" s="9"/>
      <c r="V50" s="9"/>
      <c r="AB50" s="9"/>
      <c r="AC50" s="9"/>
      <c r="AS50" s="407"/>
      <c r="AT50" s="407"/>
      <c r="AU50" s="407"/>
    </row>
    <row r="51" spans="1:47" ht="17" outlineLevel="1">
      <c r="A51" s="125" t="s">
        <v>169</v>
      </c>
      <c r="B51" s="58" t="s">
        <v>47</v>
      </c>
      <c r="C51" s="376" t="str">
        <f>IF($A$1="EN",B51,"Các khoản phải trả")</f>
        <v>Các khoản phải trả</v>
      </c>
      <c r="D51" s="403" cm="1">
        <f t="array" aca="1" ref="D51" ca="1">_xlfn.SWITCH(TRUE(),
$Y$1=2025,SUMIFS(Data!$AD:$AD,Data!$B:$B,'FS matrix'!D$37,Data!$A:$A,'FS matrix'!$A51),
$Y$1=2026,SUMIFS(Data!$AR:$AR,Data!$B:$B,'FS matrix'!D$37,Data!$A:$A,'FS matrix'!$A51))</f>
        <v>65718659314</v>
      </c>
      <c r="E51" s="20"/>
      <c r="F51" s="34"/>
      <c r="U51" s="9"/>
      <c r="V51" s="9"/>
      <c r="AB51" s="9"/>
      <c r="AC51" s="9"/>
      <c r="AS51" s="407"/>
      <c r="AT51" s="407"/>
      <c r="AU51" s="407"/>
    </row>
    <row r="52" spans="1:47" ht="17" outlineLevel="1">
      <c r="A52" s="125" t="s">
        <v>170</v>
      </c>
      <c r="B52" s="58" t="s">
        <v>236</v>
      </c>
      <c r="C52" s="404" t="str">
        <f>IF($A$1="EN",B52,"Trong đó: Phải trả nhà cung cấp")</f>
        <v>Trong đó: Phải trả nhà cung cấp</v>
      </c>
      <c r="D52" s="405" cm="1">
        <f t="array" aca="1" ref="D52" ca="1">_xlfn.SWITCH(TRUE(),
$Y$1=2025,SUMIFS(Data!$AD:$AD,Data!$B:$B,'FS matrix'!D$37,Data!$A:$A,'FS matrix'!$A52),
$Y$1=2026,SUMIFS(Data!$AR:$AR,Data!$B:$B,'FS matrix'!D$37,Data!$A:$A,'FS matrix'!$A52))</f>
        <v>51638550700</v>
      </c>
      <c r="E52" s="20"/>
      <c r="F52" s="34"/>
      <c r="U52" s="9"/>
      <c r="V52" s="9"/>
      <c r="AB52" s="9"/>
      <c r="AC52" s="9"/>
    </row>
    <row r="53" spans="1:47" ht="17">
      <c r="A53" s="125" t="s">
        <v>172</v>
      </c>
      <c r="B53" s="113" t="s">
        <v>50</v>
      </c>
      <c r="C53" s="41" t="str">
        <f>IF($A$1="EN",B53,"Nợ dài hạn")</f>
        <v>Nợ dài hạn</v>
      </c>
      <c r="D53" s="402" cm="1">
        <f t="array" aca="1" ref="D53" ca="1">_xlfn.SWITCH(TRUE(),
$Y$1=2025,SUMIFS(Data!$AD:$AD,Data!$B:$B,'FS matrix'!D$37,Data!$A:$A,'FS matrix'!$A53),
$Y$1=2026,SUMIFS(Data!$AR:$AR,Data!$B:$B,'FS matrix'!D$37,Data!$A:$A,'FS matrix'!$A53))</f>
        <v>154933236415</v>
      </c>
      <c r="E53" s="20"/>
      <c r="F53" s="34"/>
      <c r="U53" s="9"/>
      <c r="V53" s="9"/>
      <c r="AB53" s="9"/>
      <c r="AC53" s="9"/>
      <c r="AQ53" s="270"/>
      <c r="AS53" s="407"/>
      <c r="AT53" s="407"/>
      <c r="AU53" s="407"/>
    </row>
    <row r="54" spans="1:47" ht="17">
      <c r="A54" s="125" t="s">
        <v>173</v>
      </c>
      <c r="B54" s="58" t="s">
        <v>53</v>
      </c>
      <c r="C54" s="376" t="s">
        <v>237</v>
      </c>
      <c r="D54" s="403" cm="1">
        <f t="array" aca="1" ref="D54" ca="1">_xlfn.SWITCH(TRUE(),
$Y$1=2025,SUMIFS(Data!$AD:$AD,Data!$B:$B,'FS matrix'!D$37,Data!$A:$A,'FS matrix'!$A54),
$Y$1=2026,SUMIFS(Data!$AR:$AR,Data!$B:$B,'FS matrix'!D$37,Data!$A:$A,'FS matrix'!$A54))</f>
        <v>154933236415</v>
      </c>
      <c r="E54" s="20"/>
      <c r="F54" s="34"/>
      <c r="U54" s="9"/>
      <c r="V54" s="9"/>
      <c r="AB54" s="9"/>
      <c r="AC54" s="9"/>
      <c r="AS54" s="407"/>
      <c r="AT54" s="407"/>
      <c r="AU54" s="407"/>
    </row>
    <row r="55" spans="1:47" ht="17">
      <c r="A55" s="125" t="s">
        <v>174</v>
      </c>
      <c r="B55" s="113" t="s">
        <v>56</v>
      </c>
      <c r="C55" s="41" t="str">
        <f>IF($A$1="EN",B55,"Vốn chủ sở hữu")</f>
        <v>Vốn chủ sở hữu</v>
      </c>
      <c r="D55" s="402" cm="1">
        <f t="array" aca="1" ref="D55" ca="1">_xlfn.SWITCH(TRUE(),
$Y$1=2025,SUMIFS(Data!$AD:$AD,Data!$B:$B,'FS matrix'!D$37,Data!$A:$A,'FS matrix'!$A55),
$Y$1=2026,SUMIFS(Data!$AR:$AR,Data!$B:$B,'FS matrix'!D$37,Data!$A:$A,'FS matrix'!$A55))</f>
        <v>877649509332</v>
      </c>
      <c r="E55" s="20"/>
      <c r="F55" s="34"/>
      <c r="U55" s="9"/>
      <c r="V55" s="9"/>
      <c r="AB55" s="9"/>
      <c r="AC55" s="9"/>
      <c r="AS55" s="407"/>
      <c r="AT55" s="407"/>
      <c r="AU55" s="407"/>
    </row>
    <row r="56" spans="1:47" ht="17">
      <c r="A56" s="125" t="s">
        <v>177</v>
      </c>
      <c r="B56" s="58" t="s">
        <v>59</v>
      </c>
      <c r="C56" s="376" t="str">
        <f>IF($A$1="EN",B56,"Lợi nhuận chưa phân phối")</f>
        <v>Lợi nhuận chưa phân phối</v>
      </c>
      <c r="D56" s="403" cm="1">
        <f t="array" aca="1" ref="D56" ca="1">_xlfn.SWITCH(TRUE(),
$Y$1=2025,SUMIFS(Data!$AD:$AD,Data!$B:$B,'FS matrix'!D$37,Data!$A:$A,'FS matrix'!$A56),
$Y$1=2026,SUMIFS(Data!$AR:$AR,Data!$B:$B,'FS matrix'!D$37,Data!$A:$A,'FS matrix'!$A56))</f>
        <v>227649509332</v>
      </c>
      <c r="E56" s="20"/>
      <c r="F56" s="34"/>
      <c r="U56" s="9"/>
      <c r="V56" s="9"/>
      <c r="AB56" s="9"/>
      <c r="AC56" s="9"/>
      <c r="AQ56" s="270"/>
    </row>
    <row r="57" spans="1:47" ht="17">
      <c r="A57" s="125" t="s">
        <v>178</v>
      </c>
      <c r="B57" s="87" t="s">
        <v>61</v>
      </c>
      <c r="C57" s="87" t="str">
        <f>IF($A$1="EN",B57,"Tổng Nguồn vốn")</f>
        <v>Tổng Nguồn vốn</v>
      </c>
      <c r="D57" s="409">
        <f t="shared" ref="D57" ca="1" si="2">D49+D53+D55</f>
        <v>1251902380916</v>
      </c>
      <c r="E57" s="20"/>
      <c r="F57" s="34"/>
      <c r="U57" s="9"/>
      <c r="V57" s="9"/>
      <c r="AB57" s="9"/>
      <c r="AC57" s="9"/>
    </row>
    <row r="58" spans="1:47" s="416" customFormat="1" ht="17">
      <c r="A58" s="410"/>
      <c r="B58" s="411"/>
      <c r="C58" s="412" t="s">
        <v>13</v>
      </c>
      <c r="D58" s="413">
        <f t="shared" ref="D58" ca="1" si="3">D55-D56</f>
        <v>650000000000</v>
      </c>
      <c r="E58" s="414"/>
      <c r="F58" s="415"/>
    </row>
    <row r="59" spans="1:47" ht="17.149999999999999" customHeight="1">
      <c r="A59" s="125"/>
      <c r="B59" s="417"/>
      <c r="C59" s="418" t="s">
        <v>238</v>
      </c>
      <c r="D59" s="419">
        <f ca="1">IFERROR((D55-D56)/D5,"")</f>
        <v>4.0684677037708274</v>
      </c>
      <c r="E59" s="20"/>
      <c r="F59" s="34"/>
      <c r="U59" s="9"/>
      <c r="V59" s="9"/>
      <c r="AB59" s="9"/>
      <c r="AC59" s="9"/>
      <c r="AQ59" s="407"/>
    </row>
    <row r="60" spans="1:47">
      <c r="B60" s="420" t="s">
        <v>239</v>
      </c>
      <c r="C60" s="356" t="s">
        <v>240</v>
      </c>
      <c r="D60" s="357" t="str">
        <f t="shared" ref="D60" si="4">D37</f>
        <v>DTR</v>
      </c>
      <c r="E60" s="20"/>
      <c r="F60" s="34"/>
      <c r="U60" s="9"/>
      <c r="V60" s="9"/>
      <c r="AB60" s="9"/>
      <c r="AC60" s="9"/>
    </row>
    <row r="61" spans="1:47">
      <c r="A61" s="125" t="s">
        <v>180</v>
      </c>
      <c r="B61" s="367" t="s">
        <v>181</v>
      </c>
      <c r="C61" s="367" t="s">
        <v>241</v>
      </c>
      <c r="D61" s="421" cm="1">
        <f t="array" aca="1" ref="D61" ca="1">IF($V$1="Tháng",
_xlfn.SWITCH(TRUE(),
$Y$1=2025,SUMIFS(Data!$AE:$AE,Data!$B:$B,'FS matrix'!D$60,Data!$A:$A,'FS matrix'!$A61),
$Y$1=2026,SUMIFS(Data!$AS:$AS,Data!$B:$B,'FS matrix'!D$60,Data!$A:$A,'FS matrix'!$A61)),
_xlfn.SWITCH(TRUE(),
$Y$1=2025,SUMIFS(Data!$AD:$AD,Data!$B:$B,'FS matrix'!D$60,Data!$A:$A,'FS matrix'!$A61),
$Y$1=2026,SUMIFS(Data!$AR:$AR,Data!$B:$B,'FS matrix'!D$60,Data!$A:$A,'FS matrix'!$A61)))</f>
        <v>8181583918</v>
      </c>
      <c r="E61" s="20"/>
      <c r="F61" s="34"/>
      <c r="U61" s="9"/>
      <c r="V61" s="9"/>
      <c r="AB61" s="9"/>
      <c r="AC61" s="9"/>
    </row>
    <row r="62" spans="1:47">
      <c r="A62" s="125" t="s">
        <v>182</v>
      </c>
      <c r="B62" s="200" t="s">
        <v>183</v>
      </c>
      <c r="C62" s="200" t="s">
        <v>242</v>
      </c>
      <c r="D62" s="422" cm="1">
        <f t="array" aca="1" ref="D62" ca="1">IF($V$1="Tháng",
_xlfn.SWITCH(TRUE(),
$Y$1=2025,SUMIFS(Data!$AE:$AE,Data!$B:$B,'FS matrix'!D$60,Data!$A:$A,'FS matrix'!$A62),
$Y$1=2026,SUMIFS(Data!$AS:$AS,Data!$B:$B,'FS matrix'!D$60,Data!$A:$A,'FS matrix'!$A62)),
_xlfn.SWITCH(TRUE(),
$Y$1=2025,SUMIFS(Data!$AD:$AD,Data!$B:$B,'FS matrix'!D$60,Data!$A:$A,'FS matrix'!$A62),
$Y$1=2026,SUMIFS(Data!$AR:$AR,Data!$B:$B,'FS matrix'!D$60,Data!$A:$A,'FS matrix'!$A62)))</f>
        <v>2330977557</v>
      </c>
      <c r="E62" s="20"/>
      <c r="F62" s="34"/>
      <c r="U62" s="9"/>
      <c r="V62" s="9"/>
      <c r="AB62" s="9"/>
      <c r="AC62" s="9"/>
    </row>
    <row r="63" spans="1:47">
      <c r="A63" s="125" t="s">
        <v>184</v>
      </c>
      <c r="B63" s="200" t="s">
        <v>185</v>
      </c>
      <c r="C63" s="200" t="s">
        <v>243</v>
      </c>
      <c r="D63" s="422" cm="1">
        <f t="array" aca="1" ref="D63" ca="1">IF($V$1="Tháng",
_xlfn.SWITCH(TRUE(),
$Y$1=2025,SUMIFS(Data!$AE:$AE,Data!$B:$B,'FS matrix'!D$60,Data!$A:$A,'FS matrix'!$A63),
$Y$1=2026,SUMIFS(Data!$AS:$AS,Data!$B:$B,'FS matrix'!D$60,Data!$A:$A,'FS matrix'!$A63)),
_xlfn.SWITCH(TRUE(),
$Y$1=2025,SUMIFS(Data!$AD:$AD,Data!$B:$B,'FS matrix'!D$60,Data!$A:$A,'FS matrix'!$A63),
$Y$1=2026,SUMIFS(Data!$AR:$AR,Data!$B:$B,'FS matrix'!D$60,Data!$A:$A,'FS matrix'!$A63)))</f>
        <v>146904400</v>
      </c>
      <c r="E63" s="20"/>
      <c r="F63" s="34"/>
      <c r="U63" s="9"/>
      <c r="V63" s="9"/>
      <c r="AB63" s="9"/>
      <c r="AC63" s="9"/>
    </row>
    <row r="64" spans="1:47">
      <c r="A64" s="125" t="s">
        <v>186</v>
      </c>
      <c r="B64" s="423" t="s">
        <v>187</v>
      </c>
      <c r="C64" s="423" t="s">
        <v>244</v>
      </c>
      <c r="D64" s="424" cm="1">
        <f t="array" aca="1" ref="D64" ca="1">IF($V$1="Tháng",
_xlfn.SWITCH(TRUE(),
$Y$1=2025,SUMIFS(Data!$AE:$AE,Data!$B:$B,'FS matrix'!D$60,Data!$A:$A,'FS matrix'!$A64),
$Y$1=2026,SUMIFS(Data!$AS:$AS,Data!$B:$B,'FS matrix'!D$60,Data!$A:$A,'FS matrix'!$A64)),
_xlfn.SWITCH(TRUE(),
$Y$1=2025,SUMIFS(Data!$AD:$AD,Data!$B:$B,'FS matrix'!D$60,Data!$A:$A,'FS matrix'!$A64),
$Y$1=2026,SUMIFS(Data!$AR:$AR,Data!$B:$B,'FS matrix'!D$60,Data!$A:$A,'FS matrix'!$A64)))</f>
        <v>10659465875</v>
      </c>
      <c r="E64" s="20"/>
      <c r="F64" s="34"/>
      <c r="U64" s="9"/>
      <c r="V64" s="9"/>
      <c r="AB64" s="9"/>
      <c r="AC64" s="9"/>
    </row>
    <row r="65" spans="1:29" outlineLevel="1">
      <c r="A65" s="125" t="s">
        <v>188</v>
      </c>
      <c r="B65" s="193" t="s">
        <v>189</v>
      </c>
      <c r="C65" s="193" t="s">
        <v>245</v>
      </c>
      <c r="D65" s="422" cm="1">
        <f t="array" aca="1" ref="D65" ca="1">IF($V$1="Tháng",
_xlfn.SWITCH(TRUE(),
$Y$1=2025,SUMIFS(Data!$AE:$AE,Data!$B:$B,'FS matrix'!D$60,Data!$A:$A,'FS matrix'!$A65),
$Y$1=2026,SUMIFS(Data!$AS:$AS,Data!$B:$B,'FS matrix'!D$60,Data!$A:$A,'FS matrix'!$A65)),
_xlfn.SWITCH(TRUE(),
$Y$1=2025,SUMIFS(Data!$AD:$AD,Data!$B:$B,'FS matrix'!D$60,Data!$A:$A,'FS matrix'!$A65),
$Y$1=2026,SUMIFS(Data!$AR:$AR,Data!$B:$B,'FS matrix'!D$60,Data!$A:$A,'FS matrix'!$A65)))</f>
        <v>-97423755750</v>
      </c>
      <c r="E65" s="20"/>
      <c r="F65" s="34"/>
      <c r="U65" s="9"/>
      <c r="V65" s="9"/>
      <c r="AB65" s="9"/>
      <c r="AC65" s="9"/>
    </row>
    <row r="66" spans="1:29" outlineLevel="1">
      <c r="A66" s="125" t="s">
        <v>190</v>
      </c>
      <c r="B66" s="193" t="s">
        <v>191</v>
      </c>
      <c r="C66" s="193" t="s">
        <v>246</v>
      </c>
      <c r="D66" s="422" cm="1">
        <f t="array" aca="1" ref="D66" ca="1">IF($V$1="Tháng",
_xlfn.SWITCH(TRUE(),
$Y$1=2025,SUMIFS(Data!$AE:$AE,Data!$B:$B,'FS matrix'!D$60,Data!$A:$A,'FS matrix'!$A66),
$Y$1=2026,SUMIFS(Data!$AS:$AS,Data!$B:$B,'FS matrix'!D$60,Data!$A:$A,'FS matrix'!$A66)),
_xlfn.SWITCH(TRUE(),
$Y$1=2025,SUMIFS(Data!$AD:$AD,Data!$B:$B,'FS matrix'!D$60,Data!$A:$A,'FS matrix'!$A66),
$Y$1=2026,SUMIFS(Data!$AR:$AR,Data!$B:$B,'FS matrix'!D$60,Data!$A:$A,'FS matrix'!$A66)))</f>
        <v>8532767673</v>
      </c>
      <c r="E66" s="20"/>
      <c r="F66" s="34"/>
      <c r="U66" s="9"/>
      <c r="V66" s="9"/>
      <c r="AB66" s="9"/>
      <c r="AC66" s="9"/>
    </row>
    <row r="67" spans="1:29" outlineLevel="1">
      <c r="A67" s="125" t="s">
        <v>192</v>
      </c>
      <c r="B67" s="193" t="s">
        <v>193</v>
      </c>
      <c r="C67" s="193" t="s">
        <v>247</v>
      </c>
      <c r="D67" s="422" cm="1">
        <f t="array" aca="1" ref="D67" ca="1">IF($V$1="Tháng",
_xlfn.SWITCH(TRUE(),
$Y$1=2025,SUMIFS(Data!$AE:$AE,Data!$B:$B,'FS matrix'!D$60,Data!$A:$A,'FS matrix'!$A67),
$Y$1=2026,SUMIFS(Data!$AS:$AS,Data!$B:$B,'FS matrix'!D$60,Data!$A:$A,'FS matrix'!$A67)),
_xlfn.SWITCH(TRUE(),
$Y$1=2025,SUMIFS(Data!$AD:$AD,Data!$B:$B,'FS matrix'!D$60,Data!$A:$A,'FS matrix'!$A67),
$Y$1=2026,SUMIFS(Data!$AR:$AR,Data!$B:$B,'FS matrix'!D$60,Data!$A:$A,'FS matrix'!$A67)))</f>
        <v>26805727933</v>
      </c>
      <c r="E67" s="20"/>
      <c r="F67" s="34"/>
      <c r="U67" s="9"/>
      <c r="V67" s="9"/>
      <c r="AB67" s="9"/>
      <c r="AC67" s="9"/>
    </row>
    <row r="68" spans="1:29" outlineLevel="1">
      <c r="A68" s="125" t="s">
        <v>194</v>
      </c>
      <c r="B68" s="193" t="s">
        <v>195</v>
      </c>
      <c r="C68" s="193" t="s">
        <v>248</v>
      </c>
      <c r="D68" s="422" cm="1">
        <f t="array" aca="1" ref="D68" ca="1">IF($V$1="Tháng",
_xlfn.SWITCH(TRUE(),
$Y$1=2025,SUMIFS(Data!$AE:$AE,Data!$B:$B,'FS matrix'!D$60,Data!$A:$A,'FS matrix'!$A68),
$Y$1=2026,SUMIFS(Data!$AS:$AS,Data!$B:$B,'FS matrix'!D$60,Data!$A:$A,'FS matrix'!$A68)),
_xlfn.SWITCH(TRUE(),
$Y$1=2025,SUMIFS(Data!$AD:$AD,Data!$B:$B,'FS matrix'!D$60,Data!$A:$A,'FS matrix'!$A68),
$Y$1=2026,SUMIFS(Data!$AR:$AR,Data!$B:$B,'FS matrix'!D$60,Data!$A:$A,'FS matrix'!$A68)))</f>
        <v>-838836791</v>
      </c>
      <c r="E68" s="20"/>
      <c r="F68" s="34"/>
      <c r="U68" s="9"/>
      <c r="V68" s="9"/>
      <c r="AB68" s="9"/>
      <c r="AC68" s="9"/>
    </row>
    <row r="69" spans="1:29" outlineLevel="1">
      <c r="A69" s="125" t="s">
        <v>196</v>
      </c>
      <c r="B69" s="193" t="s">
        <v>197</v>
      </c>
      <c r="C69" s="193" t="s">
        <v>249</v>
      </c>
      <c r="D69" s="422" cm="1">
        <f t="array" aca="1" ref="D69" ca="1">IF($V$1="Tháng",
_xlfn.SWITCH(TRUE(),
$Y$1=2025,SUMIFS(Data!$AE:$AE,Data!$B:$B,'FS matrix'!D$60,Data!$A:$A,'FS matrix'!$A69),
$Y$1=2026,SUMIFS(Data!$AS:$AS,Data!$B:$B,'FS matrix'!D$60,Data!$A:$A,'FS matrix'!$A69)),
_xlfn.SWITCH(TRUE(),
$Y$1=2025,SUMIFS(Data!$AD:$AD,Data!$B:$B,'FS matrix'!D$60,Data!$A:$A,'FS matrix'!$A69),
$Y$1=2026,SUMIFS(Data!$AR:$AR,Data!$B:$B,'FS matrix'!D$60,Data!$A:$A,'FS matrix'!$A69)))</f>
        <v>-877993234</v>
      </c>
      <c r="E69" s="20"/>
      <c r="F69" s="34"/>
      <c r="U69" s="9"/>
      <c r="V69" s="9"/>
      <c r="AB69" s="9"/>
      <c r="AC69" s="9"/>
    </row>
    <row r="70" spans="1:29">
      <c r="A70" s="125" t="s">
        <v>198</v>
      </c>
      <c r="B70" s="86" t="s">
        <v>51</v>
      </c>
      <c r="C70" s="425" t="s">
        <v>250</v>
      </c>
      <c r="D70" s="426" cm="1">
        <f t="array" aca="1" ref="D70" ca="1">IF($V$1="Tháng",
_xlfn.SWITCH(TRUE(),
$Y$1=2025,SUMIFS(Data!$AE:$AE,Data!$B:$B,'FS matrix'!D$60,Data!$A:$A,'FS matrix'!$A70),
$Y$1=2026,SUMIFS(Data!$AS:$AS,Data!$B:$B,'FS matrix'!D$60,Data!$A:$A,'FS matrix'!$A70)),
_xlfn.SWITCH(TRUE(),
$Y$1=2025,SUMIFS(Data!$AD:$AD,Data!$B:$B,'FS matrix'!D$60,Data!$A:$A,'FS matrix'!$A70),
$Y$1=2026,SUMIFS(Data!$AR:$AR,Data!$B:$B,'FS matrix'!D$60,Data!$A:$A,'FS matrix'!$A70)))</f>
        <v>-53142624294</v>
      </c>
      <c r="E70" s="372"/>
      <c r="F70" s="283"/>
      <c r="U70" s="9"/>
      <c r="V70" s="9"/>
      <c r="AB70" s="9"/>
      <c r="AC70" s="9"/>
    </row>
    <row r="71" spans="1:29" outlineLevel="1">
      <c r="A71" s="125" t="s">
        <v>199</v>
      </c>
      <c r="B71" s="193" t="s">
        <v>200</v>
      </c>
      <c r="C71" s="193" t="s">
        <v>251</v>
      </c>
      <c r="D71" s="422" cm="1">
        <f t="array" aca="1" ref="D71" ca="1">IF($V$1="Tháng",
_xlfn.SWITCH(TRUE(),
$Y$1=2025,SUMIFS(Data!$AE:$AE,Data!$B:$B,'FS matrix'!D$60,Data!$A:$A,'FS matrix'!$A71),
$Y$1=2026,SUMIFS(Data!$AS:$AS,Data!$B:$B,'FS matrix'!D$60,Data!$A:$A,'FS matrix'!$A71)),
_xlfn.SWITCH(TRUE(),
$Y$1=2025,SUMIFS(Data!$AD:$AD,Data!$B:$B,'FS matrix'!D$60,Data!$A:$A,'FS matrix'!$A71),
$Y$1=2026,SUMIFS(Data!$AR:$AR,Data!$B:$B,'FS matrix'!D$60,Data!$A:$A,'FS matrix'!$A71)))</f>
        <v>-2584444323</v>
      </c>
      <c r="E71" s="20"/>
      <c r="F71" s="34"/>
      <c r="U71" s="9"/>
      <c r="V71" s="9"/>
      <c r="AB71" s="9"/>
      <c r="AC71" s="9"/>
    </row>
    <row r="72" spans="1:29" outlineLevel="1">
      <c r="A72" s="125" t="s">
        <v>201</v>
      </c>
      <c r="B72" s="193" t="s">
        <v>202</v>
      </c>
      <c r="C72" s="193" t="s">
        <v>252</v>
      </c>
      <c r="D72" s="422" cm="1">
        <f t="array" aca="1" ref="D72" ca="1">IF($V$1="Tháng",
_xlfn.SWITCH(TRUE(),
$Y$1=2025,SUMIFS(Data!$AE:$AE,Data!$B:$B,'FS matrix'!D$60,Data!$A:$A,'FS matrix'!$A72),
$Y$1=2026,SUMIFS(Data!$AS:$AS,Data!$B:$B,'FS matrix'!D$60,Data!$A:$A,'FS matrix'!$A72)),
_xlfn.SWITCH(TRUE(),
$Y$1=2025,SUMIFS(Data!$AD:$AD,Data!$B:$B,'FS matrix'!D$60,Data!$A:$A,'FS matrix'!$A72),
$Y$1=2026,SUMIFS(Data!$AR:$AR,Data!$B:$B,'FS matrix'!D$60,Data!$A:$A,'FS matrix'!$A72)))</f>
        <v>0</v>
      </c>
      <c r="E72" s="20"/>
      <c r="F72" s="34"/>
      <c r="U72" s="9"/>
      <c r="V72" s="9"/>
      <c r="AB72" s="9"/>
      <c r="AC72" s="9"/>
    </row>
    <row r="73" spans="1:29" outlineLevel="1">
      <c r="A73" s="125" t="s">
        <v>203</v>
      </c>
      <c r="B73" s="193" t="s">
        <v>204</v>
      </c>
      <c r="C73" s="193" t="s">
        <v>253</v>
      </c>
      <c r="D73" s="422" cm="1">
        <f t="array" aca="1" ref="D73" ca="1">IF($V$1="Tháng",
_xlfn.SWITCH(TRUE(),
$Y$1=2025,SUMIFS(Data!$AE:$AE,Data!$B:$B,'FS matrix'!D$60,Data!$A:$A,'FS matrix'!$A73),
$Y$1=2026,SUMIFS(Data!$AS:$AS,Data!$B:$B,'FS matrix'!D$60,Data!$A:$A,'FS matrix'!$A73)),
_xlfn.SWITCH(TRUE(),
$Y$1=2025,SUMIFS(Data!$AD:$AD,Data!$B:$B,'FS matrix'!D$60,Data!$A:$A,'FS matrix'!$A73),
$Y$1=2026,SUMIFS(Data!$AR:$AR,Data!$B:$B,'FS matrix'!D$60,Data!$A:$A,'FS matrix'!$A73)))</f>
        <v>-37000000000</v>
      </c>
      <c r="E73" s="20"/>
      <c r="F73" s="34"/>
      <c r="U73" s="9"/>
      <c r="V73" s="9"/>
      <c r="AB73" s="9"/>
      <c r="AC73" s="9"/>
    </row>
    <row r="74" spans="1:29" outlineLevel="1">
      <c r="A74" s="125" t="s">
        <v>205</v>
      </c>
      <c r="B74" s="193" t="s">
        <v>206</v>
      </c>
      <c r="C74" s="193" t="s">
        <v>254</v>
      </c>
      <c r="D74" s="422" cm="1">
        <f t="array" aca="1" ref="D74" ca="1">IF($V$1="Tháng",
_xlfn.SWITCH(TRUE(),
$Y$1=2025,SUMIFS(Data!$AE:$AE,Data!$B:$B,'FS matrix'!D$60,Data!$A:$A,'FS matrix'!$A74),
$Y$1=2026,SUMIFS(Data!$AS:$AS,Data!$B:$B,'FS matrix'!D$60,Data!$A:$A,'FS matrix'!$A74)),
_xlfn.SWITCH(TRUE(),
$Y$1=2025,SUMIFS(Data!$AD:$AD,Data!$B:$B,'FS matrix'!D$60,Data!$A:$A,'FS matrix'!$A74),
$Y$1=2026,SUMIFS(Data!$AR:$AR,Data!$B:$B,'FS matrix'!D$60,Data!$A:$A,'FS matrix'!$A74)))</f>
        <v>42000000000</v>
      </c>
      <c r="E74" s="20"/>
      <c r="F74" s="34"/>
      <c r="U74" s="9"/>
      <c r="V74" s="9"/>
      <c r="AB74" s="9"/>
      <c r="AC74" s="9"/>
    </row>
    <row r="75" spans="1:29" outlineLevel="1">
      <c r="A75" s="125" t="s">
        <v>207</v>
      </c>
      <c r="B75" s="193" t="s">
        <v>208</v>
      </c>
      <c r="C75" s="193" t="s">
        <v>255</v>
      </c>
      <c r="D75" s="422" cm="1">
        <f t="array" aca="1" ref="D75" ca="1">IF($V$1="Tháng",
_xlfn.SWITCH(TRUE(),
$Y$1=2025,SUMIFS(Data!$AE:$AE,Data!$B:$B,'FS matrix'!D$60,Data!$A:$A,'FS matrix'!$A75),
$Y$1=2026,SUMIFS(Data!$AS:$AS,Data!$B:$B,'FS matrix'!D$60,Data!$A:$A,'FS matrix'!$A75)),
_xlfn.SWITCH(TRUE(),
$Y$1=2025,SUMIFS(Data!$AD:$AD,Data!$B:$B,'FS matrix'!D$60,Data!$A:$A,'FS matrix'!$A75),
$Y$1=2026,SUMIFS(Data!$AR:$AR,Data!$B:$B,'FS matrix'!D$60,Data!$A:$A,'FS matrix'!$A75)))</f>
        <v>73063458</v>
      </c>
      <c r="E75" s="20"/>
      <c r="F75" s="34"/>
      <c r="U75" s="9"/>
      <c r="V75" s="9"/>
      <c r="AB75" s="9"/>
      <c r="AC75" s="9"/>
    </row>
    <row r="76" spans="1:29">
      <c r="A76" s="125" t="s">
        <v>209</v>
      </c>
      <c r="B76" s="86" t="s">
        <v>54</v>
      </c>
      <c r="C76" s="425" t="s">
        <v>256</v>
      </c>
      <c r="D76" s="426" cm="1">
        <f t="array" aca="1" ref="D76" ca="1">IF($V$1="Tháng",
_xlfn.SWITCH(TRUE(),
$Y$1=2025,SUMIFS(Data!$AE:$AE,Data!$B:$B,'FS matrix'!D$60,Data!$A:$A,'FS matrix'!$A76),
$Y$1=2026,SUMIFS(Data!$AS:$AS,Data!$B:$B,'FS matrix'!D$60,Data!$A:$A,'FS matrix'!$A76)),
_xlfn.SWITCH(TRUE(),
$Y$1=2025,SUMIFS(Data!$AD:$AD,Data!$B:$B,'FS matrix'!D$60,Data!$A:$A,'FS matrix'!$A76),
$Y$1=2026,SUMIFS(Data!$AR:$AR,Data!$B:$B,'FS matrix'!D$60,Data!$A:$A,'FS matrix'!$A76)))</f>
        <v>2488619135</v>
      </c>
      <c r="E76" s="20"/>
      <c r="F76" s="34"/>
      <c r="U76" s="9"/>
      <c r="V76" s="9"/>
      <c r="AB76" s="9"/>
      <c r="AC76" s="9"/>
    </row>
    <row r="77" spans="1:29" outlineLevel="1">
      <c r="A77" s="125" t="s">
        <v>210</v>
      </c>
      <c r="B77" s="193" t="s">
        <v>211</v>
      </c>
      <c r="C77" s="193" t="s">
        <v>257</v>
      </c>
      <c r="D77" s="422" cm="1">
        <f t="array" aca="1" ref="D77" ca="1">IF($V$1="Tháng",
_xlfn.SWITCH(TRUE(),
$Y$1=2025,SUMIFS(Data!$AE:$AE,Data!$B:$B,'FS matrix'!D$60,Data!$A:$A,'FS matrix'!$A77),
$Y$1=2026,SUMIFS(Data!$AS:$AS,Data!$B:$B,'FS matrix'!D$60,Data!$A:$A,'FS matrix'!$A77)),
_xlfn.SWITCH(TRUE(),
$Y$1=2025,SUMIFS(Data!$AD:$AD,Data!$B:$B,'FS matrix'!D$60,Data!$A:$A,'FS matrix'!$A77),
$Y$1=2026,SUMIFS(Data!$AR:$AR,Data!$B:$B,'FS matrix'!D$60,Data!$A:$A,'FS matrix'!$A77)))</f>
        <v>104042294769</v>
      </c>
      <c r="E77" s="20"/>
      <c r="F77" s="34"/>
      <c r="U77" s="9"/>
      <c r="V77" s="9"/>
      <c r="AB77" s="9"/>
      <c r="AC77" s="9"/>
    </row>
    <row r="78" spans="1:29" outlineLevel="1">
      <c r="A78" s="125" t="s">
        <v>212</v>
      </c>
      <c r="B78" s="193" t="s">
        <v>213</v>
      </c>
      <c r="C78" s="193" t="s">
        <v>258</v>
      </c>
      <c r="D78" s="422" cm="1">
        <f t="array" aca="1" ref="D78" ca="1">IF($V$1="Tháng",
_xlfn.SWITCH(TRUE(),
$Y$1=2025,SUMIFS(Data!$AE:$AE,Data!$B:$B,'FS matrix'!D$60,Data!$A:$A,'FS matrix'!$A78),
$Y$1=2026,SUMIFS(Data!$AS:$AS,Data!$B:$B,'FS matrix'!D$60,Data!$A:$A,'FS matrix'!$A78)),
_xlfn.SWITCH(TRUE(),
$Y$1=2025,SUMIFS(Data!$AD:$AD,Data!$B:$B,'FS matrix'!D$60,Data!$A:$A,'FS matrix'!$A78),
$Y$1=2026,SUMIFS(Data!$AR:$AR,Data!$B:$B,'FS matrix'!D$60,Data!$A:$A,'FS matrix'!$A78)))</f>
        <v>-60128365494</v>
      </c>
      <c r="E78" s="20"/>
      <c r="F78" s="34"/>
      <c r="U78" s="9"/>
      <c r="V78" s="9"/>
      <c r="AB78" s="9"/>
      <c r="AC78" s="9"/>
    </row>
    <row r="79" spans="1:29" outlineLevel="1">
      <c r="A79" s="125" t="s">
        <v>214</v>
      </c>
      <c r="B79" s="193" t="s">
        <v>215</v>
      </c>
      <c r="C79" s="193" t="s">
        <v>259</v>
      </c>
      <c r="D79" s="422" cm="1">
        <f t="array" aca="1" ref="D79" ca="1">IF($V$1="Tháng",
_xlfn.SWITCH(TRUE(),
$Y$1=2025,SUMIFS(Data!$AE:$AE,Data!$B:$B,'FS matrix'!D$60,Data!$A:$A,'FS matrix'!$A79),
$Y$1=2026,SUMIFS(Data!$AS:$AS,Data!$B:$B,'FS matrix'!D$60,Data!$A:$A,'FS matrix'!$A79)),
_xlfn.SWITCH(TRUE(),
$Y$1=2025,SUMIFS(Data!$AD:$AD,Data!$B:$B,'FS matrix'!D$60,Data!$A:$A,'FS matrix'!$A79),
$Y$1=2026,SUMIFS(Data!$AR:$AR,Data!$B:$B,'FS matrix'!D$60,Data!$A:$A,'FS matrix'!$A79)))</f>
        <v>0</v>
      </c>
      <c r="E79" s="20"/>
      <c r="F79" s="34"/>
      <c r="U79" s="9"/>
      <c r="V79" s="9"/>
      <c r="AB79" s="9"/>
      <c r="AC79" s="9"/>
    </row>
    <row r="80" spans="1:29" outlineLevel="1">
      <c r="A80" s="125" t="s">
        <v>216</v>
      </c>
      <c r="B80" s="193" t="s">
        <v>217</v>
      </c>
      <c r="C80" s="193" t="s">
        <v>260</v>
      </c>
      <c r="D80" s="422" cm="1">
        <f t="array" aca="1" ref="D80" ca="1">IF($V$1="Tháng",
_xlfn.SWITCH(TRUE(),
$Y$1=2025,SUMIFS(Data!$AE:$AE,Data!$B:$B,'FS matrix'!D$60,Data!$A:$A,'FS matrix'!$A80),
$Y$1=2026,SUMIFS(Data!$AS:$AS,Data!$B:$B,'FS matrix'!D$60,Data!$A:$A,'FS matrix'!$A80)),
_xlfn.SWITCH(TRUE(),
$Y$1=2025,SUMIFS(Data!$AD:$AD,Data!$B:$B,'FS matrix'!D$60,Data!$A:$A,'FS matrix'!$A80),
$Y$1=2026,SUMIFS(Data!$AR:$AR,Data!$B:$B,'FS matrix'!D$60,Data!$A:$A,'FS matrix'!$A80)))</f>
        <v>0</v>
      </c>
      <c r="E80" s="20"/>
      <c r="F80" s="34"/>
      <c r="U80" s="9"/>
      <c r="V80" s="9"/>
      <c r="AB80" s="9"/>
      <c r="AC80" s="9"/>
    </row>
    <row r="81" spans="1:29" outlineLevel="1">
      <c r="A81" s="125" t="s">
        <v>218</v>
      </c>
      <c r="B81" s="193" t="s">
        <v>219</v>
      </c>
      <c r="C81" s="193" t="s">
        <v>261</v>
      </c>
      <c r="D81" s="422" cm="1">
        <f t="array" aca="1" ref="D81" ca="1">IF($V$1="Tháng",
_xlfn.SWITCH(TRUE(),
$Y$1=2025,SUMIFS(Data!$AE:$AE,Data!$B:$B,'FS matrix'!D$60,Data!$A:$A,'FS matrix'!$A81),
$Y$1=2026,SUMIFS(Data!$AS:$AS,Data!$B:$B,'FS matrix'!D$60,Data!$A:$A,'FS matrix'!$A81)),
_xlfn.SWITCH(TRUE(),
$Y$1=2025,SUMIFS(Data!$AD:$AD,Data!$B:$B,'FS matrix'!D$60,Data!$A:$A,'FS matrix'!$A81),
$Y$1=2026,SUMIFS(Data!$AR:$AR,Data!$B:$B,'FS matrix'!D$60,Data!$A:$A,'FS matrix'!$A81)))</f>
        <v>0</v>
      </c>
      <c r="E81" s="20"/>
      <c r="F81" s="34"/>
      <c r="U81" s="9"/>
      <c r="V81" s="9"/>
      <c r="AB81" s="9"/>
      <c r="AC81" s="9"/>
    </row>
    <row r="82" spans="1:29">
      <c r="A82" s="125" t="s">
        <v>220</v>
      </c>
      <c r="B82" s="86" t="s">
        <v>57</v>
      </c>
      <c r="C82" s="425" t="s">
        <v>262</v>
      </c>
      <c r="D82" s="426" cm="1">
        <f t="array" aca="1" ref="D82" ca="1">IF($V$1="Tháng",
_xlfn.SWITCH(TRUE(),
$Y$1=2025,SUMIFS(Data!$AE:$AE,Data!$B:$B,'FS matrix'!D$60,Data!$A:$A,'FS matrix'!$A82),
$Y$1=2026,SUMIFS(Data!$AS:$AS,Data!$B:$B,'FS matrix'!D$60,Data!$A:$A,'FS matrix'!$A82)),
_xlfn.SWITCH(TRUE(),
$Y$1=2025,SUMIFS(Data!$AD:$AD,Data!$B:$B,'FS matrix'!D$60,Data!$A:$A,'FS matrix'!$A82),
$Y$1=2026,SUMIFS(Data!$AR:$AR,Data!$B:$B,'FS matrix'!D$60,Data!$A:$A,'FS matrix'!$A82)))</f>
        <v>43913929275</v>
      </c>
      <c r="E82" s="20"/>
      <c r="F82" s="34"/>
      <c r="U82" s="9"/>
      <c r="V82" s="9"/>
      <c r="AB82" s="9"/>
      <c r="AC82" s="9"/>
    </row>
    <row r="83" spans="1:29">
      <c r="A83" s="125" t="s">
        <v>221</v>
      </c>
      <c r="B83" s="427" t="s">
        <v>222</v>
      </c>
      <c r="C83" s="367" t="s">
        <v>263</v>
      </c>
      <c r="D83" s="421" cm="1">
        <f t="array" aca="1" ref="D83" ca="1">IF($V$1="Tháng",
_xlfn.SWITCH(TRUE(),
$Y$1=2025,SUMIFS(Data!$AE:$AE,Data!$B:$B,'FS matrix'!D$60,Data!$A:$A,'FS matrix'!$A83),
$Y$1=2026,SUMIFS(Data!$AS:$AS,Data!$B:$B,'FS matrix'!D$60,Data!$A:$A,'FS matrix'!$A83)),
_xlfn.SWITCH(TRUE(),
$Y$1=2025,SUMIFS(Data!$AD:$AD,Data!$B:$B,'FS matrix'!D$60,Data!$A:$A,'FS matrix'!$A83),
$Y$1=2026,SUMIFS(Data!$AR:$AR,Data!$B:$B,'FS matrix'!D$60,Data!$A:$A,'FS matrix'!$A83)))</f>
        <v>-6740075884</v>
      </c>
      <c r="E83" s="20"/>
      <c r="F83" s="34"/>
      <c r="U83" s="9"/>
      <c r="V83" s="9"/>
      <c r="AB83" s="9"/>
      <c r="AC83" s="9"/>
    </row>
    <row r="84" spans="1:29">
      <c r="A84" s="125" t="s">
        <v>223</v>
      </c>
      <c r="B84" s="86" t="s">
        <v>224</v>
      </c>
      <c r="C84" s="428" t="s">
        <v>264</v>
      </c>
      <c r="D84" s="429" cm="1">
        <f t="array" aca="1" ref="D84" ca="1">IF($V$1="Tháng",
_xlfn.SWITCH(TRUE(),
$Y$1=2025,SUMIFS(Data!$AE:$AE,Data!$B:$B,'FS matrix'!D$60,Data!$A:$A,'FS matrix'!$A84),
$Y$1=2026,SUMIFS(Data!$AS:$AS,Data!$B:$B,'FS matrix'!D$60,Data!$A:$A,'FS matrix'!$A84)),
_xlfn.SWITCH(TRUE(),
$Y$1=2025,SUMIFS(Data!$AD:$AD,Data!$B:$B,'FS matrix'!D$60,Data!$A:$A,'FS matrix'!$A84),
$Y$1=2026,SUMIFS(Data!$AR:$AR,Data!$B:$B,'FS matrix'!D$60,Data!$A:$A,'FS matrix'!$A84)))</f>
        <v>47135211556</v>
      </c>
      <c r="E84" s="20"/>
      <c r="F84" s="34"/>
      <c r="U84" s="9"/>
      <c r="V84" s="9"/>
      <c r="AB84" s="9"/>
      <c r="AC84" s="9"/>
    </row>
    <row r="85" spans="1:29">
      <c r="A85" s="125" t="s">
        <v>225</v>
      </c>
      <c r="B85" s="193" t="s">
        <v>226</v>
      </c>
      <c r="C85" s="193" t="s">
        <v>265</v>
      </c>
      <c r="D85" s="422" cm="1">
        <f t="array" aca="1" ref="D85" ca="1">IF($V$1="Tháng",
_xlfn.SWITCH(TRUE(),
$Y$1=2025,SUMIFS(Data!$AE:$AE,Data!$B:$B,'FS matrix'!D$60,Data!$A:$A,'FS matrix'!$A85),
$Y$1=2026,SUMIFS(Data!$AS:$AS,Data!$B:$B,'FS matrix'!D$60,Data!$A:$A,'FS matrix'!$A85)),
_xlfn.SWITCH(TRUE(),
$Y$1=2025,SUMIFS(Data!$AD:$AD,Data!$B:$B,'FS matrix'!D$60,Data!$A:$A,'FS matrix'!$A85),
$Y$1=2026,SUMIFS(Data!$AR:$AR,Data!$B:$B,'FS matrix'!D$60,Data!$A:$A,'FS matrix'!$A85)))</f>
        <v>618868933</v>
      </c>
      <c r="E85" s="20"/>
      <c r="F85" s="34"/>
      <c r="U85" s="9"/>
      <c r="V85" s="9"/>
      <c r="AB85" s="9"/>
      <c r="AC85" s="9"/>
    </row>
    <row r="86" spans="1:29" ht="17" thickBot="1">
      <c r="A86" s="125" t="s">
        <v>227</v>
      </c>
      <c r="B86" s="86" t="s">
        <v>228</v>
      </c>
      <c r="C86" s="430" t="s">
        <v>266</v>
      </c>
      <c r="D86" s="431" cm="1">
        <f t="array" aca="1" ref="D86" ca="1">IF($V$1="Tháng",
_xlfn.SWITCH(TRUE(),
$Y$1=2025,SUMIFS(Data!$AE:$AE,Data!$B:$B,'FS matrix'!D$60,Data!$A:$A,'FS matrix'!$A86),
$Y$1=2026,SUMIFS(Data!$AS:$AS,Data!$B:$B,'FS matrix'!D$60,Data!$A:$A,'FS matrix'!$A86)),
_xlfn.SWITCH(TRUE(),
$Y$1=2025,SUMIFS(Data!$AD:$AD,Data!$B:$B,'FS matrix'!D$60,Data!$A:$A,'FS matrix'!$A86),
$Y$1=2026,SUMIFS(Data!$AR:$AR,Data!$B:$B,'FS matrix'!D$60,Data!$A:$A,'FS matrix'!$A86)))</f>
        <v>41014004605</v>
      </c>
      <c r="E86" s="20"/>
      <c r="F86" s="34"/>
      <c r="U86" s="9"/>
      <c r="V86" s="9"/>
      <c r="AB86" s="9"/>
      <c r="AC86" s="9"/>
    </row>
    <row r="87" spans="1:29" ht="17.5" thickTop="1">
      <c r="A87" s="125"/>
      <c r="B87" s="417"/>
      <c r="C87" s="417"/>
      <c r="D87" s="432"/>
      <c r="E87" s="20"/>
      <c r="F87" s="34"/>
      <c r="U87" s="9"/>
      <c r="V87" s="9"/>
      <c r="AB87" s="9"/>
      <c r="AC87" s="9"/>
    </row>
    <row r="88" spans="1:29" ht="33">
      <c r="B88" s="417"/>
      <c r="C88" s="356" t="str">
        <f>IF(A1="EN","KEY FINANCIAL INDICATORS","CÁC CHỈ SỐ TÀI CHÍNH")</f>
        <v>CÁC CHỈ SỐ TÀI CHÍNH</v>
      </c>
      <c r="D88" s="357" t="str">
        <f t="shared" ref="D88" si="5">D37</f>
        <v>DTR</v>
      </c>
      <c r="E88" s="433" t="s">
        <v>267</v>
      </c>
      <c r="F88" s="34"/>
      <c r="U88" s="9"/>
      <c r="V88" s="9"/>
      <c r="AB88" s="9"/>
      <c r="AC88" s="9"/>
    </row>
    <row r="89" spans="1:29" ht="17">
      <c r="A89" s="434" t="s">
        <v>268</v>
      </c>
      <c r="B89" s="417"/>
      <c r="C89" s="420" t="s">
        <v>269</v>
      </c>
      <c r="D89" s="435"/>
      <c r="E89" s="433"/>
      <c r="F89" s="34"/>
      <c r="U89" s="9"/>
      <c r="V89" s="9"/>
      <c r="AB89" s="9"/>
      <c r="AC89" s="9"/>
    </row>
    <row r="90" spans="1:29">
      <c r="A90" s="1">
        <v>1</v>
      </c>
      <c r="C90" s="436" t="str">
        <f>IF(A1="EN","Current liquidity","Khả năng thanh toán hiện hành (Lần)")</f>
        <v>Khả năng thanh toán hiện hành (Lần)</v>
      </c>
      <c r="D90" s="437">
        <f ca="1">D38/D49</f>
        <v>4.0424486769815484</v>
      </c>
      <c r="E90" s="438">
        <v>1.5</v>
      </c>
      <c r="F90" s="34"/>
      <c r="U90" s="9"/>
      <c r="V90" s="9"/>
      <c r="AB90" s="9"/>
      <c r="AC90" s="9"/>
    </row>
    <row r="91" spans="1:29">
      <c r="A91" s="1">
        <v>2</v>
      </c>
      <c r="C91" s="436" t="str">
        <f>IF(A1="EN","Quick liquidity","Khả năng thanh toán nhanh (Lần)")</f>
        <v>Khả năng thanh toán nhanh (Lần)</v>
      </c>
      <c r="D91" s="437">
        <f t="shared" ref="D91" ca="1" si="6">(D38-D43)/D49</f>
        <v>2.3924333225781576</v>
      </c>
      <c r="E91" s="438">
        <v>1</v>
      </c>
      <c r="F91" s="34"/>
      <c r="U91" s="9"/>
      <c r="V91" s="9"/>
      <c r="AB91" s="9"/>
      <c r="AC91" s="9"/>
    </row>
    <row r="92" spans="1:29">
      <c r="A92" s="434" t="s">
        <v>270</v>
      </c>
      <c r="C92" s="439" t="s">
        <v>271</v>
      </c>
      <c r="D92" s="440"/>
      <c r="E92" s="438"/>
      <c r="F92" s="34"/>
      <c r="U92" s="9"/>
      <c r="V92" s="9"/>
      <c r="AB92" s="9"/>
      <c r="AC92" s="9"/>
    </row>
    <row r="93" spans="1:29">
      <c r="A93" s="1">
        <v>3</v>
      </c>
      <c r="C93" s="436" t="str">
        <f>IF(A1="EN","Debt to EBITDA","Nợ vay/ EBITDA (Lần)")</f>
        <v>Nợ vay/ EBITDA (Lần)</v>
      </c>
      <c r="D93" s="437">
        <f ca="1">(D50+D54)/(D32*12/$W$1)</f>
        <v>9.9667912371234095</v>
      </c>
      <c r="E93" s="441">
        <v>4</v>
      </c>
      <c r="F93" s="34"/>
      <c r="U93" s="9"/>
      <c r="V93" s="9"/>
      <c r="AB93" s="9"/>
      <c r="AC93" s="9"/>
    </row>
    <row r="94" spans="1:29">
      <c r="A94" s="1">
        <v>4</v>
      </c>
      <c r="C94" s="436" t="s">
        <v>272</v>
      </c>
      <c r="D94" s="442">
        <f t="shared" ref="D94" ca="1" si="7">D30/D32</f>
        <v>7.3897221412141403E-2</v>
      </c>
      <c r="E94" s="443">
        <v>0.3</v>
      </c>
      <c r="F94" s="34"/>
      <c r="U94" s="9"/>
      <c r="V94" s="9"/>
      <c r="AB94" s="9"/>
      <c r="AC94" s="9"/>
    </row>
    <row r="95" spans="1:29">
      <c r="A95" s="1">
        <v>5</v>
      </c>
      <c r="C95" s="436" t="s">
        <v>273</v>
      </c>
      <c r="D95" s="442">
        <f ca="1">IFERROR((D50+D54)/(D5*12/$W$1),"")</f>
        <v>0.70814507510178759</v>
      </c>
      <c r="E95" s="443">
        <v>0.3</v>
      </c>
      <c r="F95" s="34"/>
      <c r="U95" s="9"/>
      <c r="V95" s="9"/>
      <c r="AB95" s="9"/>
      <c r="AC95" s="9"/>
    </row>
    <row r="96" spans="1:29">
      <c r="A96" s="1">
        <v>6</v>
      </c>
      <c r="C96" s="193" t="str">
        <f>IF(A1="EN","Debt to Equity","Nợ vay/ Vốn chủ sở hữu (Lần)")</f>
        <v>Nợ vay/ Vốn chủ sở hữu (Lần)</v>
      </c>
      <c r="D96" s="444">
        <f t="shared" ref="D96" ca="1" si="8">(D50+D54)/D55</f>
        <v>0.30938186297929693</v>
      </c>
      <c r="E96" s="441">
        <v>1</v>
      </c>
      <c r="F96" s="34"/>
      <c r="U96" s="9"/>
      <c r="V96" s="9"/>
      <c r="AB96" s="9"/>
      <c r="AC96" s="9"/>
    </row>
    <row r="97" spans="1:29">
      <c r="A97" s="434" t="s">
        <v>274</v>
      </c>
      <c r="C97" s="445" t="s">
        <v>275</v>
      </c>
      <c r="D97" s="446"/>
      <c r="E97" s="441"/>
      <c r="F97" s="34"/>
      <c r="U97" s="9"/>
      <c r="V97" s="9"/>
      <c r="AB97" s="9"/>
      <c r="AC97" s="9"/>
    </row>
    <row r="98" spans="1:29">
      <c r="A98" s="1">
        <v>7</v>
      </c>
      <c r="C98" s="193" t="s">
        <v>276</v>
      </c>
      <c r="D98" s="447">
        <f t="shared" ref="D98" ca="1" si="9">D35/D55</f>
        <v>9.3743861638595233E-3</v>
      </c>
      <c r="E98" s="448">
        <v>0.1</v>
      </c>
      <c r="F98" s="34"/>
      <c r="U98" s="9"/>
      <c r="V98" s="9"/>
      <c r="AB98" s="9"/>
      <c r="AC98" s="9"/>
    </row>
    <row r="99" spans="1:29">
      <c r="A99" s="1">
        <v>8</v>
      </c>
      <c r="C99" s="193" t="s">
        <v>277</v>
      </c>
      <c r="D99" s="447">
        <f t="shared" ref="D99" ca="1" si="10">D35/D48</f>
        <v>6.5719384693398416E-3</v>
      </c>
      <c r="E99" s="448">
        <v>0.1</v>
      </c>
      <c r="F99" s="34"/>
      <c r="U99" s="9"/>
      <c r="V99" s="9"/>
      <c r="AB99" s="9"/>
      <c r="AC99" s="9"/>
    </row>
    <row r="100" spans="1:29">
      <c r="A100" s="1">
        <v>9</v>
      </c>
      <c r="C100" s="193" t="s">
        <v>278</v>
      </c>
      <c r="D100" s="447">
        <f t="shared" ref="D100" ca="1" si="11">IFERROR(D32/D5,"")</f>
        <v>7.1050457289017183E-2</v>
      </c>
      <c r="E100" s="448">
        <v>0.2</v>
      </c>
      <c r="F100" s="34"/>
      <c r="U100" s="9"/>
      <c r="V100" s="9"/>
      <c r="AB100" s="9"/>
      <c r="AC100" s="9"/>
    </row>
    <row r="101" spans="1:29">
      <c r="A101" s="1">
        <v>10</v>
      </c>
      <c r="C101" s="193" t="s">
        <v>279</v>
      </c>
      <c r="D101" s="447">
        <f t="shared" ref="D101" ca="1" si="12">IFERROR(D22/D5,"")</f>
        <v>0.13886166598195682</v>
      </c>
      <c r="E101" s="448">
        <v>0.25</v>
      </c>
      <c r="F101" s="34"/>
      <c r="U101" s="9"/>
      <c r="V101" s="9"/>
      <c r="AB101" s="9"/>
      <c r="AC101" s="9"/>
    </row>
    <row r="102" spans="1:29">
      <c r="A102" s="1">
        <v>11</v>
      </c>
      <c r="C102" s="193" t="s">
        <v>280</v>
      </c>
      <c r="D102" s="447">
        <f t="shared" ref="D102" ca="1" si="13">IFERROR(D35/D5,"")</f>
        <v>5.1496945529611891E-2</v>
      </c>
      <c r="E102" s="448">
        <v>0.1</v>
      </c>
      <c r="F102" s="34"/>
      <c r="U102" s="9"/>
      <c r="V102" s="9"/>
      <c r="AB102" s="9"/>
      <c r="AC102" s="9"/>
    </row>
    <row r="103" spans="1:29">
      <c r="A103" s="434" t="s">
        <v>281</v>
      </c>
      <c r="C103" s="445" t="s">
        <v>282</v>
      </c>
      <c r="D103" s="449"/>
      <c r="E103" s="448"/>
      <c r="F103" s="34"/>
      <c r="U103" s="9"/>
      <c r="V103" s="9"/>
      <c r="AB103" s="9"/>
      <c r="AC103" s="9"/>
    </row>
    <row r="104" spans="1:29">
      <c r="A104" s="1">
        <v>12</v>
      </c>
      <c r="C104" s="193" t="s">
        <v>283</v>
      </c>
      <c r="D104" s="450">
        <f ca="1">IFERROR((D42+D43-D52)*30*$W$1/D5,"")</f>
        <v>458.4047383796505</v>
      </c>
      <c r="E104" s="441">
        <v>90</v>
      </c>
      <c r="F104" s="34"/>
      <c r="U104" s="9"/>
      <c r="V104" s="9"/>
      <c r="AB104" s="9"/>
      <c r="AC104" s="9"/>
    </row>
    <row r="105" spans="1:29">
      <c r="A105" s="1">
        <v>13</v>
      </c>
      <c r="C105" s="193" t="s">
        <v>284</v>
      </c>
      <c r="D105" s="450">
        <f ca="1">IFERROR((D42)*30*$W$1/D5,"")</f>
        <v>167.12540804096815</v>
      </c>
      <c r="E105" s="441">
        <v>60</v>
      </c>
      <c r="F105" s="34"/>
      <c r="U105" s="9"/>
      <c r="V105" s="9"/>
      <c r="AB105" s="9"/>
      <c r="AC105" s="9"/>
    </row>
    <row r="106" spans="1:29">
      <c r="A106" s="1">
        <v>14</v>
      </c>
      <c r="C106" s="193" t="s">
        <v>285</v>
      </c>
      <c r="D106" s="450">
        <f ca="1">IFERROR((D43)*30*$W$1/D5,"")</f>
        <v>339.76158629079373</v>
      </c>
      <c r="E106" s="441">
        <v>30</v>
      </c>
      <c r="F106" s="34"/>
      <c r="U106" s="9"/>
      <c r="V106" s="9"/>
      <c r="AB106" s="9"/>
      <c r="AC106" s="9"/>
    </row>
    <row r="107" spans="1:29">
      <c r="A107" s="1">
        <v>15</v>
      </c>
      <c r="C107" s="193" t="s">
        <v>286</v>
      </c>
      <c r="D107" s="450">
        <f ca="1">IFERROR((D52)*30*$W$1/D5,"")</f>
        <v>48.482255952111338</v>
      </c>
      <c r="E107" s="451">
        <v>30</v>
      </c>
      <c r="F107" s="34"/>
      <c r="U107" s="9"/>
      <c r="V107" s="9"/>
      <c r="AB107" s="9"/>
      <c r="AC107" s="9"/>
    </row>
    <row r="108" spans="1:29">
      <c r="A108" s="1">
        <v>16</v>
      </c>
      <c r="C108" s="452" t="str">
        <f>IF(A1="EN","Sales to Fixed Assets","Doanh thu / Tài sản cố định (Lần)")</f>
        <v>Doanh thu / Tài sản cố định (Lần)</v>
      </c>
      <c r="D108" s="453">
        <f t="shared" ref="D108" ca="1" si="14">IFERROR(D5/D45,"")</f>
        <v>0.59598195521129316</v>
      </c>
      <c r="E108" s="438">
        <v>2.5</v>
      </c>
      <c r="F108" s="34"/>
      <c r="U108" s="9"/>
      <c r="V108" s="9"/>
      <c r="AB108" s="9"/>
      <c r="AC108" s="9"/>
    </row>
    <row r="109" spans="1:29">
      <c r="A109" s="125"/>
      <c r="C109" s="454" t="str">
        <f>IF(A1="EN","Headcount (avg):","Nhân sự bình quân:")</f>
        <v>Nhân sự bình quân:</v>
      </c>
      <c r="D109" s="455">
        <f ca="1">IFERROR(SUMIFS(Data!$AD:$AD,Data!$B:$B,D$2,Data!$D:$D,"Total Headcount"),"")</f>
        <v>609.24169658119649</v>
      </c>
      <c r="E109" s="455">
        <f>IFERROR(SUMIFS(Data!$AD:$AD,Data!$B:$B,#REF!,Data!$D:$D,"Total Headcount"),"")</f>
        <v>0</v>
      </c>
      <c r="F109" s="455">
        <f>IFERROR(SUMIFS(Data!$AD:$AD,Data!$B:$B,#REF!,Data!$D:$D,"Total Headcount"),"")</f>
        <v>0</v>
      </c>
      <c r="G109" s="455">
        <f>IFERROR(SUMIFS(Data!$AD:$AD,Data!$B:$B,#REF!,Data!$D:$D,"Total Headcount"),"")</f>
        <v>0</v>
      </c>
      <c r="H109" s="455">
        <f>IFERROR(SUMIFS(Data!$AD:$AD,Data!$B:$B,#REF!,Data!$D:$D,"Total Headcount"),"")</f>
        <v>0</v>
      </c>
      <c r="I109" s="455"/>
      <c r="J109" s="456">
        <f>IFERROR(SUMIFS(Data!$AD:$AD,Data!$B:$B,#REF!,Data!$D:$D,"Total Headcount"),"")</f>
        <v>0</v>
      </c>
      <c r="K109" s="456">
        <f>IFERROR(SUMIFS(Data!$AD:$AD,Data!$B:$B,#REF!,Data!$D:$D,"Total Headcount"),"")</f>
        <v>0</v>
      </c>
      <c r="L109" s="456">
        <f>IFERROR(SUMIFS(Data!$AD:$AD,Data!$B:$B,#REF!,Data!$D:$D,"Total Headcount"),"")</f>
        <v>0</v>
      </c>
      <c r="M109" s="456">
        <f>IFERROR(SUMIFS(Data!$AD:$AD,Data!$B:$B,#REF!,Data!$D:$D,"Total Headcount"),"")</f>
        <v>0</v>
      </c>
      <c r="N109" s="457">
        <f>IFERROR(SUMIFS(Data!$AD:$AD,Data!$B:$B,#REF!,Data!$D:$D,"Total Headcount"),"")</f>
        <v>0</v>
      </c>
      <c r="O109" s="458">
        <f>IFERROR(SUMIFS(Data!$AD:$AD,Data!$B:$B,#REF!,Data!$D:$D,"Total Headcount"),"")</f>
        <v>0</v>
      </c>
      <c r="P109" s="458">
        <f>IFERROR(SUMIFS(Data!$AD:$AD,Data!$B:$B,#REF!,Data!$D:$D,"Total Headcount"),"")</f>
        <v>0</v>
      </c>
      <c r="Q109" s="458">
        <f>IFERROR(SUMIFS(Data!$AD:$AD,Data!$B:$B,#REF!,Data!$D:$D,"Total Headcount"),"")</f>
        <v>0</v>
      </c>
      <c r="R109" s="459">
        <f>IFERROR(SUMIFS(Data!$AD:$AD,Data!$B:$B,#REF!,Data!$D:$D,"Total Headcount"),"")</f>
        <v>0</v>
      </c>
      <c r="S109" s="459">
        <f>IFERROR(SUMIFS(Data!$AD:$AD,Data!$B:$B,#REF!,Data!$D:$D,"Total Headcount"),"")</f>
        <v>0</v>
      </c>
      <c r="T109" s="459">
        <f>IFERROR(SUMIFS(Data!$AD:$AD,Data!$B:$B,#REF!,Data!$D:$D,"Total Headcount"),"")</f>
        <v>0</v>
      </c>
      <c r="U109" s="457">
        <f>IFERROR(SUMIFS(Data!$AD:$AD,Data!$B:$B,#REF!,Data!$D:$D,"Total Headcount"),"")</f>
        <v>0</v>
      </c>
      <c r="V109" s="457">
        <f>IFERROR(SUMIFS(Data!$AD:$AD,Data!$B:$B,#REF!,Data!$D:$D,"Total Headcount"),"")</f>
        <v>0</v>
      </c>
      <c r="W109" s="457">
        <f>IFERROR(SUMIFS(Data!$AD:$AD,Data!$B:$B,#REF!,Data!$D:$D,"Total Headcount"),"")</f>
        <v>0</v>
      </c>
      <c r="X109" s="457">
        <f>IFERROR(SUMIFS(Data!$AD:$AD,Data!$B:$B,#REF!,Data!$D:$D,"Total Headcount"),"")</f>
        <v>0</v>
      </c>
      <c r="Y109" s="457">
        <f>IFERROR(SUMIFS(Data!$AD:$AD,Data!$B:$B,#REF!,Data!$D:$D,"Total Headcount"),"")</f>
        <v>0</v>
      </c>
      <c r="Z109" s="457">
        <f>AA109-N109</f>
        <v>0</v>
      </c>
      <c r="AA109" s="460">
        <f>IFERROR(SUMIFS(Data!$AD:$AD,Data!$B:$B,#REF!,Data!$D:$D,"Total Headcount"),"")</f>
        <v>0</v>
      </c>
    </row>
    <row r="110" spans="1:29">
      <c r="C110" s="278"/>
      <c r="D110" s="461"/>
      <c r="E110" s="461"/>
      <c r="F110" s="461"/>
      <c r="G110" s="461"/>
      <c r="H110" s="461"/>
      <c r="I110" s="461"/>
      <c r="J110" s="461"/>
      <c r="K110" s="461"/>
      <c r="L110" s="461"/>
      <c r="M110" s="461"/>
      <c r="N110" s="461"/>
      <c r="O110" s="461"/>
      <c r="P110" s="461"/>
      <c r="Q110" s="461"/>
      <c r="R110" s="461"/>
      <c r="S110" s="461"/>
      <c r="T110" s="461"/>
      <c r="U110" s="461"/>
      <c r="V110" s="461"/>
      <c r="W110" s="461"/>
      <c r="X110" s="461"/>
      <c r="Y110" s="461"/>
      <c r="Z110" s="461"/>
      <c r="AA110" s="242"/>
    </row>
    <row r="111" spans="1:29">
      <c r="D111" s="461"/>
      <c r="E111" s="461"/>
      <c r="F111" s="461"/>
      <c r="G111" s="461"/>
      <c r="H111" s="461"/>
      <c r="I111" s="461"/>
      <c r="J111" s="461"/>
      <c r="K111" s="461"/>
      <c r="L111" s="461"/>
      <c r="M111" s="461"/>
      <c r="N111" s="461"/>
      <c r="O111" s="461"/>
      <c r="P111" s="461"/>
      <c r="Q111" s="461"/>
      <c r="R111" s="461"/>
      <c r="S111" s="461"/>
      <c r="T111" s="461"/>
      <c r="U111" s="461"/>
      <c r="V111" s="461"/>
      <c r="W111" s="461"/>
      <c r="X111" s="461"/>
      <c r="Y111" s="461"/>
      <c r="Z111" s="461"/>
      <c r="AA111" s="461"/>
    </row>
    <row r="112" spans="1:29">
      <c r="U112" s="462"/>
    </row>
  </sheetData>
  <conditionalFormatting sqref="D35">
    <cfRule type="iconSet" priority="32">
      <iconSet>
        <cfvo type="percent" val="0"/>
        <cfvo type="num" val="0"/>
        <cfvo type="num" val="0" gte="0"/>
      </iconSet>
    </cfRule>
  </conditionalFormatting>
  <conditionalFormatting sqref="D90">
    <cfRule type="iconSet" priority="35">
      <iconSet iconSet="3Symbols">
        <cfvo type="percent" val="0"/>
        <cfvo type="num" val="1.5"/>
        <cfvo type="num" val="1.5"/>
      </iconSet>
    </cfRule>
  </conditionalFormatting>
  <dataValidations count="3">
    <dataValidation type="list" allowBlank="1" showInputMessage="1" showErrorMessage="1" sqref="V1" xr:uid="{3F2751AE-63B9-4EF0-942E-9CD31D4B898A}">
      <formula1>"Luỹ kế,Tháng"</formula1>
    </dataValidation>
    <dataValidation type="list" allowBlank="1" showInputMessage="1" showErrorMessage="1" sqref="Y1" xr:uid="{4492DE84-DB05-45B7-BDA0-88FF9B2A0004}">
      <formula1>"2020,2021,2022,2023,2024,2025,2026,2027,2028,2029,2023"</formula1>
    </dataValidation>
    <dataValidation type="list" allowBlank="1" showInputMessage="1" showErrorMessage="1" sqref="A1" xr:uid="{7CB821A1-45B2-421E-A6D4-C9877EAE3D0F}">
      <formula1>"EN,VN"</formula1>
    </dataValidation>
  </dataValidations>
  <printOptions horizontalCentered="1"/>
  <pageMargins left="0.11811023622047245" right="0.11811023622047245" top="0.15748031496062992" bottom="0.15748031496062992" header="0.31496062992125984" footer="0.31496062992125984"/>
  <pageSetup paperSize="8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3" id="{A98883AC-BCBE-4E6F-A9AB-938944D4C05A}">
            <x14:iconSet custom="1">
              <x14:cfvo type="percent">
                <xm:f>0</xm:f>
              </x14:cfvo>
              <x14:cfvo type="num" gte="0">
                <xm:f>0</xm:f>
              </x14:cfvo>
              <x14:cfvo type="num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D64</xm:sqref>
        </x14:conditionalFormatting>
        <x14:conditionalFormatting xmlns:xm="http://schemas.microsoft.com/office/excel/2006/main">
          <x14:cfRule type="iconSet" priority="34" id="{8A9230A0-FCEB-4E76-8838-126CF31D5ECD}">
            <x14:iconSet custom="1">
              <x14:cfvo type="percent">
                <xm:f>0</xm:f>
              </x14:cfvo>
              <x14:cfvo type="num" gte="0">
                <xm:f>0</xm:f>
              </x14:cfvo>
              <x14:cfvo type="num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D70</xm:sqref>
        </x14:conditionalFormatting>
        <x14:conditionalFormatting xmlns:xm="http://schemas.microsoft.com/office/excel/2006/main">
          <x14:cfRule type="iconSet" priority="36" id="{BD7F5A91-6A38-4515-AD5C-87E18981C34B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D91:D92</xm:sqref>
        </x14:conditionalFormatting>
        <x14:conditionalFormatting xmlns:xm="http://schemas.microsoft.com/office/excel/2006/main">
          <x14:cfRule type="iconSet" priority="37" id="{92F25249-B693-4A5E-8B73-73FAAF660A5B}">
            <x14:iconSet iconSet="3Symbols" custom="1">
              <x14:cfvo type="percent">
                <xm:f>0</xm:f>
              </x14:cfvo>
              <x14:cfvo type="formula">
                <xm:f>$E$93</xm:f>
              </x14:cfvo>
              <x14:cfvo type="formula">
                <xm:f>$E$93</xm:f>
              </x14:cfvo>
              <x14:cfIcon iconSet="3Symbols" iconId="2"/>
              <x14:cfIcon iconSet="NoIcons" iconId="0"/>
              <x14:cfIcon iconSet="3Symbols" iconId="0"/>
            </x14:iconSet>
          </x14:cfRule>
          <xm:sqref>D93</xm:sqref>
        </x14:conditionalFormatting>
        <x14:conditionalFormatting xmlns:xm="http://schemas.microsoft.com/office/excel/2006/main">
          <x14:cfRule type="iconSet" priority="38" id="{D96CB460-65DB-46AD-9D3E-1C1B11D6CDF9}">
            <x14:iconSet iconSet="3Symbols" custom="1">
              <x14:cfvo type="percent">
                <xm:f>0</xm:f>
              </x14:cfvo>
              <x14:cfvo type="formula">
                <xm:f>$E$94</xm:f>
              </x14:cfvo>
              <x14:cfvo type="formula">
                <xm:f>$E$94</xm:f>
              </x14:cfvo>
              <x14:cfIcon iconSet="3Symbols" iconId="2"/>
              <x14:cfIcon iconSet="NoIcons" iconId="0"/>
              <x14:cfIcon iconSet="3Symbols" iconId="0"/>
            </x14:iconSet>
          </x14:cfRule>
          <xm:sqref>D94</xm:sqref>
        </x14:conditionalFormatting>
        <x14:conditionalFormatting xmlns:xm="http://schemas.microsoft.com/office/excel/2006/main">
          <x14:cfRule type="iconSet" priority="39" id="{943A49AE-A2F7-48AB-8F80-2DE2E2C32176}">
            <x14:iconSet iconSet="3Symbols" custom="1">
              <x14:cfvo type="percent">
                <xm:f>0</xm:f>
              </x14:cfvo>
              <x14:cfvo type="formula">
                <xm:f>$E$95</xm:f>
              </x14:cfvo>
              <x14:cfvo type="formula">
                <xm:f>$E$95</xm:f>
              </x14:cfvo>
              <x14:cfIcon iconSet="3Symbols" iconId="2"/>
              <x14:cfIcon iconSet="NoIcons" iconId="0"/>
              <x14:cfIcon iconSet="3Symbols" iconId="0"/>
            </x14:iconSet>
          </x14:cfRule>
          <xm:sqref>D95</xm:sqref>
        </x14:conditionalFormatting>
        <x14:conditionalFormatting xmlns:xm="http://schemas.microsoft.com/office/excel/2006/main">
          <x14:cfRule type="iconSet" priority="40" id="{644C38B4-2E9D-4D52-9020-42AE8F1E2FA8}">
            <x14:iconSet iconSet="3Symbols" custom="1">
              <x14:cfvo type="percent">
                <xm:f>0</xm:f>
              </x14:cfvo>
              <x14:cfvo type="formula">
                <xm:f>$E$96</xm:f>
              </x14:cfvo>
              <x14:cfvo type="formula">
                <xm:f>$E$96</xm:f>
              </x14:cfvo>
              <x14:cfIcon iconSet="3Symbols" iconId="2"/>
              <x14:cfIcon iconSet="NoIcons" iconId="0"/>
              <x14:cfIcon iconSet="3Symbols" iconId="0"/>
            </x14:iconSet>
          </x14:cfRule>
          <xm:sqref>D96:D97</xm:sqref>
        </x14:conditionalFormatting>
        <x14:conditionalFormatting xmlns:xm="http://schemas.microsoft.com/office/excel/2006/main">
          <x14:cfRule type="iconSet" priority="31" id="{EFDA9DCC-55D5-4C9D-B436-967DA4F2DD2B}">
            <x14:iconSet iconSet="3Symbols" custom="1">
              <x14:cfvo type="percent">
                <xm:f>0</xm:f>
              </x14:cfvo>
              <x14:cfvo type="formula">
                <xm:f>$E$98</xm:f>
              </x14:cfvo>
              <x14:cfvo type="formula">
                <xm:f>$E$98</xm:f>
              </x14:cfvo>
              <x14:cfIcon iconSet="3Symbols" iconId="0"/>
              <x14:cfIcon iconSet="NoIcons" iconId="0"/>
              <x14:cfIcon iconSet="3Symbols" iconId="2"/>
            </x14:iconSet>
          </x14:cfRule>
          <xm:sqref>D98</xm:sqref>
        </x14:conditionalFormatting>
        <x14:conditionalFormatting xmlns:xm="http://schemas.microsoft.com/office/excel/2006/main">
          <x14:cfRule type="iconSet" priority="41" id="{B2207100-FAB4-40D5-8FE5-C3DAE56EF0D9}">
            <x14:iconSet iconSet="3Symbols" custom="1">
              <x14:cfvo type="percent">
                <xm:f>0</xm:f>
              </x14:cfvo>
              <x14:cfvo type="formula">
                <xm:f>$E$99</xm:f>
              </x14:cfvo>
              <x14:cfvo type="formula">
                <xm:f>$E$99</xm:f>
              </x14:cfvo>
              <x14:cfIcon iconSet="3Symbols" iconId="0"/>
              <x14:cfIcon iconSet="NoIcons" iconId="0"/>
              <x14:cfIcon iconSet="3Symbols" iconId="2"/>
            </x14:iconSet>
          </x14:cfRule>
          <xm:sqref>D99</xm:sqref>
        </x14:conditionalFormatting>
        <x14:conditionalFormatting xmlns:xm="http://schemas.microsoft.com/office/excel/2006/main">
          <x14:cfRule type="iconSet" priority="42" id="{B3764AC9-38C9-40EB-B8D1-DF9F0235CFEB}">
            <x14:iconSet custom="1">
              <x14:cfvo type="percent">
                <xm:f>0</xm:f>
              </x14:cfvo>
              <x14:cfvo type="formula">
                <xm:f>$E$100</xm:f>
              </x14:cfvo>
              <x14:cfvo type="formula" gte="0">
                <xm:f>$E$100</xm:f>
              </x14:cfvo>
              <x14:cfIcon iconSet="3Symbols" iconId="0"/>
              <x14:cfIcon iconSet="NoIcons" iconId="0"/>
              <x14:cfIcon iconSet="3Symbols" iconId="2"/>
            </x14:iconSet>
          </x14:cfRule>
          <xm:sqref>D100</xm:sqref>
        </x14:conditionalFormatting>
        <x14:conditionalFormatting xmlns:xm="http://schemas.microsoft.com/office/excel/2006/main">
          <x14:cfRule type="iconSet" priority="43" id="{9242E973-5455-4970-A623-762E4D258EF4}">
            <x14:iconSet iconSet="3Symbols" custom="1">
              <x14:cfvo type="percent">
                <xm:f>0</xm:f>
              </x14:cfvo>
              <x14:cfvo type="formula">
                <xm:f>$E$101</xm:f>
              </x14:cfvo>
              <x14:cfvo type="formula">
                <xm:f>$E$101</xm:f>
              </x14:cfvo>
              <x14:cfIcon iconSet="3Symbols" iconId="0"/>
              <x14:cfIcon iconSet="NoIcons" iconId="0"/>
              <x14:cfIcon iconSet="3Symbols" iconId="2"/>
            </x14:iconSet>
          </x14:cfRule>
          <xm:sqref>D101</xm:sqref>
        </x14:conditionalFormatting>
        <x14:conditionalFormatting xmlns:xm="http://schemas.microsoft.com/office/excel/2006/main">
          <x14:cfRule type="iconSet" priority="44" id="{0D3F5E02-5D56-4B63-A17A-491F98EEABD1}">
            <x14:iconSet iconSet="3Symbols" custom="1">
              <x14:cfvo type="percent">
                <xm:f>0</xm:f>
              </x14:cfvo>
              <x14:cfvo type="formula">
                <xm:f>$E$102</xm:f>
              </x14:cfvo>
              <x14:cfvo type="formula">
                <xm:f>$E$102</xm:f>
              </x14:cfvo>
              <x14:cfIcon iconSet="3Symbols" iconId="0"/>
              <x14:cfIcon iconSet="NoIcons" iconId="0"/>
              <x14:cfIcon iconSet="3Symbols" iconId="2"/>
            </x14:iconSet>
          </x14:cfRule>
          <xm:sqref>D102:D103</xm:sqref>
        </x14:conditionalFormatting>
        <x14:conditionalFormatting xmlns:xm="http://schemas.microsoft.com/office/excel/2006/main">
          <x14:cfRule type="iconSet" priority="45" id="{20470B90-5953-469C-ADC8-F5529D60E81A}">
            <x14:iconSet iconSet="3Symbols" custom="1">
              <x14:cfvo type="percent">
                <xm:f>0</xm:f>
              </x14:cfvo>
              <x14:cfvo type="formula">
                <xm:f>$E$104</xm:f>
              </x14:cfvo>
              <x14:cfvo type="formula" gte="0">
                <xm:f>$E$104</xm:f>
              </x14:cfvo>
              <x14:cfIcon iconSet="3Symbols" iconId="2"/>
              <x14:cfIcon iconSet="NoIcons" iconId="0"/>
              <x14:cfIcon iconSet="3Symbols" iconId="0"/>
            </x14:iconSet>
          </x14:cfRule>
          <xm:sqref>D104</xm:sqref>
        </x14:conditionalFormatting>
        <x14:conditionalFormatting xmlns:xm="http://schemas.microsoft.com/office/excel/2006/main">
          <x14:cfRule type="iconSet" priority="46" id="{CEF46E21-2E6A-44A7-9571-F50A3AE1AF25}">
            <x14:iconSet iconSet="3Symbols" custom="1">
              <x14:cfvo type="percent">
                <xm:f>0</xm:f>
              </x14:cfvo>
              <x14:cfvo type="formula">
                <xm:f>$E$105</xm:f>
              </x14:cfvo>
              <x14:cfvo type="formula" gte="0">
                <xm:f>$E$105</xm:f>
              </x14:cfvo>
              <x14:cfIcon iconSet="3Symbols" iconId="2"/>
              <x14:cfIcon iconSet="NoIcons" iconId="0"/>
              <x14:cfIcon iconSet="3Symbols" iconId="0"/>
            </x14:iconSet>
          </x14:cfRule>
          <xm:sqref>D105</xm:sqref>
        </x14:conditionalFormatting>
        <x14:conditionalFormatting xmlns:xm="http://schemas.microsoft.com/office/excel/2006/main">
          <x14:cfRule type="iconSet" priority="47" id="{18FB4C86-4D6E-4538-9BA7-187D9892A2F3}">
            <x14:iconSet iconSet="3Symbols" custom="1">
              <x14:cfvo type="percent">
                <xm:f>0</xm:f>
              </x14:cfvo>
              <x14:cfvo type="formula">
                <xm:f>$E$106</xm:f>
              </x14:cfvo>
              <x14:cfvo type="formula">
                <xm:f>$E$106</xm:f>
              </x14:cfvo>
              <x14:cfIcon iconSet="3Symbols" iconId="2"/>
              <x14:cfIcon iconSet="NoIcons" iconId="0"/>
              <x14:cfIcon iconSet="3Symbols" iconId="0"/>
            </x14:iconSet>
          </x14:cfRule>
          <xm:sqref>D106</xm:sqref>
        </x14:conditionalFormatting>
        <x14:conditionalFormatting xmlns:xm="http://schemas.microsoft.com/office/excel/2006/main">
          <x14:cfRule type="iconSet" priority="48" id="{089E43C5-0C45-4097-A941-2503851FDC5D}">
            <x14:iconSet iconSet="3Symbols" custom="1">
              <x14:cfvo type="percent">
                <xm:f>0</xm:f>
              </x14:cfvo>
              <x14:cfvo type="formula">
                <xm:f>$E$107</xm:f>
              </x14:cfvo>
              <x14:cfvo type="formula" gte="0">
                <xm:f>$E$107</xm:f>
              </x14:cfvo>
              <x14:cfIcon iconSet="3Symbols" iconId="0"/>
              <x14:cfIcon iconSet="NoIcons" iconId="0"/>
              <x14:cfIcon iconSet="3Symbols" iconId="2"/>
            </x14:iconSet>
          </x14:cfRule>
          <xm:sqref>D107</xm:sqref>
        </x14:conditionalFormatting>
        <x14:conditionalFormatting xmlns:xm="http://schemas.microsoft.com/office/excel/2006/main">
          <x14:cfRule type="iconSet" priority="49" id="{115C8754-1A7D-4539-A656-AB04AA575170}">
            <x14:iconSet iconSet="3Symbols" custom="1">
              <x14:cfvo type="percent">
                <xm:f>0</xm:f>
              </x14:cfvo>
              <x14:cfvo type="formula">
                <xm:f>$E$108</xm:f>
              </x14:cfvo>
              <x14:cfvo type="formula">
                <xm:f>$E$108</xm:f>
              </x14:cfvo>
              <x14:cfIcon iconSet="3Symbols" iconId="0"/>
              <x14:cfIcon iconSet="NoIcons" iconId="0"/>
              <x14:cfIcon iconSet="3Symbols" iconId="2"/>
            </x14:iconSet>
          </x14:cfRule>
          <xm:sqref>D108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BDBC-3E41-4E8F-B786-93BE780A4676}">
  <sheetPr>
    <tabColor rgb="FF00B050"/>
    <outlinePr summaryBelow="0" summaryRight="0"/>
  </sheetPr>
  <dimension ref="A1:AN347"/>
  <sheetViews>
    <sheetView showGridLines="0" showZeros="0" zoomScaleNormal="100" workbookViewId="0">
      <pane xSplit="2" ySplit="5" topLeftCell="AA326" activePane="bottomRight" state="frozen"/>
      <selection activeCell="M2" sqref="M2"/>
      <selection pane="topRight" activeCell="M2" sqref="M2"/>
      <selection pane="bottomLeft" activeCell="M2" sqref="M2"/>
      <selection pane="bottomRight" activeCell="AE329" sqref="AE329"/>
    </sheetView>
  </sheetViews>
  <sheetFormatPr defaultColWidth="9.26953125" defaultRowHeight="15" customHeight="1"/>
  <cols>
    <col min="1" max="1" width="46.26953125" style="475" customWidth="1"/>
    <col min="2" max="2" width="4.7265625" style="653" hidden="1" customWidth="1"/>
    <col min="3" max="13" width="20" style="475" bestFit="1" customWidth="1"/>
    <col min="14" max="14" width="20.26953125" style="475" bestFit="1" customWidth="1"/>
    <col min="15" max="15" width="19.26953125" style="475" bestFit="1" customWidth="1"/>
    <col min="16" max="24" width="20.26953125" style="475" bestFit="1" customWidth="1"/>
    <col min="25" max="27" width="20.26953125" style="475" customWidth="1"/>
    <col min="28" max="38" width="20.26953125" style="475" bestFit="1" customWidth="1"/>
    <col min="39" max="39" width="9.26953125" style="469"/>
    <col min="40" max="40" width="17.453125" style="469" bestFit="1" customWidth="1"/>
    <col min="41" max="16384" width="9.26953125" style="469"/>
  </cols>
  <sheetData>
    <row r="1" spans="1:38" ht="19.5" customHeight="1">
      <c r="A1" s="463" t="s">
        <v>287</v>
      </c>
      <c r="B1" s="464">
        <v>5</v>
      </c>
      <c r="C1" s="465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7">
        <v>2025</v>
      </c>
      <c r="P1" s="466"/>
      <c r="Q1" s="466"/>
      <c r="R1" s="466"/>
      <c r="S1" s="466"/>
      <c r="T1" s="466"/>
      <c r="U1" s="466"/>
      <c r="V1" s="466"/>
      <c r="W1" s="466"/>
      <c r="X1" s="466"/>
      <c r="Y1" s="466"/>
      <c r="Z1" s="468"/>
      <c r="AA1" s="466"/>
      <c r="AB1" s="466"/>
      <c r="AC1" s="466"/>
      <c r="AD1" s="466"/>
      <c r="AE1" s="466"/>
      <c r="AF1" s="466"/>
      <c r="AG1" s="466"/>
      <c r="AH1" s="466"/>
      <c r="AI1" s="466"/>
      <c r="AJ1" s="466"/>
      <c r="AK1" s="466"/>
      <c r="AL1" s="466"/>
    </row>
    <row r="2" spans="1:38" ht="19.5" customHeight="1">
      <c r="A2" s="470" t="s">
        <v>288</v>
      </c>
      <c r="B2" s="471"/>
      <c r="C2" s="465"/>
      <c r="D2" s="466"/>
      <c r="E2" s="466"/>
      <c r="F2" s="466"/>
      <c r="G2" s="466"/>
      <c r="H2" s="466"/>
      <c r="I2" s="466"/>
      <c r="J2" s="466"/>
      <c r="K2" s="472"/>
      <c r="L2" s="466"/>
      <c r="M2" s="466"/>
      <c r="N2" s="468"/>
      <c r="O2" s="468"/>
      <c r="P2" s="468"/>
      <c r="Q2" s="468"/>
      <c r="R2" s="468"/>
      <c r="S2" s="468"/>
      <c r="T2" s="468"/>
      <c r="U2" s="468"/>
      <c r="V2" s="468"/>
      <c r="W2" s="468"/>
      <c r="X2" s="473"/>
      <c r="Y2" s="473"/>
      <c r="Z2" s="468">
        <f>AVERAGE(O26:Z26)/SUM(O138:Z138)*365</f>
        <v>145.73445556457813</v>
      </c>
      <c r="AA2" s="468">
        <v>136</v>
      </c>
      <c r="AB2" s="468"/>
      <c r="AC2" s="468"/>
      <c r="AD2" s="468"/>
      <c r="AE2" s="468"/>
      <c r="AF2" s="468"/>
      <c r="AG2" s="468"/>
      <c r="AH2" s="468"/>
      <c r="AI2" s="468"/>
      <c r="AJ2" s="468"/>
      <c r="AK2" s="468"/>
      <c r="AL2" s="468"/>
    </row>
    <row r="3" spans="1:38" ht="19.5" customHeight="1">
      <c r="A3" s="463"/>
      <c r="B3" s="471"/>
      <c r="C3" s="474">
        <v>2024</v>
      </c>
      <c r="D3" s="466">
        <f>C3</f>
        <v>2024</v>
      </c>
      <c r="E3" s="466">
        <f>D3</f>
        <v>2024</v>
      </c>
      <c r="F3" s="466">
        <f t="shared" ref="F3:N3" si="0">E3</f>
        <v>2024</v>
      </c>
      <c r="G3" s="466">
        <f t="shared" si="0"/>
        <v>2024</v>
      </c>
      <c r="H3" s="466">
        <f>G3</f>
        <v>2024</v>
      </c>
      <c r="I3" s="466">
        <f t="shared" si="0"/>
        <v>2024</v>
      </c>
      <c r="J3" s="466">
        <f t="shared" si="0"/>
        <v>2024</v>
      </c>
      <c r="K3" s="466">
        <f t="shared" si="0"/>
        <v>2024</v>
      </c>
      <c r="L3" s="466">
        <f t="shared" si="0"/>
        <v>2024</v>
      </c>
      <c r="M3" s="466">
        <f t="shared" si="0"/>
        <v>2024</v>
      </c>
      <c r="N3" s="466">
        <f t="shared" si="0"/>
        <v>2024</v>
      </c>
      <c r="O3" s="474">
        <v>2025</v>
      </c>
      <c r="P3" s="466">
        <f>O3</f>
        <v>2025</v>
      </c>
      <c r="Q3" s="466">
        <f>P3</f>
        <v>2025</v>
      </c>
      <c r="R3" s="466">
        <f>Q3</f>
        <v>2025</v>
      </c>
      <c r="S3" s="466">
        <f>R3</f>
        <v>2025</v>
      </c>
      <c r="T3" s="466">
        <f>S3</f>
        <v>2025</v>
      </c>
      <c r="U3" s="466">
        <f t="shared" ref="U3:Z3" si="1">T3</f>
        <v>2025</v>
      </c>
      <c r="V3" s="466">
        <f t="shared" si="1"/>
        <v>2025</v>
      </c>
      <c r="W3" s="466">
        <f t="shared" si="1"/>
        <v>2025</v>
      </c>
      <c r="X3" s="466">
        <f t="shared" si="1"/>
        <v>2025</v>
      </c>
      <c r="Y3" s="466">
        <f t="shared" si="1"/>
        <v>2025</v>
      </c>
      <c r="Z3" s="466">
        <f t="shared" si="1"/>
        <v>2025</v>
      </c>
      <c r="AA3" s="466"/>
      <c r="AB3" s="466"/>
      <c r="AC3" s="466"/>
      <c r="AD3" s="466"/>
      <c r="AE3" s="466"/>
      <c r="AF3" s="466"/>
      <c r="AG3" s="466"/>
      <c r="AH3" s="466"/>
      <c r="AI3" s="466"/>
      <c r="AJ3" s="466"/>
      <c r="AK3" s="466"/>
      <c r="AL3" s="466"/>
    </row>
    <row r="4" spans="1:38" ht="16.5" customHeight="1">
      <c r="B4" s="476"/>
      <c r="C4" s="470">
        <v>1</v>
      </c>
      <c r="D4" s="470">
        <v>2</v>
      </c>
      <c r="E4" s="470">
        <v>3</v>
      </c>
      <c r="F4" s="470">
        <v>4</v>
      </c>
      <c r="G4" s="470">
        <v>5</v>
      </c>
      <c r="H4" s="470">
        <v>6</v>
      </c>
      <c r="I4" s="470">
        <v>7</v>
      </c>
      <c r="J4" s="470">
        <v>8</v>
      </c>
      <c r="K4" s="470">
        <v>9</v>
      </c>
      <c r="L4" s="470">
        <v>10</v>
      </c>
      <c r="M4" s="470">
        <v>11</v>
      </c>
      <c r="N4" s="470">
        <v>12</v>
      </c>
      <c r="O4" s="470">
        <v>1</v>
      </c>
      <c r="P4" s="470">
        <v>2</v>
      </c>
      <c r="Q4" s="470">
        <v>3</v>
      </c>
      <c r="R4" s="470">
        <v>4</v>
      </c>
      <c r="S4" s="470">
        <v>5</v>
      </c>
      <c r="T4" s="470">
        <v>6</v>
      </c>
      <c r="U4" s="470">
        <v>7</v>
      </c>
      <c r="V4" s="470">
        <v>8</v>
      </c>
      <c r="W4" s="470">
        <v>9</v>
      </c>
      <c r="X4" s="470">
        <v>10</v>
      </c>
      <c r="Y4" s="470">
        <v>11</v>
      </c>
      <c r="Z4" s="470">
        <v>12</v>
      </c>
      <c r="AA4" s="470"/>
      <c r="AB4" s="470"/>
      <c r="AC4" s="470"/>
      <c r="AD4" s="470"/>
      <c r="AE4" s="470"/>
      <c r="AF4" s="470"/>
      <c r="AG4" s="470"/>
      <c r="AH4" s="470"/>
      <c r="AI4" s="470"/>
      <c r="AJ4" s="470"/>
      <c r="AK4" s="470"/>
      <c r="AL4" s="470"/>
    </row>
    <row r="5" spans="1:38" ht="39">
      <c r="A5" s="477" t="s">
        <v>289</v>
      </c>
      <c r="B5" s="478" t="s">
        <v>290</v>
      </c>
      <c r="C5" s="479" t="s">
        <v>291</v>
      </c>
      <c r="D5" s="480" t="s">
        <v>292</v>
      </c>
      <c r="E5" s="479" t="s">
        <v>293</v>
      </c>
      <c r="F5" s="479" t="s">
        <v>294</v>
      </c>
      <c r="G5" s="479" t="s">
        <v>295</v>
      </c>
      <c r="H5" s="479" t="s">
        <v>296</v>
      </c>
      <c r="I5" s="479" t="s">
        <v>297</v>
      </c>
      <c r="J5" s="480" t="s">
        <v>298</v>
      </c>
      <c r="K5" s="481" t="s">
        <v>299</v>
      </c>
      <c r="L5" s="481" t="s">
        <v>300</v>
      </c>
      <c r="M5" s="481" t="s">
        <v>301</v>
      </c>
      <c r="N5" s="481" t="s">
        <v>302</v>
      </c>
      <c r="O5" s="479" t="s">
        <v>303</v>
      </c>
      <c r="P5" s="481" t="s">
        <v>304</v>
      </c>
      <c r="Q5" s="481" t="s">
        <v>305</v>
      </c>
      <c r="R5" s="481" t="s">
        <v>306</v>
      </c>
      <c r="S5" s="481" t="s">
        <v>307</v>
      </c>
      <c r="T5" s="481" t="s">
        <v>308</v>
      </c>
      <c r="U5" s="481" t="s">
        <v>309</v>
      </c>
      <c r="V5" s="481" t="s">
        <v>310</v>
      </c>
      <c r="W5" s="481" t="s">
        <v>311</v>
      </c>
      <c r="X5" s="481" t="s">
        <v>312</v>
      </c>
      <c r="Y5" s="481" t="s">
        <v>313</v>
      </c>
      <c r="Z5" s="481" t="s">
        <v>314</v>
      </c>
      <c r="AA5" s="481" t="s">
        <v>315</v>
      </c>
      <c r="AB5" s="481" t="s">
        <v>316</v>
      </c>
      <c r="AC5" s="481" t="s">
        <v>317</v>
      </c>
      <c r="AD5" s="481" t="s">
        <v>318</v>
      </c>
      <c r="AE5" s="481" t="s">
        <v>319</v>
      </c>
      <c r="AF5" s="481" t="s">
        <v>320</v>
      </c>
      <c r="AG5" s="481" t="s">
        <v>321</v>
      </c>
      <c r="AH5" s="481" t="s">
        <v>322</v>
      </c>
      <c r="AI5" s="481" t="s">
        <v>323</v>
      </c>
      <c r="AJ5" s="481" t="s">
        <v>324</v>
      </c>
      <c r="AK5" s="481" t="s">
        <v>325</v>
      </c>
      <c r="AL5" s="481" t="s">
        <v>326</v>
      </c>
    </row>
    <row r="6" spans="1:38" ht="15" customHeight="1">
      <c r="A6" s="482" t="s">
        <v>327</v>
      </c>
      <c r="B6" s="483">
        <v>1</v>
      </c>
      <c r="C6" s="484">
        <v>782481934423</v>
      </c>
      <c r="D6" s="484">
        <v>768590764263</v>
      </c>
      <c r="E6" s="484">
        <v>815465869041</v>
      </c>
      <c r="F6" s="484">
        <v>877414026420</v>
      </c>
      <c r="G6" s="484">
        <v>928155716736</v>
      </c>
      <c r="H6" s="484">
        <v>956563222023</v>
      </c>
      <c r="I6" s="484">
        <v>906133879099</v>
      </c>
      <c r="J6" s="484">
        <v>849218290026</v>
      </c>
      <c r="K6" s="484">
        <v>891170346476</v>
      </c>
      <c r="L6" s="484">
        <v>912165489717</v>
      </c>
      <c r="M6" s="484">
        <v>989601612249</v>
      </c>
      <c r="N6" s="484">
        <v>969587265880</v>
      </c>
      <c r="O6" s="485">
        <v>894788032291</v>
      </c>
      <c r="P6" s="484">
        <v>814157821775</v>
      </c>
      <c r="Q6" s="484">
        <v>866303373135</v>
      </c>
      <c r="R6" s="484">
        <v>929599762285</v>
      </c>
      <c r="S6" s="484">
        <v>981599372849</v>
      </c>
      <c r="T6" s="484">
        <v>1010794698754</v>
      </c>
      <c r="U6" s="484">
        <v>999811801439</v>
      </c>
      <c r="V6" s="484">
        <v>1060333071975</v>
      </c>
      <c r="W6" s="484">
        <v>1040577598634</v>
      </c>
      <c r="X6" s="484">
        <v>982848510813</v>
      </c>
      <c r="Y6" s="484">
        <v>959373053576</v>
      </c>
      <c r="Z6" s="484">
        <v>945217150933</v>
      </c>
      <c r="AA6" s="484">
        <v>894150692345</v>
      </c>
      <c r="AB6" s="484">
        <v>895502322076</v>
      </c>
      <c r="AC6" s="484">
        <v>848468475952</v>
      </c>
      <c r="AD6" s="484">
        <v>807952336254</v>
      </c>
      <c r="AE6" s="484">
        <v>886588369025</v>
      </c>
      <c r="AF6" s="484">
        <v>0</v>
      </c>
      <c r="AG6" s="484">
        <v>0</v>
      </c>
      <c r="AH6" s="484">
        <v>0</v>
      </c>
      <c r="AI6" s="484">
        <v>0</v>
      </c>
      <c r="AJ6" s="484">
        <v>0</v>
      </c>
      <c r="AK6" s="484">
        <v>0</v>
      </c>
      <c r="AL6" s="484">
        <v>0</v>
      </c>
    </row>
    <row r="7" spans="1:38" ht="15" customHeight="1">
      <c r="A7" s="486" t="s">
        <v>328</v>
      </c>
      <c r="B7" s="487">
        <v>2</v>
      </c>
      <c r="C7" s="488">
        <v>31037848308</v>
      </c>
      <c r="D7" s="488">
        <v>22669663716</v>
      </c>
      <c r="E7" s="488">
        <v>6664945115</v>
      </c>
      <c r="F7" s="488">
        <v>15574807889</v>
      </c>
      <c r="G7" s="488">
        <v>16007340290</v>
      </c>
      <c r="H7" s="488">
        <v>3678057757</v>
      </c>
      <c r="I7" s="488">
        <v>36916493026</v>
      </c>
      <c r="J7" s="488">
        <v>16748498285</v>
      </c>
      <c r="K7" s="488">
        <v>33251814637</v>
      </c>
      <c r="L7" s="488">
        <v>56773964959</v>
      </c>
      <c r="M7" s="488">
        <v>43420355696</v>
      </c>
      <c r="N7" s="488">
        <v>39805017284</v>
      </c>
      <c r="O7" s="489">
        <v>76486895109</v>
      </c>
      <c r="P7" s="488">
        <v>33258200889</v>
      </c>
      <c r="Q7" s="488">
        <v>23555271373</v>
      </c>
      <c r="R7" s="488">
        <v>37590058839</v>
      </c>
      <c r="S7" s="488">
        <v>21868727527</v>
      </c>
      <c r="T7" s="488">
        <v>32470900772</v>
      </c>
      <c r="U7" s="488">
        <v>30661632458</v>
      </c>
      <c r="V7" s="488">
        <v>29770776625</v>
      </c>
      <c r="W7" s="488">
        <v>64296693910</v>
      </c>
      <c r="X7" s="488">
        <v>53646701293</v>
      </c>
      <c r="Y7" s="488">
        <v>55165406320</v>
      </c>
      <c r="Z7" s="488">
        <v>36834893155</v>
      </c>
      <c r="AA7" s="488">
        <v>42126572011</v>
      </c>
      <c r="AB7" s="488">
        <v>45981412915</v>
      </c>
      <c r="AC7" s="488">
        <v>33613094972</v>
      </c>
      <c r="AD7" s="488">
        <v>47135211556</v>
      </c>
      <c r="AE7" s="488">
        <v>41014004605</v>
      </c>
      <c r="AF7" s="488">
        <v>0</v>
      </c>
      <c r="AG7" s="488">
        <v>0</v>
      </c>
      <c r="AH7" s="488">
        <v>0</v>
      </c>
      <c r="AI7" s="488">
        <v>0</v>
      </c>
      <c r="AJ7" s="488">
        <v>0</v>
      </c>
      <c r="AK7" s="488">
        <v>0</v>
      </c>
      <c r="AL7" s="488">
        <v>0</v>
      </c>
    </row>
    <row r="8" spans="1:38" ht="15" customHeight="1">
      <c r="A8" s="490" t="s">
        <v>329</v>
      </c>
      <c r="B8" s="491">
        <v>3</v>
      </c>
      <c r="C8" s="492">
        <v>28197848308</v>
      </c>
      <c r="D8" s="492">
        <v>19829663716</v>
      </c>
      <c r="E8" s="492">
        <v>5834945115</v>
      </c>
      <c r="F8" s="492">
        <v>14744807889</v>
      </c>
      <c r="G8" s="492">
        <v>15177340290</v>
      </c>
      <c r="H8" s="492">
        <v>2848057757</v>
      </c>
      <c r="I8" s="492">
        <v>36086493026</v>
      </c>
      <c r="J8" s="492">
        <v>15918498285</v>
      </c>
      <c r="K8" s="492">
        <v>33251814637</v>
      </c>
      <c r="L8" s="492">
        <v>56773964959</v>
      </c>
      <c r="M8" s="492">
        <v>43420355696</v>
      </c>
      <c r="N8" s="492">
        <v>29805017284</v>
      </c>
      <c r="O8" s="493">
        <v>73646895109</v>
      </c>
      <c r="P8" s="492">
        <v>30418200889</v>
      </c>
      <c r="Q8" s="492">
        <v>23555271373</v>
      </c>
      <c r="R8" s="492">
        <v>37590058839</v>
      </c>
      <c r="S8" s="492">
        <v>21868727527</v>
      </c>
      <c r="T8" s="492">
        <v>32470900772</v>
      </c>
      <c r="U8" s="492">
        <v>30661632458</v>
      </c>
      <c r="V8" s="492">
        <v>29770776625</v>
      </c>
      <c r="W8" s="492">
        <v>64296693910</v>
      </c>
      <c r="X8" s="492">
        <v>33646701293</v>
      </c>
      <c r="Y8" s="492">
        <v>35165406320</v>
      </c>
      <c r="Z8" s="492">
        <v>36834893155</v>
      </c>
      <c r="AA8" s="492">
        <v>42126572011</v>
      </c>
      <c r="AB8" s="492">
        <v>45981412915</v>
      </c>
      <c r="AC8" s="492">
        <v>27413094972</v>
      </c>
      <c r="AD8" s="492">
        <v>28835211556</v>
      </c>
      <c r="AE8" s="492">
        <v>30714004605</v>
      </c>
      <c r="AF8" s="492">
        <v>0</v>
      </c>
      <c r="AG8" s="492">
        <v>0</v>
      </c>
      <c r="AH8" s="492">
        <v>0</v>
      </c>
      <c r="AI8" s="492">
        <v>0</v>
      </c>
      <c r="AJ8" s="492">
        <v>0</v>
      </c>
      <c r="AK8" s="492">
        <v>0</v>
      </c>
      <c r="AL8" s="492">
        <v>0</v>
      </c>
    </row>
    <row r="9" spans="1:38" ht="15" customHeight="1">
      <c r="A9" s="490" t="s">
        <v>330</v>
      </c>
      <c r="B9" s="491">
        <v>4</v>
      </c>
      <c r="C9" s="492">
        <v>2840000000</v>
      </c>
      <c r="D9" s="492">
        <v>2840000000</v>
      </c>
      <c r="E9" s="492">
        <v>830000000</v>
      </c>
      <c r="F9" s="492">
        <v>830000000</v>
      </c>
      <c r="G9" s="492">
        <v>830000000</v>
      </c>
      <c r="H9" s="492">
        <v>830000000</v>
      </c>
      <c r="I9" s="492">
        <v>830000000</v>
      </c>
      <c r="J9" s="492">
        <v>830000000</v>
      </c>
      <c r="K9" s="492">
        <v>0</v>
      </c>
      <c r="L9" s="492">
        <v>0</v>
      </c>
      <c r="M9" s="492">
        <v>0</v>
      </c>
      <c r="N9" s="492">
        <v>10000000000</v>
      </c>
      <c r="O9" s="494">
        <v>2840000000</v>
      </c>
      <c r="P9" s="492">
        <v>2840000000</v>
      </c>
      <c r="Q9" s="492">
        <v>0</v>
      </c>
      <c r="R9" s="492">
        <v>0</v>
      </c>
      <c r="S9" s="492">
        <v>0</v>
      </c>
      <c r="T9" s="492">
        <v>0</v>
      </c>
      <c r="U9" s="492">
        <v>0</v>
      </c>
      <c r="V9" s="492">
        <v>0</v>
      </c>
      <c r="W9" s="492">
        <v>0</v>
      </c>
      <c r="X9" s="492">
        <v>20000000000</v>
      </c>
      <c r="Y9" s="492">
        <v>20000000000</v>
      </c>
      <c r="Z9" s="492">
        <v>0</v>
      </c>
      <c r="AA9" s="492">
        <v>0</v>
      </c>
      <c r="AB9" s="492">
        <v>0</v>
      </c>
      <c r="AC9" s="492">
        <v>6200000000</v>
      </c>
      <c r="AD9" s="492">
        <v>18300000000</v>
      </c>
      <c r="AE9" s="492">
        <v>10300000000</v>
      </c>
      <c r="AF9" s="492">
        <v>0</v>
      </c>
      <c r="AG9" s="492">
        <v>0</v>
      </c>
      <c r="AH9" s="492">
        <v>0</v>
      </c>
      <c r="AI9" s="492">
        <v>0</v>
      </c>
      <c r="AJ9" s="492">
        <v>0</v>
      </c>
      <c r="AK9" s="492">
        <v>0</v>
      </c>
      <c r="AL9" s="492">
        <v>0</v>
      </c>
    </row>
    <row r="10" spans="1:38" ht="15" customHeight="1">
      <c r="A10" s="486" t="s">
        <v>331</v>
      </c>
      <c r="B10" s="495">
        <v>5</v>
      </c>
      <c r="C10" s="496">
        <v>2010000000</v>
      </c>
      <c r="D10" s="496">
        <v>2010000000</v>
      </c>
      <c r="E10" s="496">
        <v>2010000000</v>
      </c>
      <c r="F10" s="496">
        <v>2010000000</v>
      </c>
      <c r="G10" s="496">
        <v>2010000000</v>
      </c>
      <c r="H10" s="496">
        <v>2010000000</v>
      </c>
      <c r="I10" s="496">
        <v>2010000000</v>
      </c>
      <c r="J10" s="496">
        <v>2010000000</v>
      </c>
      <c r="K10" s="496">
        <v>2840000000</v>
      </c>
      <c r="L10" s="496">
        <v>2840000000</v>
      </c>
      <c r="M10" s="496">
        <v>2840000000</v>
      </c>
      <c r="N10" s="496">
        <v>2840000000</v>
      </c>
      <c r="O10" s="496">
        <v>0</v>
      </c>
      <c r="P10" s="496">
        <v>0</v>
      </c>
      <c r="Q10" s="496">
        <v>22840000000</v>
      </c>
      <c r="R10" s="496">
        <v>22840000000</v>
      </c>
      <c r="S10" s="496">
        <v>22840000000</v>
      </c>
      <c r="T10" s="496">
        <v>22840000000</v>
      </c>
      <c r="U10" s="496">
        <v>22840000000</v>
      </c>
      <c r="V10" s="496">
        <v>22840000000</v>
      </c>
      <c r="W10" s="496">
        <v>22840000000</v>
      </c>
      <c r="X10" s="496">
        <v>32840000000</v>
      </c>
      <c r="Y10" s="496">
        <v>32840000000</v>
      </c>
      <c r="Z10" s="496">
        <v>32840000000</v>
      </c>
      <c r="AA10" s="496">
        <v>32840000000</v>
      </c>
      <c r="AB10" s="496">
        <v>32840000000</v>
      </c>
      <c r="AC10" s="496">
        <v>32840000000</v>
      </c>
      <c r="AD10" s="496">
        <v>34340000000</v>
      </c>
      <c r="AE10" s="496">
        <v>34340000000</v>
      </c>
      <c r="AF10" s="496">
        <v>0</v>
      </c>
      <c r="AG10" s="496">
        <v>0</v>
      </c>
      <c r="AH10" s="496">
        <v>0</v>
      </c>
      <c r="AI10" s="496">
        <v>0</v>
      </c>
      <c r="AJ10" s="496">
        <v>0</v>
      </c>
      <c r="AK10" s="496">
        <v>0</v>
      </c>
      <c r="AL10" s="496">
        <v>0</v>
      </c>
    </row>
    <row r="11" spans="1:38" ht="15" customHeight="1">
      <c r="A11" s="490" t="s">
        <v>332</v>
      </c>
      <c r="B11" s="491">
        <v>6</v>
      </c>
      <c r="C11" s="492">
        <v>0</v>
      </c>
      <c r="D11" s="492">
        <v>0</v>
      </c>
      <c r="E11" s="492">
        <v>0</v>
      </c>
      <c r="F11" s="492">
        <v>0</v>
      </c>
      <c r="G11" s="492">
        <v>0</v>
      </c>
      <c r="H11" s="492">
        <v>0</v>
      </c>
      <c r="I11" s="492">
        <v>0</v>
      </c>
      <c r="J11" s="492">
        <v>0</v>
      </c>
      <c r="K11" s="492">
        <v>0</v>
      </c>
      <c r="L11" s="492">
        <v>0</v>
      </c>
      <c r="M11" s="492">
        <v>0</v>
      </c>
      <c r="N11" s="492">
        <v>0</v>
      </c>
      <c r="O11" s="492">
        <v>0</v>
      </c>
      <c r="P11" s="492">
        <v>0</v>
      </c>
      <c r="Q11" s="492">
        <v>0</v>
      </c>
      <c r="R11" s="492">
        <v>0</v>
      </c>
      <c r="S11" s="492">
        <v>0</v>
      </c>
      <c r="T11" s="492">
        <v>0</v>
      </c>
      <c r="U11" s="492">
        <v>0</v>
      </c>
      <c r="V11" s="492">
        <v>0</v>
      </c>
      <c r="W11" s="492">
        <v>0</v>
      </c>
      <c r="X11" s="492">
        <v>0</v>
      </c>
      <c r="Y11" s="492">
        <v>0</v>
      </c>
      <c r="Z11" s="492">
        <v>0</v>
      </c>
      <c r="AA11" s="492">
        <v>0</v>
      </c>
      <c r="AB11" s="492">
        <v>0</v>
      </c>
      <c r="AC11" s="492">
        <v>0</v>
      </c>
      <c r="AD11" s="492">
        <v>0</v>
      </c>
      <c r="AE11" s="492"/>
      <c r="AF11" s="492">
        <v>0</v>
      </c>
      <c r="AG11" s="492">
        <v>0</v>
      </c>
      <c r="AH11" s="492">
        <v>0</v>
      </c>
      <c r="AI11" s="492">
        <v>0</v>
      </c>
      <c r="AJ11" s="492">
        <v>0</v>
      </c>
      <c r="AK11" s="492">
        <v>0</v>
      </c>
      <c r="AL11" s="492">
        <v>0</v>
      </c>
    </row>
    <row r="12" spans="1:38" ht="15" customHeight="1">
      <c r="A12" s="490" t="s">
        <v>333</v>
      </c>
      <c r="B12" s="491">
        <v>7</v>
      </c>
      <c r="C12" s="492">
        <v>0</v>
      </c>
      <c r="D12" s="492">
        <v>0</v>
      </c>
      <c r="E12" s="492">
        <v>0</v>
      </c>
      <c r="F12" s="492">
        <v>0</v>
      </c>
      <c r="G12" s="492">
        <v>0</v>
      </c>
      <c r="H12" s="492">
        <v>0</v>
      </c>
      <c r="I12" s="492">
        <v>0</v>
      </c>
      <c r="J12" s="492">
        <v>0</v>
      </c>
      <c r="K12" s="492">
        <v>0</v>
      </c>
      <c r="L12" s="492">
        <v>0</v>
      </c>
      <c r="M12" s="492">
        <v>0</v>
      </c>
      <c r="N12" s="492">
        <v>0</v>
      </c>
      <c r="O12" s="492">
        <v>0</v>
      </c>
      <c r="P12" s="492">
        <v>0</v>
      </c>
      <c r="Q12" s="492">
        <v>0</v>
      </c>
      <c r="R12" s="492">
        <v>0</v>
      </c>
      <c r="S12" s="492">
        <v>0</v>
      </c>
      <c r="T12" s="492">
        <v>0</v>
      </c>
      <c r="U12" s="492">
        <v>0</v>
      </c>
      <c r="V12" s="492">
        <v>0</v>
      </c>
      <c r="W12" s="492">
        <v>0</v>
      </c>
      <c r="X12" s="492">
        <v>0</v>
      </c>
      <c r="Y12" s="492">
        <v>0</v>
      </c>
      <c r="Z12" s="492">
        <v>0</v>
      </c>
      <c r="AA12" s="492">
        <v>0</v>
      </c>
      <c r="AB12" s="492">
        <v>0</v>
      </c>
      <c r="AC12" s="492">
        <v>0</v>
      </c>
      <c r="AD12" s="492">
        <v>0</v>
      </c>
      <c r="AE12" s="492"/>
      <c r="AF12" s="492">
        <v>0</v>
      </c>
      <c r="AG12" s="492">
        <v>0</v>
      </c>
      <c r="AH12" s="492">
        <v>0</v>
      </c>
      <c r="AI12" s="492">
        <v>0</v>
      </c>
      <c r="AJ12" s="492">
        <v>0</v>
      </c>
      <c r="AK12" s="492">
        <v>0</v>
      </c>
      <c r="AL12" s="492">
        <v>0</v>
      </c>
    </row>
    <row r="13" spans="1:38" ht="15" customHeight="1">
      <c r="A13" s="497" t="s">
        <v>334</v>
      </c>
      <c r="B13" s="491">
        <v>8</v>
      </c>
      <c r="C13" s="492">
        <v>2010000000</v>
      </c>
      <c r="D13" s="492">
        <v>2010000000</v>
      </c>
      <c r="E13" s="492">
        <v>2010000000</v>
      </c>
      <c r="F13" s="492">
        <v>2010000000</v>
      </c>
      <c r="G13" s="492">
        <v>2010000000</v>
      </c>
      <c r="H13" s="492">
        <v>2010000000</v>
      </c>
      <c r="I13" s="492">
        <v>2010000000</v>
      </c>
      <c r="J13" s="492">
        <v>2010000000</v>
      </c>
      <c r="K13" s="492">
        <v>2840000000</v>
      </c>
      <c r="L13" s="492">
        <v>2840000000</v>
      </c>
      <c r="M13" s="492">
        <v>2840000000</v>
      </c>
      <c r="N13" s="492">
        <v>2840000000</v>
      </c>
      <c r="O13" s="492">
        <v>0</v>
      </c>
      <c r="P13" s="492">
        <v>0</v>
      </c>
      <c r="Q13" s="492">
        <v>22840000000</v>
      </c>
      <c r="R13" s="492">
        <v>22840000000</v>
      </c>
      <c r="S13" s="492">
        <v>22840000000</v>
      </c>
      <c r="T13" s="492">
        <v>22840000000</v>
      </c>
      <c r="U13" s="492">
        <v>22840000000</v>
      </c>
      <c r="V13" s="492">
        <v>22840000000</v>
      </c>
      <c r="W13" s="492">
        <v>22840000000</v>
      </c>
      <c r="X13" s="492">
        <v>32840000000</v>
      </c>
      <c r="Y13" s="492">
        <v>32840000000</v>
      </c>
      <c r="Z13" s="492">
        <v>32840000000</v>
      </c>
      <c r="AA13" s="492">
        <v>32840000000</v>
      </c>
      <c r="AB13" s="492">
        <v>32840000000</v>
      </c>
      <c r="AC13" s="492">
        <v>32840000000</v>
      </c>
      <c r="AD13" s="492">
        <v>34340000000</v>
      </c>
      <c r="AE13" s="492">
        <v>34340000000</v>
      </c>
      <c r="AF13" s="492">
        <v>0</v>
      </c>
      <c r="AG13" s="492">
        <v>0</v>
      </c>
      <c r="AH13" s="492">
        <v>0</v>
      </c>
      <c r="AI13" s="492">
        <v>0</v>
      </c>
      <c r="AJ13" s="492">
        <v>0</v>
      </c>
      <c r="AK13" s="492">
        <v>0</v>
      </c>
      <c r="AL13" s="492">
        <v>0</v>
      </c>
    </row>
    <row r="14" spans="1:38" ht="15" customHeight="1">
      <c r="A14" s="497" t="s">
        <v>335</v>
      </c>
      <c r="B14" s="491">
        <v>9</v>
      </c>
      <c r="C14" s="492">
        <v>0</v>
      </c>
      <c r="D14" s="492">
        <v>0</v>
      </c>
      <c r="E14" s="492">
        <v>0</v>
      </c>
      <c r="F14" s="492">
        <v>0</v>
      </c>
      <c r="G14" s="492">
        <v>0</v>
      </c>
      <c r="H14" s="492">
        <v>0</v>
      </c>
      <c r="I14" s="492">
        <v>0</v>
      </c>
      <c r="J14" s="492">
        <v>0</v>
      </c>
      <c r="K14" s="492">
        <v>0</v>
      </c>
      <c r="L14" s="492">
        <v>0</v>
      </c>
      <c r="M14" s="492">
        <v>0</v>
      </c>
      <c r="N14" s="492">
        <v>0</v>
      </c>
      <c r="O14" s="492">
        <v>0</v>
      </c>
      <c r="P14" s="492">
        <v>0</v>
      </c>
      <c r="Q14" s="492">
        <v>0</v>
      </c>
      <c r="R14" s="492">
        <v>0</v>
      </c>
      <c r="S14" s="492">
        <v>0</v>
      </c>
      <c r="T14" s="492">
        <v>0</v>
      </c>
      <c r="U14" s="492">
        <v>0</v>
      </c>
      <c r="V14" s="492">
        <v>0</v>
      </c>
      <c r="W14" s="492">
        <v>0</v>
      </c>
      <c r="X14" s="492">
        <v>0</v>
      </c>
      <c r="Y14" s="492">
        <v>0</v>
      </c>
      <c r="Z14" s="492">
        <v>0</v>
      </c>
      <c r="AA14" s="492">
        <v>0</v>
      </c>
      <c r="AB14" s="492">
        <v>0</v>
      </c>
      <c r="AC14" s="492">
        <v>0</v>
      </c>
      <c r="AD14" s="492">
        <v>0</v>
      </c>
      <c r="AE14" s="492"/>
      <c r="AF14" s="492">
        <v>0</v>
      </c>
      <c r="AG14" s="492">
        <v>0</v>
      </c>
      <c r="AH14" s="492">
        <v>0</v>
      </c>
      <c r="AI14" s="492">
        <v>0</v>
      </c>
      <c r="AJ14" s="492">
        <v>0</v>
      </c>
      <c r="AK14" s="492">
        <v>0</v>
      </c>
      <c r="AL14" s="492">
        <v>0</v>
      </c>
    </row>
    <row r="15" spans="1:38" ht="15" customHeight="1">
      <c r="A15" s="497" t="s">
        <v>336</v>
      </c>
      <c r="B15" s="491">
        <v>10</v>
      </c>
      <c r="C15" s="492">
        <v>0</v>
      </c>
      <c r="D15" s="492">
        <v>0</v>
      </c>
      <c r="E15" s="492">
        <v>0</v>
      </c>
      <c r="F15" s="492">
        <v>0</v>
      </c>
      <c r="G15" s="492">
        <v>0</v>
      </c>
      <c r="H15" s="492">
        <v>0</v>
      </c>
      <c r="I15" s="492">
        <v>0</v>
      </c>
      <c r="J15" s="492">
        <v>0</v>
      </c>
      <c r="K15" s="492">
        <v>0</v>
      </c>
      <c r="L15" s="492">
        <v>0</v>
      </c>
      <c r="M15" s="492">
        <v>0</v>
      </c>
      <c r="N15" s="492">
        <v>0</v>
      </c>
      <c r="O15" s="492">
        <v>0</v>
      </c>
      <c r="P15" s="492">
        <v>0</v>
      </c>
      <c r="Q15" s="492">
        <v>0</v>
      </c>
      <c r="R15" s="492">
        <v>0</v>
      </c>
      <c r="S15" s="492">
        <v>0</v>
      </c>
      <c r="T15" s="492">
        <v>0</v>
      </c>
      <c r="U15" s="492">
        <v>0</v>
      </c>
      <c r="V15" s="492">
        <v>0</v>
      </c>
      <c r="W15" s="492">
        <v>0</v>
      </c>
      <c r="X15" s="492">
        <v>0</v>
      </c>
      <c r="Y15" s="492">
        <v>0</v>
      </c>
      <c r="Z15" s="492">
        <v>0</v>
      </c>
      <c r="AA15" s="492">
        <v>0</v>
      </c>
      <c r="AB15" s="492">
        <v>0</v>
      </c>
      <c r="AC15" s="492">
        <v>0</v>
      </c>
      <c r="AD15" s="492">
        <v>0</v>
      </c>
      <c r="AE15" s="492"/>
      <c r="AF15" s="492">
        <v>0</v>
      </c>
      <c r="AG15" s="492">
        <v>0</v>
      </c>
      <c r="AH15" s="492">
        <v>0</v>
      </c>
      <c r="AI15" s="492">
        <v>0</v>
      </c>
      <c r="AJ15" s="492">
        <v>0</v>
      </c>
      <c r="AK15" s="492">
        <v>0</v>
      </c>
      <c r="AL15" s="492">
        <v>0</v>
      </c>
    </row>
    <row r="16" spans="1:38" ht="15" customHeight="1">
      <c r="A16" s="497" t="s">
        <v>337</v>
      </c>
      <c r="B16" s="491">
        <v>11</v>
      </c>
      <c r="C16" s="492">
        <v>0</v>
      </c>
      <c r="D16" s="492">
        <v>0</v>
      </c>
      <c r="E16" s="492">
        <v>0</v>
      </c>
      <c r="F16" s="492">
        <v>0</v>
      </c>
      <c r="G16" s="492">
        <v>0</v>
      </c>
      <c r="H16" s="492">
        <v>0</v>
      </c>
      <c r="I16" s="492">
        <v>0</v>
      </c>
      <c r="J16" s="492">
        <v>0</v>
      </c>
      <c r="K16" s="492">
        <v>0</v>
      </c>
      <c r="L16" s="492">
        <v>0</v>
      </c>
      <c r="M16" s="492">
        <v>0</v>
      </c>
      <c r="N16" s="492">
        <v>0</v>
      </c>
      <c r="O16" s="492">
        <v>0</v>
      </c>
      <c r="P16" s="492">
        <v>0</v>
      </c>
      <c r="Q16" s="492">
        <v>0</v>
      </c>
      <c r="R16" s="492">
        <v>0</v>
      </c>
      <c r="S16" s="492">
        <v>0</v>
      </c>
      <c r="T16" s="492">
        <v>0</v>
      </c>
      <c r="U16" s="492">
        <v>0</v>
      </c>
      <c r="V16" s="492">
        <v>0</v>
      </c>
      <c r="W16" s="492">
        <v>0</v>
      </c>
      <c r="X16" s="492">
        <v>0</v>
      </c>
      <c r="Y16" s="492">
        <v>0</v>
      </c>
      <c r="Z16" s="492">
        <v>0</v>
      </c>
      <c r="AA16" s="492">
        <v>0</v>
      </c>
      <c r="AB16" s="492">
        <v>0</v>
      </c>
      <c r="AC16" s="492">
        <v>0</v>
      </c>
      <c r="AD16" s="492">
        <v>0</v>
      </c>
      <c r="AE16" s="492"/>
      <c r="AF16" s="492">
        <v>0</v>
      </c>
      <c r="AG16" s="492">
        <v>0</v>
      </c>
      <c r="AH16" s="492">
        <v>0</v>
      </c>
      <c r="AI16" s="492">
        <v>0</v>
      </c>
      <c r="AJ16" s="492">
        <v>0</v>
      </c>
      <c r="AK16" s="492">
        <v>0</v>
      </c>
      <c r="AL16" s="492">
        <v>0</v>
      </c>
    </row>
    <row r="17" spans="1:38" ht="15" customHeight="1">
      <c r="A17" s="486" t="s">
        <v>338</v>
      </c>
      <c r="B17" s="495">
        <v>12</v>
      </c>
      <c r="C17" s="498">
        <v>294283662527</v>
      </c>
      <c r="D17" s="498">
        <v>277719968888</v>
      </c>
      <c r="E17" s="498">
        <v>297405577345</v>
      </c>
      <c r="F17" s="498">
        <v>303674749988</v>
      </c>
      <c r="G17" s="498">
        <v>304477407097</v>
      </c>
      <c r="H17" s="498">
        <v>308711681498</v>
      </c>
      <c r="I17" s="498">
        <v>200469936704</v>
      </c>
      <c r="J17" s="498">
        <v>222854636431</v>
      </c>
      <c r="K17" s="498">
        <v>249167765476</v>
      </c>
      <c r="L17" s="498">
        <v>246057656184</v>
      </c>
      <c r="M17" s="498">
        <v>323215272934</v>
      </c>
      <c r="N17" s="499">
        <v>292036709951</v>
      </c>
      <c r="O17" s="499">
        <v>220033096514</v>
      </c>
      <c r="P17" s="499">
        <v>264758570553</v>
      </c>
      <c r="Q17" s="499">
        <v>314044742217</v>
      </c>
      <c r="R17" s="499">
        <v>300175012111</v>
      </c>
      <c r="S17" s="499">
        <v>355551041672</v>
      </c>
      <c r="T17" s="499">
        <v>347420810569</v>
      </c>
      <c r="U17" s="499">
        <v>326074813439</v>
      </c>
      <c r="V17" s="499">
        <v>416521420158</v>
      </c>
      <c r="W17" s="499">
        <v>345163002843</v>
      </c>
      <c r="X17" s="499">
        <v>301762112916</v>
      </c>
      <c r="Y17" s="499">
        <v>279428206352</v>
      </c>
      <c r="Z17" s="499">
        <v>293560124180</v>
      </c>
      <c r="AA17" s="499">
        <v>263624916145</v>
      </c>
      <c r="AB17" s="499">
        <v>289980302579</v>
      </c>
      <c r="AC17" s="499">
        <v>331342767193</v>
      </c>
      <c r="AD17" s="499">
        <v>329741435832</v>
      </c>
      <c r="AE17" s="499">
        <v>417392857129</v>
      </c>
      <c r="AF17" s="499">
        <v>0</v>
      </c>
      <c r="AG17" s="499">
        <v>0</v>
      </c>
      <c r="AH17" s="499">
        <v>0</v>
      </c>
      <c r="AI17" s="499">
        <v>0</v>
      </c>
      <c r="AJ17" s="499">
        <v>0</v>
      </c>
      <c r="AK17" s="499">
        <v>0</v>
      </c>
      <c r="AL17" s="499">
        <v>0</v>
      </c>
    </row>
    <row r="18" spans="1:38" ht="15" customHeight="1">
      <c r="A18" s="500" t="s">
        <v>339</v>
      </c>
      <c r="B18" s="491">
        <v>13</v>
      </c>
      <c r="C18" s="492">
        <v>122887480695</v>
      </c>
      <c r="D18" s="492">
        <v>127016253433</v>
      </c>
      <c r="E18" s="492">
        <v>139011604932</v>
      </c>
      <c r="F18" s="492">
        <v>152040845787</v>
      </c>
      <c r="G18" s="492">
        <v>161172642369</v>
      </c>
      <c r="H18" s="492">
        <v>159378679498</v>
      </c>
      <c r="I18" s="492">
        <v>97722288447</v>
      </c>
      <c r="J18" s="492">
        <v>120989360950</v>
      </c>
      <c r="K18" s="492">
        <v>150031537677</v>
      </c>
      <c r="L18" s="492">
        <v>147739603288</v>
      </c>
      <c r="M18" s="492">
        <v>148202432891</v>
      </c>
      <c r="N18" s="492">
        <v>152669364944</v>
      </c>
      <c r="O18" s="501">
        <v>108322209217</v>
      </c>
      <c r="P18" s="492">
        <v>161139219719</v>
      </c>
      <c r="Q18" s="492">
        <v>202956915270</v>
      </c>
      <c r="R18" s="492">
        <v>159438788675</v>
      </c>
      <c r="S18" s="492">
        <v>170977391735</v>
      </c>
      <c r="T18" s="492">
        <v>157629418587</v>
      </c>
      <c r="U18" s="492">
        <v>156235244643</v>
      </c>
      <c r="V18" s="492">
        <v>193809016663</v>
      </c>
      <c r="W18" s="492">
        <v>162064070219</v>
      </c>
      <c r="X18" s="492">
        <v>155463444706</v>
      </c>
      <c r="Y18" s="492">
        <v>157631834549</v>
      </c>
      <c r="Z18" s="492">
        <v>154342206132</v>
      </c>
      <c r="AA18" s="492">
        <v>132649296167</v>
      </c>
      <c r="AB18" s="492">
        <v>140446291758</v>
      </c>
      <c r="AC18" s="492">
        <v>153248625708</v>
      </c>
      <c r="AD18" s="492">
        <v>178191270169</v>
      </c>
      <c r="AE18" s="492">
        <v>178005616424</v>
      </c>
      <c r="AF18" s="492">
        <v>0</v>
      </c>
      <c r="AG18" s="492">
        <v>0</v>
      </c>
      <c r="AH18" s="492">
        <v>0</v>
      </c>
      <c r="AI18" s="492">
        <v>0</v>
      </c>
      <c r="AJ18" s="492">
        <v>0</v>
      </c>
      <c r="AK18" s="492">
        <v>0</v>
      </c>
      <c r="AL18" s="492">
        <v>0</v>
      </c>
    </row>
    <row r="19" spans="1:38" ht="15" customHeight="1">
      <c r="A19" s="500" t="s">
        <v>340</v>
      </c>
      <c r="B19" s="491">
        <v>14</v>
      </c>
      <c r="C19" s="492">
        <v>19316587120</v>
      </c>
      <c r="D19" s="492">
        <v>17454753549</v>
      </c>
      <c r="E19" s="492">
        <v>16813944743</v>
      </c>
      <c r="F19" s="492">
        <v>18608309535</v>
      </c>
      <c r="G19" s="492">
        <v>18405763308</v>
      </c>
      <c r="H19" s="492">
        <v>16327636020</v>
      </c>
      <c r="I19" s="492">
        <v>15257741813</v>
      </c>
      <c r="J19" s="492">
        <v>14294350015</v>
      </c>
      <c r="K19" s="492">
        <v>10832801685</v>
      </c>
      <c r="L19" s="492">
        <v>9551925778</v>
      </c>
      <c r="M19" s="492">
        <v>10191021053</v>
      </c>
      <c r="N19" s="492">
        <v>23997890529</v>
      </c>
      <c r="O19" s="502">
        <v>17386959101</v>
      </c>
      <c r="P19" s="492">
        <v>22390625492</v>
      </c>
      <c r="Q19" s="492">
        <v>24711414335</v>
      </c>
      <c r="R19" s="492">
        <v>29713189366</v>
      </c>
      <c r="S19" s="492">
        <v>63705294804</v>
      </c>
      <c r="T19" s="492">
        <v>67384127297</v>
      </c>
      <c r="U19" s="492">
        <v>62294223986</v>
      </c>
      <c r="V19" s="492">
        <v>80801800470</v>
      </c>
      <c r="W19" s="492">
        <v>83665862400</v>
      </c>
      <c r="X19" s="492">
        <v>77870421089</v>
      </c>
      <c r="Y19" s="492">
        <v>63335376460</v>
      </c>
      <c r="Z19" s="492">
        <v>67613421375</v>
      </c>
      <c r="AA19" s="492">
        <v>75878310145</v>
      </c>
      <c r="AB19" s="492">
        <v>82113512006</v>
      </c>
      <c r="AC19" s="492">
        <v>95312309944</v>
      </c>
      <c r="AD19" s="492">
        <v>77634941776</v>
      </c>
      <c r="AE19" s="492">
        <v>162931057926</v>
      </c>
      <c r="AF19" s="492">
        <v>0</v>
      </c>
      <c r="AG19" s="492">
        <v>0</v>
      </c>
      <c r="AH19" s="492">
        <v>0</v>
      </c>
      <c r="AI19" s="492">
        <v>0</v>
      </c>
      <c r="AJ19" s="492">
        <v>0</v>
      </c>
      <c r="AK19" s="492">
        <v>0</v>
      </c>
      <c r="AL19" s="492">
        <v>0</v>
      </c>
    </row>
    <row r="20" spans="1:38" ht="15" customHeight="1">
      <c r="A20" s="500" t="s">
        <v>341</v>
      </c>
      <c r="B20" s="491">
        <v>15</v>
      </c>
      <c r="C20" s="492">
        <v>0</v>
      </c>
      <c r="D20" s="492">
        <v>0</v>
      </c>
      <c r="E20" s="492">
        <v>0</v>
      </c>
      <c r="F20" s="492">
        <v>0</v>
      </c>
      <c r="G20" s="492">
        <v>0</v>
      </c>
      <c r="H20" s="492">
        <v>0</v>
      </c>
      <c r="I20" s="492">
        <v>0</v>
      </c>
      <c r="J20" s="492">
        <v>0</v>
      </c>
      <c r="K20" s="492">
        <v>0</v>
      </c>
      <c r="L20" s="492">
        <v>0</v>
      </c>
      <c r="M20" s="492">
        <v>0</v>
      </c>
      <c r="N20" s="492">
        <v>0</v>
      </c>
      <c r="O20" s="502">
        <v>0</v>
      </c>
      <c r="P20" s="492">
        <v>0</v>
      </c>
      <c r="Q20" s="492">
        <v>0</v>
      </c>
      <c r="R20" s="492">
        <v>0</v>
      </c>
      <c r="S20" s="492">
        <v>0</v>
      </c>
      <c r="T20" s="492">
        <v>0</v>
      </c>
      <c r="U20" s="492">
        <v>0</v>
      </c>
      <c r="V20" s="492">
        <v>0</v>
      </c>
      <c r="W20" s="492">
        <v>0</v>
      </c>
      <c r="X20" s="492">
        <v>0</v>
      </c>
      <c r="Y20" s="492">
        <v>0</v>
      </c>
      <c r="Z20" s="492">
        <v>0</v>
      </c>
      <c r="AA20" s="492">
        <v>0</v>
      </c>
      <c r="AB20" s="492">
        <v>0</v>
      </c>
      <c r="AC20" s="492">
        <v>0</v>
      </c>
      <c r="AD20" s="492">
        <v>0</v>
      </c>
      <c r="AE20" s="492"/>
      <c r="AF20" s="492">
        <v>0</v>
      </c>
      <c r="AG20" s="492">
        <v>0</v>
      </c>
      <c r="AH20" s="492">
        <v>0</v>
      </c>
      <c r="AI20" s="492">
        <v>0</v>
      </c>
      <c r="AJ20" s="492">
        <v>0</v>
      </c>
      <c r="AK20" s="492">
        <v>0</v>
      </c>
      <c r="AL20" s="492">
        <v>0</v>
      </c>
    </row>
    <row r="21" spans="1:38" ht="15" customHeight="1">
      <c r="A21" s="500" t="s">
        <v>342</v>
      </c>
      <c r="B21" s="491">
        <v>16</v>
      </c>
      <c r="C21" s="492">
        <v>0</v>
      </c>
      <c r="D21" s="492">
        <v>0</v>
      </c>
      <c r="E21" s="492">
        <v>0</v>
      </c>
      <c r="F21" s="492">
        <v>0</v>
      </c>
      <c r="G21" s="492">
        <v>0</v>
      </c>
      <c r="H21" s="492">
        <v>0</v>
      </c>
      <c r="I21" s="492">
        <v>0</v>
      </c>
      <c r="J21" s="492">
        <v>0</v>
      </c>
      <c r="K21" s="492">
        <v>0</v>
      </c>
      <c r="L21" s="492">
        <v>0</v>
      </c>
      <c r="M21" s="492">
        <v>0</v>
      </c>
      <c r="N21" s="492">
        <v>0</v>
      </c>
      <c r="O21" s="502">
        <v>0</v>
      </c>
      <c r="P21" s="492">
        <v>0</v>
      </c>
      <c r="Q21" s="492">
        <v>0</v>
      </c>
      <c r="R21" s="492">
        <v>0</v>
      </c>
      <c r="S21" s="492">
        <v>0</v>
      </c>
      <c r="T21" s="492">
        <v>0</v>
      </c>
      <c r="U21" s="492">
        <v>0</v>
      </c>
      <c r="V21" s="492">
        <v>0</v>
      </c>
      <c r="W21" s="492">
        <v>0</v>
      </c>
      <c r="X21" s="492">
        <v>0</v>
      </c>
      <c r="Y21" s="492">
        <v>0</v>
      </c>
      <c r="Z21" s="492">
        <v>0</v>
      </c>
      <c r="AA21" s="492">
        <v>0</v>
      </c>
      <c r="AB21" s="492">
        <v>0</v>
      </c>
      <c r="AC21" s="492">
        <v>0</v>
      </c>
      <c r="AD21" s="492">
        <v>0</v>
      </c>
      <c r="AE21" s="492"/>
      <c r="AF21" s="492">
        <v>0</v>
      </c>
      <c r="AG21" s="492">
        <v>0</v>
      </c>
      <c r="AH21" s="492">
        <v>0</v>
      </c>
      <c r="AI21" s="492">
        <v>0</v>
      </c>
      <c r="AJ21" s="492">
        <v>0</v>
      </c>
      <c r="AK21" s="492">
        <v>0</v>
      </c>
      <c r="AL21" s="492">
        <v>0</v>
      </c>
    </row>
    <row r="22" spans="1:38" ht="15" customHeight="1">
      <c r="A22" s="500" t="s">
        <v>343</v>
      </c>
      <c r="B22" s="491">
        <v>17</v>
      </c>
      <c r="C22" s="492">
        <v>152604203987</v>
      </c>
      <c r="D22" s="492">
        <v>133773571181</v>
      </c>
      <c r="E22" s="492">
        <v>133678635526</v>
      </c>
      <c r="F22" s="492">
        <v>125124202522</v>
      </c>
      <c r="G22" s="492">
        <v>125423610695</v>
      </c>
      <c r="H22" s="492">
        <v>133529975255</v>
      </c>
      <c r="I22" s="492">
        <v>88014515719</v>
      </c>
      <c r="J22" s="492">
        <v>88095534741</v>
      </c>
      <c r="K22" s="492">
        <v>88828035389</v>
      </c>
      <c r="L22" s="492">
        <v>89290736393</v>
      </c>
      <c r="M22" s="492">
        <v>165346428265</v>
      </c>
      <c r="N22" s="492">
        <v>115369454478</v>
      </c>
      <c r="O22" s="502">
        <v>94323928196</v>
      </c>
      <c r="P22" s="492">
        <v>81228725342</v>
      </c>
      <c r="Q22" s="492">
        <v>86376412612</v>
      </c>
      <c r="R22" s="492">
        <v>111023034070</v>
      </c>
      <c r="S22" s="492">
        <v>120868355133</v>
      </c>
      <c r="T22" s="492">
        <v>122407264685</v>
      </c>
      <c r="U22" s="492">
        <v>107545344810</v>
      </c>
      <c r="V22" s="492">
        <v>141910603025</v>
      </c>
      <c r="W22" s="492">
        <v>99433070224</v>
      </c>
      <c r="X22" s="492">
        <v>68428247121</v>
      </c>
      <c r="Y22" s="492">
        <v>58460995343</v>
      </c>
      <c r="Z22" s="492">
        <v>72213592373</v>
      </c>
      <c r="AA22" s="492">
        <v>54586491575</v>
      </c>
      <c r="AB22" s="492">
        <v>66773872669</v>
      </c>
      <c r="AC22" s="492">
        <v>82135205395</v>
      </c>
      <c r="AD22" s="492">
        <v>73268597741</v>
      </c>
      <c r="AE22" s="492">
        <v>76382324781</v>
      </c>
      <c r="AF22" s="492">
        <v>0</v>
      </c>
      <c r="AG22" s="492">
        <v>0</v>
      </c>
      <c r="AH22" s="492">
        <v>0</v>
      </c>
      <c r="AI22" s="492">
        <v>0</v>
      </c>
      <c r="AJ22" s="492">
        <v>0</v>
      </c>
      <c r="AK22" s="492">
        <v>0</v>
      </c>
      <c r="AL22" s="492">
        <v>0</v>
      </c>
    </row>
    <row r="23" spans="1:38" ht="15" customHeight="1">
      <c r="A23" s="500" t="s">
        <v>344</v>
      </c>
      <c r="B23" s="491">
        <v>18</v>
      </c>
      <c r="C23" s="492">
        <v>0</v>
      </c>
      <c r="D23" s="492">
        <v>0</v>
      </c>
      <c r="E23" s="492">
        <v>0</v>
      </c>
      <c r="F23" s="492">
        <v>0</v>
      </c>
      <c r="G23" s="492">
        <v>0</v>
      </c>
      <c r="H23" s="492">
        <v>0</v>
      </c>
      <c r="I23" s="492">
        <v>0</v>
      </c>
      <c r="J23" s="492">
        <v>0</v>
      </c>
      <c r="K23" s="492">
        <v>0</v>
      </c>
      <c r="L23" s="492">
        <v>0</v>
      </c>
      <c r="M23" s="492">
        <v>0</v>
      </c>
      <c r="N23" s="492">
        <v>0</v>
      </c>
      <c r="O23" s="503">
        <v>0</v>
      </c>
      <c r="P23" s="492">
        <v>0</v>
      </c>
      <c r="Q23" s="492">
        <v>0</v>
      </c>
      <c r="R23" s="492">
        <v>0</v>
      </c>
      <c r="S23" s="492">
        <v>0</v>
      </c>
      <c r="T23" s="492">
        <v>0</v>
      </c>
      <c r="U23" s="492">
        <v>0</v>
      </c>
      <c r="V23" s="492">
        <v>0</v>
      </c>
      <c r="W23" s="492">
        <v>0</v>
      </c>
      <c r="X23" s="492">
        <v>0</v>
      </c>
      <c r="Y23" s="492">
        <v>0</v>
      </c>
      <c r="Z23" s="492">
        <v>-609095700</v>
      </c>
      <c r="AA23" s="492">
        <v>-609095700</v>
      </c>
      <c r="AB23" s="492">
        <v>-609095700</v>
      </c>
      <c r="AC23" s="492">
        <v>-609095700</v>
      </c>
      <c r="AD23" s="492">
        <v>-609095700</v>
      </c>
      <c r="AE23" s="492">
        <v>-609095700</v>
      </c>
      <c r="AF23" s="492">
        <v>0</v>
      </c>
      <c r="AG23" s="492">
        <v>0</v>
      </c>
      <c r="AH23" s="492">
        <v>0</v>
      </c>
      <c r="AI23" s="492">
        <v>0</v>
      </c>
      <c r="AJ23" s="492">
        <v>0</v>
      </c>
      <c r="AK23" s="492">
        <v>0</v>
      </c>
      <c r="AL23" s="492">
        <v>0</v>
      </c>
    </row>
    <row r="24" spans="1:38" ht="15" customHeight="1">
      <c r="A24" s="504" t="s">
        <v>345</v>
      </c>
      <c r="B24" s="491">
        <v>19</v>
      </c>
      <c r="C24" s="492">
        <v>-524609275</v>
      </c>
      <c r="D24" s="492">
        <v>-524609275</v>
      </c>
      <c r="E24" s="492">
        <v>7901392144</v>
      </c>
      <c r="F24" s="492">
        <v>7901392144</v>
      </c>
      <c r="G24" s="492">
        <v>-524609275</v>
      </c>
      <c r="H24" s="492">
        <v>-524609275</v>
      </c>
      <c r="I24" s="492">
        <v>-524609275</v>
      </c>
      <c r="J24" s="492">
        <v>-524609275</v>
      </c>
      <c r="K24" s="492">
        <v>-524609275</v>
      </c>
      <c r="L24" s="492">
        <v>-524609275</v>
      </c>
      <c r="M24" s="492">
        <v>-524609275</v>
      </c>
      <c r="N24" s="492">
        <v>0</v>
      </c>
      <c r="O24" s="502">
        <v>0</v>
      </c>
      <c r="P24" s="492">
        <v>0</v>
      </c>
      <c r="Q24" s="492">
        <v>0</v>
      </c>
      <c r="R24" s="492">
        <v>0</v>
      </c>
      <c r="S24" s="492">
        <v>0</v>
      </c>
      <c r="T24" s="492">
        <v>0</v>
      </c>
      <c r="U24" s="492">
        <v>0</v>
      </c>
      <c r="V24" s="492">
        <v>0</v>
      </c>
      <c r="W24" s="492">
        <v>0</v>
      </c>
      <c r="X24" s="492">
        <v>0</v>
      </c>
      <c r="Y24" s="492">
        <v>0</v>
      </c>
      <c r="Z24" s="492">
        <v>0</v>
      </c>
      <c r="AA24" s="492">
        <v>1119913958</v>
      </c>
      <c r="AB24" s="492">
        <v>1255721846</v>
      </c>
      <c r="AC24" s="492">
        <v>1255721846</v>
      </c>
      <c r="AD24" s="492">
        <v>1255721846</v>
      </c>
      <c r="AE24" s="492">
        <v>682953698</v>
      </c>
      <c r="AF24" s="492">
        <v>0</v>
      </c>
      <c r="AG24" s="492">
        <v>0</v>
      </c>
      <c r="AH24" s="492">
        <v>0</v>
      </c>
      <c r="AI24" s="492">
        <v>0</v>
      </c>
      <c r="AJ24" s="492">
        <v>0</v>
      </c>
      <c r="AK24" s="492">
        <v>0</v>
      </c>
      <c r="AL24" s="492">
        <v>0</v>
      </c>
    </row>
    <row r="25" spans="1:38" ht="15" customHeight="1">
      <c r="A25" s="486" t="s">
        <v>346</v>
      </c>
      <c r="B25" s="495">
        <v>20</v>
      </c>
      <c r="C25" s="498">
        <v>406821244018</v>
      </c>
      <c r="D25" s="498">
        <v>413788449441</v>
      </c>
      <c r="E25" s="498">
        <v>455747162045</v>
      </c>
      <c r="F25" s="498">
        <v>496057122616</v>
      </c>
      <c r="G25" s="498">
        <v>541180364701</v>
      </c>
      <c r="H25" s="498">
        <v>600190018005</v>
      </c>
      <c r="I25" s="498">
        <v>619776297407</v>
      </c>
      <c r="J25" s="498">
        <v>559053982584</v>
      </c>
      <c r="K25" s="498">
        <v>549140904407</v>
      </c>
      <c r="L25" s="498">
        <v>546574238545</v>
      </c>
      <c r="M25" s="498">
        <v>588008826045</v>
      </c>
      <c r="N25" s="499">
        <v>605821152798</v>
      </c>
      <c r="O25" s="505">
        <v>566809475589</v>
      </c>
      <c r="P25" s="499">
        <v>483821147048</v>
      </c>
      <c r="Q25" s="499">
        <v>468355569440</v>
      </c>
      <c r="R25" s="499">
        <v>522665513478</v>
      </c>
      <c r="S25" s="499">
        <v>526499028418</v>
      </c>
      <c r="T25" s="499">
        <v>543591846704</v>
      </c>
      <c r="U25" s="499">
        <v>548599437580</v>
      </c>
      <c r="V25" s="499">
        <v>548273459394</v>
      </c>
      <c r="W25" s="499">
        <v>564202481203</v>
      </c>
      <c r="X25" s="499">
        <v>551227150950</v>
      </c>
      <c r="Y25" s="499">
        <v>550570669746</v>
      </c>
      <c r="Z25" s="499">
        <v>562435021579</v>
      </c>
      <c r="AA25" s="499">
        <v>534105826237</v>
      </c>
      <c r="AB25" s="499">
        <v>502545827363</v>
      </c>
      <c r="AC25" s="499">
        <v>425450972162</v>
      </c>
      <c r="AD25" s="499">
        <v>370413533224</v>
      </c>
      <c r="AE25" s="499">
        <v>361880765551</v>
      </c>
      <c r="AF25" s="499">
        <v>0</v>
      </c>
      <c r="AG25" s="499">
        <v>0</v>
      </c>
      <c r="AH25" s="499">
        <v>0</v>
      </c>
      <c r="AI25" s="499">
        <v>0</v>
      </c>
      <c r="AJ25" s="499">
        <v>0</v>
      </c>
      <c r="AK25" s="499">
        <v>0</v>
      </c>
      <c r="AL25" s="499">
        <v>0</v>
      </c>
    </row>
    <row r="26" spans="1:38" ht="15" customHeight="1">
      <c r="A26" s="490" t="s">
        <v>347</v>
      </c>
      <c r="B26" s="491">
        <v>21</v>
      </c>
      <c r="C26" s="492">
        <v>406821244018</v>
      </c>
      <c r="D26" s="492">
        <v>413788449441</v>
      </c>
      <c r="E26" s="492">
        <v>455747162045</v>
      </c>
      <c r="F26" s="492">
        <v>496057122616</v>
      </c>
      <c r="G26" s="492">
        <v>541180364701</v>
      </c>
      <c r="H26" s="492">
        <v>600190018005</v>
      </c>
      <c r="I26" s="492">
        <v>619776297407</v>
      </c>
      <c r="J26" s="492">
        <v>559053982584</v>
      </c>
      <c r="K26" s="492">
        <v>549140904407</v>
      </c>
      <c r="L26" s="492">
        <v>546574238545</v>
      </c>
      <c r="M26" s="492">
        <v>588008826045</v>
      </c>
      <c r="N26" s="492">
        <v>605821152798</v>
      </c>
      <c r="O26" s="493">
        <v>566809475589</v>
      </c>
      <c r="P26" s="492">
        <v>483821147048</v>
      </c>
      <c r="Q26" s="492">
        <v>468355569440</v>
      </c>
      <c r="R26" s="492">
        <v>522665513478</v>
      </c>
      <c r="S26" s="492">
        <v>526499028418</v>
      </c>
      <c r="T26" s="492">
        <v>543591846704</v>
      </c>
      <c r="U26" s="492">
        <v>548599437580</v>
      </c>
      <c r="V26" s="492">
        <v>548273459394</v>
      </c>
      <c r="W26" s="492">
        <v>564202481203</v>
      </c>
      <c r="X26" s="492">
        <v>551227150950</v>
      </c>
      <c r="Y26" s="492">
        <v>550570669746</v>
      </c>
      <c r="Z26" s="492">
        <v>562435021579</v>
      </c>
      <c r="AA26" s="492">
        <v>534105826237</v>
      </c>
      <c r="AB26" s="492">
        <v>502545827363</v>
      </c>
      <c r="AC26" s="492">
        <v>425450972162</v>
      </c>
      <c r="AD26" s="492">
        <v>370413533224</v>
      </c>
      <c r="AE26" s="492">
        <v>361880765551</v>
      </c>
      <c r="AF26" s="492">
        <v>0</v>
      </c>
      <c r="AG26" s="492">
        <v>0</v>
      </c>
      <c r="AH26" s="492">
        <v>0</v>
      </c>
      <c r="AI26" s="492">
        <v>0</v>
      </c>
      <c r="AJ26" s="492">
        <v>0</v>
      </c>
      <c r="AK26" s="492">
        <v>0</v>
      </c>
      <c r="AL26" s="492">
        <v>0</v>
      </c>
    </row>
    <row r="27" spans="1:38" ht="15" customHeight="1">
      <c r="A27" s="490" t="s">
        <v>348</v>
      </c>
      <c r="B27" s="491">
        <v>22</v>
      </c>
      <c r="C27" s="492">
        <v>0</v>
      </c>
      <c r="D27" s="492">
        <v>0</v>
      </c>
      <c r="E27" s="492">
        <v>0</v>
      </c>
      <c r="F27" s="492">
        <v>0</v>
      </c>
      <c r="G27" s="492">
        <v>0</v>
      </c>
      <c r="H27" s="492">
        <v>0</v>
      </c>
      <c r="I27" s="492">
        <v>0</v>
      </c>
      <c r="J27" s="492">
        <v>0</v>
      </c>
      <c r="K27" s="492">
        <v>0</v>
      </c>
      <c r="L27" s="492">
        <v>0</v>
      </c>
      <c r="M27" s="492">
        <v>0</v>
      </c>
      <c r="N27" s="492">
        <v>0</v>
      </c>
      <c r="O27" s="493">
        <v>0</v>
      </c>
      <c r="P27" s="492">
        <v>0</v>
      </c>
      <c r="Q27" s="492">
        <v>0</v>
      </c>
      <c r="R27" s="492">
        <v>0</v>
      </c>
      <c r="S27" s="492">
        <v>0</v>
      </c>
      <c r="T27" s="492">
        <v>0</v>
      </c>
      <c r="U27" s="492">
        <v>0</v>
      </c>
      <c r="V27" s="492">
        <v>0</v>
      </c>
      <c r="W27" s="492">
        <v>0</v>
      </c>
      <c r="X27" s="492">
        <v>0</v>
      </c>
      <c r="Y27" s="492">
        <v>0</v>
      </c>
      <c r="Z27" s="492">
        <v>0</v>
      </c>
      <c r="AA27" s="492">
        <v>0</v>
      </c>
      <c r="AB27" s="492">
        <v>0</v>
      </c>
      <c r="AC27" s="492">
        <v>0</v>
      </c>
      <c r="AD27" s="492">
        <v>0</v>
      </c>
      <c r="AE27" s="492"/>
      <c r="AF27" s="492">
        <v>0</v>
      </c>
      <c r="AG27" s="492">
        <v>0</v>
      </c>
      <c r="AH27" s="492">
        <v>0</v>
      </c>
      <c r="AI27" s="492">
        <v>0</v>
      </c>
      <c r="AJ27" s="492">
        <v>0</v>
      </c>
      <c r="AK27" s="492">
        <v>0</v>
      </c>
      <c r="AL27" s="492">
        <v>0</v>
      </c>
    </row>
    <row r="28" spans="1:38" ht="15" customHeight="1">
      <c r="A28" s="486" t="s">
        <v>349</v>
      </c>
      <c r="B28" s="495">
        <v>23</v>
      </c>
      <c r="C28" s="492">
        <v>0</v>
      </c>
      <c r="D28" s="492">
        <v>0</v>
      </c>
      <c r="E28" s="492">
        <v>0</v>
      </c>
      <c r="F28" s="492">
        <v>0</v>
      </c>
      <c r="G28" s="492">
        <v>0</v>
      </c>
      <c r="H28" s="492">
        <v>0</v>
      </c>
      <c r="I28" s="492">
        <v>0</v>
      </c>
      <c r="J28" s="492">
        <v>0</v>
      </c>
      <c r="K28" s="492">
        <v>0</v>
      </c>
      <c r="L28" s="492">
        <v>0</v>
      </c>
      <c r="M28" s="492">
        <v>0</v>
      </c>
      <c r="N28" s="492">
        <v>0</v>
      </c>
      <c r="O28" s="506">
        <v>0</v>
      </c>
      <c r="P28" s="492">
        <v>0</v>
      </c>
      <c r="Q28" s="492">
        <v>0</v>
      </c>
      <c r="R28" s="492">
        <v>0</v>
      </c>
      <c r="S28" s="492">
        <v>0</v>
      </c>
      <c r="T28" s="492">
        <v>0</v>
      </c>
      <c r="U28" s="492">
        <v>0</v>
      </c>
      <c r="V28" s="492">
        <v>0</v>
      </c>
      <c r="W28" s="492">
        <v>0</v>
      </c>
      <c r="X28" s="492">
        <v>0</v>
      </c>
      <c r="Y28" s="492">
        <v>0</v>
      </c>
      <c r="Z28" s="492">
        <v>0</v>
      </c>
      <c r="AA28" s="492">
        <v>0</v>
      </c>
      <c r="AB28" s="492">
        <v>0</v>
      </c>
      <c r="AC28" s="492">
        <v>0</v>
      </c>
      <c r="AD28" s="492">
        <v>0</v>
      </c>
      <c r="AE28" s="492"/>
      <c r="AF28" s="492">
        <v>0</v>
      </c>
      <c r="AG28" s="492">
        <v>0</v>
      </c>
      <c r="AH28" s="492">
        <v>0</v>
      </c>
      <c r="AI28" s="492">
        <v>0</v>
      </c>
      <c r="AJ28" s="492">
        <v>0</v>
      </c>
      <c r="AK28" s="492">
        <v>0</v>
      </c>
      <c r="AL28" s="492">
        <v>0</v>
      </c>
    </row>
    <row r="29" spans="1:38" ht="15" customHeight="1">
      <c r="A29" s="490" t="s">
        <v>350</v>
      </c>
      <c r="B29" s="491">
        <v>24</v>
      </c>
      <c r="C29" s="492">
        <v>0</v>
      </c>
      <c r="D29" s="492">
        <v>0</v>
      </c>
      <c r="E29" s="492">
        <v>0</v>
      </c>
      <c r="F29" s="492">
        <v>0</v>
      </c>
      <c r="G29" s="492">
        <v>0</v>
      </c>
      <c r="H29" s="492">
        <v>0</v>
      </c>
      <c r="I29" s="492">
        <v>0</v>
      </c>
      <c r="J29" s="492">
        <v>0</v>
      </c>
      <c r="K29" s="492">
        <v>0</v>
      </c>
      <c r="L29" s="492">
        <v>0</v>
      </c>
      <c r="M29" s="492">
        <v>0</v>
      </c>
      <c r="N29" s="492">
        <v>0</v>
      </c>
      <c r="O29" s="506">
        <v>0</v>
      </c>
      <c r="P29" s="492">
        <v>0</v>
      </c>
      <c r="Q29" s="492">
        <v>0</v>
      </c>
      <c r="R29" s="492">
        <v>0</v>
      </c>
      <c r="S29" s="492">
        <v>0</v>
      </c>
      <c r="T29" s="492">
        <v>0</v>
      </c>
      <c r="U29" s="492">
        <v>0</v>
      </c>
      <c r="V29" s="492">
        <v>0</v>
      </c>
      <c r="W29" s="492">
        <v>0</v>
      </c>
      <c r="X29" s="492">
        <v>0</v>
      </c>
      <c r="Y29" s="492">
        <v>0</v>
      </c>
      <c r="Z29" s="492">
        <v>0</v>
      </c>
      <c r="AA29" s="492">
        <v>0</v>
      </c>
      <c r="AB29" s="492">
        <v>0</v>
      </c>
      <c r="AC29" s="492">
        <v>0</v>
      </c>
      <c r="AD29" s="492">
        <v>0</v>
      </c>
      <c r="AE29" s="492"/>
      <c r="AF29" s="492">
        <v>0</v>
      </c>
      <c r="AG29" s="492">
        <v>0</v>
      </c>
      <c r="AH29" s="492">
        <v>0</v>
      </c>
      <c r="AI29" s="492">
        <v>0</v>
      </c>
      <c r="AJ29" s="492">
        <v>0</v>
      </c>
      <c r="AK29" s="492">
        <v>0</v>
      </c>
      <c r="AL29" s="492">
        <v>0</v>
      </c>
    </row>
    <row r="30" spans="1:38" ht="15" customHeight="1">
      <c r="A30" s="490" t="s">
        <v>351</v>
      </c>
      <c r="B30" s="491">
        <v>25</v>
      </c>
      <c r="C30" s="492">
        <v>0</v>
      </c>
      <c r="D30" s="492">
        <v>0</v>
      </c>
      <c r="E30" s="492">
        <v>0</v>
      </c>
      <c r="F30" s="492">
        <v>0</v>
      </c>
      <c r="G30" s="492">
        <v>0</v>
      </c>
      <c r="H30" s="492">
        <v>0</v>
      </c>
      <c r="I30" s="492">
        <v>0</v>
      </c>
      <c r="J30" s="492">
        <v>0</v>
      </c>
      <c r="K30" s="492">
        <v>0</v>
      </c>
      <c r="L30" s="492">
        <v>0</v>
      </c>
      <c r="M30" s="492">
        <v>0</v>
      </c>
      <c r="N30" s="492">
        <v>0</v>
      </c>
      <c r="O30" s="506">
        <v>0</v>
      </c>
      <c r="P30" s="492">
        <v>0</v>
      </c>
      <c r="Q30" s="492">
        <v>0</v>
      </c>
      <c r="R30" s="492">
        <v>0</v>
      </c>
      <c r="S30" s="492">
        <v>0</v>
      </c>
      <c r="T30" s="492">
        <v>0</v>
      </c>
      <c r="U30" s="492">
        <v>0</v>
      </c>
      <c r="V30" s="492">
        <v>0</v>
      </c>
      <c r="W30" s="492">
        <v>0</v>
      </c>
      <c r="X30" s="492">
        <v>0</v>
      </c>
      <c r="Y30" s="492">
        <v>0</v>
      </c>
      <c r="Z30" s="492">
        <v>0</v>
      </c>
      <c r="AA30" s="492">
        <v>0</v>
      </c>
      <c r="AB30" s="492">
        <v>0</v>
      </c>
      <c r="AC30" s="492">
        <v>0</v>
      </c>
      <c r="AD30" s="492">
        <v>0</v>
      </c>
      <c r="AE30" s="492"/>
      <c r="AF30" s="492">
        <v>0</v>
      </c>
      <c r="AG30" s="492">
        <v>0</v>
      </c>
      <c r="AH30" s="492">
        <v>0</v>
      </c>
      <c r="AI30" s="492">
        <v>0</v>
      </c>
      <c r="AJ30" s="492">
        <v>0</v>
      </c>
      <c r="AK30" s="492">
        <v>0</v>
      </c>
      <c r="AL30" s="492">
        <v>0</v>
      </c>
    </row>
    <row r="31" spans="1:38" ht="15" customHeight="1">
      <c r="A31" s="490" t="s">
        <v>352</v>
      </c>
      <c r="B31" s="491">
        <v>26</v>
      </c>
      <c r="C31" s="492">
        <v>0</v>
      </c>
      <c r="D31" s="492">
        <v>0</v>
      </c>
      <c r="E31" s="492">
        <v>0</v>
      </c>
      <c r="F31" s="492">
        <v>0</v>
      </c>
      <c r="G31" s="492">
        <v>0</v>
      </c>
      <c r="H31" s="492">
        <v>0</v>
      </c>
      <c r="I31" s="492">
        <v>0</v>
      </c>
      <c r="J31" s="492">
        <v>0</v>
      </c>
      <c r="K31" s="492">
        <v>0</v>
      </c>
      <c r="L31" s="492">
        <v>0</v>
      </c>
      <c r="M31" s="492">
        <v>0</v>
      </c>
      <c r="N31" s="492">
        <v>0</v>
      </c>
      <c r="O31" s="506">
        <v>0</v>
      </c>
      <c r="P31" s="492">
        <v>0</v>
      </c>
      <c r="Q31" s="492">
        <v>0</v>
      </c>
      <c r="R31" s="492">
        <v>0</v>
      </c>
      <c r="S31" s="492">
        <v>0</v>
      </c>
      <c r="T31" s="492">
        <v>0</v>
      </c>
      <c r="U31" s="492">
        <v>0</v>
      </c>
      <c r="V31" s="492">
        <v>0</v>
      </c>
      <c r="W31" s="492">
        <v>0</v>
      </c>
      <c r="X31" s="492">
        <v>0</v>
      </c>
      <c r="Y31" s="492">
        <v>0</v>
      </c>
      <c r="Z31" s="492">
        <v>0</v>
      </c>
      <c r="AA31" s="492">
        <v>0</v>
      </c>
      <c r="AB31" s="492">
        <v>0</v>
      </c>
      <c r="AC31" s="492">
        <v>0</v>
      </c>
      <c r="AD31" s="492">
        <v>0</v>
      </c>
      <c r="AE31" s="492"/>
      <c r="AF31" s="492">
        <v>0</v>
      </c>
      <c r="AG31" s="492">
        <v>0</v>
      </c>
      <c r="AH31" s="492">
        <v>0</v>
      </c>
      <c r="AI31" s="492">
        <v>0</v>
      </c>
      <c r="AJ31" s="492">
        <v>0</v>
      </c>
      <c r="AK31" s="492">
        <v>0</v>
      </c>
      <c r="AL31" s="492">
        <v>0</v>
      </c>
    </row>
    <row r="32" spans="1:38" ht="15" customHeight="1">
      <c r="A32" s="486" t="s">
        <v>353</v>
      </c>
      <c r="B32" s="495">
        <v>27</v>
      </c>
      <c r="C32" s="498">
        <v>48329179570</v>
      </c>
      <c r="D32" s="498">
        <v>52402682218</v>
      </c>
      <c r="E32" s="498">
        <v>53638184536</v>
      </c>
      <c r="F32" s="498">
        <v>60097345927</v>
      </c>
      <c r="G32" s="498">
        <v>64480604648</v>
      </c>
      <c r="H32" s="498">
        <v>41973464763</v>
      </c>
      <c r="I32" s="498">
        <v>46961151962</v>
      </c>
      <c r="J32" s="498">
        <v>48551172726</v>
      </c>
      <c r="K32" s="498">
        <v>56769861956</v>
      </c>
      <c r="L32" s="498">
        <v>59919630029</v>
      </c>
      <c r="M32" s="498">
        <v>32117157574</v>
      </c>
      <c r="N32" s="499">
        <v>29084385847</v>
      </c>
      <c r="O32" s="499">
        <v>31458565079</v>
      </c>
      <c r="P32" s="499">
        <v>32319903285</v>
      </c>
      <c r="Q32" s="499">
        <v>37507790105</v>
      </c>
      <c r="R32" s="499">
        <v>46329177857</v>
      </c>
      <c r="S32" s="499">
        <v>54840575232</v>
      </c>
      <c r="T32" s="499">
        <v>64471140709</v>
      </c>
      <c r="U32" s="499">
        <v>71635917962</v>
      </c>
      <c r="V32" s="499">
        <v>42927415798</v>
      </c>
      <c r="W32" s="499">
        <v>44075420678</v>
      </c>
      <c r="X32" s="499">
        <v>43372545654</v>
      </c>
      <c r="Y32" s="499">
        <v>41368771158</v>
      </c>
      <c r="Z32" s="499">
        <v>19547112019</v>
      </c>
      <c r="AA32" s="499">
        <v>21453377952</v>
      </c>
      <c r="AB32" s="499">
        <v>24154779219</v>
      </c>
      <c r="AC32" s="499">
        <v>25221641625</v>
      </c>
      <c r="AD32" s="499">
        <v>26322155642</v>
      </c>
      <c r="AE32" s="499">
        <v>31960741740</v>
      </c>
      <c r="AF32" s="499">
        <v>0</v>
      </c>
      <c r="AG32" s="499">
        <v>0</v>
      </c>
      <c r="AH32" s="499">
        <v>0</v>
      </c>
      <c r="AI32" s="499">
        <v>0</v>
      </c>
      <c r="AJ32" s="499">
        <v>0</v>
      </c>
      <c r="AK32" s="499">
        <v>0</v>
      </c>
      <c r="AL32" s="499">
        <v>0</v>
      </c>
    </row>
    <row r="33" spans="1:38" ht="15" customHeight="1">
      <c r="A33" s="500" t="s">
        <v>354</v>
      </c>
      <c r="B33" s="491">
        <v>28</v>
      </c>
      <c r="C33" s="492">
        <v>6276274640</v>
      </c>
      <c r="D33" s="492">
        <v>8206749833</v>
      </c>
      <c r="E33" s="492">
        <v>7285401121</v>
      </c>
      <c r="F33" s="492">
        <v>8306063236</v>
      </c>
      <c r="G33" s="492">
        <v>7856773292</v>
      </c>
      <c r="H33" s="492">
        <v>9119226098</v>
      </c>
      <c r="I33" s="492">
        <v>10668355095</v>
      </c>
      <c r="J33" s="492">
        <v>10679688406</v>
      </c>
      <c r="K33" s="492">
        <v>11891411206</v>
      </c>
      <c r="L33" s="492">
        <v>10950384630</v>
      </c>
      <c r="M33" s="492">
        <v>10029655608</v>
      </c>
      <c r="N33" s="492">
        <v>8392710436</v>
      </c>
      <c r="O33" s="502">
        <v>8670624950</v>
      </c>
      <c r="P33" s="492">
        <v>9360600777</v>
      </c>
      <c r="Q33" s="492">
        <v>8963443599</v>
      </c>
      <c r="R33" s="492">
        <v>8040678677</v>
      </c>
      <c r="S33" s="492">
        <v>6574180345</v>
      </c>
      <c r="T33" s="492">
        <v>12024899748</v>
      </c>
      <c r="U33" s="492">
        <v>13100177953</v>
      </c>
      <c r="V33" s="492">
        <v>13938259781</v>
      </c>
      <c r="W33" s="492">
        <v>11177477784</v>
      </c>
      <c r="X33" s="492">
        <v>9268450110</v>
      </c>
      <c r="Y33" s="492">
        <v>6953960350</v>
      </c>
      <c r="Z33" s="492">
        <v>6855293515</v>
      </c>
      <c r="AA33" s="492">
        <v>6232956370</v>
      </c>
      <c r="AB33" s="492">
        <v>5669668845</v>
      </c>
      <c r="AC33" s="492">
        <v>6281586071</v>
      </c>
      <c r="AD33" s="492">
        <v>7111878966</v>
      </c>
      <c r="AE33" s="492">
        <v>7978130611</v>
      </c>
      <c r="AF33" s="492">
        <v>0</v>
      </c>
      <c r="AG33" s="492">
        <v>0</v>
      </c>
      <c r="AH33" s="492">
        <v>0</v>
      </c>
      <c r="AI33" s="492">
        <v>0</v>
      </c>
      <c r="AJ33" s="492">
        <v>0</v>
      </c>
      <c r="AK33" s="492">
        <v>0</v>
      </c>
      <c r="AL33" s="492">
        <v>0</v>
      </c>
    </row>
    <row r="34" spans="1:38" ht="15" customHeight="1">
      <c r="A34" s="500" t="s">
        <v>355</v>
      </c>
      <c r="B34" s="491">
        <v>29</v>
      </c>
      <c r="C34" s="492">
        <v>42052904930</v>
      </c>
      <c r="D34" s="492">
        <v>44107343223</v>
      </c>
      <c r="E34" s="492">
        <v>46297685706</v>
      </c>
      <c r="F34" s="492">
        <v>51762654946</v>
      </c>
      <c r="G34" s="492">
        <v>56579510013</v>
      </c>
      <c r="H34" s="492">
        <v>32789088899</v>
      </c>
      <c r="I34" s="492">
        <v>36250538837</v>
      </c>
      <c r="J34" s="492">
        <v>37779613794</v>
      </c>
      <c r="K34" s="492">
        <v>44829865745</v>
      </c>
      <c r="L34" s="492">
        <v>48921405825</v>
      </c>
      <c r="M34" s="492">
        <v>22042451541</v>
      </c>
      <c r="N34" s="492">
        <v>20691675411</v>
      </c>
      <c r="O34" s="502">
        <v>22787940129</v>
      </c>
      <c r="P34" s="492">
        <v>22955432475</v>
      </c>
      <c r="Q34" s="492">
        <v>28544346506</v>
      </c>
      <c r="R34" s="492">
        <v>38288499180</v>
      </c>
      <c r="S34" s="492">
        <v>48266394887</v>
      </c>
      <c r="T34" s="492">
        <v>52446240961</v>
      </c>
      <c r="U34" s="492">
        <v>58535740009</v>
      </c>
      <c r="V34" s="492">
        <v>28989156017</v>
      </c>
      <c r="W34" s="492">
        <v>32897942894</v>
      </c>
      <c r="X34" s="492">
        <v>34104095544</v>
      </c>
      <c r="Y34" s="492">
        <v>34414810808</v>
      </c>
      <c r="Z34" s="492">
        <v>12691818504</v>
      </c>
      <c r="AA34" s="492">
        <v>14900314879</v>
      </c>
      <c r="AB34" s="492">
        <v>18117486770</v>
      </c>
      <c r="AC34" s="492">
        <v>18457562435</v>
      </c>
      <c r="AD34" s="492">
        <v>18721692095</v>
      </c>
      <c r="AE34" s="492">
        <v>23467402224</v>
      </c>
      <c r="AF34" s="492">
        <v>0</v>
      </c>
      <c r="AG34" s="492">
        <v>0</v>
      </c>
      <c r="AH34" s="492">
        <v>0</v>
      </c>
      <c r="AI34" s="492">
        <v>0</v>
      </c>
      <c r="AJ34" s="492">
        <v>0</v>
      </c>
      <c r="AK34" s="492">
        <v>0</v>
      </c>
      <c r="AL34" s="492">
        <v>0</v>
      </c>
    </row>
    <row r="35" spans="1:38" ht="15" customHeight="1">
      <c r="A35" s="500" t="s">
        <v>356</v>
      </c>
      <c r="B35" s="491">
        <v>30</v>
      </c>
      <c r="C35" s="492">
        <v>0</v>
      </c>
      <c r="D35" s="492">
        <v>88589162</v>
      </c>
      <c r="E35" s="492">
        <v>55097709</v>
      </c>
      <c r="F35" s="492">
        <v>28627745</v>
      </c>
      <c r="G35" s="492">
        <v>44321343</v>
      </c>
      <c r="H35" s="492">
        <v>65149766</v>
      </c>
      <c r="I35" s="492">
        <v>42258030</v>
      </c>
      <c r="J35" s="492">
        <v>91870526</v>
      </c>
      <c r="K35" s="492">
        <v>48585005</v>
      </c>
      <c r="L35" s="492">
        <v>47839574</v>
      </c>
      <c r="M35" s="492">
        <v>45050425</v>
      </c>
      <c r="N35" s="492">
        <v>0</v>
      </c>
      <c r="O35" s="502">
        <v>0</v>
      </c>
      <c r="P35" s="492">
        <v>3870033</v>
      </c>
      <c r="Q35" s="492">
        <v>0</v>
      </c>
      <c r="R35" s="492">
        <v>0</v>
      </c>
      <c r="S35" s="492">
        <v>0</v>
      </c>
      <c r="T35" s="492">
        <v>0</v>
      </c>
      <c r="U35" s="492">
        <v>0</v>
      </c>
      <c r="V35" s="492">
        <v>0</v>
      </c>
      <c r="W35" s="492">
        <v>0</v>
      </c>
      <c r="X35" s="492">
        <v>0</v>
      </c>
      <c r="Y35" s="492">
        <v>0</v>
      </c>
      <c r="Z35" s="492">
        <v>0</v>
      </c>
      <c r="AA35" s="492">
        <v>320106703</v>
      </c>
      <c r="AB35" s="492">
        <v>367623604</v>
      </c>
      <c r="AC35" s="492">
        <v>482493119</v>
      </c>
      <c r="AD35" s="492">
        <v>488584581</v>
      </c>
      <c r="AE35" s="492">
        <v>515208905</v>
      </c>
      <c r="AF35" s="492">
        <v>0</v>
      </c>
      <c r="AG35" s="492">
        <v>0</v>
      </c>
      <c r="AH35" s="492">
        <v>0</v>
      </c>
      <c r="AI35" s="492">
        <v>0</v>
      </c>
      <c r="AJ35" s="492">
        <v>0</v>
      </c>
      <c r="AK35" s="492">
        <v>0</v>
      </c>
      <c r="AL35" s="492">
        <v>0</v>
      </c>
    </row>
    <row r="36" spans="1:38" ht="15" customHeight="1">
      <c r="A36" s="500" t="s">
        <v>357</v>
      </c>
      <c r="B36" s="491">
        <v>31</v>
      </c>
      <c r="C36" s="492">
        <v>0</v>
      </c>
      <c r="D36" s="492">
        <v>0</v>
      </c>
      <c r="E36" s="492">
        <v>0</v>
      </c>
      <c r="F36" s="492">
        <v>0</v>
      </c>
      <c r="G36" s="492">
        <v>0</v>
      </c>
      <c r="H36" s="492">
        <v>0</v>
      </c>
      <c r="I36" s="492">
        <v>0</v>
      </c>
      <c r="J36" s="492">
        <v>0</v>
      </c>
      <c r="K36" s="492">
        <v>0</v>
      </c>
      <c r="L36" s="492">
        <v>0</v>
      </c>
      <c r="M36" s="492">
        <v>0</v>
      </c>
      <c r="N36" s="492">
        <v>0</v>
      </c>
      <c r="O36" s="502">
        <v>0</v>
      </c>
      <c r="P36" s="492">
        <v>0</v>
      </c>
      <c r="Q36" s="492">
        <v>0</v>
      </c>
      <c r="R36" s="492">
        <v>0</v>
      </c>
      <c r="S36" s="492">
        <v>0</v>
      </c>
      <c r="T36" s="492">
        <v>0</v>
      </c>
      <c r="U36" s="492">
        <v>0</v>
      </c>
      <c r="V36" s="492">
        <v>0</v>
      </c>
      <c r="W36" s="492">
        <v>0</v>
      </c>
      <c r="X36" s="492">
        <v>0</v>
      </c>
      <c r="Y36" s="492">
        <v>0</v>
      </c>
      <c r="Z36" s="492">
        <v>0</v>
      </c>
      <c r="AA36" s="492">
        <v>0</v>
      </c>
      <c r="AB36" s="492">
        <v>0</v>
      </c>
      <c r="AC36" s="492">
        <v>0</v>
      </c>
      <c r="AD36" s="492">
        <v>0</v>
      </c>
      <c r="AE36" s="492"/>
      <c r="AF36" s="492">
        <v>0</v>
      </c>
      <c r="AG36" s="492">
        <v>0</v>
      </c>
      <c r="AH36" s="492">
        <v>0</v>
      </c>
      <c r="AI36" s="492">
        <v>0</v>
      </c>
      <c r="AJ36" s="492">
        <v>0</v>
      </c>
      <c r="AK36" s="492">
        <v>0</v>
      </c>
      <c r="AL36" s="492">
        <v>0</v>
      </c>
    </row>
    <row r="37" spans="1:38" ht="15" customHeight="1">
      <c r="A37" s="500" t="s">
        <v>358</v>
      </c>
      <c r="B37" s="491">
        <v>32</v>
      </c>
      <c r="C37" s="492">
        <v>0</v>
      </c>
      <c r="D37" s="492">
        <v>0</v>
      </c>
      <c r="E37" s="492">
        <v>0</v>
      </c>
      <c r="F37" s="492">
        <v>0</v>
      </c>
      <c r="G37" s="492">
        <v>0</v>
      </c>
      <c r="H37" s="492">
        <v>0</v>
      </c>
      <c r="I37" s="492">
        <v>0</v>
      </c>
      <c r="J37" s="492">
        <v>0</v>
      </c>
      <c r="K37" s="492">
        <v>0</v>
      </c>
      <c r="L37" s="492">
        <v>0</v>
      </c>
      <c r="M37" s="492">
        <v>0</v>
      </c>
      <c r="N37" s="492">
        <v>0</v>
      </c>
      <c r="O37" s="502">
        <v>0</v>
      </c>
      <c r="P37" s="492">
        <v>0</v>
      </c>
      <c r="Q37" s="492">
        <v>0</v>
      </c>
      <c r="R37" s="492">
        <v>0</v>
      </c>
      <c r="S37" s="492">
        <v>0</v>
      </c>
      <c r="T37" s="492">
        <v>0</v>
      </c>
      <c r="U37" s="492">
        <v>0</v>
      </c>
      <c r="V37" s="492">
        <v>0</v>
      </c>
      <c r="W37" s="492">
        <v>0</v>
      </c>
      <c r="X37" s="492">
        <v>0</v>
      </c>
      <c r="Y37" s="492">
        <v>0</v>
      </c>
      <c r="Z37" s="492">
        <v>0</v>
      </c>
      <c r="AA37" s="492">
        <v>0</v>
      </c>
      <c r="AB37" s="492">
        <v>0</v>
      </c>
      <c r="AC37" s="492">
        <v>0</v>
      </c>
      <c r="AD37" s="492">
        <v>0</v>
      </c>
      <c r="AE37" s="492"/>
      <c r="AF37" s="492">
        <v>0</v>
      </c>
      <c r="AG37" s="492">
        <v>0</v>
      </c>
      <c r="AH37" s="492">
        <v>0</v>
      </c>
      <c r="AI37" s="492">
        <v>0</v>
      </c>
      <c r="AJ37" s="492">
        <v>0</v>
      </c>
      <c r="AK37" s="492">
        <v>0</v>
      </c>
      <c r="AL37" s="492">
        <v>0</v>
      </c>
    </row>
    <row r="38" spans="1:38" ht="14">
      <c r="A38" s="507" t="s">
        <v>359</v>
      </c>
      <c r="B38" s="508">
        <v>33</v>
      </c>
      <c r="C38" s="509">
        <v>274624562032</v>
      </c>
      <c r="D38" s="509">
        <v>272308792463</v>
      </c>
      <c r="E38" s="509">
        <v>271203283116</v>
      </c>
      <c r="F38" s="509">
        <v>270904814396</v>
      </c>
      <c r="G38" s="509">
        <v>269907328559</v>
      </c>
      <c r="H38" s="509">
        <v>270747087858</v>
      </c>
      <c r="I38" s="509">
        <v>268779207254</v>
      </c>
      <c r="J38" s="509">
        <v>274334422235</v>
      </c>
      <c r="K38" s="509">
        <v>273134422792</v>
      </c>
      <c r="L38" s="509">
        <v>272293558516</v>
      </c>
      <c r="M38" s="509">
        <v>273153529742</v>
      </c>
      <c r="N38" s="510">
        <v>285939000851</v>
      </c>
      <c r="O38" s="510">
        <v>289379194755</v>
      </c>
      <c r="P38" s="510">
        <v>285515570351</v>
      </c>
      <c r="Q38" s="510">
        <v>287407502163</v>
      </c>
      <c r="R38" s="510">
        <v>294777015341</v>
      </c>
      <c r="S38" s="510">
        <v>299380289162</v>
      </c>
      <c r="T38" s="510">
        <v>300166972168</v>
      </c>
      <c r="U38" s="510">
        <v>296753996838</v>
      </c>
      <c r="V38" s="510">
        <v>296192973827</v>
      </c>
      <c r="W38" s="510">
        <v>304334630215</v>
      </c>
      <c r="X38" s="510">
        <v>316482947135</v>
      </c>
      <c r="Y38" s="510">
        <v>315796830828</v>
      </c>
      <c r="Z38" s="510">
        <v>320800563599</v>
      </c>
      <c r="AA38" s="510">
        <v>317415705891</v>
      </c>
      <c r="AB38" s="510">
        <v>337499929442</v>
      </c>
      <c r="AC38" s="510">
        <v>343594894451</v>
      </c>
      <c r="AD38" s="510">
        <v>365048803536</v>
      </c>
      <c r="AE38" s="510">
        <v>365314011891</v>
      </c>
      <c r="AF38" s="510">
        <v>0</v>
      </c>
      <c r="AG38" s="510">
        <v>0</v>
      </c>
      <c r="AH38" s="510">
        <v>0</v>
      </c>
      <c r="AI38" s="510">
        <v>0</v>
      </c>
      <c r="AJ38" s="510">
        <v>0</v>
      </c>
      <c r="AK38" s="510">
        <v>0</v>
      </c>
      <c r="AL38" s="510">
        <v>0</v>
      </c>
    </row>
    <row r="39" spans="1:38" ht="15" customHeight="1">
      <c r="A39" s="486" t="s">
        <v>360</v>
      </c>
      <c r="B39" s="495">
        <v>34</v>
      </c>
      <c r="C39" s="498">
        <v>0</v>
      </c>
      <c r="D39" s="498">
        <v>0</v>
      </c>
      <c r="E39" s="498">
        <v>0</v>
      </c>
      <c r="F39" s="498">
        <v>0</v>
      </c>
      <c r="G39" s="498">
        <v>0</v>
      </c>
      <c r="H39" s="498">
        <v>0</v>
      </c>
      <c r="I39" s="498">
        <v>0</v>
      </c>
      <c r="J39" s="498">
        <v>0</v>
      </c>
      <c r="K39" s="498">
        <v>0</v>
      </c>
      <c r="L39" s="498">
        <v>0</v>
      </c>
      <c r="M39" s="498">
        <v>0</v>
      </c>
      <c r="N39" s="499">
        <v>5600000000</v>
      </c>
      <c r="O39" s="499">
        <v>5600000000</v>
      </c>
      <c r="P39" s="499">
        <v>5600000000</v>
      </c>
      <c r="Q39" s="499">
        <v>5600000000</v>
      </c>
      <c r="R39" s="499">
        <v>5600000000</v>
      </c>
      <c r="S39" s="499">
        <v>5600000000</v>
      </c>
      <c r="T39" s="499">
        <v>5600000000</v>
      </c>
      <c r="U39" s="499">
        <v>5600000000</v>
      </c>
      <c r="V39" s="499">
        <v>5600000000</v>
      </c>
      <c r="W39" s="499">
        <v>5600000000</v>
      </c>
      <c r="X39" s="499">
        <v>5600000000</v>
      </c>
      <c r="Y39" s="499">
        <v>5600000000</v>
      </c>
      <c r="Z39" s="499">
        <v>5600000000</v>
      </c>
      <c r="AA39" s="499">
        <v>5315314211</v>
      </c>
      <c r="AB39" s="499">
        <v>5315314211</v>
      </c>
      <c r="AC39" s="499">
        <v>5315314211</v>
      </c>
      <c r="AD39" s="499">
        <v>5315314210</v>
      </c>
      <c r="AE39" s="499">
        <v>5315314210</v>
      </c>
      <c r="AF39" s="499">
        <v>0</v>
      </c>
      <c r="AG39" s="499">
        <v>0</v>
      </c>
      <c r="AH39" s="499">
        <v>0</v>
      </c>
      <c r="AI39" s="499">
        <v>0</v>
      </c>
      <c r="AJ39" s="499">
        <v>0</v>
      </c>
      <c r="AK39" s="499">
        <v>0</v>
      </c>
      <c r="AL39" s="499">
        <v>0</v>
      </c>
    </row>
    <row r="40" spans="1:38" ht="15" customHeight="1">
      <c r="A40" s="490" t="s">
        <v>361</v>
      </c>
      <c r="B40" s="491">
        <v>35</v>
      </c>
      <c r="C40" s="492">
        <v>0</v>
      </c>
      <c r="D40" s="492">
        <v>0</v>
      </c>
      <c r="E40" s="492">
        <v>0</v>
      </c>
      <c r="F40" s="492">
        <v>0</v>
      </c>
      <c r="G40" s="492">
        <v>0</v>
      </c>
      <c r="H40" s="492">
        <v>0</v>
      </c>
      <c r="I40" s="492">
        <v>0</v>
      </c>
      <c r="J40" s="492">
        <v>0</v>
      </c>
      <c r="K40" s="492">
        <v>0</v>
      </c>
      <c r="L40" s="492">
        <v>0</v>
      </c>
      <c r="M40" s="492">
        <v>0</v>
      </c>
      <c r="N40" s="492">
        <v>0</v>
      </c>
      <c r="O40" s="492">
        <v>0</v>
      </c>
      <c r="P40" s="492">
        <v>0</v>
      </c>
      <c r="Q40" s="492">
        <v>0</v>
      </c>
      <c r="R40" s="492">
        <v>0</v>
      </c>
      <c r="S40" s="492">
        <v>0</v>
      </c>
      <c r="T40" s="492">
        <v>0</v>
      </c>
      <c r="U40" s="492">
        <v>0</v>
      </c>
      <c r="V40" s="492">
        <v>0</v>
      </c>
      <c r="W40" s="492">
        <v>0</v>
      </c>
      <c r="X40" s="492">
        <v>0</v>
      </c>
      <c r="Y40" s="492">
        <v>0</v>
      </c>
      <c r="Z40" s="492">
        <v>0</v>
      </c>
      <c r="AA40" s="492">
        <v>0</v>
      </c>
      <c r="AB40" s="492">
        <v>0</v>
      </c>
      <c r="AC40" s="492">
        <v>0</v>
      </c>
      <c r="AD40" s="492">
        <v>0</v>
      </c>
      <c r="AE40" s="492"/>
      <c r="AF40" s="492">
        <v>0</v>
      </c>
      <c r="AG40" s="492">
        <v>0</v>
      </c>
      <c r="AH40" s="492">
        <v>0</v>
      </c>
      <c r="AI40" s="492">
        <v>0</v>
      </c>
      <c r="AJ40" s="492">
        <v>0</v>
      </c>
      <c r="AK40" s="492">
        <v>0</v>
      </c>
      <c r="AL40" s="492">
        <v>0</v>
      </c>
    </row>
    <row r="41" spans="1:38" ht="15" customHeight="1">
      <c r="A41" s="490" t="s">
        <v>362</v>
      </c>
      <c r="B41" s="491">
        <v>36</v>
      </c>
      <c r="C41" s="492">
        <v>0</v>
      </c>
      <c r="D41" s="492">
        <v>0</v>
      </c>
      <c r="E41" s="492">
        <v>0</v>
      </c>
      <c r="F41" s="492">
        <v>0</v>
      </c>
      <c r="G41" s="492">
        <v>0</v>
      </c>
      <c r="H41" s="492">
        <v>0</v>
      </c>
      <c r="I41" s="492">
        <v>0</v>
      </c>
      <c r="J41" s="492">
        <v>0</v>
      </c>
      <c r="K41" s="492">
        <v>0</v>
      </c>
      <c r="L41" s="492">
        <v>0</v>
      </c>
      <c r="M41" s="492">
        <v>0</v>
      </c>
      <c r="N41" s="492">
        <v>0</v>
      </c>
      <c r="O41" s="492">
        <v>0</v>
      </c>
      <c r="P41" s="492">
        <v>0</v>
      </c>
      <c r="Q41" s="492">
        <v>0</v>
      </c>
      <c r="R41" s="492">
        <v>0</v>
      </c>
      <c r="S41" s="492">
        <v>0</v>
      </c>
      <c r="T41" s="492">
        <v>0</v>
      </c>
      <c r="U41" s="492">
        <v>0</v>
      </c>
      <c r="V41" s="492">
        <v>0</v>
      </c>
      <c r="W41" s="492">
        <v>0</v>
      </c>
      <c r="X41" s="492">
        <v>0</v>
      </c>
      <c r="Y41" s="492">
        <v>0</v>
      </c>
      <c r="Z41" s="492">
        <v>0</v>
      </c>
      <c r="AA41" s="492">
        <v>0</v>
      </c>
      <c r="AB41" s="492">
        <v>0</v>
      </c>
      <c r="AC41" s="492">
        <v>0</v>
      </c>
      <c r="AD41" s="492">
        <v>0</v>
      </c>
      <c r="AE41" s="492"/>
      <c r="AF41" s="492">
        <v>0</v>
      </c>
      <c r="AG41" s="492">
        <v>0</v>
      </c>
      <c r="AH41" s="492">
        <v>0</v>
      </c>
      <c r="AI41" s="492">
        <v>0</v>
      </c>
      <c r="AJ41" s="492">
        <v>0</v>
      </c>
      <c r="AK41" s="492">
        <v>0</v>
      </c>
      <c r="AL41" s="492">
        <v>0</v>
      </c>
    </row>
    <row r="42" spans="1:38" ht="15" customHeight="1">
      <c r="A42" s="490" t="s">
        <v>363</v>
      </c>
      <c r="B42" s="491">
        <v>37</v>
      </c>
      <c r="C42" s="492">
        <v>0</v>
      </c>
      <c r="D42" s="492">
        <v>0</v>
      </c>
      <c r="E42" s="492">
        <v>0</v>
      </c>
      <c r="F42" s="492">
        <v>0</v>
      </c>
      <c r="G42" s="492">
        <v>0</v>
      </c>
      <c r="H42" s="492">
        <v>0</v>
      </c>
      <c r="I42" s="492">
        <v>0</v>
      </c>
      <c r="J42" s="492">
        <v>0</v>
      </c>
      <c r="K42" s="492">
        <v>0</v>
      </c>
      <c r="L42" s="492">
        <v>0</v>
      </c>
      <c r="M42" s="492">
        <v>0</v>
      </c>
      <c r="N42" s="492">
        <v>0</v>
      </c>
      <c r="O42" s="492">
        <v>0</v>
      </c>
      <c r="P42" s="492">
        <v>0</v>
      </c>
      <c r="Q42" s="492">
        <v>0</v>
      </c>
      <c r="R42" s="492">
        <v>0</v>
      </c>
      <c r="S42" s="492">
        <v>0</v>
      </c>
      <c r="T42" s="492">
        <v>0</v>
      </c>
      <c r="U42" s="492">
        <v>0</v>
      </c>
      <c r="V42" s="492">
        <v>0</v>
      </c>
      <c r="W42" s="492">
        <v>0</v>
      </c>
      <c r="X42" s="492">
        <v>0</v>
      </c>
      <c r="Y42" s="492">
        <v>0</v>
      </c>
      <c r="Z42" s="492">
        <v>0</v>
      </c>
      <c r="AA42" s="492">
        <v>0</v>
      </c>
      <c r="AB42" s="492">
        <v>0</v>
      </c>
      <c r="AC42" s="492">
        <v>0</v>
      </c>
      <c r="AD42" s="492">
        <v>0</v>
      </c>
      <c r="AE42" s="492"/>
      <c r="AF42" s="492">
        <v>0</v>
      </c>
      <c r="AG42" s="492">
        <v>0</v>
      </c>
      <c r="AH42" s="492">
        <v>0</v>
      </c>
      <c r="AI42" s="492">
        <v>0</v>
      </c>
      <c r="AJ42" s="492">
        <v>0</v>
      </c>
      <c r="AK42" s="492">
        <v>0</v>
      </c>
      <c r="AL42" s="492">
        <v>0</v>
      </c>
    </row>
    <row r="43" spans="1:38" ht="15" customHeight="1">
      <c r="A43" s="490" t="s">
        <v>364</v>
      </c>
      <c r="B43" s="491">
        <v>38</v>
      </c>
      <c r="C43" s="492">
        <v>0</v>
      </c>
      <c r="D43" s="492">
        <v>0</v>
      </c>
      <c r="E43" s="492">
        <v>0</v>
      </c>
      <c r="F43" s="492">
        <v>0</v>
      </c>
      <c r="G43" s="492">
        <v>0</v>
      </c>
      <c r="H43" s="492">
        <v>0</v>
      </c>
      <c r="I43" s="492">
        <v>0</v>
      </c>
      <c r="J43" s="492">
        <v>0</v>
      </c>
      <c r="K43" s="492">
        <v>0</v>
      </c>
      <c r="L43" s="492">
        <v>0</v>
      </c>
      <c r="M43" s="492">
        <v>0</v>
      </c>
      <c r="N43" s="492">
        <v>0</v>
      </c>
      <c r="O43" s="492">
        <v>0</v>
      </c>
      <c r="P43" s="492">
        <v>0</v>
      </c>
      <c r="Q43" s="492">
        <v>0</v>
      </c>
      <c r="R43" s="492">
        <v>0</v>
      </c>
      <c r="S43" s="492">
        <v>0</v>
      </c>
      <c r="T43" s="492">
        <v>0</v>
      </c>
      <c r="U43" s="492">
        <v>0</v>
      </c>
      <c r="V43" s="492">
        <v>0</v>
      </c>
      <c r="W43" s="492">
        <v>0</v>
      </c>
      <c r="X43" s="492">
        <v>0</v>
      </c>
      <c r="Y43" s="492">
        <v>0</v>
      </c>
      <c r="Z43" s="492">
        <v>0</v>
      </c>
      <c r="AA43" s="492">
        <v>0</v>
      </c>
      <c r="AB43" s="492">
        <v>0</v>
      </c>
      <c r="AC43" s="492">
        <v>0</v>
      </c>
      <c r="AD43" s="492">
        <v>0</v>
      </c>
      <c r="AE43" s="492"/>
      <c r="AF43" s="492">
        <v>0</v>
      </c>
      <c r="AG43" s="492">
        <v>0</v>
      </c>
      <c r="AH43" s="492">
        <v>0</v>
      </c>
      <c r="AI43" s="492">
        <v>0</v>
      </c>
      <c r="AJ43" s="492">
        <v>0</v>
      </c>
      <c r="AK43" s="492">
        <v>0</v>
      </c>
      <c r="AL43" s="492">
        <v>0</v>
      </c>
    </row>
    <row r="44" spans="1:38" ht="15" customHeight="1">
      <c r="A44" s="490" t="s">
        <v>365</v>
      </c>
      <c r="B44" s="491">
        <v>39</v>
      </c>
      <c r="C44" s="492">
        <v>0</v>
      </c>
      <c r="D44" s="492">
        <v>0</v>
      </c>
      <c r="E44" s="492">
        <v>0</v>
      </c>
      <c r="F44" s="492">
        <v>0</v>
      </c>
      <c r="G44" s="492">
        <v>0</v>
      </c>
      <c r="H44" s="492">
        <v>0</v>
      </c>
      <c r="I44" s="492">
        <v>0</v>
      </c>
      <c r="J44" s="492">
        <v>0</v>
      </c>
      <c r="K44" s="492">
        <v>0</v>
      </c>
      <c r="L44" s="492">
        <v>0</v>
      </c>
      <c r="M44" s="492">
        <v>0</v>
      </c>
      <c r="N44" s="492">
        <v>5600000000</v>
      </c>
      <c r="O44" s="493">
        <v>5600000000</v>
      </c>
      <c r="P44" s="492">
        <v>5600000000</v>
      </c>
      <c r="Q44" s="492">
        <v>5600000000</v>
      </c>
      <c r="R44" s="492">
        <v>5600000000</v>
      </c>
      <c r="S44" s="492">
        <v>5600000000</v>
      </c>
      <c r="T44" s="492">
        <v>5600000000</v>
      </c>
      <c r="U44" s="492">
        <v>5600000000</v>
      </c>
      <c r="V44" s="492">
        <v>5600000000</v>
      </c>
      <c r="W44" s="492">
        <v>5600000000</v>
      </c>
      <c r="X44" s="492">
        <v>5600000000</v>
      </c>
      <c r="Y44" s="492">
        <v>5600000000</v>
      </c>
      <c r="Z44" s="492">
        <v>5600000000</v>
      </c>
      <c r="AA44" s="492">
        <v>5315314211</v>
      </c>
      <c r="AB44" s="492">
        <v>5315314211</v>
      </c>
      <c r="AC44" s="492">
        <v>5315314211</v>
      </c>
      <c r="AD44" s="492">
        <v>5315314210</v>
      </c>
      <c r="AE44" s="492">
        <v>5315314210</v>
      </c>
      <c r="AF44" s="492">
        <v>0</v>
      </c>
      <c r="AG44" s="492">
        <v>0</v>
      </c>
      <c r="AH44" s="492">
        <v>0</v>
      </c>
      <c r="AI44" s="492">
        <v>0</v>
      </c>
      <c r="AJ44" s="492">
        <v>0</v>
      </c>
      <c r="AK44" s="492">
        <v>0</v>
      </c>
      <c r="AL44" s="492">
        <v>0</v>
      </c>
    </row>
    <row r="45" spans="1:38" ht="15" customHeight="1">
      <c r="A45" s="490" t="s">
        <v>366</v>
      </c>
      <c r="B45" s="491">
        <v>40</v>
      </c>
      <c r="C45" s="492">
        <v>0</v>
      </c>
      <c r="D45" s="492">
        <v>0</v>
      </c>
      <c r="E45" s="492">
        <v>0</v>
      </c>
      <c r="F45" s="492">
        <v>0</v>
      </c>
      <c r="G45" s="492">
        <v>0</v>
      </c>
      <c r="H45" s="492">
        <v>0</v>
      </c>
      <c r="I45" s="492">
        <v>0</v>
      </c>
      <c r="J45" s="492">
        <v>0</v>
      </c>
      <c r="K45" s="492">
        <v>0</v>
      </c>
      <c r="L45" s="492">
        <v>0</v>
      </c>
      <c r="M45" s="492">
        <v>0</v>
      </c>
      <c r="N45" s="492">
        <v>0</v>
      </c>
      <c r="O45" s="492">
        <v>0</v>
      </c>
      <c r="P45" s="492">
        <v>0</v>
      </c>
      <c r="Q45" s="492">
        <v>0</v>
      </c>
      <c r="R45" s="492">
        <v>0</v>
      </c>
      <c r="S45" s="492">
        <v>0</v>
      </c>
      <c r="T45" s="492">
        <v>0</v>
      </c>
      <c r="U45" s="492">
        <v>0</v>
      </c>
      <c r="V45" s="492">
        <v>0</v>
      </c>
      <c r="W45" s="492">
        <v>0</v>
      </c>
      <c r="X45" s="492">
        <v>0</v>
      </c>
      <c r="Y45" s="492">
        <v>0</v>
      </c>
      <c r="Z45" s="492">
        <v>0</v>
      </c>
      <c r="AA45" s="492">
        <v>0</v>
      </c>
      <c r="AB45" s="492">
        <v>0</v>
      </c>
      <c r="AC45" s="492">
        <v>0</v>
      </c>
      <c r="AD45" s="492">
        <v>0</v>
      </c>
      <c r="AE45" s="492"/>
      <c r="AF45" s="492">
        <v>0</v>
      </c>
      <c r="AG45" s="492">
        <v>0</v>
      </c>
      <c r="AH45" s="492">
        <v>0</v>
      </c>
      <c r="AI45" s="492">
        <v>0</v>
      </c>
      <c r="AJ45" s="492">
        <v>0</v>
      </c>
      <c r="AK45" s="492">
        <v>0</v>
      </c>
      <c r="AL45" s="492">
        <v>0</v>
      </c>
    </row>
    <row r="46" spans="1:38" ht="15" customHeight="1">
      <c r="A46" s="511" t="s">
        <v>367</v>
      </c>
      <c r="B46" s="495">
        <v>41</v>
      </c>
      <c r="C46" s="498">
        <v>198013903445</v>
      </c>
      <c r="D46" s="498">
        <v>195010544683</v>
      </c>
      <c r="E46" s="498">
        <v>225730823955</v>
      </c>
      <c r="F46" s="498">
        <v>226001461052</v>
      </c>
      <c r="G46" s="498">
        <v>224673388970</v>
      </c>
      <c r="H46" s="498">
        <v>221428232280</v>
      </c>
      <c r="I46" s="498">
        <v>219409735799</v>
      </c>
      <c r="J46" s="498">
        <v>226228538916</v>
      </c>
      <c r="K46" s="498">
        <v>223962123590</v>
      </c>
      <c r="L46" s="498">
        <v>223016683107</v>
      </c>
      <c r="M46" s="498">
        <v>238599188942</v>
      </c>
      <c r="N46" s="499">
        <v>236902591180</v>
      </c>
      <c r="O46" s="512">
        <v>233135637012</v>
      </c>
      <c r="P46" s="499">
        <v>239769028633</v>
      </c>
      <c r="Q46" s="499">
        <v>244837616747</v>
      </c>
      <c r="R46" s="499">
        <v>241369190811</v>
      </c>
      <c r="S46" s="499">
        <v>237349552865</v>
      </c>
      <c r="T46" s="499">
        <v>233717444711</v>
      </c>
      <c r="U46" s="499">
        <v>229848858132</v>
      </c>
      <c r="V46" s="499">
        <v>248058151289</v>
      </c>
      <c r="W46" s="499">
        <v>245902729429</v>
      </c>
      <c r="X46" s="499">
        <v>244514286341</v>
      </c>
      <c r="Y46" s="499">
        <v>247438859420</v>
      </c>
      <c r="Z46" s="499">
        <v>243859258508</v>
      </c>
      <c r="AA46" s="499">
        <v>243650467528</v>
      </c>
      <c r="AB46" s="499">
        <v>244965950858</v>
      </c>
      <c r="AC46" s="499">
        <v>265786488609</v>
      </c>
      <c r="AD46" s="499">
        <v>270226692853</v>
      </c>
      <c r="AE46" s="499">
        <v>268070715296</v>
      </c>
      <c r="AF46" s="499">
        <v>0</v>
      </c>
      <c r="AG46" s="499">
        <v>0</v>
      </c>
      <c r="AH46" s="499">
        <v>0</v>
      </c>
      <c r="AI46" s="499">
        <v>0</v>
      </c>
      <c r="AJ46" s="499">
        <v>0</v>
      </c>
      <c r="AK46" s="499">
        <v>0</v>
      </c>
      <c r="AL46" s="499">
        <v>0</v>
      </c>
    </row>
    <row r="47" spans="1:38" ht="15" customHeight="1">
      <c r="A47" s="513" t="s">
        <v>368</v>
      </c>
      <c r="B47" s="495">
        <v>42</v>
      </c>
      <c r="C47" s="498">
        <v>196381676069</v>
      </c>
      <c r="D47" s="498">
        <v>193412111334</v>
      </c>
      <c r="E47" s="498">
        <v>223734884594</v>
      </c>
      <c r="F47" s="498">
        <v>224051296275</v>
      </c>
      <c r="G47" s="498">
        <v>222768998777</v>
      </c>
      <c r="H47" s="498">
        <v>219569616674</v>
      </c>
      <c r="I47" s="498">
        <v>217596894777</v>
      </c>
      <c r="J47" s="498">
        <v>224461472477</v>
      </c>
      <c r="K47" s="498">
        <v>222240831735</v>
      </c>
      <c r="L47" s="498">
        <v>221341165837</v>
      </c>
      <c r="M47" s="498">
        <v>211514900800</v>
      </c>
      <c r="N47" s="499">
        <v>209868609863</v>
      </c>
      <c r="O47" s="512">
        <v>206695783278</v>
      </c>
      <c r="P47" s="499">
        <v>213923302488</v>
      </c>
      <c r="Q47" s="499">
        <v>219098407403</v>
      </c>
      <c r="R47" s="499">
        <v>216237653798</v>
      </c>
      <c r="S47" s="499">
        <v>212825688182</v>
      </c>
      <c r="T47" s="499">
        <v>209801252360</v>
      </c>
      <c r="U47" s="499">
        <v>206540338107</v>
      </c>
      <c r="V47" s="499">
        <v>225357303593</v>
      </c>
      <c r="W47" s="499">
        <v>221869598924</v>
      </c>
      <c r="X47" s="499">
        <v>221127752277</v>
      </c>
      <c r="Y47" s="499">
        <v>224698921799</v>
      </c>
      <c r="Z47" s="499">
        <v>221765917329</v>
      </c>
      <c r="AA47" s="499">
        <v>222439215846</v>
      </c>
      <c r="AB47" s="499">
        <v>223939131389</v>
      </c>
      <c r="AC47" s="499">
        <v>244944101358</v>
      </c>
      <c r="AD47" s="499">
        <v>249568737825</v>
      </c>
      <c r="AE47" s="499">
        <v>247597192480</v>
      </c>
      <c r="AF47" s="499">
        <v>0</v>
      </c>
      <c r="AG47" s="499">
        <v>0</v>
      </c>
      <c r="AH47" s="499">
        <v>0</v>
      </c>
      <c r="AI47" s="499">
        <v>0</v>
      </c>
      <c r="AJ47" s="499">
        <v>0</v>
      </c>
      <c r="AK47" s="499">
        <v>0</v>
      </c>
      <c r="AL47" s="499">
        <v>0</v>
      </c>
    </row>
    <row r="48" spans="1:38" ht="15" customHeight="1">
      <c r="A48" s="514" t="s">
        <v>369</v>
      </c>
      <c r="B48" s="491">
        <v>43</v>
      </c>
      <c r="C48" s="492">
        <v>257666841694</v>
      </c>
      <c r="D48" s="492">
        <v>257666841694</v>
      </c>
      <c r="E48" s="492">
        <v>290954799860</v>
      </c>
      <c r="F48" s="492">
        <v>294406461356</v>
      </c>
      <c r="G48" s="492">
        <v>296317113552</v>
      </c>
      <c r="H48" s="492">
        <v>296312396885</v>
      </c>
      <c r="I48" s="492">
        <v>297568396885</v>
      </c>
      <c r="J48" s="492">
        <v>307504902865</v>
      </c>
      <c r="K48" s="492">
        <v>308673199161</v>
      </c>
      <c r="L48" s="492">
        <v>311019813374</v>
      </c>
      <c r="M48" s="492">
        <v>288613480028</v>
      </c>
      <c r="N48" s="492">
        <v>290150220028</v>
      </c>
      <c r="O48" s="494">
        <v>290186420028</v>
      </c>
      <c r="P48" s="492">
        <v>300624510263</v>
      </c>
      <c r="Q48" s="492">
        <v>309208121569</v>
      </c>
      <c r="R48" s="492">
        <v>309236016561</v>
      </c>
      <c r="S48" s="492">
        <v>309308233601</v>
      </c>
      <c r="T48" s="492">
        <v>309763593785</v>
      </c>
      <c r="U48" s="492">
        <v>309740464757</v>
      </c>
      <c r="V48" s="492">
        <v>331642753074</v>
      </c>
      <c r="W48" s="492">
        <v>331956337304</v>
      </c>
      <c r="X48" s="492">
        <v>334828750908</v>
      </c>
      <c r="Y48" s="492">
        <v>342175274548</v>
      </c>
      <c r="Z48" s="492">
        <v>343037991979</v>
      </c>
      <c r="AA48" s="492">
        <v>346257196159</v>
      </c>
      <c r="AB48" s="492">
        <v>349675687977</v>
      </c>
      <c r="AC48" s="492">
        <v>372614337286</v>
      </c>
      <c r="AD48" s="492">
        <v>379332503103</v>
      </c>
      <c r="AE48" s="492">
        <v>379507503103</v>
      </c>
      <c r="AF48" s="492">
        <v>0</v>
      </c>
      <c r="AG48" s="492">
        <v>0</v>
      </c>
      <c r="AH48" s="492">
        <v>0</v>
      </c>
      <c r="AI48" s="492">
        <v>0</v>
      </c>
      <c r="AJ48" s="492">
        <v>0</v>
      </c>
      <c r="AK48" s="492">
        <v>0</v>
      </c>
      <c r="AL48" s="492">
        <v>0</v>
      </c>
    </row>
    <row r="49" spans="1:38" ht="15" customHeight="1">
      <c r="A49" s="514" t="s">
        <v>370</v>
      </c>
      <c r="B49" s="491">
        <v>44</v>
      </c>
      <c r="C49" s="492">
        <v>-61285165625</v>
      </c>
      <c r="D49" s="492">
        <v>-64254730360</v>
      </c>
      <c r="E49" s="492">
        <v>-67219915266</v>
      </c>
      <c r="F49" s="492">
        <v>-70355165081</v>
      </c>
      <c r="G49" s="492">
        <v>-73548114775</v>
      </c>
      <c r="H49" s="492">
        <v>-76742780211</v>
      </c>
      <c r="I49" s="492">
        <v>-79971502108</v>
      </c>
      <c r="J49" s="492">
        <v>-83043430388</v>
      </c>
      <c r="K49" s="492">
        <v>-86432367426</v>
      </c>
      <c r="L49" s="492">
        <v>-89678647537</v>
      </c>
      <c r="M49" s="492">
        <v>-77098579228</v>
      </c>
      <c r="N49" s="492">
        <v>-80281610165</v>
      </c>
      <c r="O49" s="515">
        <v>-83490636750</v>
      </c>
      <c r="P49" s="492">
        <v>-86701207775</v>
      </c>
      <c r="Q49" s="492">
        <v>-90109714166</v>
      </c>
      <c r="R49" s="492">
        <v>-92998362763</v>
      </c>
      <c r="S49" s="492">
        <v>-96482545419</v>
      </c>
      <c r="T49" s="492">
        <v>-99962341425</v>
      </c>
      <c r="U49" s="492">
        <v>-103200126650</v>
      </c>
      <c r="V49" s="492">
        <v>-106285449481</v>
      </c>
      <c r="W49" s="492">
        <v>-110086738380</v>
      </c>
      <c r="X49" s="492">
        <v>-113700998631</v>
      </c>
      <c r="Y49" s="492">
        <v>-117476352749</v>
      </c>
      <c r="Z49" s="492">
        <v>-121272074650</v>
      </c>
      <c r="AA49" s="492">
        <v>-123817980313</v>
      </c>
      <c r="AB49" s="492">
        <v>-125736556588</v>
      </c>
      <c r="AC49" s="492">
        <v>-127670235928</v>
      </c>
      <c r="AD49" s="492">
        <v>-129763765278</v>
      </c>
      <c r="AE49" s="492">
        <v>-131910310623</v>
      </c>
      <c r="AF49" s="492">
        <v>0</v>
      </c>
      <c r="AG49" s="492">
        <v>0</v>
      </c>
      <c r="AH49" s="492">
        <v>0</v>
      </c>
      <c r="AI49" s="492">
        <v>0</v>
      </c>
      <c r="AJ49" s="492">
        <v>0</v>
      </c>
      <c r="AK49" s="492">
        <v>0</v>
      </c>
      <c r="AL49" s="492">
        <v>0</v>
      </c>
    </row>
    <row r="50" spans="1:38" ht="15" customHeight="1">
      <c r="A50" s="513" t="s">
        <v>371</v>
      </c>
      <c r="B50" s="495">
        <v>45</v>
      </c>
      <c r="C50" s="498">
        <v>0</v>
      </c>
      <c r="D50" s="498">
        <v>0</v>
      </c>
      <c r="E50" s="498">
        <v>0</v>
      </c>
      <c r="F50" s="498">
        <v>0</v>
      </c>
      <c r="G50" s="498">
        <v>0</v>
      </c>
      <c r="H50" s="498">
        <v>0</v>
      </c>
      <c r="I50" s="498">
        <v>0</v>
      </c>
      <c r="J50" s="498">
        <v>0</v>
      </c>
      <c r="K50" s="498">
        <v>0</v>
      </c>
      <c r="L50" s="498">
        <v>0</v>
      </c>
      <c r="M50" s="498">
        <v>25454545455</v>
      </c>
      <c r="N50" s="499">
        <v>24920890315</v>
      </c>
      <c r="O50" s="512">
        <v>24387235175</v>
      </c>
      <c r="P50" s="499">
        <v>23853580028</v>
      </c>
      <c r="Q50" s="499">
        <v>23319924886</v>
      </c>
      <c r="R50" s="499">
        <v>22786269743</v>
      </c>
      <c r="S50" s="499">
        <v>22252614599</v>
      </c>
      <c r="T50" s="499">
        <v>21718959455</v>
      </c>
      <c r="U50" s="499">
        <v>21185304314</v>
      </c>
      <c r="V50" s="499">
        <v>20651649171</v>
      </c>
      <c r="W50" s="499">
        <v>20117994030</v>
      </c>
      <c r="X50" s="499">
        <v>19584338888</v>
      </c>
      <c r="Y50" s="499">
        <v>19050683744</v>
      </c>
      <c r="Z50" s="499">
        <v>18517028601</v>
      </c>
      <c r="AA50" s="499">
        <v>17684886028</v>
      </c>
      <c r="AB50" s="499">
        <v>17550400741</v>
      </c>
      <c r="AC50" s="499">
        <v>17415915447</v>
      </c>
      <c r="AD50" s="499">
        <v>17281430151</v>
      </c>
      <c r="AE50" s="499">
        <v>17146944864</v>
      </c>
      <c r="AF50" s="499">
        <v>0</v>
      </c>
      <c r="AG50" s="499">
        <v>0</v>
      </c>
      <c r="AH50" s="499">
        <v>0</v>
      </c>
      <c r="AI50" s="499">
        <v>0</v>
      </c>
      <c r="AJ50" s="499">
        <v>0</v>
      </c>
      <c r="AK50" s="499">
        <v>0</v>
      </c>
      <c r="AL50" s="499">
        <v>0</v>
      </c>
    </row>
    <row r="51" spans="1:38" ht="15" customHeight="1">
      <c r="A51" s="514" t="s">
        <v>372</v>
      </c>
      <c r="B51" s="491">
        <v>46</v>
      </c>
      <c r="C51" s="492">
        <v>0</v>
      </c>
      <c r="D51" s="492">
        <v>0</v>
      </c>
      <c r="E51" s="492">
        <v>0</v>
      </c>
      <c r="F51" s="492">
        <v>0</v>
      </c>
      <c r="G51" s="492">
        <v>0</v>
      </c>
      <c r="H51" s="492">
        <v>0</v>
      </c>
      <c r="I51" s="492">
        <v>0</v>
      </c>
      <c r="J51" s="492">
        <v>0</v>
      </c>
      <c r="K51" s="492">
        <v>0</v>
      </c>
      <c r="L51" s="492">
        <v>0</v>
      </c>
      <c r="M51" s="492">
        <v>25454545455</v>
      </c>
      <c r="N51" s="492">
        <v>25454545455</v>
      </c>
      <c r="O51" s="494">
        <v>25454545455</v>
      </c>
      <c r="P51" s="492">
        <v>25454545455</v>
      </c>
      <c r="Q51" s="492">
        <v>25454545455</v>
      </c>
      <c r="R51" s="492">
        <v>25454545455</v>
      </c>
      <c r="S51" s="492">
        <v>25454545455</v>
      </c>
      <c r="T51" s="492">
        <v>25454545455</v>
      </c>
      <c r="U51" s="492">
        <v>25454545455</v>
      </c>
      <c r="V51" s="492">
        <v>25454545455</v>
      </c>
      <c r="W51" s="492">
        <v>25454545455</v>
      </c>
      <c r="X51" s="492">
        <v>25454545455</v>
      </c>
      <c r="Y51" s="492">
        <v>25454545455</v>
      </c>
      <c r="Z51" s="492">
        <v>25454545455</v>
      </c>
      <c r="AA51" s="492">
        <v>24160519140</v>
      </c>
      <c r="AB51" s="492">
        <v>24160519140</v>
      </c>
      <c r="AC51" s="492">
        <v>24160519140</v>
      </c>
      <c r="AD51" s="492">
        <v>24160519140</v>
      </c>
      <c r="AE51" s="492">
        <v>24160519140</v>
      </c>
      <c r="AF51" s="492">
        <v>0</v>
      </c>
      <c r="AG51" s="492">
        <v>0</v>
      </c>
      <c r="AH51" s="492">
        <v>0</v>
      </c>
      <c r="AI51" s="492">
        <v>0</v>
      </c>
      <c r="AJ51" s="492">
        <v>0</v>
      </c>
      <c r="AK51" s="492">
        <v>0</v>
      </c>
      <c r="AL51" s="492">
        <v>0</v>
      </c>
    </row>
    <row r="52" spans="1:38" ht="15" customHeight="1">
      <c r="A52" s="514" t="s">
        <v>373</v>
      </c>
      <c r="B52" s="491">
        <v>47</v>
      </c>
      <c r="C52" s="492">
        <v>0</v>
      </c>
      <c r="D52" s="492">
        <v>0</v>
      </c>
      <c r="E52" s="492">
        <v>0</v>
      </c>
      <c r="F52" s="492">
        <v>0</v>
      </c>
      <c r="G52" s="492">
        <v>0</v>
      </c>
      <c r="H52" s="492">
        <v>0</v>
      </c>
      <c r="I52" s="492">
        <v>0</v>
      </c>
      <c r="J52" s="492">
        <v>0</v>
      </c>
      <c r="K52" s="492">
        <v>0</v>
      </c>
      <c r="L52" s="492">
        <v>0</v>
      </c>
      <c r="M52" s="492">
        <v>0</v>
      </c>
      <c r="N52" s="492">
        <v>-533655140</v>
      </c>
      <c r="O52" s="515">
        <v>-1067310280</v>
      </c>
      <c r="P52" s="492">
        <v>-1600965427</v>
      </c>
      <c r="Q52" s="492">
        <v>-2134620569</v>
      </c>
      <c r="R52" s="492">
        <v>-2668275712</v>
      </c>
      <c r="S52" s="492">
        <v>-3201930856</v>
      </c>
      <c r="T52" s="492">
        <v>-3735586000</v>
      </c>
      <c r="U52" s="492">
        <v>-4269241141</v>
      </c>
      <c r="V52" s="492">
        <v>-4802896284</v>
      </c>
      <c r="W52" s="492">
        <v>-5336551425</v>
      </c>
      <c r="X52" s="492">
        <v>-5870206567</v>
      </c>
      <c r="Y52" s="492">
        <v>-6403861711</v>
      </c>
      <c r="Z52" s="492">
        <v>-6937516854</v>
      </c>
      <c r="AA52" s="492">
        <v>-6475633112</v>
      </c>
      <c r="AB52" s="492">
        <v>-6610118399</v>
      </c>
      <c r="AC52" s="492">
        <v>-6744603693</v>
      </c>
      <c r="AD52" s="492">
        <v>-6879088989</v>
      </c>
      <c r="AE52" s="492">
        <v>-7013574276</v>
      </c>
      <c r="AF52" s="492">
        <v>0</v>
      </c>
      <c r="AG52" s="492">
        <v>0</v>
      </c>
      <c r="AH52" s="492">
        <v>0</v>
      </c>
      <c r="AI52" s="492">
        <v>0</v>
      </c>
      <c r="AJ52" s="492">
        <v>0</v>
      </c>
      <c r="AK52" s="492">
        <v>0</v>
      </c>
      <c r="AL52" s="492">
        <v>0</v>
      </c>
    </row>
    <row r="53" spans="1:38" ht="15" customHeight="1">
      <c r="A53" s="513" t="s">
        <v>374</v>
      </c>
      <c r="B53" s="495">
        <v>48</v>
      </c>
      <c r="C53" s="498">
        <v>1632227376</v>
      </c>
      <c r="D53" s="498">
        <v>1598433349</v>
      </c>
      <c r="E53" s="498">
        <v>1995939361</v>
      </c>
      <c r="F53" s="498">
        <v>1950164777</v>
      </c>
      <c r="G53" s="498">
        <v>1904390193</v>
      </c>
      <c r="H53" s="498">
        <v>1858615606</v>
      </c>
      <c r="I53" s="498">
        <v>1812841022</v>
      </c>
      <c r="J53" s="498">
        <v>1767066439</v>
      </c>
      <c r="K53" s="498">
        <v>1721291855</v>
      </c>
      <c r="L53" s="498">
        <v>1675517270</v>
      </c>
      <c r="M53" s="498">
        <v>1629742687</v>
      </c>
      <c r="N53" s="499">
        <v>2113091002</v>
      </c>
      <c r="O53" s="499">
        <v>2052618559</v>
      </c>
      <c r="P53" s="499">
        <v>1992146117</v>
      </c>
      <c r="Q53" s="499">
        <v>2419284458</v>
      </c>
      <c r="R53" s="499">
        <v>2345267270</v>
      </c>
      <c r="S53" s="499">
        <v>2271250084</v>
      </c>
      <c r="T53" s="499">
        <v>2197232896</v>
      </c>
      <c r="U53" s="499">
        <v>2123215711</v>
      </c>
      <c r="V53" s="499">
        <v>2049198525</v>
      </c>
      <c r="W53" s="499">
        <v>3915136475</v>
      </c>
      <c r="X53" s="499">
        <v>3802195176</v>
      </c>
      <c r="Y53" s="499">
        <v>3689253877</v>
      </c>
      <c r="Z53" s="499">
        <v>3576312578</v>
      </c>
      <c r="AA53" s="499">
        <v>3526365654</v>
      </c>
      <c r="AB53" s="499">
        <v>3476418728</v>
      </c>
      <c r="AC53" s="499">
        <v>3426471804</v>
      </c>
      <c r="AD53" s="499">
        <v>3376524877</v>
      </c>
      <c r="AE53" s="499">
        <v>3326577952</v>
      </c>
      <c r="AF53" s="499">
        <v>0</v>
      </c>
      <c r="AG53" s="499">
        <v>0</v>
      </c>
      <c r="AH53" s="499">
        <v>0</v>
      </c>
      <c r="AI53" s="499">
        <v>0</v>
      </c>
      <c r="AJ53" s="499">
        <v>0</v>
      </c>
      <c r="AK53" s="499">
        <v>0</v>
      </c>
      <c r="AL53" s="499">
        <v>0</v>
      </c>
    </row>
    <row r="54" spans="1:38" ht="15" customHeight="1">
      <c r="A54" s="514" t="s">
        <v>375</v>
      </c>
      <c r="B54" s="491">
        <v>49</v>
      </c>
      <c r="C54" s="492">
        <v>2646035060</v>
      </c>
      <c r="D54" s="492">
        <v>2646035060</v>
      </c>
      <c r="E54" s="492">
        <v>3077335099</v>
      </c>
      <c r="F54" s="492">
        <v>3077335099</v>
      </c>
      <c r="G54" s="492">
        <v>3077335099</v>
      </c>
      <c r="H54" s="492">
        <v>3077335099</v>
      </c>
      <c r="I54" s="492">
        <v>3077335099</v>
      </c>
      <c r="J54" s="492">
        <v>3077335099</v>
      </c>
      <c r="K54" s="492">
        <v>3077335099</v>
      </c>
      <c r="L54" s="492">
        <v>3077335099</v>
      </c>
      <c r="M54" s="492">
        <v>3077335099</v>
      </c>
      <c r="N54" s="492">
        <v>3606457998</v>
      </c>
      <c r="O54" s="493">
        <v>3606457998</v>
      </c>
      <c r="P54" s="516">
        <v>3606457998</v>
      </c>
      <c r="Q54" s="492">
        <v>4094068781</v>
      </c>
      <c r="R54" s="492">
        <v>4094068781</v>
      </c>
      <c r="S54" s="492">
        <v>4094068781</v>
      </c>
      <c r="T54" s="492">
        <v>4094068781</v>
      </c>
      <c r="U54" s="492">
        <v>4094068781</v>
      </c>
      <c r="V54" s="492">
        <v>4094068781</v>
      </c>
      <c r="W54" s="492">
        <v>6032562739</v>
      </c>
      <c r="X54" s="492">
        <v>6032562739</v>
      </c>
      <c r="Y54" s="492">
        <v>6032562739</v>
      </c>
      <c r="Z54" s="492">
        <v>6032562739</v>
      </c>
      <c r="AA54" s="492">
        <v>6032562739</v>
      </c>
      <c r="AB54" s="492">
        <v>6032562739</v>
      </c>
      <c r="AC54" s="492">
        <v>6032562739</v>
      </c>
      <c r="AD54" s="492">
        <v>6032562739</v>
      </c>
      <c r="AE54" s="492">
        <v>6032562739</v>
      </c>
      <c r="AF54" s="492">
        <v>0</v>
      </c>
      <c r="AG54" s="492">
        <v>0</v>
      </c>
      <c r="AH54" s="492">
        <v>0</v>
      </c>
      <c r="AI54" s="492">
        <v>0</v>
      </c>
      <c r="AJ54" s="492">
        <v>0</v>
      </c>
      <c r="AK54" s="492">
        <v>0</v>
      </c>
      <c r="AL54" s="492">
        <v>0</v>
      </c>
    </row>
    <row r="55" spans="1:38" ht="15" customHeight="1">
      <c r="A55" s="514" t="s">
        <v>376</v>
      </c>
      <c r="B55" s="491">
        <v>50</v>
      </c>
      <c r="C55" s="492">
        <v>-1013807684</v>
      </c>
      <c r="D55" s="492">
        <v>-1047601711</v>
      </c>
      <c r="E55" s="492">
        <v>-1081395738</v>
      </c>
      <c r="F55" s="492">
        <v>-1127170322</v>
      </c>
      <c r="G55" s="492">
        <v>-1172944906</v>
      </c>
      <c r="H55" s="492">
        <v>-1218719493</v>
      </c>
      <c r="I55" s="492">
        <v>-1264494077</v>
      </c>
      <c r="J55" s="492">
        <v>-1310268660</v>
      </c>
      <c r="K55" s="492">
        <v>-1356043244</v>
      </c>
      <c r="L55" s="492">
        <v>-1401817829</v>
      </c>
      <c r="M55" s="492">
        <v>-1447592412</v>
      </c>
      <c r="N55" s="492">
        <v>-1493366996</v>
      </c>
      <c r="O55" s="517">
        <v>-1553839439</v>
      </c>
      <c r="P55" s="516">
        <v>-1614311881</v>
      </c>
      <c r="Q55" s="492">
        <v>-1674784323</v>
      </c>
      <c r="R55" s="492">
        <v>-1748801511</v>
      </c>
      <c r="S55" s="492">
        <v>-1822818697</v>
      </c>
      <c r="T55" s="492">
        <v>-1896835885</v>
      </c>
      <c r="U55" s="492">
        <v>-1970853070</v>
      </c>
      <c r="V55" s="492">
        <v>-2044870256</v>
      </c>
      <c r="W55" s="492">
        <v>-2117426264</v>
      </c>
      <c r="X55" s="492">
        <v>-2230367563</v>
      </c>
      <c r="Y55" s="492">
        <v>-2343308862</v>
      </c>
      <c r="Z55" s="492">
        <v>-2456250161</v>
      </c>
      <c r="AA55" s="492">
        <v>-2506197085</v>
      </c>
      <c r="AB55" s="492">
        <v>-2556144011</v>
      </c>
      <c r="AC55" s="492">
        <v>-2606090935</v>
      </c>
      <c r="AD55" s="492">
        <v>-2656037862</v>
      </c>
      <c r="AE55" s="492">
        <v>-2705984787</v>
      </c>
      <c r="AF55" s="492">
        <v>0</v>
      </c>
      <c r="AG55" s="492">
        <v>0</v>
      </c>
      <c r="AH55" s="492">
        <v>0</v>
      </c>
      <c r="AI55" s="492">
        <v>0</v>
      </c>
      <c r="AJ55" s="492">
        <v>0</v>
      </c>
      <c r="AK55" s="492">
        <v>0</v>
      </c>
      <c r="AL55" s="492">
        <v>0</v>
      </c>
    </row>
    <row r="56" spans="1:38" ht="15" customHeight="1">
      <c r="A56" s="511" t="s">
        <v>377</v>
      </c>
      <c r="B56" s="495">
        <v>51</v>
      </c>
      <c r="C56" s="492">
        <v>0</v>
      </c>
      <c r="D56" s="492">
        <v>0</v>
      </c>
      <c r="E56" s="492">
        <v>0</v>
      </c>
      <c r="F56" s="492">
        <v>0</v>
      </c>
      <c r="G56" s="492">
        <v>0</v>
      </c>
      <c r="H56" s="492">
        <v>0</v>
      </c>
      <c r="I56" s="492">
        <v>0</v>
      </c>
      <c r="J56" s="492">
        <v>0</v>
      </c>
      <c r="K56" s="492">
        <v>0</v>
      </c>
      <c r="L56" s="492">
        <v>0</v>
      </c>
      <c r="M56" s="492">
        <v>0</v>
      </c>
      <c r="N56" s="492">
        <v>0</v>
      </c>
      <c r="O56" s="518">
        <v>0</v>
      </c>
      <c r="P56" s="516">
        <v>0</v>
      </c>
      <c r="Q56" s="492">
        <v>0</v>
      </c>
      <c r="R56" s="492">
        <v>0</v>
      </c>
      <c r="S56" s="492">
        <v>0</v>
      </c>
      <c r="T56" s="492">
        <v>0</v>
      </c>
      <c r="U56" s="492">
        <v>0</v>
      </c>
      <c r="V56" s="492">
        <v>0</v>
      </c>
      <c r="W56" s="492">
        <v>0</v>
      </c>
      <c r="X56" s="492">
        <v>0</v>
      </c>
      <c r="Y56" s="492">
        <v>0</v>
      </c>
      <c r="Z56" s="492">
        <v>0</v>
      </c>
      <c r="AA56" s="492">
        <v>0</v>
      </c>
      <c r="AB56" s="492">
        <v>0</v>
      </c>
      <c r="AC56" s="492">
        <v>0</v>
      </c>
      <c r="AD56" s="492">
        <v>0</v>
      </c>
      <c r="AE56" s="492"/>
      <c r="AF56" s="492">
        <v>0</v>
      </c>
      <c r="AG56" s="492">
        <v>0</v>
      </c>
      <c r="AH56" s="492">
        <v>0</v>
      </c>
      <c r="AI56" s="492">
        <v>0</v>
      </c>
      <c r="AJ56" s="492">
        <v>0</v>
      </c>
      <c r="AK56" s="492">
        <v>0</v>
      </c>
      <c r="AL56" s="492">
        <v>0</v>
      </c>
    </row>
    <row r="57" spans="1:38" ht="15" customHeight="1">
      <c r="A57" s="519" t="s">
        <v>378</v>
      </c>
      <c r="B57" s="491">
        <v>52</v>
      </c>
      <c r="C57" s="492">
        <v>0</v>
      </c>
      <c r="D57" s="492">
        <v>0</v>
      </c>
      <c r="E57" s="492">
        <v>0</v>
      </c>
      <c r="F57" s="492">
        <v>0</v>
      </c>
      <c r="G57" s="492">
        <v>0</v>
      </c>
      <c r="H57" s="492">
        <v>0</v>
      </c>
      <c r="I57" s="492">
        <v>0</v>
      </c>
      <c r="J57" s="492">
        <v>0</v>
      </c>
      <c r="K57" s="492">
        <v>0</v>
      </c>
      <c r="L57" s="492">
        <v>0</v>
      </c>
      <c r="M57" s="492">
        <v>0</v>
      </c>
      <c r="N57" s="492">
        <v>0</v>
      </c>
      <c r="O57" s="518">
        <v>0</v>
      </c>
      <c r="P57" s="516">
        <v>0</v>
      </c>
      <c r="Q57" s="492">
        <v>0</v>
      </c>
      <c r="R57" s="492">
        <v>0</v>
      </c>
      <c r="S57" s="492">
        <v>0</v>
      </c>
      <c r="T57" s="492">
        <v>0</v>
      </c>
      <c r="U57" s="492">
        <v>0</v>
      </c>
      <c r="V57" s="492">
        <v>0</v>
      </c>
      <c r="W57" s="492">
        <v>0</v>
      </c>
      <c r="X57" s="492">
        <v>0</v>
      </c>
      <c r="Y57" s="492">
        <v>0</v>
      </c>
      <c r="Z57" s="492">
        <v>0</v>
      </c>
      <c r="AA57" s="492">
        <v>0</v>
      </c>
      <c r="AB57" s="492">
        <v>0</v>
      </c>
      <c r="AC57" s="492">
        <v>0</v>
      </c>
      <c r="AD57" s="492">
        <v>0</v>
      </c>
      <c r="AE57" s="492"/>
      <c r="AF57" s="492">
        <v>0</v>
      </c>
      <c r="AG57" s="492">
        <v>0</v>
      </c>
      <c r="AH57" s="492">
        <v>0</v>
      </c>
      <c r="AI57" s="492">
        <v>0</v>
      </c>
      <c r="AJ57" s="492">
        <v>0</v>
      </c>
      <c r="AK57" s="492">
        <v>0</v>
      </c>
      <c r="AL57" s="492">
        <v>0</v>
      </c>
    </row>
    <row r="58" spans="1:38" ht="15" customHeight="1">
      <c r="A58" s="514" t="s">
        <v>379</v>
      </c>
      <c r="B58" s="491">
        <v>53</v>
      </c>
      <c r="C58" s="492">
        <v>0</v>
      </c>
      <c r="D58" s="492">
        <v>0</v>
      </c>
      <c r="E58" s="492">
        <v>0</v>
      </c>
      <c r="F58" s="492">
        <v>0</v>
      </c>
      <c r="G58" s="492">
        <v>0</v>
      </c>
      <c r="H58" s="492">
        <v>0</v>
      </c>
      <c r="I58" s="492">
        <v>0</v>
      </c>
      <c r="J58" s="492">
        <v>0</v>
      </c>
      <c r="K58" s="492">
        <v>0</v>
      </c>
      <c r="L58" s="492">
        <v>0</v>
      </c>
      <c r="M58" s="492">
        <v>0</v>
      </c>
      <c r="N58" s="492">
        <v>0</v>
      </c>
      <c r="O58" s="518">
        <v>0</v>
      </c>
      <c r="P58" s="516">
        <v>0</v>
      </c>
      <c r="Q58" s="492">
        <v>0</v>
      </c>
      <c r="R58" s="492">
        <v>0</v>
      </c>
      <c r="S58" s="492">
        <v>0</v>
      </c>
      <c r="T58" s="492">
        <v>0</v>
      </c>
      <c r="U58" s="492">
        <v>0</v>
      </c>
      <c r="V58" s="492">
        <v>0</v>
      </c>
      <c r="W58" s="492">
        <v>0</v>
      </c>
      <c r="X58" s="492">
        <v>0</v>
      </c>
      <c r="Y58" s="492">
        <v>0</v>
      </c>
      <c r="Z58" s="492">
        <v>0</v>
      </c>
      <c r="AA58" s="492">
        <v>0</v>
      </c>
      <c r="AB58" s="492">
        <v>0</v>
      </c>
      <c r="AC58" s="492">
        <v>0</v>
      </c>
      <c r="AD58" s="492">
        <v>0</v>
      </c>
      <c r="AE58" s="492"/>
      <c r="AF58" s="492">
        <v>0</v>
      </c>
      <c r="AG58" s="492">
        <v>0</v>
      </c>
      <c r="AH58" s="492">
        <v>0</v>
      </c>
      <c r="AI58" s="492">
        <v>0</v>
      </c>
      <c r="AJ58" s="492">
        <v>0</v>
      </c>
      <c r="AK58" s="492">
        <v>0</v>
      </c>
      <c r="AL58" s="492">
        <v>0</v>
      </c>
    </row>
    <row r="59" spans="1:38" ht="15" customHeight="1">
      <c r="A59" s="514" t="s">
        <v>380</v>
      </c>
      <c r="B59" s="491">
        <v>54</v>
      </c>
      <c r="C59" s="492">
        <v>0</v>
      </c>
      <c r="D59" s="492">
        <v>0</v>
      </c>
      <c r="E59" s="492">
        <v>0</v>
      </c>
      <c r="F59" s="492">
        <v>0</v>
      </c>
      <c r="G59" s="492">
        <v>0</v>
      </c>
      <c r="H59" s="492">
        <v>0</v>
      </c>
      <c r="I59" s="492">
        <v>0</v>
      </c>
      <c r="J59" s="492">
        <v>0</v>
      </c>
      <c r="K59" s="492">
        <v>0</v>
      </c>
      <c r="L59" s="492">
        <v>0</v>
      </c>
      <c r="M59" s="492">
        <v>0</v>
      </c>
      <c r="N59" s="492">
        <v>0</v>
      </c>
      <c r="O59" s="518">
        <v>0</v>
      </c>
      <c r="P59" s="516">
        <v>0</v>
      </c>
      <c r="Q59" s="492">
        <v>0</v>
      </c>
      <c r="R59" s="492">
        <v>0</v>
      </c>
      <c r="S59" s="492">
        <v>0</v>
      </c>
      <c r="T59" s="492">
        <v>0</v>
      </c>
      <c r="U59" s="492">
        <v>0</v>
      </c>
      <c r="V59" s="492">
        <v>0</v>
      </c>
      <c r="W59" s="492">
        <v>0</v>
      </c>
      <c r="X59" s="492">
        <v>0</v>
      </c>
      <c r="Y59" s="492">
        <v>0</v>
      </c>
      <c r="Z59" s="492">
        <v>0</v>
      </c>
      <c r="AA59" s="492">
        <v>0</v>
      </c>
      <c r="AB59" s="492">
        <v>0</v>
      </c>
      <c r="AC59" s="492">
        <v>0</v>
      </c>
      <c r="AD59" s="492">
        <v>0</v>
      </c>
      <c r="AE59" s="492"/>
      <c r="AF59" s="492">
        <v>0</v>
      </c>
      <c r="AG59" s="492">
        <v>0</v>
      </c>
      <c r="AH59" s="492">
        <v>0</v>
      </c>
      <c r="AI59" s="492">
        <v>0</v>
      </c>
      <c r="AJ59" s="492">
        <v>0</v>
      </c>
      <c r="AK59" s="492">
        <v>0</v>
      </c>
      <c r="AL59" s="492">
        <v>0</v>
      </c>
    </row>
    <row r="60" spans="1:38" ht="15" customHeight="1">
      <c r="A60" s="520" t="s">
        <v>381</v>
      </c>
      <c r="B60" s="491">
        <v>55</v>
      </c>
      <c r="C60" s="492">
        <v>0</v>
      </c>
      <c r="D60" s="492">
        <v>0</v>
      </c>
      <c r="E60" s="492">
        <v>0</v>
      </c>
      <c r="F60" s="492">
        <v>0</v>
      </c>
      <c r="G60" s="492">
        <v>0</v>
      </c>
      <c r="H60" s="492">
        <v>0</v>
      </c>
      <c r="I60" s="492">
        <v>0</v>
      </c>
      <c r="J60" s="492">
        <v>0</v>
      </c>
      <c r="K60" s="492">
        <v>0</v>
      </c>
      <c r="L60" s="492">
        <v>0</v>
      </c>
      <c r="M60" s="492">
        <v>0</v>
      </c>
      <c r="N60" s="492">
        <v>0</v>
      </c>
      <c r="O60" s="518">
        <v>0</v>
      </c>
      <c r="P60" s="516">
        <v>0</v>
      </c>
      <c r="Q60" s="492">
        <v>0</v>
      </c>
      <c r="R60" s="492">
        <v>0</v>
      </c>
      <c r="S60" s="492">
        <v>0</v>
      </c>
      <c r="T60" s="492">
        <v>0</v>
      </c>
      <c r="U60" s="492">
        <v>0</v>
      </c>
      <c r="V60" s="492">
        <v>0</v>
      </c>
      <c r="W60" s="492">
        <v>0</v>
      </c>
      <c r="X60" s="492">
        <v>0</v>
      </c>
      <c r="Y60" s="492">
        <v>0</v>
      </c>
      <c r="Z60" s="492">
        <v>0</v>
      </c>
      <c r="AA60" s="492">
        <v>0</v>
      </c>
      <c r="AB60" s="492">
        <v>0</v>
      </c>
      <c r="AC60" s="492">
        <v>0</v>
      </c>
      <c r="AD60" s="492">
        <v>0</v>
      </c>
      <c r="AE60" s="492"/>
      <c r="AF60" s="492">
        <v>0</v>
      </c>
      <c r="AG60" s="492">
        <v>0</v>
      </c>
      <c r="AH60" s="492">
        <v>0</v>
      </c>
      <c r="AI60" s="492">
        <v>0</v>
      </c>
      <c r="AJ60" s="492">
        <v>0</v>
      </c>
      <c r="AK60" s="492">
        <v>0</v>
      </c>
      <c r="AL60" s="492">
        <v>0</v>
      </c>
    </row>
    <row r="61" spans="1:38" ht="15" customHeight="1">
      <c r="A61" s="520" t="s">
        <v>382</v>
      </c>
      <c r="B61" s="491">
        <v>56</v>
      </c>
      <c r="C61" s="492">
        <v>0</v>
      </c>
      <c r="D61" s="492">
        <v>0</v>
      </c>
      <c r="E61" s="492">
        <v>0</v>
      </c>
      <c r="F61" s="492">
        <v>0</v>
      </c>
      <c r="G61" s="492">
        <v>0</v>
      </c>
      <c r="H61" s="492">
        <v>0</v>
      </c>
      <c r="I61" s="492">
        <v>0</v>
      </c>
      <c r="J61" s="492">
        <v>0</v>
      </c>
      <c r="K61" s="492">
        <v>0</v>
      </c>
      <c r="L61" s="492">
        <v>0</v>
      </c>
      <c r="M61" s="492">
        <v>0</v>
      </c>
      <c r="N61" s="492">
        <v>0</v>
      </c>
      <c r="O61" s="518">
        <v>0</v>
      </c>
      <c r="P61" s="516">
        <v>0</v>
      </c>
      <c r="Q61" s="492">
        <v>0</v>
      </c>
      <c r="R61" s="492">
        <v>0</v>
      </c>
      <c r="S61" s="492">
        <v>0</v>
      </c>
      <c r="T61" s="492">
        <v>0</v>
      </c>
      <c r="U61" s="492">
        <v>0</v>
      </c>
      <c r="V61" s="492">
        <v>0</v>
      </c>
      <c r="W61" s="492">
        <v>0</v>
      </c>
      <c r="X61" s="492">
        <v>0</v>
      </c>
      <c r="Y61" s="492">
        <v>0</v>
      </c>
      <c r="Z61" s="492">
        <v>0</v>
      </c>
      <c r="AA61" s="492">
        <v>0</v>
      </c>
      <c r="AB61" s="492">
        <v>0</v>
      </c>
      <c r="AC61" s="492">
        <v>0</v>
      </c>
      <c r="AD61" s="492">
        <v>0</v>
      </c>
      <c r="AE61" s="492"/>
      <c r="AF61" s="492">
        <v>0</v>
      </c>
      <c r="AG61" s="492">
        <v>0</v>
      </c>
      <c r="AH61" s="492">
        <v>0</v>
      </c>
      <c r="AI61" s="492">
        <v>0</v>
      </c>
      <c r="AJ61" s="492">
        <v>0</v>
      </c>
      <c r="AK61" s="492">
        <v>0</v>
      </c>
      <c r="AL61" s="492">
        <v>0</v>
      </c>
    </row>
    <row r="62" spans="1:38" ht="15" customHeight="1">
      <c r="A62" s="519" t="s">
        <v>383</v>
      </c>
      <c r="B62" s="491">
        <v>57</v>
      </c>
      <c r="C62" s="492">
        <v>0</v>
      </c>
      <c r="D62" s="492">
        <v>0</v>
      </c>
      <c r="E62" s="492">
        <v>0</v>
      </c>
      <c r="F62" s="492">
        <v>0</v>
      </c>
      <c r="G62" s="492">
        <v>0</v>
      </c>
      <c r="H62" s="492">
        <v>0</v>
      </c>
      <c r="I62" s="492">
        <v>0</v>
      </c>
      <c r="J62" s="492">
        <v>0</v>
      </c>
      <c r="K62" s="492">
        <v>0</v>
      </c>
      <c r="L62" s="492">
        <v>0</v>
      </c>
      <c r="M62" s="492">
        <v>0</v>
      </c>
      <c r="N62" s="492">
        <v>0</v>
      </c>
      <c r="O62" s="518">
        <v>0</v>
      </c>
      <c r="P62" s="516">
        <v>0</v>
      </c>
      <c r="Q62" s="492">
        <v>0</v>
      </c>
      <c r="R62" s="492">
        <v>0</v>
      </c>
      <c r="S62" s="492">
        <v>0</v>
      </c>
      <c r="T62" s="492">
        <v>0</v>
      </c>
      <c r="U62" s="492">
        <v>0</v>
      </c>
      <c r="V62" s="492">
        <v>0</v>
      </c>
      <c r="W62" s="492">
        <v>0</v>
      </c>
      <c r="X62" s="492">
        <v>0</v>
      </c>
      <c r="Y62" s="492">
        <v>0</v>
      </c>
      <c r="Z62" s="492">
        <v>0</v>
      </c>
      <c r="AA62" s="492">
        <v>0</v>
      </c>
      <c r="AB62" s="492">
        <v>0</v>
      </c>
      <c r="AC62" s="492">
        <v>0</v>
      </c>
      <c r="AD62" s="492">
        <v>0</v>
      </c>
      <c r="AE62" s="492"/>
      <c r="AF62" s="492">
        <v>0</v>
      </c>
      <c r="AG62" s="492">
        <v>0</v>
      </c>
      <c r="AH62" s="492">
        <v>0</v>
      </c>
      <c r="AI62" s="492">
        <v>0</v>
      </c>
      <c r="AJ62" s="492">
        <v>0</v>
      </c>
      <c r="AK62" s="492">
        <v>0</v>
      </c>
      <c r="AL62" s="492">
        <v>0</v>
      </c>
    </row>
    <row r="63" spans="1:38" ht="15" customHeight="1">
      <c r="A63" s="519" t="s">
        <v>384</v>
      </c>
      <c r="B63" s="491">
        <v>58</v>
      </c>
      <c r="C63" s="492">
        <v>0</v>
      </c>
      <c r="D63" s="492">
        <v>0</v>
      </c>
      <c r="E63" s="492">
        <v>0</v>
      </c>
      <c r="F63" s="492">
        <v>0</v>
      </c>
      <c r="G63" s="492">
        <v>0</v>
      </c>
      <c r="H63" s="492">
        <v>0</v>
      </c>
      <c r="I63" s="492">
        <v>0</v>
      </c>
      <c r="J63" s="492">
        <v>0</v>
      </c>
      <c r="K63" s="492">
        <v>0</v>
      </c>
      <c r="L63" s="492">
        <v>0</v>
      </c>
      <c r="M63" s="492">
        <v>0</v>
      </c>
      <c r="N63" s="492">
        <v>0</v>
      </c>
      <c r="O63" s="518">
        <v>0</v>
      </c>
      <c r="P63" s="516">
        <v>0</v>
      </c>
      <c r="Q63" s="492">
        <v>0</v>
      </c>
      <c r="R63" s="492">
        <v>0</v>
      </c>
      <c r="S63" s="492">
        <v>0</v>
      </c>
      <c r="T63" s="492">
        <v>0</v>
      </c>
      <c r="U63" s="492">
        <v>0</v>
      </c>
      <c r="V63" s="492">
        <v>0</v>
      </c>
      <c r="W63" s="492">
        <v>0</v>
      </c>
      <c r="X63" s="492">
        <v>0</v>
      </c>
      <c r="Y63" s="492">
        <v>0</v>
      </c>
      <c r="Z63" s="492">
        <v>0</v>
      </c>
      <c r="AA63" s="492">
        <v>0</v>
      </c>
      <c r="AB63" s="492">
        <v>0</v>
      </c>
      <c r="AC63" s="492">
        <v>0</v>
      </c>
      <c r="AD63" s="492">
        <v>0</v>
      </c>
      <c r="AE63" s="492"/>
      <c r="AF63" s="492">
        <v>0</v>
      </c>
      <c r="AG63" s="492">
        <v>0</v>
      </c>
      <c r="AH63" s="492">
        <v>0</v>
      </c>
      <c r="AI63" s="492">
        <v>0</v>
      </c>
      <c r="AJ63" s="492">
        <v>0</v>
      </c>
      <c r="AK63" s="492">
        <v>0</v>
      </c>
      <c r="AL63" s="492">
        <v>0</v>
      </c>
    </row>
    <row r="64" spans="1:38" ht="15" customHeight="1">
      <c r="A64" s="519" t="s">
        <v>385</v>
      </c>
      <c r="B64" s="491">
        <v>59</v>
      </c>
      <c r="C64" s="492">
        <v>0</v>
      </c>
      <c r="D64" s="492">
        <v>0</v>
      </c>
      <c r="E64" s="492">
        <v>0</v>
      </c>
      <c r="F64" s="492">
        <v>0</v>
      </c>
      <c r="G64" s="492">
        <v>0</v>
      </c>
      <c r="H64" s="492">
        <v>0</v>
      </c>
      <c r="I64" s="492">
        <v>0</v>
      </c>
      <c r="J64" s="492">
        <v>0</v>
      </c>
      <c r="K64" s="492">
        <v>0</v>
      </c>
      <c r="L64" s="492">
        <v>0</v>
      </c>
      <c r="M64" s="492">
        <v>0</v>
      </c>
      <c r="N64" s="492">
        <v>0</v>
      </c>
      <c r="O64" s="518">
        <v>0</v>
      </c>
      <c r="P64" s="516">
        <v>0</v>
      </c>
      <c r="Q64" s="492">
        <v>0</v>
      </c>
      <c r="R64" s="492">
        <v>0</v>
      </c>
      <c r="S64" s="492">
        <v>0</v>
      </c>
      <c r="T64" s="492">
        <v>0</v>
      </c>
      <c r="U64" s="492">
        <v>0</v>
      </c>
      <c r="V64" s="492">
        <v>0</v>
      </c>
      <c r="W64" s="492">
        <v>0</v>
      </c>
      <c r="X64" s="492">
        <v>0</v>
      </c>
      <c r="Y64" s="492">
        <v>0</v>
      </c>
      <c r="Z64" s="492">
        <v>0</v>
      </c>
      <c r="AA64" s="492">
        <v>0</v>
      </c>
      <c r="AB64" s="492">
        <v>0</v>
      </c>
      <c r="AC64" s="492">
        <v>0</v>
      </c>
      <c r="AD64" s="492">
        <v>0</v>
      </c>
      <c r="AE64" s="492"/>
      <c r="AF64" s="492">
        <v>0</v>
      </c>
      <c r="AG64" s="492">
        <v>0</v>
      </c>
      <c r="AH64" s="492">
        <v>0</v>
      </c>
      <c r="AI64" s="492">
        <v>0</v>
      </c>
      <c r="AJ64" s="492">
        <v>0</v>
      </c>
      <c r="AK64" s="492">
        <v>0</v>
      </c>
      <c r="AL64" s="492">
        <v>0</v>
      </c>
    </row>
    <row r="65" spans="1:38" ht="15" customHeight="1">
      <c r="A65" s="511" t="s">
        <v>386</v>
      </c>
      <c r="B65" s="495">
        <v>60</v>
      </c>
      <c r="C65" s="496">
        <v>0</v>
      </c>
      <c r="D65" s="496">
        <v>0</v>
      </c>
      <c r="E65" s="496">
        <v>0</v>
      </c>
      <c r="F65" s="496">
        <v>0</v>
      </c>
      <c r="G65" s="496">
        <v>0</v>
      </c>
      <c r="H65" s="496">
        <v>0</v>
      </c>
      <c r="I65" s="496">
        <v>0</v>
      </c>
      <c r="J65" s="496">
        <v>0</v>
      </c>
      <c r="K65" s="496">
        <v>0</v>
      </c>
      <c r="L65" s="496">
        <v>0</v>
      </c>
      <c r="M65" s="496">
        <v>0</v>
      </c>
      <c r="N65" s="496">
        <v>0</v>
      </c>
      <c r="O65" s="496">
        <v>0</v>
      </c>
      <c r="P65" s="496">
        <v>0</v>
      </c>
      <c r="Q65" s="496">
        <v>0</v>
      </c>
      <c r="R65" s="496">
        <v>0</v>
      </c>
      <c r="S65" s="496">
        <v>0</v>
      </c>
      <c r="T65" s="496">
        <v>0</v>
      </c>
      <c r="U65" s="496">
        <v>0</v>
      </c>
      <c r="V65" s="496">
        <v>0</v>
      </c>
      <c r="W65" s="496">
        <v>0</v>
      </c>
      <c r="X65" s="496">
        <v>0</v>
      </c>
      <c r="Y65" s="496">
        <v>0</v>
      </c>
      <c r="Z65" s="496">
        <v>0</v>
      </c>
      <c r="AA65" s="496">
        <v>0</v>
      </c>
      <c r="AB65" s="496">
        <v>0</v>
      </c>
      <c r="AC65" s="496">
        <v>0</v>
      </c>
      <c r="AD65" s="496">
        <v>0</v>
      </c>
      <c r="AE65" s="496"/>
      <c r="AF65" s="496">
        <v>0</v>
      </c>
      <c r="AG65" s="496">
        <v>0</v>
      </c>
      <c r="AH65" s="496">
        <v>0</v>
      </c>
      <c r="AI65" s="496">
        <v>0</v>
      </c>
      <c r="AJ65" s="496">
        <v>0</v>
      </c>
      <c r="AK65" s="496">
        <v>0</v>
      </c>
      <c r="AL65" s="496">
        <v>0</v>
      </c>
    </row>
    <row r="66" spans="1:38" ht="15" customHeight="1">
      <c r="A66" s="490" t="s">
        <v>387</v>
      </c>
      <c r="B66" s="491">
        <v>61</v>
      </c>
      <c r="C66" s="492">
        <v>0</v>
      </c>
      <c r="D66" s="492">
        <v>0</v>
      </c>
      <c r="E66" s="492">
        <v>0</v>
      </c>
      <c r="F66" s="492">
        <v>0</v>
      </c>
      <c r="G66" s="492">
        <v>0</v>
      </c>
      <c r="H66" s="492">
        <v>0</v>
      </c>
      <c r="I66" s="492">
        <v>0</v>
      </c>
      <c r="J66" s="492">
        <v>0</v>
      </c>
      <c r="K66" s="492">
        <v>0</v>
      </c>
      <c r="L66" s="492">
        <v>0</v>
      </c>
      <c r="M66" s="492">
        <v>0</v>
      </c>
      <c r="N66" s="492">
        <v>0</v>
      </c>
      <c r="O66" s="492">
        <v>0</v>
      </c>
      <c r="P66" s="492">
        <v>0</v>
      </c>
      <c r="Q66" s="492">
        <v>0</v>
      </c>
      <c r="R66" s="492">
        <v>0</v>
      </c>
      <c r="S66" s="492">
        <v>0</v>
      </c>
      <c r="T66" s="492">
        <v>0</v>
      </c>
      <c r="U66" s="492">
        <v>0</v>
      </c>
      <c r="V66" s="492">
        <v>0</v>
      </c>
      <c r="W66" s="492">
        <v>0</v>
      </c>
      <c r="X66" s="492">
        <v>0</v>
      </c>
      <c r="Y66" s="492">
        <v>0</v>
      </c>
      <c r="Z66" s="492">
        <v>0</v>
      </c>
      <c r="AA66" s="492">
        <v>0</v>
      </c>
      <c r="AB66" s="492">
        <v>0</v>
      </c>
      <c r="AC66" s="492">
        <v>0</v>
      </c>
      <c r="AD66" s="492">
        <v>0</v>
      </c>
      <c r="AE66" s="492"/>
      <c r="AF66" s="492">
        <v>0</v>
      </c>
      <c r="AG66" s="492">
        <v>0</v>
      </c>
      <c r="AH66" s="492">
        <v>0</v>
      </c>
      <c r="AI66" s="492">
        <v>0</v>
      </c>
      <c r="AJ66" s="492">
        <v>0</v>
      </c>
      <c r="AK66" s="492">
        <v>0</v>
      </c>
      <c r="AL66" s="492">
        <v>0</v>
      </c>
    </row>
    <row r="67" spans="1:38" ht="15" customHeight="1">
      <c r="A67" s="490" t="s">
        <v>388</v>
      </c>
      <c r="B67" s="491">
        <v>62</v>
      </c>
      <c r="C67" s="492">
        <v>0</v>
      </c>
      <c r="D67" s="492">
        <v>0</v>
      </c>
      <c r="E67" s="492">
        <v>0</v>
      </c>
      <c r="F67" s="492">
        <v>0</v>
      </c>
      <c r="G67" s="492">
        <v>0</v>
      </c>
      <c r="H67" s="492">
        <v>0</v>
      </c>
      <c r="I67" s="492">
        <v>0</v>
      </c>
      <c r="J67" s="492">
        <v>0</v>
      </c>
      <c r="K67" s="492">
        <v>0</v>
      </c>
      <c r="L67" s="492">
        <v>0</v>
      </c>
      <c r="M67" s="492">
        <v>0</v>
      </c>
      <c r="N67" s="492">
        <v>0</v>
      </c>
      <c r="O67" s="492">
        <v>0</v>
      </c>
      <c r="P67" s="492">
        <v>0</v>
      </c>
      <c r="Q67" s="492">
        <v>0</v>
      </c>
      <c r="R67" s="492">
        <v>0</v>
      </c>
      <c r="S67" s="492">
        <v>0</v>
      </c>
      <c r="T67" s="492">
        <v>0</v>
      </c>
      <c r="U67" s="492">
        <v>0</v>
      </c>
      <c r="V67" s="492">
        <v>0</v>
      </c>
      <c r="W67" s="492">
        <v>0</v>
      </c>
      <c r="X67" s="492">
        <v>0</v>
      </c>
      <c r="Y67" s="492">
        <v>0</v>
      </c>
      <c r="Z67" s="492">
        <v>0</v>
      </c>
      <c r="AA67" s="492">
        <v>0</v>
      </c>
      <c r="AB67" s="492">
        <v>0</v>
      </c>
      <c r="AC67" s="492">
        <v>0</v>
      </c>
      <c r="AD67" s="492">
        <v>0</v>
      </c>
      <c r="AE67" s="492"/>
      <c r="AF67" s="492">
        <v>0</v>
      </c>
      <c r="AG67" s="492">
        <v>0</v>
      </c>
      <c r="AH67" s="492">
        <v>0</v>
      </c>
      <c r="AI67" s="492">
        <v>0</v>
      </c>
      <c r="AJ67" s="492">
        <v>0</v>
      </c>
      <c r="AK67" s="492">
        <v>0</v>
      </c>
      <c r="AL67" s="492">
        <v>0</v>
      </c>
    </row>
    <row r="68" spans="1:38" ht="15" customHeight="1">
      <c r="A68" s="511" t="s">
        <v>389</v>
      </c>
      <c r="B68" s="495">
        <v>63</v>
      </c>
      <c r="C68" s="498">
        <v>72055323550</v>
      </c>
      <c r="D68" s="498">
        <v>72980475069</v>
      </c>
      <c r="E68" s="498">
        <v>40128812389</v>
      </c>
      <c r="F68" s="498">
        <v>39230045474</v>
      </c>
      <c r="G68" s="498">
        <v>39865836348</v>
      </c>
      <c r="H68" s="498">
        <v>44061504995</v>
      </c>
      <c r="I68" s="498">
        <v>43899012924</v>
      </c>
      <c r="J68" s="498">
        <v>41659609551</v>
      </c>
      <c r="K68" s="498">
        <v>42948598053</v>
      </c>
      <c r="L68" s="498">
        <v>43281195517</v>
      </c>
      <c r="M68" s="498">
        <v>28334087272</v>
      </c>
      <c r="N68" s="499">
        <v>36580186980</v>
      </c>
      <c r="O68" s="512">
        <v>46014474364</v>
      </c>
      <c r="P68" s="499">
        <v>32023614794</v>
      </c>
      <c r="Q68" s="499">
        <v>27191404987</v>
      </c>
      <c r="R68" s="499">
        <v>38355899298</v>
      </c>
      <c r="S68" s="499">
        <v>47426115769</v>
      </c>
      <c r="T68" s="499">
        <v>51797910397</v>
      </c>
      <c r="U68" s="499">
        <v>52765546898</v>
      </c>
      <c r="V68" s="499">
        <v>34461951167</v>
      </c>
      <c r="W68" s="499">
        <v>44577925963</v>
      </c>
      <c r="X68" s="499">
        <v>57717770751</v>
      </c>
      <c r="Y68" s="499">
        <v>54221172817</v>
      </c>
      <c r="Z68" s="499">
        <v>63080533813</v>
      </c>
      <c r="AA68" s="499">
        <v>61387421408</v>
      </c>
      <c r="AB68" s="499">
        <v>80647695075</v>
      </c>
      <c r="AC68" s="499">
        <v>66362060607</v>
      </c>
      <c r="AD68" s="499">
        <v>83813282245</v>
      </c>
      <c r="AE68" s="499">
        <v>86222726568</v>
      </c>
      <c r="AF68" s="499">
        <v>0</v>
      </c>
      <c r="AG68" s="499">
        <v>0</v>
      </c>
      <c r="AH68" s="499">
        <v>0</v>
      </c>
      <c r="AI68" s="499">
        <v>0</v>
      </c>
      <c r="AJ68" s="499">
        <v>0</v>
      </c>
      <c r="AK68" s="499">
        <v>0</v>
      </c>
      <c r="AL68" s="499">
        <v>0</v>
      </c>
    </row>
    <row r="69" spans="1:38" ht="15" customHeight="1">
      <c r="A69" s="490" t="s">
        <v>390</v>
      </c>
      <c r="B69" s="491">
        <v>64</v>
      </c>
      <c r="C69" s="492">
        <v>0</v>
      </c>
      <c r="D69" s="492">
        <v>0</v>
      </c>
      <c r="E69" s="492">
        <v>0</v>
      </c>
      <c r="F69" s="492">
        <v>0</v>
      </c>
      <c r="G69" s="492">
        <v>0</v>
      </c>
      <c r="H69" s="492">
        <v>0</v>
      </c>
      <c r="I69" s="492">
        <v>0</v>
      </c>
      <c r="J69" s="492">
        <v>0</v>
      </c>
      <c r="K69" s="492">
        <v>0</v>
      </c>
      <c r="L69" s="492">
        <v>0</v>
      </c>
      <c r="M69" s="492">
        <v>0</v>
      </c>
      <c r="N69" s="492">
        <v>0</v>
      </c>
      <c r="O69" s="516">
        <v>0</v>
      </c>
      <c r="P69" s="492">
        <v>0</v>
      </c>
      <c r="Q69" s="492">
        <v>0</v>
      </c>
      <c r="R69" s="492">
        <v>0</v>
      </c>
      <c r="S69" s="492">
        <v>0</v>
      </c>
      <c r="T69" s="492">
        <v>0</v>
      </c>
      <c r="U69" s="492">
        <v>0</v>
      </c>
      <c r="V69" s="492">
        <v>0</v>
      </c>
      <c r="W69" s="492">
        <v>0</v>
      </c>
      <c r="X69" s="492">
        <v>0</v>
      </c>
      <c r="Y69" s="492">
        <v>0</v>
      </c>
      <c r="Z69" s="492">
        <v>0</v>
      </c>
      <c r="AA69" s="492">
        <v>0</v>
      </c>
      <c r="AB69" s="492">
        <v>0</v>
      </c>
      <c r="AC69" s="492">
        <v>0</v>
      </c>
      <c r="AD69" s="492">
        <v>0</v>
      </c>
      <c r="AE69" s="492"/>
      <c r="AF69" s="492">
        <v>0</v>
      </c>
      <c r="AG69" s="492">
        <v>0</v>
      </c>
      <c r="AH69" s="492">
        <v>0</v>
      </c>
      <c r="AI69" s="492">
        <v>0</v>
      </c>
      <c r="AJ69" s="492">
        <v>0</v>
      </c>
      <c r="AK69" s="492">
        <v>0</v>
      </c>
      <c r="AL69" s="492">
        <v>0</v>
      </c>
    </row>
    <row r="70" spans="1:38" ht="15" customHeight="1">
      <c r="A70" s="490" t="s">
        <v>391</v>
      </c>
      <c r="B70" s="491">
        <v>65</v>
      </c>
      <c r="C70" s="492">
        <v>72055323550</v>
      </c>
      <c r="D70" s="492">
        <v>72980475069</v>
      </c>
      <c r="E70" s="492">
        <v>40128812389</v>
      </c>
      <c r="F70" s="492">
        <v>39230045474</v>
      </c>
      <c r="G70" s="492">
        <v>39865836348</v>
      </c>
      <c r="H70" s="492">
        <v>44061504995</v>
      </c>
      <c r="I70" s="492">
        <v>43899012924</v>
      </c>
      <c r="J70" s="492">
        <v>41659609551</v>
      </c>
      <c r="K70" s="492">
        <v>42948598053</v>
      </c>
      <c r="L70" s="492">
        <v>43281195517</v>
      </c>
      <c r="M70" s="492">
        <v>28334087272</v>
      </c>
      <c r="N70" s="492">
        <v>36580186980</v>
      </c>
      <c r="O70" s="494">
        <v>46014474364</v>
      </c>
      <c r="P70" s="492">
        <v>32023614794</v>
      </c>
      <c r="Q70" s="492">
        <v>27191404987</v>
      </c>
      <c r="R70" s="492">
        <v>38355899298</v>
      </c>
      <c r="S70" s="492">
        <v>47426115769</v>
      </c>
      <c r="T70" s="492">
        <v>51797910397</v>
      </c>
      <c r="U70" s="492">
        <v>52765546898</v>
      </c>
      <c r="V70" s="492">
        <v>34461951167</v>
      </c>
      <c r="W70" s="492">
        <v>44577925963</v>
      </c>
      <c r="X70" s="492">
        <v>57717770751</v>
      </c>
      <c r="Y70" s="492">
        <v>54221172817</v>
      </c>
      <c r="Z70" s="492">
        <v>63080533813</v>
      </c>
      <c r="AA70" s="492">
        <v>61387421408</v>
      </c>
      <c r="AB70" s="492">
        <v>80647695075</v>
      </c>
      <c r="AC70" s="492">
        <v>66362060607</v>
      </c>
      <c r="AD70" s="492">
        <v>83813282245</v>
      </c>
      <c r="AE70" s="492">
        <v>86222726568</v>
      </c>
      <c r="AF70" s="492">
        <v>0</v>
      </c>
      <c r="AG70" s="492">
        <v>0</v>
      </c>
      <c r="AH70" s="492">
        <v>0</v>
      </c>
      <c r="AI70" s="492">
        <v>0</v>
      </c>
      <c r="AJ70" s="492">
        <v>0</v>
      </c>
      <c r="AK70" s="492">
        <v>0</v>
      </c>
      <c r="AL70" s="492">
        <v>0</v>
      </c>
    </row>
    <row r="71" spans="1:38" ht="15" customHeight="1">
      <c r="A71" s="521" t="s">
        <v>392</v>
      </c>
      <c r="B71" s="495">
        <v>66</v>
      </c>
      <c r="C71" s="498">
        <v>0</v>
      </c>
      <c r="D71" s="498">
        <v>0</v>
      </c>
      <c r="E71" s="498">
        <v>0</v>
      </c>
      <c r="F71" s="498">
        <v>0</v>
      </c>
      <c r="G71" s="498">
        <v>0</v>
      </c>
      <c r="H71" s="498">
        <v>0</v>
      </c>
      <c r="I71" s="498">
        <v>0</v>
      </c>
      <c r="J71" s="498">
        <v>0</v>
      </c>
      <c r="K71" s="498">
        <v>0</v>
      </c>
      <c r="L71" s="498">
        <v>0</v>
      </c>
      <c r="M71" s="498">
        <v>0</v>
      </c>
      <c r="N71" s="498">
        <v>0</v>
      </c>
      <c r="O71" s="498">
        <v>0</v>
      </c>
      <c r="P71" s="498">
        <v>0</v>
      </c>
      <c r="Q71" s="498">
        <v>0</v>
      </c>
      <c r="R71" s="498">
        <v>0</v>
      </c>
      <c r="S71" s="498">
        <v>0</v>
      </c>
      <c r="T71" s="498">
        <v>0</v>
      </c>
      <c r="U71" s="498">
        <v>0</v>
      </c>
      <c r="V71" s="498">
        <v>0</v>
      </c>
      <c r="W71" s="498">
        <v>0</v>
      </c>
      <c r="X71" s="498">
        <v>0</v>
      </c>
      <c r="Y71" s="498">
        <v>0</v>
      </c>
      <c r="Z71" s="498">
        <v>0</v>
      </c>
      <c r="AA71" s="498">
        <v>0</v>
      </c>
      <c r="AB71" s="498">
        <v>0</v>
      </c>
      <c r="AC71" s="498">
        <v>0</v>
      </c>
      <c r="AD71" s="498">
        <v>0</v>
      </c>
      <c r="AE71" s="498"/>
      <c r="AF71" s="498">
        <v>0</v>
      </c>
      <c r="AG71" s="498">
        <v>0</v>
      </c>
      <c r="AH71" s="498">
        <v>0</v>
      </c>
      <c r="AI71" s="498">
        <v>0</v>
      </c>
      <c r="AJ71" s="498">
        <v>0</v>
      </c>
      <c r="AK71" s="498">
        <v>0</v>
      </c>
      <c r="AL71" s="498">
        <v>0</v>
      </c>
    </row>
    <row r="72" spans="1:38" ht="15" customHeight="1">
      <c r="A72" s="490" t="s">
        <v>393</v>
      </c>
      <c r="B72" s="491">
        <v>67</v>
      </c>
      <c r="C72" s="492">
        <v>0</v>
      </c>
      <c r="D72" s="492">
        <v>0</v>
      </c>
      <c r="E72" s="492">
        <v>0</v>
      </c>
      <c r="F72" s="492">
        <v>0</v>
      </c>
      <c r="G72" s="492">
        <v>0</v>
      </c>
      <c r="H72" s="492">
        <v>0</v>
      </c>
      <c r="I72" s="492">
        <v>0</v>
      </c>
      <c r="J72" s="492">
        <v>0</v>
      </c>
      <c r="K72" s="492">
        <v>0</v>
      </c>
      <c r="L72" s="492">
        <v>0</v>
      </c>
      <c r="M72" s="492">
        <v>0</v>
      </c>
      <c r="N72" s="492">
        <v>0</v>
      </c>
      <c r="O72" s="494">
        <v>0</v>
      </c>
      <c r="P72" s="492">
        <v>0</v>
      </c>
      <c r="Q72" s="492">
        <v>0</v>
      </c>
      <c r="R72" s="492">
        <v>0</v>
      </c>
      <c r="S72" s="492">
        <v>0</v>
      </c>
      <c r="T72" s="492">
        <v>0</v>
      </c>
      <c r="U72" s="492">
        <v>0</v>
      </c>
      <c r="V72" s="492">
        <v>0</v>
      </c>
      <c r="W72" s="492">
        <v>0</v>
      </c>
      <c r="X72" s="492">
        <v>0</v>
      </c>
      <c r="Y72" s="492">
        <v>0</v>
      </c>
      <c r="Z72" s="492">
        <v>0</v>
      </c>
      <c r="AA72" s="492">
        <v>0</v>
      </c>
      <c r="AB72" s="492">
        <v>0</v>
      </c>
      <c r="AC72" s="492">
        <v>0</v>
      </c>
      <c r="AD72" s="492">
        <v>0</v>
      </c>
      <c r="AE72" s="492"/>
      <c r="AF72" s="492">
        <v>0</v>
      </c>
      <c r="AG72" s="492">
        <v>0</v>
      </c>
      <c r="AH72" s="492">
        <v>0</v>
      </c>
      <c r="AI72" s="492">
        <v>0</v>
      </c>
      <c r="AJ72" s="492">
        <v>0</v>
      </c>
      <c r="AK72" s="492">
        <v>0</v>
      </c>
      <c r="AL72" s="492">
        <v>0</v>
      </c>
    </row>
    <row r="73" spans="1:38" ht="15" customHeight="1">
      <c r="A73" s="490" t="s">
        <v>394</v>
      </c>
      <c r="B73" s="491">
        <v>68</v>
      </c>
      <c r="C73" s="492">
        <v>0</v>
      </c>
      <c r="D73" s="492">
        <v>0</v>
      </c>
      <c r="E73" s="492">
        <v>0</v>
      </c>
      <c r="F73" s="492">
        <v>0</v>
      </c>
      <c r="G73" s="492">
        <v>0</v>
      </c>
      <c r="H73" s="492">
        <v>0</v>
      </c>
      <c r="I73" s="492">
        <v>0</v>
      </c>
      <c r="J73" s="492">
        <v>0</v>
      </c>
      <c r="K73" s="492">
        <v>0</v>
      </c>
      <c r="L73" s="492">
        <v>0</v>
      </c>
      <c r="M73" s="492">
        <v>0</v>
      </c>
      <c r="N73" s="492">
        <v>0</v>
      </c>
      <c r="O73" s="494">
        <v>0</v>
      </c>
      <c r="P73" s="492">
        <v>0</v>
      </c>
      <c r="Q73" s="492">
        <v>0</v>
      </c>
      <c r="R73" s="492">
        <v>0</v>
      </c>
      <c r="S73" s="492">
        <v>0</v>
      </c>
      <c r="T73" s="492">
        <v>0</v>
      </c>
      <c r="U73" s="492">
        <v>0</v>
      </c>
      <c r="V73" s="492">
        <v>0</v>
      </c>
      <c r="W73" s="492">
        <v>0</v>
      </c>
      <c r="X73" s="492">
        <v>0</v>
      </c>
      <c r="Y73" s="492">
        <v>0</v>
      </c>
      <c r="Z73" s="492">
        <v>0</v>
      </c>
      <c r="AA73" s="492">
        <v>0</v>
      </c>
      <c r="AB73" s="492">
        <v>0</v>
      </c>
      <c r="AC73" s="492">
        <v>0</v>
      </c>
      <c r="AD73" s="492">
        <v>0</v>
      </c>
      <c r="AE73" s="492"/>
      <c r="AF73" s="492">
        <v>0</v>
      </c>
      <c r="AG73" s="492">
        <v>0</v>
      </c>
      <c r="AH73" s="492">
        <v>0</v>
      </c>
      <c r="AI73" s="492">
        <v>0</v>
      </c>
      <c r="AJ73" s="492">
        <v>0</v>
      </c>
      <c r="AK73" s="492">
        <v>0</v>
      </c>
      <c r="AL73" s="492">
        <v>0</v>
      </c>
    </row>
    <row r="74" spans="1:38" ht="15" customHeight="1">
      <c r="A74" s="490" t="s">
        <v>395</v>
      </c>
      <c r="B74" s="491">
        <v>69</v>
      </c>
      <c r="C74" s="492">
        <v>0</v>
      </c>
      <c r="D74" s="492">
        <v>0</v>
      </c>
      <c r="E74" s="492">
        <v>0</v>
      </c>
      <c r="F74" s="492">
        <v>0</v>
      </c>
      <c r="G74" s="492">
        <v>0</v>
      </c>
      <c r="H74" s="492">
        <v>0</v>
      </c>
      <c r="I74" s="492">
        <v>0</v>
      </c>
      <c r="J74" s="492">
        <v>0</v>
      </c>
      <c r="K74" s="492">
        <v>0</v>
      </c>
      <c r="L74" s="492">
        <v>0</v>
      </c>
      <c r="M74" s="492">
        <v>0</v>
      </c>
      <c r="N74" s="492">
        <v>0</v>
      </c>
      <c r="O74" s="494">
        <v>0</v>
      </c>
      <c r="P74" s="492">
        <v>0</v>
      </c>
      <c r="Q74" s="492">
        <v>0</v>
      </c>
      <c r="R74" s="492">
        <v>0</v>
      </c>
      <c r="S74" s="492">
        <v>0</v>
      </c>
      <c r="T74" s="492">
        <v>0</v>
      </c>
      <c r="U74" s="492">
        <v>0</v>
      </c>
      <c r="V74" s="492">
        <v>0</v>
      </c>
      <c r="W74" s="492">
        <v>0</v>
      </c>
      <c r="X74" s="492">
        <v>0</v>
      </c>
      <c r="Y74" s="492">
        <v>0</v>
      </c>
      <c r="Z74" s="492">
        <v>0</v>
      </c>
      <c r="AA74" s="492">
        <v>0</v>
      </c>
      <c r="AB74" s="492">
        <v>0</v>
      </c>
      <c r="AC74" s="492">
        <v>0</v>
      </c>
      <c r="AD74" s="492">
        <v>0</v>
      </c>
      <c r="AE74" s="492"/>
      <c r="AF74" s="492">
        <v>0</v>
      </c>
      <c r="AG74" s="492">
        <v>0</v>
      </c>
      <c r="AH74" s="492">
        <v>0</v>
      </c>
      <c r="AI74" s="492">
        <v>0</v>
      </c>
      <c r="AJ74" s="492">
        <v>0</v>
      </c>
      <c r="AK74" s="492">
        <v>0</v>
      </c>
      <c r="AL74" s="492">
        <v>0</v>
      </c>
    </row>
    <row r="75" spans="1:38" ht="15" customHeight="1">
      <c r="A75" s="490" t="s">
        <v>396</v>
      </c>
      <c r="B75" s="491">
        <v>70</v>
      </c>
      <c r="C75" s="492">
        <v>0</v>
      </c>
      <c r="D75" s="492">
        <v>0</v>
      </c>
      <c r="E75" s="492">
        <v>0</v>
      </c>
      <c r="F75" s="492">
        <v>0</v>
      </c>
      <c r="G75" s="492">
        <v>0</v>
      </c>
      <c r="H75" s="492">
        <v>0</v>
      </c>
      <c r="I75" s="492">
        <v>0</v>
      </c>
      <c r="J75" s="492">
        <v>0</v>
      </c>
      <c r="K75" s="492">
        <v>0</v>
      </c>
      <c r="L75" s="492">
        <v>0</v>
      </c>
      <c r="M75" s="492">
        <v>0</v>
      </c>
      <c r="N75" s="492">
        <v>0</v>
      </c>
      <c r="O75" s="516">
        <v>0</v>
      </c>
      <c r="P75" s="492">
        <v>0</v>
      </c>
      <c r="Q75" s="492">
        <v>0</v>
      </c>
      <c r="R75" s="492">
        <v>0</v>
      </c>
      <c r="S75" s="492">
        <v>0</v>
      </c>
      <c r="T75" s="492">
        <v>0</v>
      </c>
      <c r="U75" s="492">
        <v>0</v>
      </c>
      <c r="V75" s="492">
        <v>0</v>
      </c>
      <c r="W75" s="492">
        <v>0</v>
      </c>
      <c r="X75" s="492">
        <v>0</v>
      </c>
      <c r="Y75" s="492">
        <v>0</v>
      </c>
      <c r="Z75" s="492">
        <v>0</v>
      </c>
      <c r="AA75" s="492">
        <v>0</v>
      </c>
      <c r="AB75" s="492">
        <v>0</v>
      </c>
      <c r="AC75" s="492">
        <v>0</v>
      </c>
      <c r="AD75" s="492">
        <v>0</v>
      </c>
      <c r="AE75" s="492"/>
      <c r="AF75" s="492">
        <v>0</v>
      </c>
      <c r="AG75" s="492">
        <v>0</v>
      </c>
      <c r="AH75" s="492">
        <v>0</v>
      </c>
      <c r="AI75" s="492">
        <v>0</v>
      </c>
      <c r="AJ75" s="492">
        <v>0</v>
      </c>
      <c r="AK75" s="492">
        <v>0</v>
      </c>
      <c r="AL75" s="492">
        <v>0</v>
      </c>
    </row>
    <row r="76" spans="1:38" ht="15" customHeight="1">
      <c r="A76" s="497" t="s">
        <v>397</v>
      </c>
      <c r="B76" s="491">
        <v>71</v>
      </c>
      <c r="C76" s="492">
        <v>0</v>
      </c>
      <c r="D76" s="492">
        <v>0</v>
      </c>
      <c r="E76" s="492">
        <v>0</v>
      </c>
      <c r="F76" s="492">
        <v>0</v>
      </c>
      <c r="G76" s="492">
        <v>0</v>
      </c>
      <c r="H76" s="492">
        <v>0</v>
      </c>
      <c r="I76" s="492">
        <v>0</v>
      </c>
      <c r="J76" s="492">
        <v>0</v>
      </c>
      <c r="K76" s="492">
        <v>0</v>
      </c>
      <c r="L76" s="492">
        <v>0</v>
      </c>
      <c r="M76" s="492">
        <v>0</v>
      </c>
      <c r="N76" s="492">
        <v>0</v>
      </c>
      <c r="O76" s="516">
        <v>0</v>
      </c>
      <c r="P76" s="492">
        <v>0</v>
      </c>
      <c r="Q76" s="492">
        <v>0</v>
      </c>
      <c r="R76" s="492">
        <v>0</v>
      </c>
      <c r="S76" s="492">
        <v>0</v>
      </c>
      <c r="T76" s="492">
        <v>0</v>
      </c>
      <c r="U76" s="492">
        <v>0</v>
      </c>
      <c r="V76" s="492">
        <v>0</v>
      </c>
      <c r="W76" s="492">
        <v>0</v>
      </c>
      <c r="X76" s="492">
        <v>0</v>
      </c>
      <c r="Y76" s="492">
        <v>0</v>
      </c>
      <c r="Z76" s="492">
        <v>0</v>
      </c>
      <c r="AA76" s="492">
        <v>0</v>
      </c>
      <c r="AB76" s="492">
        <v>0</v>
      </c>
      <c r="AC76" s="492">
        <v>0</v>
      </c>
      <c r="AD76" s="492">
        <v>0</v>
      </c>
      <c r="AE76" s="492"/>
      <c r="AF76" s="492">
        <v>0</v>
      </c>
      <c r="AG76" s="492">
        <v>0</v>
      </c>
      <c r="AH76" s="492">
        <v>0</v>
      </c>
      <c r="AI76" s="492">
        <v>0</v>
      </c>
      <c r="AJ76" s="492">
        <v>0</v>
      </c>
      <c r="AK76" s="492">
        <v>0</v>
      </c>
      <c r="AL76" s="492">
        <v>0</v>
      </c>
    </row>
    <row r="77" spans="1:38" ht="15" customHeight="1">
      <c r="A77" s="497" t="s">
        <v>398</v>
      </c>
      <c r="B77" s="491">
        <v>72</v>
      </c>
      <c r="C77" s="492">
        <v>0</v>
      </c>
      <c r="D77" s="492">
        <v>0</v>
      </c>
      <c r="E77" s="492">
        <v>0</v>
      </c>
      <c r="F77" s="492">
        <v>0</v>
      </c>
      <c r="G77" s="492">
        <v>0</v>
      </c>
      <c r="H77" s="492">
        <v>0</v>
      </c>
      <c r="I77" s="492">
        <v>0</v>
      </c>
      <c r="J77" s="492">
        <v>0</v>
      </c>
      <c r="K77" s="492">
        <v>0</v>
      </c>
      <c r="L77" s="492">
        <v>0</v>
      </c>
      <c r="M77" s="492">
        <v>0</v>
      </c>
      <c r="N77" s="492">
        <v>0</v>
      </c>
      <c r="O77" s="516">
        <v>0</v>
      </c>
      <c r="P77" s="492">
        <v>0</v>
      </c>
      <c r="Q77" s="492">
        <v>0</v>
      </c>
      <c r="R77" s="492">
        <v>0</v>
      </c>
      <c r="S77" s="492">
        <v>0</v>
      </c>
      <c r="T77" s="492">
        <v>0</v>
      </c>
      <c r="U77" s="492">
        <v>0</v>
      </c>
      <c r="V77" s="492">
        <v>0</v>
      </c>
      <c r="W77" s="492">
        <v>0</v>
      </c>
      <c r="X77" s="492">
        <v>0</v>
      </c>
      <c r="Y77" s="492">
        <v>0</v>
      </c>
      <c r="Z77" s="492">
        <v>0</v>
      </c>
      <c r="AA77" s="492">
        <v>0</v>
      </c>
      <c r="AB77" s="492">
        <v>0</v>
      </c>
      <c r="AC77" s="492">
        <v>0</v>
      </c>
      <c r="AD77" s="492">
        <v>0</v>
      </c>
      <c r="AE77" s="492"/>
      <c r="AF77" s="492">
        <v>0</v>
      </c>
      <c r="AG77" s="492">
        <v>0</v>
      </c>
      <c r="AH77" s="492">
        <v>0</v>
      </c>
      <c r="AI77" s="492">
        <v>0</v>
      </c>
      <c r="AJ77" s="492">
        <v>0</v>
      </c>
      <c r="AK77" s="492">
        <v>0</v>
      </c>
      <c r="AL77" s="492">
        <v>0</v>
      </c>
    </row>
    <row r="78" spans="1:38" s="524" customFormat="1" ht="15" customHeight="1">
      <c r="A78" s="522" t="s">
        <v>399</v>
      </c>
      <c r="B78" s="495">
        <v>73</v>
      </c>
      <c r="C78" s="498">
        <v>4555335037</v>
      </c>
      <c r="D78" s="498">
        <v>4317772711</v>
      </c>
      <c r="E78" s="498">
        <v>5343646772</v>
      </c>
      <c r="F78" s="498">
        <v>5673307870</v>
      </c>
      <c r="G78" s="498">
        <v>5368103241</v>
      </c>
      <c r="H78" s="498">
        <v>5257350583</v>
      </c>
      <c r="I78" s="498">
        <v>5470458531</v>
      </c>
      <c r="J78" s="498">
        <v>6446273768</v>
      </c>
      <c r="K78" s="498">
        <v>6223701149</v>
      </c>
      <c r="L78" s="498">
        <v>5995679892</v>
      </c>
      <c r="M78" s="498">
        <v>6220253528</v>
      </c>
      <c r="N78" s="499">
        <v>6856222691</v>
      </c>
      <c r="O78" s="523">
        <v>4629083379</v>
      </c>
      <c r="P78" s="499">
        <v>8122926924</v>
      </c>
      <c r="Q78" s="499">
        <v>9778480429</v>
      </c>
      <c r="R78" s="499">
        <v>9451925232</v>
      </c>
      <c r="S78" s="499">
        <v>9004620528</v>
      </c>
      <c r="T78" s="499">
        <v>9051617060</v>
      </c>
      <c r="U78" s="499">
        <v>8539591808</v>
      </c>
      <c r="V78" s="499">
        <v>8072871371</v>
      </c>
      <c r="W78" s="499">
        <v>8253974823</v>
      </c>
      <c r="X78" s="499">
        <v>8650890043</v>
      </c>
      <c r="Y78" s="499">
        <v>8536798591</v>
      </c>
      <c r="Z78" s="499">
        <v>8260771278</v>
      </c>
      <c r="AA78" s="499">
        <v>7062502744</v>
      </c>
      <c r="AB78" s="499">
        <v>6570969298</v>
      </c>
      <c r="AC78" s="499">
        <v>6131031024</v>
      </c>
      <c r="AD78" s="499">
        <v>5693514228</v>
      </c>
      <c r="AE78" s="499">
        <v>5705255817</v>
      </c>
      <c r="AF78" s="499">
        <v>0</v>
      </c>
      <c r="AG78" s="499">
        <v>0</v>
      </c>
      <c r="AH78" s="499">
        <v>0</v>
      </c>
      <c r="AI78" s="499">
        <v>0</v>
      </c>
      <c r="AJ78" s="499">
        <v>0</v>
      </c>
      <c r="AK78" s="499">
        <v>0</v>
      </c>
      <c r="AL78" s="499">
        <v>0</v>
      </c>
    </row>
    <row r="79" spans="1:38" ht="15" customHeight="1">
      <c r="A79" s="500" t="s">
        <v>400</v>
      </c>
      <c r="B79" s="491">
        <v>74</v>
      </c>
      <c r="C79" s="492">
        <v>4555335037</v>
      </c>
      <c r="D79" s="492">
        <v>4317772711</v>
      </c>
      <c r="E79" s="492">
        <v>5343646772</v>
      </c>
      <c r="F79" s="492">
        <v>5673307870</v>
      </c>
      <c r="G79" s="492">
        <v>5368103241</v>
      </c>
      <c r="H79" s="492">
        <v>5257350583</v>
      </c>
      <c r="I79" s="492">
        <v>5470458531</v>
      </c>
      <c r="J79" s="492">
        <v>6446273768</v>
      </c>
      <c r="K79" s="492">
        <v>6223701149</v>
      </c>
      <c r="L79" s="492">
        <v>5995679892</v>
      </c>
      <c r="M79" s="492">
        <v>6220253528</v>
      </c>
      <c r="N79" s="492">
        <v>6856222691</v>
      </c>
      <c r="O79" s="525">
        <v>6468024689</v>
      </c>
      <c r="P79" s="492">
        <v>9953825234</v>
      </c>
      <c r="Q79" s="492">
        <v>9749118739</v>
      </c>
      <c r="R79" s="492">
        <v>9422563542</v>
      </c>
      <c r="S79" s="492">
        <v>8975258838</v>
      </c>
      <c r="T79" s="492">
        <v>9022255370</v>
      </c>
      <c r="U79" s="492">
        <v>8539591808</v>
      </c>
      <c r="V79" s="492">
        <v>8072871371</v>
      </c>
      <c r="W79" s="492">
        <v>8253974823</v>
      </c>
      <c r="X79" s="492">
        <v>8650890043</v>
      </c>
      <c r="Y79" s="492">
        <v>8536798591</v>
      </c>
      <c r="Z79" s="492">
        <v>8260771278</v>
      </c>
      <c r="AA79" s="492">
        <v>7062502744</v>
      </c>
      <c r="AB79" s="492">
        <v>6570969298</v>
      </c>
      <c r="AC79" s="492">
        <v>6131031024</v>
      </c>
      <c r="AD79" s="492">
        <v>5693514228</v>
      </c>
      <c r="AE79" s="492">
        <v>5705255817</v>
      </c>
      <c r="AF79" s="492">
        <v>0</v>
      </c>
      <c r="AG79" s="492">
        <v>0</v>
      </c>
      <c r="AH79" s="492">
        <v>0</v>
      </c>
      <c r="AI79" s="492">
        <v>0</v>
      </c>
      <c r="AJ79" s="492">
        <v>0</v>
      </c>
      <c r="AK79" s="492">
        <v>0</v>
      </c>
      <c r="AL79" s="492">
        <v>0</v>
      </c>
    </row>
    <row r="80" spans="1:38" ht="15" customHeight="1">
      <c r="A80" s="500" t="s">
        <v>401</v>
      </c>
      <c r="B80" s="491">
        <v>75</v>
      </c>
      <c r="C80" s="492">
        <v>0</v>
      </c>
      <c r="D80" s="492">
        <v>0</v>
      </c>
      <c r="E80" s="492">
        <v>0</v>
      </c>
      <c r="F80" s="492">
        <v>0</v>
      </c>
      <c r="G80" s="492">
        <v>0</v>
      </c>
      <c r="H80" s="492">
        <v>0</v>
      </c>
      <c r="I80" s="492">
        <v>0</v>
      </c>
      <c r="J80" s="492">
        <v>0</v>
      </c>
      <c r="K80" s="492">
        <v>0</v>
      </c>
      <c r="L80" s="492">
        <v>0</v>
      </c>
      <c r="M80" s="492">
        <v>0</v>
      </c>
      <c r="N80" s="492">
        <v>0</v>
      </c>
      <c r="O80" s="516">
        <v>-1838941310</v>
      </c>
      <c r="P80" s="492">
        <v>-1830898310</v>
      </c>
      <c r="Q80" s="492">
        <v>29361690</v>
      </c>
      <c r="R80" s="492">
        <v>29361690</v>
      </c>
      <c r="S80" s="492">
        <v>29361690</v>
      </c>
      <c r="T80" s="492">
        <v>29361690</v>
      </c>
      <c r="U80" s="492">
        <v>0</v>
      </c>
      <c r="V80" s="492">
        <v>0</v>
      </c>
      <c r="W80" s="492">
        <v>0</v>
      </c>
      <c r="X80" s="492">
        <v>0</v>
      </c>
      <c r="Y80" s="492">
        <v>0</v>
      </c>
      <c r="Z80" s="492">
        <v>0</v>
      </c>
      <c r="AA80" s="492">
        <v>0</v>
      </c>
      <c r="AB80" s="492">
        <v>0</v>
      </c>
      <c r="AC80" s="492">
        <v>0</v>
      </c>
      <c r="AD80" s="492">
        <v>0</v>
      </c>
      <c r="AE80" s="492"/>
      <c r="AF80" s="492">
        <v>0</v>
      </c>
      <c r="AG80" s="492">
        <v>0</v>
      </c>
      <c r="AH80" s="492">
        <v>0</v>
      </c>
      <c r="AI80" s="492">
        <v>0</v>
      </c>
      <c r="AJ80" s="492">
        <v>0</v>
      </c>
      <c r="AK80" s="492">
        <v>0</v>
      </c>
      <c r="AL80" s="492">
        <v>0</v>
      </c>
    </row>
    <row r="81" spans="1:38" ht="15" customHeight="1">
      <c r="A81" s="500" t="s">
        <v>402</v>
      </c>
      <c r="B81" s="491">
        <v>76</v>
      </c>
      <c r="C81" s="492">
        <v>0</v>
      </c>
      <c r="D81" s="492">
        <v>0</v>
      </c>
      <c r="E81" s="492">
        <v>0</v>
      </c>
      <c r="F81" s="492">
        <v>0</v>
      </c>
      <c r="G81" s="492">
        <v>0</v>
      </c>
      <c r="H81" s="492">
        <v>0</v>
      </c>
      <c r="I81" s="492">
        <v>0</v>
      </c>
      <c r="J81" s="492">
        <v>0</v>
      </c>
      <c r="K81" s="492">
        <v>0</v>
      </c>
      <c r="L81" s="492">
        <v>0</v>
      </c>
      <c r="M81" s="492">
        <v>0</v>
      </c>
      <c r="N81" s="492">
        <v>0</v>
      </c>
      <c r="O81" s="516">
        <v>0</v>
      </c>
      <c r="P81" s="492">
        <v>0</v>
      </c>
      <c r="Q81" s="492">
        <v>0</v>
      </c>
      <c r="R81" s="492">
        <v>0</v>
      </c>
      <c r="S81" s="492">
        <v>0</v>
      </c>
      <c r="T81" s="492">
        <v>0</v>
      </c>
      <c r="U81" s="492">
        <v>0</v>
      </c>
      <c r="V81" s="492">
        <v>0</v>
      </c>
      <c r="W81" s="492">
        <v>0</v>
      </c>
      <c r="X81" s="492">
        <v>0</v>
      </c>
      <c r="Y81" s="492">
        <v>0</v>
      </c>
      <c r="Z81" s="492">
        <v>0</v>
      </c>
      <c r="AA81" s="492">
        <v>0</v>
      </c>
      <c r="AB81" s="492">
        <v>0</v>
      </c>
      <c r="AC81" s="492">
        <v>0</v>
      </c>
      <c r="AD81" s="492">
        <v>0</v>
      </c>
      <c r="AE81" s="492"/>
      <c r="AF81" s="492">
        <v>0</v>
      </c>
      <c r="AG81" s="492">
        <v>0</v>
      </c>
      <c r="AH81" s="492">
        <v>0</v>
      </c>
      <c r="AI81" s="492">
        <v>0</v>
      </c>
      <c r="AJ81" s="492">
        <v>0</v>
      </c>
      <c r="AK81" s="492">
        <v>0</v>
      </c>
      <c r="AL81" s="492">
        <v>0</v>
      </c>
    </row>
    <row r="82" spans="1:38" ht="15" customHeight="1">
      <c r="A82" s="500" t="s">
        <v>403</v>
      </c>
      <c r="B82" s="491">
        <v>77</v>
      </c>
      <c r="C82" s="492">
        <v>0</v>
      </c>
      <c r="D82" s="492">
        <v>0</v>
      </c>
      <c r="E82" s="492">
        <v>0</v>
      </c>
      <c r="F82" s="492">
        <v>0</v>
      </c>
      <c r="G82" s="492">
        <v>0</v>
      </c>
      <c r="H82" s="492">
        <v>0</v>
      </c>
      <c r="I82" s="492">
        <v>0</v>
      </c>
      <c r="J82" s="492">
        <v>0</v>
      </c>
      <c r="K82" s="492">
        <v>0</v>
      </c>
      <c r="L82" s="492">
        <v>0</v>
      </c>
      <c r="M82" s="492">
        <v>0</v>
      </c>
      <c r="N82" s="492">
        <v>0</v>
      </c>
      <c r="O82" s="492">
        <v>0</v>
      </c>
      <c r="P82" s="492">
        <v>0</v>
      </c>
      <c r="Q82" s="492">
        <v>0</v>
      </c>
      <c r="R82" s="492">
        <v>0</v>
      </c>
      <c r="S82" s="492">
        <v>0</v>
      </c>
      <c r="T82" s="492">
        <v>0</v>
      </c>
      <c r="U82" s="492">
        <v>0</v>
      </c>
      <c r="V82" s="492">
        <v>0</v>
      </c>
      <c r="W82" s="492">
        <v>0</v>
      </c>
      <c r="X82" s="492">
        <v>0</v>
      </c>
      <c r="Y82" s="492">
        <v>0</v>
      </c>
      <c r="Z82" s="492">
        <v>0</v>
      </c>
      <c r="AA82" s="492">
        <v>0</v>
      </c>
      <c r="AB82" s="492">
        <v>0</v>
      </c>
      <c r="AC82" s="492">
        <v>0</v>
      </c>
      <c r="AD82" s="492">
        <v>0</v>
      </c>
      <c r="AE82" s="492"/>
      <c r="AF82" s="492">
        <v>0</v>
      </c>
      <c r="AG82" s="492">
        <v>0</v>
      </c>
      <c r="AH82" s="492">
        <v>0</v>
      </c>
      <c r="AI82" s="492">
        <v>0</v>
      </c>
      <c r="AJ82" s="492">
        <v>0</v>
      </c>
      <c r="AK82" s="492">
        <v>0</v>
      </c>
      <c r="AL82" s="492">
        <v>0</v>
      </c>
    </row>
    <row r="83" spans="1:38" s="530" customFormat="1" ht="15" customHeight="1">
      <c r="A83" s="526" t="s">
        <v>404</v>
      </c>
      <c r="B83" s="527">
        <v>78</v>
      </c>
      <c r="C83" s="528">
        <v>1057106496455</v>
      </c>
      <c r="D83" s="528">
        <v>1040899556726</v>
      </c>
      <c r="E83" s="528">
        <v>1086669152157</v>
      </c>
      <c r="F83" s="528">
        <v>1148318840816</v>
      </c>
      <c r="G83" s="528">
        <v>1198063045295</v>
      </c>
      <c r="H83" s="528">
        <v>1227310309881</v>
      </c>
      <c r="I83" s="528">
        <v>1174913086353</v>
      </c>
      <c r="J83" s="528">
        <v>1123552712261</v>
      </c>
      <c r="K83" s="528">
        <v>1164304769268</v>
      </c>
      <c r="L83" s="528">
        <v>1184459048233</v>
      </c>
      <c r="M83" s="528">
        <v>1262755141991</v>
      </c>
      <c r="N83" s="529">
        <v>1255526266731</v>
      </c>
      <c r="O83" s="529">
        <v>1184167227046</v>
      </c>
      <c r="P83" s="529">
        <v>1099673392126</v>
      </c>
      <c r="Q83" s="529">
        <v>1153710875298</v>
      </c>
      <c r="R83" s="529">
        <v>1224376777626</v>
      </c>
      <c r="S83" s="529">
        <v>1280979662011</v>
      </c>
      <c r="T83" s="529">
        <v>1310961670922</v>
      </c>
      <c r="U83" s="529">
        <v>1296565798277</v>
      </c>
      <c r="V83" s="529">
        <v>1356526045802</v>
      </c>
      <c r="W83" s="529">
        <v>1344912228849</v>
      </c>
      <c r="X83" s="529">
        <v>1299331457948</v>
      </c>
      <c r="Y83" s="529">
        <v>1275169884404</v>
      </c>
      <c r="Z83" s="529">
        <v>1266017714532</v>
      </c>
      <c r="AA83" s="529">
        <v>1211566398236</v>
      </c>
      <c r="AB83" s="529">
        <v>1233002251518</v>
      </c>
      <c r="AC83" s="529">
        <v>1192063370403</v>
      </c>
      <c r="AD83" s="529">
        <v>1173001139790</v>
      </c>
      <c r="AE83" s="529">
        <v>1251902380916</v>
      </c>
      <c r="AF83" s="529">
        <v>0</v>
      </c>
      <c r="AG83" s="529">
        <v>0</v>
      </c>
      <c r="AH83" s="529">
        <v>0</v>
      </c>
      <c r="AI83" s="529">
        <v>0</v>
      </c>
      <c r="AJ83" s="529">
        <v>0</v>
      </c>
      <c r="AK83" s="529">
        <v>0</v>
      </c>
      <c r="AL83" s="529">
        <v>0</v>
      </c>
    </row>
    <row r="84" spans="1:38" ht="15" customHeight="1">
      <c r="A84" s="482" t="s">
        <v>405</v>
      </c>
      <c r="B84" s="508">
        <v>79</v>
      </c>
      <c r="C84" s="509">
        <v>253938447634</v>
      </c>
      <c r="D84" s="509">
        <v>243002156702</v>
      </c>
      <c r="E84" s="509">
        <v>291731061734</v>
      </c>
      <c r="F84" s="509">
        <v>350905503653</v>
      </c>
      <c r="G84" s="509">
        <v>404803110472</v>
      </c>
      <c r="H84" s="509">
        <v>444265823125</v>
      </c>
      <c r="I84" s="509">
        <v>405393285090</v>
      </c>
      <c r="J84" s="509">
        <v>362315858983</v>
      </c>
      <c r="K84" s="509">
        <v>393394647873</v>
      </c>
      <c r="L84" s="509">
        <v>418527112069</v>
      </c>
      <c r="M84" s="509">
        <v>500065225953</v>
      </c>
      <c r="N84" s="510">
        <v>400766610864</v>
      </c>
      <c r="O84" s="510">
        <v>324510490627</v>
      </c>
      <c r="P84" s="510">
        <v>222615858978</v>
      </c>
      <c r="Q84" s="510">
        <v>269555093091</v>
      </c>
      <c r="R84" s="510">
        <v>336470011934</v>
      </c>
      <c r="S84" s="510">
        <v>383542692015</v>
      </c>
      <c r="T84" s="510">
        <v>412452200169</v>
      </c>
      <c r="U84" s="510">
        <v>397016809667</v>
      </c>
      <c r="V84" s="510">
        <v>456883837461</v>
      </c>
      <c r="W84" s="510">
        <v>455472175159</v>
      </c>
      <c r="X84" s="510">
        <v>414576062308</v>
      </c>
      <c r="Y84" s="510">
        <v>397334986611</v>
      </c>
      <c r="Z84" s="510">
        <v>385521303731</v>
      </c>
      <c r="AA84" s="510">
        <v>332763448171</v>
      </c>
      <c r="AB84" s="510">
        <v>360618515191</v>
      </c>
      <c r="AC84" s="510">
        <v>326345040700</v>
      </c>
      <c r="AD84" s="510">
        <v>303579055875</v>
      </c>
      <c r="AE84" s="510">
        <v>374252871584</v>
      </c>
      <c r="AF84" s="510">
        <v>0</v>
      </c>
      <c r="AG84" s="510">
        <v>0</v>
      </c>
      <c r="AH84" s="510">
        <v>0</v>
      </c>
      <c r="AI84" s="510">
        <v>0</v>
      </c>
      <c r="AJ84" s="510">
        <v>0</v>
      </c>
      <c r="AK84" s="510">
        <v>0</v>
      </c>
      <c r="AL84" s="510">
        <v>0</v>
      </c>
    </row>
    <row r="85" spans="1:38" ht="15" customHeight="1">
      <c r="A85" s="486" t="s">
        <v>406</v>
      </c>
      <c r="B85" s="495">
        <v>80</v>
      </c>
      <c r="C85" s="498">
        <v>176322036564</v>
      </c>
      <c r="D85" s="498">
        <v>165479805632</v>
      </c>
      <c r="E85" s="498">
        <v>214267710664</v>
      </c>
      <c r="F85" s="498">
        <v>273737345975</v>
      </c>
      <c r="G85" s="498">
        <v>329588242794</v>
      </c>
      <c r="H85" s="498">
        <v>367721787447</v>
      </c>
      <c r="I85" s="498">
        <v>328736442804</v>
      </c>
      <c r="J85" s="498">
        <v>286316076697</v>
      </c>
      <c r="K85" s="498">
        <v>316799865587</v>
      </c>
      <c r="L85" s="498">
        <v>341708523175</v>
      </c>
      <c r="M85" s="498">
        <v>396620697059</v>
      </c>
      <c r="N85" s="499">
        <v>316029265342</v>
      </c>
      <c r="O85" s="499">
        <v>216100148681</v>
      </c>
      <c r="P85" s="499">
        <v>118453354810</v>
      </c>
      <c r="Q85" s="499">
        <v>166229366701</v>
      </c>
      <c r="R85" s="499">
        <v>234217256714</v>
      </c>
      <c r="S85" s="499">
        <v>285537774573</v>
      </c>
      <c r="T85" s="499">
        <v>335330408775</v>
      </c>
      <c r="U85" s="499">
        <v>320967989443</v>
      </c>
      <c r="V85" s="499">
        <v>382420327015</v>
      </c>
      <c r="W85" s="499">
        <v>381845442491</v>
      </c>
      <c r="X85" s="499">
        <v>346002928366</v>
      </c>
      <c r="Y85" s="499">
        <v>327703613669</v>
      </c>
      <c r="Z85" s="499">
        <v>335139049377</v>
      </c>
      <c r="AA85" s="499">
        <v>283290606756</v>
      </c>
      <c r="AB85" s="499">
        <v>289218173776</v>
      </c>
      <c r="AC85" s="499">
        <v>246244699285</v>
      </c>
      <c r="AD85" s="499">
        <v>223478714460</v>
      </c>
      <c r="AE85" s="499">
        <v>219319635169</v>
      </c>
      <c r="AF85" s="499">
        <v>0</v>
      </c>
      <c r="AG85" s="499">
        <v>0</v>
      </c>
      <c r="AH85" s="499">
        <v>0</v>
      </c>
      <c r="AI85" s="499">
        <v>0</v>
      </c>
      <c r="AJ85" s="499">
        <v>0</v>
      </c>
      <c r="AK85" s="499">
        <v>0</v>
      </c>
      <c r="AL85" s="499">
        <v>0</v>
      </c>
    </row>
    <row r="86" spans="1:38" ht="15" customHeight="1">
      <c r="A86" s="531" t="s">
        <v>407</v>
      </c>
      <c r="B86" s="491">
        <v>81</v>
      </c>
      <c r="C86" s="492">
        <v>54353400004</v>
      </c>
      <c r="D86" s="492">
        <v>57459904781</v>
      </c>
      <c r="E86" s="492">
        <v>71666676062</v>
      </c>
      <c r="F86" s="492">
        <v>72717166254</v>
      </c>
      <c r="G86" s="492">
        <v>82570066775</v>
      </c>
      <c r="H86" s="492">
        <v>116097944870</v>
      </c>
      <c r="I86" s="492">
        <v>90497312556</v>
      </c>
      <c r="J86" s="492">
        <v>104998329522</v>
      </c>
      <c r="K86" s="492">
        <v>141548339763</v>
      </c>
      <c r="L86" s="492">
        <v>140860659227</v>
      </c>
      <c r="M86" s="492">
        <v>150120296949</v>
      </c>
      <c r="N86" s="492">
        <v>38854336196</v>
      </c>
      <c r="O86" s="502">
        <v>17080396612</v>
      </c>
      <c r="P86" s="516">
        <v>15854922544</v>
      </c>
      <c r="Q86" s="492">
        <v>36651877076</v>
      </c>
      <c r="R86" s="492">
        <v>36646554722</v>
      </c>
      <c r="S86" s="492">
        <v>36688096679</v>
      </c>
      <c r="T86" s="492">
        <v>50235234736</v>
      </c>
      <c r="U86" s="492">
        <v>4297727379</v>
      </c>
      <c r="V86" s="492">
        <v>15019964770</v>
      </c>
      <c r="W86" s="492">
        <v>22979794050</v>
      </c>
      <c r="X86" s="492">
        <v>34152918116</v>
      </c>
      <c r="Y86" s="492">
        <v>22550645996</v>
      </c>
      <c r="Z86" s="492">
        <v>15762773405</v>
      </c>
      <c r="AA86" s="492">
        <v>12939623311</v>
      </c>
      <c r="AB86" s="492">
        <v>16340093986</v>
      </c>
      <c r="AC86" s="492">
        <v>28822406885</v>
      </c>
      <c r="AD86" s="492">
        <v>28647773855</v>
      </c>
      <c r="AE86" s="492">
        <v>51638550700</v>
      </c>
      <c r="AF86" s="492">
        <v>0</v>
      </c>
      <c r="AG86" s="492">
        <v>0</v>
      </c>
      <c r="AH86" s="492">
        <v>0</v>
      </c>
      <c r="AI86" s="492">
        <v>0</v>
      </c>
      <c r="AJ86" s="492">
        <v>0</v>
      </c>
      <c r="AK86" s="492">
        <v>0</v>
      </c>
      <c r="AL86" s="492">
        <v>0</v>
      </c>
    </row>
    <row r="87" spans="1:38" ht="15" customHeight="1">
      <c r="A87" s="531" t="s">
        <v>408</v>
      </c>
      <c r="B87" s="491">
        <v>82</v>
      </c>
      <c r="C87" s="492">
        <v>4031903040</v>
      </c>
      <c r="D87" s="492">
        <v>0</v>
      </c>
      <c r="E87" s="492">
        <v>-540918440</v>
      </c>
      <c r="F87" s="492">
        <v>4278155246</v>
      </c>
      <c r="G87" s="492">
        <v>14749203650</v>
      </c>
      <c r="H87" s="492">
        <v>36030101433</v>
      </c>
      <c r="I87" s="492">
        <v>34757495667</v>
      </c>
      <c r="J87" s="492">
        <v>14991723009</v>
      </c>
      <c r="K87" s="492">
        <v>39469513</v>
      </c>
      <c r="L87" s="492">
        <v>9371572336</v>
      </c>
      <c r="M87" s="492">
        <v>34895916928</v>
      </c>
      <c r="N87" s="492">
        <v>41546475913</v>
      </c>
      <c r="O87" s="502">
        <v>33988016157</v>
      </c>
      <c r="P87" s="516">
        <v>18937903421</v>
      </c>
      <c r="Q87" s="492">
        <v>15058088135</v>
      </c>
      <c r="R87" s="492">
        <v>3447698110</v>
      </c>
      <c r="S87" s="492">
        <v>75365353</v>
      </c>
      <c r="T87" s="492">
        <v>14926125753</v>
      </c>
      <c r="U87" s="492">
        <v>23340035157</v>
      </c>
      <c r="V87" s="492">
        <v>20961721533</v>
      </c>
      <c r="W87" s="492">
        <v>14431985238</v>
      </c>
      <c r="X87" s="492">
        <v>8912711658</v>
      </c>
      <c r="Y87" s="492">
        <v>5995670638</v>
      </c>
      <c r="Z87" s="492">
        <v>17509392514</v>
      </c>
      <c r="AA87" s="492">
        <v>11995200530</v>
      </c>
      <c r="AB87" s="492">
        <v>6213138401</v>
      </c>
      <c r="AC87" s="492">
        <v>6298509550</v>
      </c>
      <c r="AD87" s="492">
        <v>10025771454</v>
      </c>
      <c r="AE87" s="492">
        <v>14080108614</v>
      </c>
      <c r="AF87" s="492">
        <v>0</v>
      </c>
      <c r="AG87" s="492">
        <v>0</v>
      </c>
      <c r="AH87" s="492">
        <v>0</v>
      </c>
      <c r="AI87" s="492">
        <v>0</v>
      </c>
      <c r="AJ87" s="492">
        <v>0</v>
      </c>
      <c r="AK87" s="492">
        <v>0</v>
      </c>
      <c r="AL87" s="492">
        <v>0</v>
      </c>
    </row>
    <row r="88" spans="1:38" ht="15" customHeight="1">
      <c r="A88" s="531" t="s">
        <v>409</v>
      </c>
      <c r="B88" s="491">
        <v>83</v>
      </c>
      <c r="C88" s="492">
        <v>0</v>
      </c>
      <c r="D88" s="492">
        <v>0</v>
      </c>
      <c r="E88" s="492">
        <v>0</v>
      </c>
      <c r="F88" s="492">
        <v>0</v>
      </c>
      <c r="G88" s="492">
        <v>0</v>
      </c>
      <c r="H88" s="492">
        <v>0</v>
      </c>
      <c r="I88" s="492">
        <v>0</v>
      </c>
      <c r="J88" s="492">
        <v>0</v>
      </c>
      <c r="K88" s="492">
        <v>0</v>
      </c>
      <c r="L88" s="492">
        <v>0</v>
      </c>
      <c r="M88" s="492">
        <v>0</v>
      </c>
      <c r="N88" s="492">
        <v>0</v>
      </c>
      <c r="O88" s="502">
        <v>0</v>
      </c>
      <c r="P88" s="516">
        <v>0</v>
      </c>
      <c r="Q88" s="492">
        <v>0</v>
      </c>
      <c r="R88" s="492">
        <v>0</v>
      </c>
      <c r="S88" s="492">
        <v>0</v>
      </c>
      <c r="T88" s="492">
        <v>0</v>
      </c>
      <c r="U88" s="492">
        <v>0</v>
      </c>
      <c r="V88" s="492">
        <v>0</v>
      </c>
      <c r="W88" s="492">
        <v>0</v>
      </c>
      <c r="X88" s="492">
        <v>0</v>
      </c>
      <c r="Y88" s="492">
        <v>0</v>
      </c>
      <c r="Z88" s="492">
        <v>0</v>
      </c>
      <c r="AA88" s="492">
        <v>0</v>
      </c>
      <c r="AB88" s="492">
        <v>0</v>
      </c>
      <c r="AC88" s="492">
        <v>0</v>
      </c>
      <c r="AD88" s="492">
        <v>0</v>
      </c>
      <c r="AE88" s="492"/>
      <c r="AF88" s="492">
        <v>0</v>
      </c>
      <c r="AG88" s="492">
        <v>0</v>
      </c>
      <c r="AH88" s="492">
        <v>0</v>
      </c>
      <c r="AI88" s="492">
        <v>0</v>
      </c>
      <c r="AJ88" s="492">
        <v>0</v>
      </c>
      <c r="AK88" s="492">
        <v>0</v>
      </c>
      <c r="AL88" s="492">
        <v>0</v>
      </c>
    </row>
    <row r="89" spans="1:38" ht="15" customHeight="1">
      <c r="A89" s="531" t="s">
        <v>410</v>
      </c>
      <c r="B89" s="491">
        <v>84</v>
      </c>
      <c r="C89" s="492">
        <v>8898739732</v>
      </c>
      <c r="D89" s="492">
        <v>1567041590</v>
      </c>
      <c r="E89" s="492">
        <v>1567041590</v>
      </c>
      <c r="F89" s="492">
        <v>145412873</v>
      </c>
      <c r="G89" s="492">
        <v>2526331</v>
      </c>
      <c r="H89" s="492">
        <v>17283890</v>
      </c>
      <c r="I89" s="492">
        <v>0</v>
      </c>
      <c r="J89" s="492">
        <v>0</v>
      </c>
      <c r="K89" s="492">
        <v>0</v>
      </c>
      <c r="L89" s="492">
        <v>0</v>
      </c>
      <c r="M89" s="492">
        <v>0</v>
      </c>
      <c r="N89" s="492">
        <v>7646385732</v>
      </c>
      <c r="O89" s="532">
        <v>2773116077</v>
      </c>
      <c r="P89" s="516">
        <v>4518229531</v>
      </c>
      <c r="Q89" s="492">
        <v>6886686516</v>
      </c>
      <c r="R89" s="492">
        <v>7470833894</v>
      </c>
      <c r="S89" s="492">
        <v>12458087898</v>
      </c>
      <c r="T89" s="492">
        <v>9494100798</v>
      </c>
      <c r="U89" s="492">
        <v>5591611785</v>
      </c>
      <c r="V89" s="492">
        <v>5843676544</v>
      </c>
      <c r="W89" s="492">
        <v>4494183632</v>
      </c>
      <c r="X89" s="492">
        <v>3950455452</v>
      </c>
      <c r="Y89" s="492">
        <v>3074628856</v>
      </c>
      <c r="Z89" s="492">
        <v>6575593057</v>
      </c>
      <c r="AA89" s="492">
        <v>2125485230</v>
      </c>
      <c r="AB89" s="492">
        <v>2202657518</v>
      </c>
      <c r="AC89" s="492">
        <v>687237014</v>
      </c>
      <c r="AD89" s="492">
        <v>681723426</v>
      </c>
      <c r="AE89" s="492">
        <v>841764804</v>
      </c>
      <c r="AF89" s="492">
        <v>0</v>
      </c>
      <c r="AG89" s="492">
        <v>0</v>
      </c>
      <c r="AH89" s="492">
        <v>0</v>
      </c>
      <c r="AI89" s="492">
        <v>0</v>
      </c>
      <c r="AJ89" s="492">
        <v>0</v>
      </c>
      <c r="AK89" s="492">
        <v>0</v>
      </c>
      <c r="AL89" s="492">
        <v>0</v>
      </c>
    </row>
    <row r="90" spans="1:38" ht="15" customHeight="1">
      <c r="A90" s="531" t="s">
        <v>411</v>
      </c>
      <c r="B90" s="491">
        <v>85</v>
      </c>
      <c r="C90" s="492">
        <v>10128031033</v>
      </c>
      <c r="D90" s="492">
        <v>6218009406</v>
      </c>
      <c r="E90" s="492">
        <v>6555513609</v>
      </c>
      <c r="F90" s="492">
        <v>7649364322</v>
      </c>
      <c r="G90" s="492">
        <v>7249642948</v>
      </c>
      <c r="H90" s="492">
        <v>7169425301</v>
      </c>
      <c r="I90" s="492">
        <v>6912460758</v>
      </c>
      <c r="J90" s="492">
        <v>456962693</v>
      </c>
      <c r="K90" s="492">
        <v>7439470114</v>
      </c>
      <c r="L90" s="492">
        <v>7375957571</v>
      </c>
      <c r="M90" s="492">
        <v>7548660274</v>
      </c>
      <c r="N90" s="492">
        <v>11760267089</v>
      </c>
      <c r="O90" s="501">
        <v>7452851745</v>
      </c>
      <c r="P90" s="516">
        <v>7981672191</v>
      </c>
      <c r="Q90" s="492">
        <v>8135040430</v>
      </c>
      <c r="R90" s="492">
        <v>505632229</v>
      </c>
      <c r="S90" s="492">
        <v>9296428166</v>
      </c>
      <c r="T90" s="492">
        <v>9543385489</v>
      </c>
      <c r="U90" s="492">
        <v>9205268728</v>
      </c>
      <c r="V90" s="492">
        <v>9535380096</v>
      </c>
      <c r="W90" s="492">
        <v>10074815641</v>
      </c>
      <c r="X90" s="492">
        <v>9365267323</v>
      </c>
      <c r="Y90" s="492">
        <v>9132322907</v>
      </c>
      <c r="Z90" s="492">
        <v>9289786517</v>
      </c>
      <c r="AA90" s="492">
        <v>17091977517</v>
      </c>
      <c r="AB90" s="492">
        <v>8616217662</v>
      </c>
      <c r="AC90" s="492">
        <v>8622933213</v>
      </c>
      <c r="AD90" s="492">
        <v>10380484365</v>
      </c>
      <c r="AE90" s="492">
        <v>8734302003</v>
      </c>
      <c r="AF90" s="492">
        <v>0</v>
      </c>
      <c r="AG90" s="492">
        <v>0</v>
      </c>
      <c r="AH90" s="492">
        <v>0</v>
      </c>
      <c r="AI90" s="492">
        <v>0</v>
      </c>
      <c r="AJ90" s="492">
        <v>0</v>
      </c>
      <c r="AK90" s="492">
        <v>0</v>
      </c>
      <c r="AL90" s="492">
        <v>0</v>
      </c>
    </row>
    <row r="91" spans="1:38" ht="15" customHeight="1">
      <c r="A91" s="531" t="s">
        <v>412</v>
      </c>
      <c r="B91" s="491">
        <v>86</v>
      </c>
      <c r="C91" s="492">
        <v>15355121373</v>
      </c>
      <c r="D91" s="492">
        <v>22067539102</v>
      </c>
      <c r="E91" s="492">
        <v>6522564543</v>
      </c>
      <c r="F91" s="492">
        <v>16391725866</v>
      </c>
      <c r="G91" s="492">
        <v>25887367165</v>
      </c>
      <c r="H91" s="492">
        <v>8854068160</v>
      </c>
      <c r="I91" s="492">
        <v>18522703687</v>
      </c>
      <c r="J91" s="492">
        <v>31289196795</v>
      </c>
      <c r="K91" s="492">
        <v>16810846632</v>
      </c>
      <c r="L91" s="492">
        <v>24050388306</v>
      </c>
      <c r="M91" s="492">
        <v>32028968920</v>
      </c>
      <c r="N91" s="492">
        <v>16521426792</v>
      </c>
      <c r="O91" s="501">
        <v>12992485838</v>
      </c>
      <c r="P91" s="516">
        <v>18140837282</v>
      </c>
      <c r="Q91" s="492">
        <v>-6247336694</v>
      </c>
      <c r="R91" s="492">
        <v>-4221870182</v>
      </c>
      <c r="S91" s="492">
        <v>-636813506</v>
      </c>
      <c r="T91" s="492">
        <v>209989120</v>
      </c>
      <c r="U91" s="492">
        <v>16596396339</v>
      </c>
      <c r="V91" s="492">
        <v>22300697137</v>
      </c>
      <c r="W91" s="492">
        <v>15233456716</v>
      </c>
      <c r="X91" s="492">
        <v>21020315535</v>
      </c>
      <c r="Y91" s="492">
        <v>25722544862</v>
      </c>
      <c r="Z91" s="492">
        <v>18860860041</v>
      </c>
      <c r="AA91" s="492">
        <v>17463423609</v>
      </c>
      <c r="AB91" s="492">
        <v>17173577929</v>
      </c>
      <c r="AC91" s="492">
        <v>16192573933</v>
      </c>
      <c r="AD91" s="492">
        <v>20408777583</v>
      </c>
      <c r="AE91" s="492">
        <v>21161124363</v>
      </c>
      <c r="AF91" s="492">
        <v>0</v>
      </c>
      <c r="AG91" s="492">
        <v>0</v>
      </c>
      <c r="AH91" s="492">
        <v>0</v>
      </c>
      <c r="AI91" s="492">
        <v>0</v>
      </c>
      <c r="AJ91" s="492">
        <v>0</v>
      </c>
      <c r="AK91" s="492">
        <v>0</v>
      </c>
      <c r="AL91" s="492">
        <v>0</v>
      </c>
    </row>
    <row r="92" spans="1:38" ht="15" customHeight="1">
      <c r="A92" s="531" t="s">
        <v>413</v>
      </c>
      <c r="B92" s="491">
        <v>87</v>
      </c>
      <c r="C92" s="492">
        <v>0</v>
      </c>
      <c r="D92" s="492">
        <v>0</v>
      </c>
      <c r="E92" s="492">
        <v>0</v>
      </c>
      <c r="F92" s="492">
        <v>0</v>
      </c>
      <c r="G92" s="492">
        <v>0</v>
      </c>
      <c r="H92" s="492">
        <v>0</v>
      </c>
      <c r="I92" s="492">
        <v>0</v>
      </c>
      <c r="J92" s="492">
        <v>0</v>
      </c>
      <c r="K92" s="492">
        <v>0</v>
      </c>
      <c r="L92" s="492">
        <v>0</v>
      </c>
      <c r="M92" s="492">
        <v>0</v>
      </c>
      <c r="N92" s="492">
        <v>0</v>
      </c>
      <c r="O92" s="502">
        <v>0</v>
      </c>
      <c r="P92" s="516">
        <v>0</v>
      </c>
      <c r="Q92" s="492">
        <v>0</v>
      </c>
      <c r="R92" s="492">
        <v>0</v>
      </c>
      <c r="S92" s="492">
        <v>0</v>
      </c>
      <c r="T92" s="492">
        <v>0</v>
      </c>
      <c r="U92" s="492">
        <v>0</v>
      </c>
      <c r="V92" s="492">
        <v>0</v>
      </c>
      <c r="W92" s="492">
        <v>0</v>
      </c>
      <c r="X92" s="492">
        <v>0</v>
      </c>
      <c r="Y92" s="492">
        <v>0</v>
      </c>
      <c r="Z92" s="492">
        <v>0</v>
      </c>
      <c r="AA92" s="492">
        <v>0</v>
      </c>
      <c r="AB92" s="492">
        <v>0</v>
      </c>
      <c r="AC92" s="492">
        <v>0</v>
      </c>
      <c r="AD92" s="492">
        <v>0</v>
      </c>
      <c r="AE92" s="492"/>
      <c r="AF92" s="492">
        <v>0</v>
      </c>
      <c r="AG92" s="492">
        <v>0</v>
      </c>
      <c r="AH92" s="492">
        <v>0</v>
      </c>
      <c r="AI92" s="492">
        <v>0</v>
      </c>
      <c r="AJ92" s="492">
        <v>0</v>
      </c>
      <c r="AK92" s="492">
        <v>0</v>
      </c>
      <c r="AL92" s="492">
        <v>0</v>
      </c>
    </row>
    <row r="93" spans="1:38" ht="15" customHeight="1">
      <c r="A93" s="531" t="s">
        <v>414</v>
      </c>
      <c r="B93" s="491">
        <v>88</v>
      </c>
      <c r="C93" s="492">
        <v>0</v>
      </c>
      <c r="D93" s="492">
        <v>0</v>
      </c>
      <c r="E93" s="492">
        <v>0</v>
      </c>
      <c r="F93" s="492">
        <v>0</v>
      </c>
      <c r="G93" s="492">
        <v>0</v>
      </c>
      <c r="H93" s="492">
        <v>0</v>
      </c>
      <c r="I93" s="492">
        <v>0</v>
      </c>
      <c r="J93" s="492">
        <v>0</v>
      </c>
      <c r="K93" s="492">
        <v>0</v>
      </c>
      <c r="L93" s="492">
        <v>0</v>
      </c>
      <c r="M93" s="492">
        <v>0</v>
      </c>
      <c r="N93" s="492">
        <v>0</v>
      </c>
      <c r="O93" s="502">
        <v>0</v>
      </c>
      <c r="P93" s="516">
        <v>0</v>
      </c>
      <c r="Q93" s="492">
        <v>0</v>
      </c>
      <c r="R93" s="492">
        <v>0</v>
      </c>
      <c r="S93" s="492">
        <v>0</v>
      </c>
      <c r="T93" s="492">
        <v>0</v>
      </c>
      <c r="U93" s="492">
        <v>0</v>
      </c>
      <c r="V93" s="492">
        <v>0</v>
      </c>
      <c r="W93" s="492">
        <v>0</v>
      </c>
      <c r="X93" s="492">
        <v>0</v>
      </c>
      <c r="Y93" s="492">
        <v>0</v>
      </c>
      <c r="Z93" s="492">
        <v>0</v>
      </c>
      <c r="AA93" s="492">
        <v>0</v>
      </c>
      <c r="AB93" s="492">
        <v>0</v>
      </c>
      <c r="AC93" s="492">
        <v>0</v>
      </c>
      <c r="AD93" s="492">
        <v>0</v>
      </c>
      <c r="AE93" s="492"/>
      <c r="AF93" s="492">
        <v>0</v>
      </c>
      <c r="AG93" s="492">
        <v>0</v>
      </c>
      <c r="AH93" s="492">
        <v>0</v>
      </c>
      <c r="AI93" s="492">
        <v>0</v>
      </c>
      <c r="AJ93" s="492">
        <v>0</v>
      </c>
      <c r="AK93" s="492">
        <v>0</v>
      </c>
      <c r="AL93" s="492">
        <v>0</v>
      </c>
    </row>
    <row r="94" spans="1:38" ht="15" customHeight="1">
      <c r="A94" s="531" t="s">
        <v>415</v>
      </c>
      <c r="B94" s="491">
        <v>89</v>
      </c>
      <c r="C94" s="492">
        <v>0</v>
      </c>
      <c r="D94" s="492">
        <v>0</v>
      </c>
      <c r="E94" s="492">
        <v>0</v>
      </c>
      <c r="F94" s="492">
        <v>0</v>
      </c>
      <c r="G94" s="492">
        <v>0</v>
      </c>
      <c r="H94" s="492">
        <v>0</v>
      </c>
      <c r="I94" s="492">
        <v>0</v>
      </c>
      <c r="J94" s="492">
        <v>0</v>
      </c>
      <c r="K94" s="492">
        <v>0</v>
      </c>
      <c r="L94" s="492">
        <v>0</v>
      </c>
      <c r="M94" s="492">
        <v>0</v>
      </c>
      <c r="N94" s="492">
        <v>0</v>
      </c>
      <c r="O94" s="502">
        <v>0</v>
      </c>
      <c r="P94" s="516">
        <v>0</v>
      </c>
      <c r="Q94" s="492">
        <v>0</v>
      </c>
      <c r="R94" s="492">
        <v>0</v>
      </c>
      <c r="S94" s="492">
        <v>0</v>
      </c>
      <c r="T94" s="492">
        <v>0</v>
      </c>
      <c r="U94" s="492">
        <v>0</v>
      </c>
      <c r="V94" s="492">
        <v>0</v>
      </c>
      <c r="W94" s="492">
        <v>0</v>
      </c>
      <c r="X94" s="492">
        <v>0</v>
      </c>
      <c r="Y94" s="492">
        <v>0</v>
      </c>
      <c r="Z94" s="492">
        <v>0</v>
      </c>
      <c r="AA94" s="492">
        <v>0</v>
      </c>
      <c r="AB94" s="492">
        <v>0</v>
      </c>
      <c r="AC94" s="492">
        <v>0</v>
      </c>
      <c r="AD94" s="492">
        <v>0</v>
      </c>
      <c r="AE94" s="492"/>
      <c r="AF94" s="492">
        <v>0</v>
      </c>
      <c r="AG94" s="492">
        <v>0</v>
      </c>
      <c r="AH94" s="492">
        <v>0</v>
      </c>
      <c r="AI94" s="492">
        <v>0</v>
      </c>
      <c r="AJ94" s="492">
        <v>0</v>
      </c>
      <c r="AK94" s="492">
        <v>0</v>
      </c>
      <c r="AL94" s="492">
        <v>0</v>
      </c>
    </row>
    <row r="95" spans="1:38" ht="15" customHeight="1">
      <c r="A95" s="531" t="s">
        <v>416</v>
      </c>
      <c r="B95" s="491">
        <v>90</v>
      </c>
      <c r="C95" s="492">
        <v>20355282311</v>
      </c>
      <c r="D95" s="492">
        <v>20072661932</v>
      </c>
      <c r="E95" s="492">
        <v>26417436937</v>
      </c>
      <c r="F95" s="492">
        <v>27331419185</v>
      </c>
      <c r="G95" s="492">
        <v>19976705931</v>
      </c>
      <c r="H95" s="492">
        <v>8557631012</v>
      </c>
      <c r="I95" s="492">
        <v>8921341505</v>
      </c>
      <c r="J95" s="492">
        <v>8305034290</v>
      </c>
      <c r="K95" s="492">
        <v>10611497755</v>
      </c>
      <c r="L95" s="492">
        <v>3332301431</v>
      </c>
      <c r="M95" s="492">
        <v>5092624624</v>
      </c>
      <c r="N95" s="492">
        <v>5848302182</v>
      </c>
      <c r="O95" s="502">
        <v>5950478281</v>
      </c>
      <c r="P95" s="516">
        <v>8480710843</v>
      </c>
      <c r="Q95" s="492">
        <v>6827325037</v>
      </c>
      <c r="R95" s="492">
        <v>16529834801</v>
      </c>
      <c r="S95" s="492">
        <v>26083619575</v>
      </c>
      <c r="T95" s="492">
        <v>11626227888</v>
      </c>
      <c r="U95" s="492">
        <v>10463806809</v>
      </c>
      <c r="V95" s="492">
        <v>13245650719</v>
      </c>
      <c r="W95" s="492">
        <v>3578074988</v>
      </c>
      <c r="X95" s="492">
        <v>3829811224</v>
      </c>
      <c r="Y95" s="492">
        <v>5090463265</v>
      </c>
      <c r="Z95" s="492">
        <v>3480132139</v>
      </c>
      <c r="AA95" s="492">
        <v>3689065948</v>
      </c>
      <c r="AB95" s="492">
        <v>5696728028</v>
      </c>
      <c r="AC95" s="492">
        <v>3793714105</v>
      </c>
      <c r="AD95" s="492">
        <v>3685561052</v>
      </c>
      <c r="AE95" s="492">
        <v>4140002885</v>
      </c>
      <c r="AF95" s="492">
        <v>0</v>
      </c>
      <c r="AG95" s="492">
        <v>0</v>
      </c>
      <c r="AH95" s="492">
        <v>0</v>
      </c>
      <c r="AI95" s="492">
        <v>0</v>
      </c>
      <c r="AJ95" s="492">
        <v>0</v>
      </c>
      <c r="AK95" s="492">
        <v>0</v>
      </c>
      <c r="AL95" s="492">
        <v>0</v>
      </c>
    </row>
    <row r="96" spans="1:38" ht="15" customHeight="1">
      <c r="A96" s="531" t="s">
        <v>417</v>
      </c>
      <c r="B96" s="491">
        <v>91</v>
      </c>
      <c r="C96" s="492">
        <v>62822745245</v>
      </c>
      <c r="D96" s="492">
        <v>57847834995</v>
      </c>
      <c r="E96" s="492">
        <v>101832582537</v>
      </c>
      <c r="F96" s="492">
        <v>144977288403</v>
      </c>
      <c r="G96" s="492">
        <v>178905916168</v>
      </c>
      <c r="H96" s="492">
        <v>190748518955</v>
      </c>
      <c r="I96" s="492">
        <v>168894814805</v>
      </c>
      <c r="J96" s="492">
        <v>126048766562</v>
      </c>
      <c r="K96" s="492">
        <v>139654417984</v>
      </c>
      <c r="L96" s="492">
        <v>155306260478</v>
      </c>
      <c r="M96" s="492">
        <v>165536679982</v>
      </c>
      <c r="N96" s="492">
        <v>192629821718</v>
      </c>
      <c r="O96" s="502">
        <v>134925554251</v>
      </c>
      <c r="P96" s="516">
        <v>43611829278</v>
      </c>
      <c r="Q96" s="492">
        <v>98003020481</v>
      </c>
      <c r="R96" s="492">
        <v>172928907420</v>
      </c>
      <c r="S96" s="492">
        <v>200666324688</v>
      </c>
      <c r="T96" s="492">
        <v>238388679271</v>
      </c>
      <c r="U96" s="492">
        <v>250573370780</v>
      </c>
      <c r="V96" s="492">
        <v>294832243750</v>
      </c>
      <c r="W96" s="492">
        <v>309616499760</v>
      </c>
      <c r="X96" s="492">
        <v>263334816592</v>
      </c>
      <c r="Y96" s="492">
        <v>254700704679</v>
      </c>
      <c r="Z96" s="492">
        <v>262225979238</v>
      </c>
      <c r="AA96" s="492">
        <v>216818798145</v>
      </c>
      <c r="AB96" s="492">
        <v>231846507077</v>
      </c>
      <c r="AC96" s="492">
        <v>179737111410</v>
      </c>
      <c r="AD96" s="492">
        <v>147514569550</v>
      </c>
      <c r="AE96" s="492">
        <v>116595603825</v>
      </c>
      <c r="AF96" s="492">
        <v>0</v>
      </c>
      <c r="AG96" s="492">
        <v>0</v>
      </c>
      <c r="AH96" s="492">
        <v>0</v>
      </c>
      <c r="AI96" s="492">
        <v>0</v>
      </c>
      <c r="AJ96" s="492">
        <v>0</v>
      </c>
      <c r="AK96" s="492">
        <v>0</v>
      </c>
      <c r="AL96" s="492">
        <v>0</v>
      </c>
    </row>
    <row r="97" spans="1:38" ht="15" customHeight="1">
      <c r="A97" s="531" t="s">
        <v>418</v>
      </c>
      <c r="B97" s="491">
        <v>92</v>
      </c>
      <c r="C97" s="492">
        <v>0</v>
      </c>
      <c r="D97" s="492">
        <v>0</v>
      </c>
      <c r="E97" s="492">
        <v>0</v>
      </c>
      <c r="F97" s="492">
        <v>0</v>
      </c>
      <c r="G97" s="492">
        <v>0</v>
      </c>
      <c r="H97" s="492">
        <v>0</v>
      </c>
      <c r="I97" s="492">
        <v>0</v>
      </c>
      <c r="J97" s="492">
        <v>0</v>
      </c>
      <c r="K97" s="492">
        <v>0</v>
      </c>
      <c r="L97" s="492">
        <v>0</v>
      </c>
      <c r="M97" s="492">
        <v>0</v>
      </c>
      <c r="N97" s="492">
        <v>0</v>
      </c>
      <c r="O97" s="502">
        <v>0</v>
      </c>
      <c r="P97" s="516">
        <v>0</v>
      </c>
      <c r="Q97" s="492">
        <v>0</v>
      </c>
      <c r="R97" s="492">
        <v>0</v>
      </c>
      <c r="S97" s="492">
        <v>0</v>
      </c>
      <c r="T97" s="492">
        <v>0</v>
      </c>
      <c r="U97" s="492">
        <v>0</v>
      </c>
      <c r="V97" s="492">
        <v>0</v>
      </c>
      <c r="W97" s="492">
        <v>0</v>
      </c>
      <c r="X97" s="492">
        <v>0</v>
      </c>
      <c r="Y97" s="492">
        <v>0</v>
      </c>
      <c r="Z97" s="492">
        <v>0</v>
      </c>
      <c r="AA97" s="492">
        <v>0</v>
      </c>
      <c r="AB97" s="492">
        <v>0</v>
      </c>
      <c r="AC97" s="492">
        <v>0</v>
      </c>
      <c r="AD97" s="492">
        <v>0</v>
      </c>
      <c r="AE97" s="492"/>
      <c r="AF97" s="492">
        <v>0</v>
      </c>
      <c r="AG97" s="492">
        <v>0</v>
      </c>
      <c r="AH97" s="492">
        <v>0</v>
      </c>
      <c r="AI97" s="492">
        <v>0</v>
      </c>
      <c r="AJ97" s="492">
        <v>0</v>
      </c>
      <c r="AK97" s="492">
        <v>0</v>
      </c>
      <c r="AL97" s="492">
        <v>0</v>
      </c>
    </row>
    <row r="98" spans="1:38" ht="15" customHeight="1">
      <c r="A98" s="531" t="s">
        <v>419</v>
      </c>
      <c r="B98" s="491">
        <v>93</v>
      </c>
      <c r="C98" s="492">
        <v>376813826</v>
      </c>
      <c r="D98" s="492">
        <v>246813826</v>
      </c>
      <c r="E98" s="492">
        <v>246813826</v>
      </c>
      <c r="F98" s="492">
        <v>246813826</v>
      </c>
      <c r="G98" s="492">
        <v>246813826</v>
      </c>
      <c r="H98" s="492">
        <v>246813826</v>
      </c>
      <c r="I98" s="492">
        <v>230313826</v>
      </c>
      <c r="J98" s="492">
        <v>226063826</v>
      </c>
      <c r="K98" s="492">
        <v>695823826</v>
      </c>
      <c r="L98" s="492">
        <v>1411383826</v>
      </c>
      <c r="M98" s="492">
        <v>1397549382</v>
      </c>
      <c r="N98" s="492">
        <v>1222249720</v>
      </c>
      <c r="O98" s="502">
        <v>937249720</v>
      </c>
      <c r="P98" s="516">
        <v>927249720</v>
      </c>
      <c r="Q98" s="492">
        <v>914665720</v>
      </c>
      <c r="R98" s="492">
        <v>909665720</v>
      </c>
      <c r="S98" s="492">
        <v>906665720</v>
      </c>
      <c r="T98" s="492">
        <v>906665720</v>
      </c>
      <c r="U98" s="492">
        <v>899772466</v>
      </c>
      <c r="V98" s="492">
        <v>680992466</v>
      </c>
      <c r="W98" s="492">
        <v>1436632466</v>
      </c>
      <c r="X98" s="492">
        <v>1436632466</v>
      </c>
      <c r="Y98" s="492">
        <v>1436632466</v>
      </c>
      <c r="Z98" s="492">
        <v>1434532466</v>
      </c>
      <c r="AA98" s="492">
        <v>1167032466</v>
      </c>
      <c r="AB98" s="492">
        <v>1129253175</v>
      </c>
      <c r="AC98" s="492">
        <v>2090213175</v>
      </c>
      <c r="AD98" s="492">
        <v>2134053175</v>
      </c>
      <c r="AE98" s="492">
        <v>2128177975</v>
      </c>
      <c r="AF98" s="492">
        <v>0</v>
      </c>
      <c r="AG98" s="492">
        <v>0</v>
      </c>
      <c r="AH98" s="492">
        <v>0</v>
      </c>
      <c r="AI98" s="492">
        <v>0</v>
      </c>
      <c r="AJ98" s="492">
        <v>0</v>
      </c>
      <c r="AK98" s="492">
        <v>0</v>
      </c>
      <c r="AL98" s="492">
        <v>0</v>
      </c>
    </row>
    <row r="99" spans="1:38" ht="15" customHeight="1">
      <c r="A99" s="533" t="s">
        <v>420</v>
      </c>
      <c r="B99" s="491">
        <v>94</v>
      </c>
      <c r="C99" s="492">
        <v>0</v>
      </c>
      <c r="D99" s="492">
        <v>0</v>
      </c>
      <c r="E99" s="492">
        <v>0</v>
      </c>
      <c r="F99" s="492">
        <v>0</v>
      </c>
      <c r="G99" s="492">
        <v>0</v>
      </c>
      <c r="H99" s="492">
        <v>0</v>
      </c>
      <c r="I99" s="492">
        <v>0</v>
      </c>
      <c r="J99" s="492">
        <v>0</v>
      </c>
      <c r="K99" s="492">
        <v>0</v>
      </c>
      <c r="L99" s="492">
        <v>0</v>
      </c>
      <c r="M99" s="492">
        <v>0</v>
      </c>
      <c r="N99" s="492">
        <v>0</v>
      </c>
      <c r="O99" s="502">
        <v>0</v>
      </c>
      <c r="P99" s="516">
        <v>0</v>
      </c>
      <c r="Q99" s="492">
        <v>0</v>
      </c>
      <c r="R99" s="492">
        <v>0</v>
      </c>
      <c r="S99" s="492">
        <v>0</v>
      </c>
      <c r="T99" s="492">
        <v>0</v>
      </c>
      <c r="U99" s="492">
        <v>0</v>
      </c>
      <c r="V99" s="492">
        <v>0</v>
      </c>
      <c r="W99" s="492">
        <v>0</v>
      </c>
      <c r="X99" s="492">
        <v>0</v>
      </c>
      <c r="Y99" s="492">
        <v>0</v>
      </c>
      <c r="Z99" s="492">
        <v>0</v>
      </c>
      <c r="AA99" s="492">
        <v>0</v>
      </c>
      <c r="AB99" s="492">
        <v>0</v>
      </c>
      <c r="AC99" s="492">
        <v>0</v>
      </c>
      <c r="AD99" s="492">
        <v>0</v>
      </c>
      <c r="AE99" s="492"/>
      <c r="AF99" s="492">
        <v>0</v>
      </c>
      <c r="AG99" s="492">
        <v>0</v>
      </c>
      <c r="AH99" s="492">
        <v>0</v>
      </c>
      <c r="AI99" s="492">
        <v>0</v>
      </c>
      <c r="AJ99" s="492">
        <v>0</v>
      </c>
      <c r="AK99" s="492">
        <v>0</v>
      </c>
      <c r="AL99" s="492">
        <v>0</v>
      </c>
    </row>
    <row r="100" spans="1:38" ht="15" customHeight="1">
      <c r="A100" s="533" t="s">
        <v>421</v>
      </c>
      <c r="B100" s="491">
        <v>95</v>
      </c>
      <c r="C100" s="492">
        <v>0</v>
      </c>
      <c r="D100" s="492">
        <v>0</v>
      </c>
      <c r="E100" s="492">
        <v>0</v>
      </c>
      <c r="F100" s="492">
        <v>0</v>
      </c>
      <c r="G100" s="492">
        <v>0</v>
      </c>
      <c r="H100" s="492">
        <v>0</v>
      </c>
      <c r="I100" s="492">
        <v>0</v>
      </c>
      <c r="J100" s="492">
        <v>0</v>
      </c>
      <c r="K100" s="492">
        <v>0</v>
      </c>
      <c r="L100" s="492">
        <v>0</v>
      </c>
      <c r="M100" s="492">
        <v>0</v>
      </c>
      <c r="N100" s="492">
        <v>0</v>
      </c>
      <c r="O100" s="502">
        <v>0</v>
      </c>
      <c r="P100" s="516">
        <v>0</v>
      </c>
      <c r="Q100" s="492">
        <v>0</v>
      </c>
      <c r="R100" s="492">
        <v>0</v>
      </c>
      <c r="S100" s="492">
        <v>0</v>
      </c>
      <c r="T100" s="492">
        <v>0</v>
      </c>
      <c r="U100" s="492">
        <v>0</v>
      </c>
      <c r="V100" s="492">
        <v>0</v>
      </c>
      <c r="W100" s="492">
        <v>0</v>
      </c>
      <c r="X100" s="492">
        <v>0</v>
      </c>
      <c r="Y100" s="492">
        <v>0</v>
      </c>
      <c r="Z100" s="492">
        <v>0</v>
      </c>
      <c r="AA100" s="492">
        <v>0</v>
      </c>
      <c r="AB100" s="492">
        <v>0</v>
      </c>
      <c r="AC100" s="492">
        <v>0</v>
      </c>
      <c r="AD100" s="492">
        <v>0</v>
      </c>
      <c r="AE100" s="492"/>
      <c r="AF100" s="492">
        <v>0</v>
      </c>
      <c r="AG100" s="492">
        <v>0</v>
      </c>
      <c r="AH100" s="492">
        <v>0</v>
      </c>
      <c r="AI100" s="492">
        <v>0</v>
      </c>
      <c r="AJ100" s="492">
        <v>0</v>
      </c>
      <c r="AK100" s="492">
        <v>0</v>
      </c>
      <c r="AL100" s="492">
        <v>0</v>
      </c>
    </row>
    <row r="101" spans="1:38" ht="15" customHeight="1">
      <c r="A101" s="511" t="s">
        <v>422</v>
      </c>
      <c r="B101" s="495">
        <v>96</v>
      </c>
      <c r="C101" s="498">
        <v>77616411070</v>
      </c>
      <c r="D101" s="498">
        <v>77522351070</v>
      </c>
      <c r="E101" s="498">
        <v>77463351070</v>
      </c>
      <c r="F101" s="498">
        <v>77168157678</v>
      </c>
      <c r="G101" s="498">
        <v>75214867678</v>
      </c>
      <c r="H101" s="498">
        <v>76544035678</v>
      </c>
      <c r="I101" s="498">
        <v>76656842286</v>
      </c>
      <c r="J101" s="498">
        <v>75999782286</v>
      </c>
      <c r="K101" s="498">
        <v>76594782286</v>
      </c>
      <c r="L101" s="498">
        <v>76818588894</v>
      </c>
      <c r="M101" s="498">
        <v>103444528894</v>
      </c>
      <c r="N101" s="499">
        <v>84737345522</v>
      </c>
      <c r="O101" s="505">
        <v>108410341946</v>
      </c>
      <c r="P101" s="512">
        <v>104162504168</v>
      </c>
      <c r="Q101" s="499">
        <v>103325726390</v>
      </c>
      <c r="R101" s="499">
        <v>102252755220</v>
      </c>
      <c r="S101" s="499">
        <v>98004917442</v>
      </c>
      <c r="T101" s="499">
        <v>77121791394</v>
      </c>
      <c r="U101" s="499">
        <v>76048820224</v>
      </c>
      <c r="V101" s="499">
        <v>74463510446</v>
      </c>
      <c r="W101" s="499">
        <v>73626732668</v>
      </c>
      <c r="X101" s="499">
        <v>68573133942</v>
      </c>
      <c r="Y101" s="499">
        <v>69631372942</v>
      </c>
      <c r="Z101" s="499">
        <v>50382254354</v>
      </c>
      <c r="AA101" s="499">
        <v>49472841415</v>
      </c>
      <c r="AB101" s="499">
        <v>71400341415</v>
      </c>
      <c r="AC101" s="499">
        <v>80100341415</v>
      </c>
      <c r="AD101" s="499">
        <v>80100341415</v>
      </c>
      <c r="AE101" s="499">
        <v>154933236415</v>
      </c>
      <c r="AF101" s="499">
        <v>0</v>
      </c>
      <c r="AG101" s="499">
        <v>0</v>
      </c>
      <c r="AH101" s="499">
        <v>0</v>
      </c>
      <c r="AI101" s="499">
        <v>0</v>
      </c>
      <c r="AJ101" s="499">
        <v>0</v>
      </c>
      <c r="AK101" s="499">
        <v>0</v>
      </c>
      <c r="AL101" s="499">
        <v>0</v>
      </c>
    </row>
    <row r="102" spans="1:38" ht="15" customHeight="1">
      <c r="A102" s="531" t="s">
        <v>423</v>
      </c>
      <c r="B102" s="491">
        <v>97</v>
      </c>
      <c r="C102" s="492">
        <v>0</v>
      </c>
      <c r="D102" s="492">
        <v>0</v>
      </c>
      <c r="E102" s="492">
        <v>0</v>
      </c>
      <c r="F102" s="492">
        <v>0</v>
      </c>
      <c r="G102" s="492">
        <v>0</v>
      </c>
      <c r="H102" s="492">
        <v>0</v>
      </c>
      <c r="I102" s="492">
        <v>0</v>
      </c>
      <c r="J102" s="492">
        <v>0</v>
      </c>
      <c r="K102" s="492">
        <v>0</v>
      </c>
      <c r="L102" s="492">
        <v>0</v>
      </c>
      <c r="M102" s="492">
        <v>0</v>
      </c>
      <c r="N102" s="492">
        <v>0</v>
      </c>
      <c r="O102" s="492">
        <v>0</v>
      </c>
      <c r="P102" s="492">
        <v>0</v>
      </c>
      <c r="Q102" s="492">
        <v>0</v>
      </c>
      <c r="R102" s="492">
        <v>0</v>
      </c>
      <c r="S102" s="492">
        <v>0</v>
      </c>
      <c r="T102" s="492">
        <v>0</v>
      </c>
      <c r="U102" s="492">
        <v>0</v>
      </c>
      <c r="V102" s="492">
        <v>0</v>
      </c>
      <c r="W102" s="492">
        <v>0</v>
      </c>
      <c r="X102" s="492">
        <v>0</v>
      </c>
      <c r="Y102" s="492">
        <v>0</v>
      </c>
      <c r="Z102" s="492">
        <v>0</v>
      </c>
      <c r="AA102" s="492">
        <v>0</v>
      </c>
      <c r="AB102" s="492">
        <v>0</v>
      </c>
      <c r="AC102" s="492">
        <v>0</v>
      </c>
      <c r="AD102" s="492">
        <v>0</v>
      </c>
      <c r="AE102" s="492"/>
      <c r="AF102" s="492">
        <v>0</v>
      </c>
      <c r="AG102" s="492">
        <v>0</v>
      </c>
      <c r="AH102" s="492">
        <v>0</v>
      </c>
      <c r="AI102" s="492">
        <v>0</v>
      </c>
      <c r="AJ102" s="492">
        <v>0</v>
      </c>
      <c r="AK102" s="492">
        <v>0</v>
      </c>
      <c r="AL102" s="492">
        <v>0</v>
      </c>
    </row>
    <row r="103" spans="1:38" ht="15" customHeight="1">
      <c r="A103" s="531" t="s">
        <v>424</v>
      </c>
      <c r="B103" s="491">
        <v>98</v>
      </c>
      <c r="C103" s="492">
        <v>0</v>
      </c>
      <c r="D103" s="492">
        <v>0</v>
      </c>
      <c r="E103" s="492">
        <v>0</v>
      </c>
      <c r="F103" s="492">
        <v>0</v>
      </c>
      <c r="G103" s="492">
        <v>0</v>
      </c>
      <c r="H103" s="492">
        <v>0</v>
      </c>
      <c r="I103" s="492">
        <v>0</v>
      </c>
      <c r="J103" s="492">
        <v>0</v>
      </c>
      <c r="K103" s="492">
        <v>0</v>
      </c>
      <c r="L103" s="492">
        <v>0</v>
      </c>
      <c r="M103" s="492">
        <v>0</v>
      </c>
      <c r="N103" s="492">
        <v>0</v>
      </c>
      <c r="O103" s="492">
        <v>0</v>
      </c>
      <c r="P103" s="492">
        <v>0</v>
      </c>
      <c r="Q103" s="492">
        <v>0</v>
      </c>
      <c r="R103" s="492">
        <v>0</v>
      </c>
      <c r="S103" s="492">
        <v>0</v>
      </c>
      <c r="T103" s="492">
        <v>0</v>
      </c>
      <c r="U103" s="492">
        <v>0</v>
      </c>
      <c r="V103" s="492">
        <v>0</v>
      </c>
      <c r="W103" s="492">
        <v>0</v>
      </c>
      <c r="X103" s="492">
        <v>0</v>
      </c>
      <c r="Y103" s="492">
        <v>0</v>
      </c>
      <c r="Z103" s="492">
        <v>0</v>
      </c>
      <c r="AA103" s="492">
        <v>0</v>
      </c>
      <c r="AB103" s="492">
        <v>0</v>
      </c>
      <c r="AC103" s="492">
        <v>0</v>
      </c>
      <c r="AD103" s="492">
        <v>0</v>
      </c>
      <c r="AE103" s="492"/>
      <c r="AF103" s="492">
        <v>0</v>
      </c>
      <c r="AG103" s="492">
        <v>0</v>
      </c>
      <c r="AH103" s="492">
        <v>0</v>
      </c>
      <c r="AI103" s="492">
        <v>0</v>
      </c>
      <c r="AJ103" s="492">
        <v>0</v>
      </c>
      <c r="AK103" s="492">
        <v>0</v>
      </c>
      <c r="AL103" s="492">
        <v>0</v>
      </c>
    </row>
    <row r="104" spans="1:38" ht="15" customHeight="1">
      <c r="A104" s="531" t="s">
        <v>425</v>
      </c>
      <c r="B104" s="491">
        <v>99</v>
      </c>
      <c r="C104" s="492">
        <v>0</v>
      </c>
      <c r="D104" s="492">
        <v>0</v>
      </c>
      <c r="E104" s="492">
        <v>0</v>
      </c>
      <c r="F104" s="492">
        <v>0</v>
      </c>
      <c r="G104" s="492">
        <v>0</v>
      </c>
      <c r="H104" s="492">
        <v>0</v>
      </c>
      <c r="I104" s="492">
        <v>0</v>
      </c>
      <c r="J104" s="492">
        <v>0</v>
      </c>
      <c r="K104" s="492">
        <v>0</v>
      </c>
      <c r="L104" s="492">
        <v>0</v>
      </c>
      <c r="M104" s="492">
        <v>0</v>
      </c>
      <c r="N104" s="492">
        <v>0</v>
      </c>
      <c r="O104" s="492">
        <v>0</v>
      </c>
      <c r="P104" s="492">
        <v>0</v>
      </c>
      <c r="Q104" s="492">
        <v>0</v>
      </c>
      <c r="R104" s="492">
        <v>0</v>
      </c>
      <c r="S104" s="492">
        <v>0</v>
      </c>
      <c r="T104" s="492">
        <v>0</v>
      </c>
      <c r="U104" s="492">
        <v>0</v>
      </c>
      <c r="V104" s="492">
        <v>0</v>
      </c>
      <c r="W104" s="492">
        <v>0</v>
      </c>
      <c r="X104" s="492">
        <v>0</v>
      </c>
      <c r="Y104" s="492">
        <v>0</v>
      </c>
      <c r="Z104" s="492">
        <v>0</v>
      </c>
      <c r="AA104" s="492">
        <v>0</v>
      </c>
      <c r="AB104" s="492">
        <v>0</v>
      </c>
      <c r="AC104" s="492">
        <v>0</v>
      </c>
      <c r="AD104" s="492">
        <v>0</v>
      </c>
      <c r="AE104" s="492"/>
      <c r="AF104" s="492">
        <v>0</v>
      </c>
      <c r="AG104" s="492">
        <v>0</v>
      </c>
      <c r="AH104" s="492">
        <v>0</v>
      </c>
      <c r="AI104" s="492">
        <v>0</v>
      </c>
      <c r="AJ104" s="492">
        <v>0</v>
      </c>
      <c r="AK104" s="492">
        <v>0</v>
      </c>
      <c r="AL104" s="492">
        <v>0</v>
      </c>
    </row>
    <row r="105" spans="1:38" ht="15" customHeight="1">
      <c r="A105" s="531" t="s">
        <v>426</v>
      </c>
      <c r="B105" s="491">
        <v>100</v>
      </c>
      <c r="C105" s="492">
        <v>0</v>
      </c>
      <c r="D105" s="492">
        <v>0</v>
      </c>
      <c r="E105" s="492">
        <v>0</v>
      </c>
      <c r="F105" s="492">
        <v>0</v>
      </c>
      <c r="G105" s="492">
        <v>0</v>
      </c>
      <c r="H105" s="492">
        <v>0</v>
      </c>
      <c r="I105" s="492">
        <v>0</v>
      </c>
      <c r="J105" s="492">
        <v>0</v>
      </c>
      <c r="K105" s="492">
        <v>0</v>
      </c>
      <c r="L105" s="492">
        <v>0</v>
      </c>
      <c r="M105" s="492">
        <v>0</v>
      </c>
      <c r="N105" s="492">
        <v>0</v>
      </c>
      <c r="O105" s="492">
        <v>0</v>
      </c>
      <c r="P105" s="492">
        <v>0</v>
      </c>
      <c r="Q105" s="492">
        <v>0</v>
      </c>
      <c r="R105" s="492">
        <v>0</v>
      </c>
      <c r="S105" s="492">
        <v>0</v>
      </c>
      <c r="T105" s="492">
        <v>0</v>
      </c>
      <c r="U105" s="492">
        <v>0</v>
      </c>
      <c r="V105" s="492">
        <v>0</v>
      </c>
      <c r="W105" s="492">
        <v>0</v>
      </c>
      <c r="X105" s="492">
        <v>0</v>
      </c>
      <c r="Y105" s="492">
        <v>0</v>
      </c>
      <c r="Z105" s="492">
        <v>0</v>
      </c>
      <c r="AA105" s="492">
        <v>0</v>
      </c>
      <c r="AB105" s="492">
        <v>0</v>
      </c>
      <c r="AC105" s="492">
        <v>0</v>
      </c>
      <c r="AD105" s="492">
        <v>0</v>
      </c>
      <c r="AE105" s="492"/>
      <c r="AF105" s="492">
        <v>0</v>
      </c>
      <c r="AG105" s="492">
        <v>0</v>
      </c>
      <c r="AH105" s="492">
        <v>0</v>
      </c>
      <c r="AI105" s="492">
        <v>0</v>
      </c>
      <c r="AJ105" s="492">
        <v>0</v>
      </c>
      <c r="AK105" s="492">
        <v>0</v>
      </c>
      <c r="AL105" s="492">
        <v>0</v>
      </c>
    </row>
    <row r="106" spans="1:38" ht="15" customHeight="1">
      <c r="A106" s="531" t="s">
        <v>427</v>
      </c>
      <c r="B106" s="491">
        <v>101</v>
      </c>
      <c r="C106" s="492">
        <v>0</v>
      </c>
      <c r="D106" s="492">
        <v>0</v>
      </c>
      <c r="E106" s="492">
        <v>0</v>
      </c>
      <c r="F106" s="492">
        <v>0</v>
      </c>
      <c r="G106" s="492">
        <v>0</v>
      </c>
      <c r="H106" s="492">
        <v>0</v>
      </c>
      <c r="I106" s="492">
        <v>0</v>
      </c>
      <c r="J106" s="492">
        <v>0</v>
      </c>
      <c r="K106" s="492">
        <v>0</v>
      </c>
      <c r="L106" s="492">
        <v>0</v>
      </c>
      <c r="M106" s="492">
        <v>0</v>
      </c>
      <c r="N106" s="492">
        <v>0</v>
      </c>
      <c r="O106" s="492">
        <v>0</v>
      </c>
      <c r="P106" s="492">
        <v>0</v>
      </c>
      <c r="Q106" s="492">
        <v>0</v>
      </c>
      <c r="R106" s="492">
        <v>0</v>
      </c>
      <c r="S106" s="492">
        <v>0</v>
      </c>
      <c r="T106" s="492">
        <v>0</v>
      </c>
      <c r="U106" s="492">
        <v>0</v>
      </c>
      <c r="V106" s="492">
        <v>0</v>
      </c>
      <c r="W106" s="492">
        <v>0</v>
      </c>
      <c r="X106" s="492">
        <v>0</v>
      </c>
      <c r="Y106" s="492">
        <v>0</v>
      </c>
      <c r="Z106" s="492">
        <v>0</v>
      </c>
      <c r="AA106" s="492">
        <v>0</v>
      </c>
      <c r="AB106" s="492">
        <v>0</v>
      </c>
      <c r="AC106" s="492">
        <v>0</v>
      </c>
      <c r="AD106" s="492">
        <v>0</v>
      </c>
      <c r="AE106" s="492"/>
      <c r="AF106" s="492">
        <v>0</v>
      </c>
      <c r="AG106" s="492">
        <v>0</v>
      </c>
      <c r="AH106" s="492">
        <v>0</v>
      </c>
      <c r="AI106" s="492">
        <v>0</v>
      </c>
      <c r="AJ106" s="492">
        <v>0</v>
      </c>
      <c r="AK106" s="492">
        <v>0</v>
      </c>
      <c r="AL106" s="492">
        <v>0</v>
      </c>
    </row>
    <row r="107" spans="1:38" ht="15" customHeight="1">
      <c r="A107" s="531" t="s">
        <v>428</v>
      </c>
      <c r="B107" s="491">
        <v>102</v>
      </c>
      <c r="C107" s="492">
        <v>0</v>
      </c>
      <c r="D107" s="492">
        <v>0</v>
      </c>
      <c r="E107" s="492">
        <v>0</v>
      </c>
      <c r="F107" s="492">
        <v>0</v>
      </c>
      <c r="G107" s="492">
        <v>0</v>
      </c>
      <c r="H107" s="492">
        <v>0</v>
      </c>
      <c r="I107" s="492">
        <v>0</v>
      </c>
      <c r="J107" s="492">
        <v>0</v>
      </c>
      <c r="K107" s="492">
        <v>0</v>
      </c>
      <c r="L107" s="492">
        <v>0</v>
      </c>
      <c r="M107" s="492">
        <v>0</v>
      </c>
      <c r="N107" s="492">
        <v>0</v>
      </c>
      <c r="O107" s="492">
        <v>0</v>
      </c>
      <c r="P107" s="492">
        <v>0</v>
      </c>
      <c r="Q107" s="492">
        <v>0</v>
      </c>
      <c r="R107" s="492">
        <v>0</v>
      </c>
      <c r="S107" s="492">
        <v>0</v>
      </c>
      <c r="T107" s="492">
        <v>0</v>
      </c>
      <c r="U107" s="492">
        <v>0</v>
      </c>
      <c r="V107" s="492">
        <v>0</v>
      </c>
      <c r="W107" s="492">
        <v>0</v>
      </c>
      <c r="X107" s="492">
        <v>0</v>
      </c>
      <c r="Y107" s="492">
        <v>0</v>
      </c>
      <c r="Z107" s="492">
        <v>0</v>
      </c>
      <c r="AA107" s="492">
        <v>0</v>
      </c>
      <c r="AB107" s="492">
        <v>0</v>
      </c>
      <c r="AC107" s="492">
        <v>0</v>
      </c>
      <c r="AD107" s="492">
        <v>0</v>
      </c>
      <c r="AE107" s="492"/>
      <c r="AF107" s="492">
        <v>0</v>
      </c>
      <c r="AG107" s="492">
        <v>0</v>
      </c>
      <c r="AH107" s="492">
        <v>0</v>
      </c>
      <c r="AI107" s="492">
        <v>0</v>
      </c>
      <c r="AJ107" s="492">
        <v>0</v>
      </c>
      <c r="AK107" s="492">
        <v>0</v>
      </c>
      <c r="AL107" s="492">
        <v>0</v>
      </c>
    </row>
    <row r="108" spans="1:38" ht="15" customHeight="1">
      <c r="A108" s="531" t="s">
        <v>429</v>
      </c>
      <c r="B108" s="491">
        <v>103</v>
      </c>
      <c r="C108" s="492">
        <v>0</v>
      </c>
      <c r="D108" s="492">
        <v>0</v>
      </c>
      <c r="E108" s="492">
        <v>0</v>
      </c>
      <c r="F108" s="492">
        <v>0</v>
      </c>
      <c r="G108" s="492">
        <v>0</v>
      </c>
      <c r="H108" s="492">
        <v>0</v>
      </c>
      <c r="I108" s="492">
        <v>0</v>
      </c>
      <c r="J108" s="492">
        <v>0</v>
      </c>
      <c r="K108" s="492">
        <v>0</v>
      </c>
      <c r="L108" s="492">
        <v>0</v>
      </c>
      <c r="M108" s="492">
        <v>0</v>
      </c>
      <c r="N108" s="492">
        <v>0</v>
      </c>
      <c r="O108" s="492">
        <v>0</v>
      </c>
      <c r="P108" s="492">
        <v>0</v>
      </c>
      <c r="Q108" s="492">
        <v>0</v>
      </c>
      <c r="R108" s="492">
        <v>0</v>
      </c>
      <c r="S108" s="492">
        <v>0</v>
      </c>
      <c r="T108" s="492">
        <v>0</v>
      </c>
      <c r="U108" s="492">
        <v>0</v>
      </c>
      <c r="V108" s="492">
        <v>0</v>
      </c>
      <c r="W108" s="492">
        <v>0</v>
      </c>
      <c r="X108" s="492">
        <v>0</v>
      </c>
      <c r="Y108" s="492">
        <v>0</v>
      </c>
      <c r="Z108" s="492">
        <v>0</v>
      </c>
      <c r="AA108" s="492">
        <v>0</v>
      </c>
      <c r="AB108" s="492">
        <v>0</v>
      </c>
      <c r="AC108" s="492">
        <v>0</v>
      </c>
      <c r="AD108" s="492">
        <v>0</v>
      </c>
      <c r="AE108" s="492"/>
      <c r="AF108" s="492">
        <v>0</v>
      </c>
      <c r="AG108" s="492">
        <v>0</v>
      </c>
      <c r="AH108" s="492">
        <v>0</v>
      </c>
      <c r="AI108" s="492">
        <v>0</v>
      </c>
      <c r="AJ108" s="492">
        <v>0</v>
      </c>
      <c r="AK108" s="492">
        <v>0</v>
      </c>
      <c r="AL108" s="492">
        <v>0</v>
      </c>
    </row>
    <row r="109" spans="1:38" ht="15" customHeight="1">
      <c r="A109" s="531" t="s">
        <v>430</v>
      </c>
      <c r="B109" s="491">
        <v>104</v>
      </c>
      <c r="C109" s="492">
        <v>0</v>
      </c>
      <c r="D109" s="492">
        <v>0</v>
      </c>
      <c r="E109" s="492">
        <v>0</v>
      </c>
      <c r="F109" s="492">
        <v>0</v>
      </c>
      <c r="G109" s="492">
        <v>0</v>
      </c>
      <c r="H109" s="492">
        <v>0</v>
      </c>
      <c r="I109" s="492">
        <v>0</v>
      </c>
      <c r="J109" s="492">
        <v>0</v>
      </c>
      <c r="K109" s="492">
        <v>0</v>
      </c>
      <c r="L109" s="492">
        <v>0</v>
      </c>
      <c r="M109" s="492">
        <v>0</v>
      </c>
      <c r="N109" s="492">
        <v>0</v>
      </c>
      <c r="O109" s="493">
        <v>0</v>
      </c>
      <c r="P109" s="516">
        <v>0</v>
      </c>
      <c r="Q109" s="492">
        <v>0</v>
      </c>
      <c r="R109" s="492">
        <v>0</v>
      </c>
      <c r="S109" s="492">
        <v>0</v>
      </c>
      <c r="T109" s="492">
        <v>0</v>
      </c>
      <c r="U109" s="492">
        <v>0</v>
      </c>
      <c r="V109" s="492">
        <v>0</v>
      </c>
      <c r="W109" s="492">
        <v>0</v>
      </c>
      <c r="X109" s="492">
        <v>0</v>
      </c>
      <c r="Y109" s="492">
        <v>0</v>
      </c>
      <c r="Z109" s="492">
        <v>0</v>
      </c>
      <c r="AA109" s="492">
        <v>0</v>
      </c>
      <c r="AB109" s="492">
        <v>0</v>
      </c>
      <c r="AC109" s="492">
        <v>0</v>
      </c>
      <c r="AD109" s="492">
        <v>0</v>
      </c>
      <c r="AE109" s="492"/>
      <c r="AF109" s="492">
        <v>0</v>
      </c>
      <c r="AG109" s="492">
        <v>0</v>
      </c>
      <c r="AH109" s="492">
        <v>0</v>
      </c>
      <c r="AI109" s="492">
        <v>0</v>
      </c>
      <c r="AJ109" s="492">
        <v>0</v>
      </c>
      <c r="AK109" s="492">
        <v>0</v>
      </c>
      <c r="AL109" s="492">
        <v>0</v>
      </c>
    </row>
    <row r="110" spans="1:38" ht="15" customHeight="1">
      <c r="A110" s="531" t="s">
        <v>431</v>
      </c>
      <c r="B110" s="491">
        <v>105</v>
      </c>
      <c r="C110" s="492">
        <v>77616411070</v>
      </c>
      <c r="D110" s="492">
        <v>77522351070</v>
      </c>
      <c r="E110" s="492">
        <v>77463351070</v>
      </c>
      <c r="F110" s="492">
        <v>77168157678</v>
      </c>
      <c r="G110" s="492">
        <v>75214867678</v>
      </c>
      <c r="H110" s="492">
        <v>76544035678</v>
      </c>
      <c r="I110" s="492">
        <v>76656842286</v>
      </c>
      <c r="J110" s="492">
        <v>75999782286</v>
      </c>
      <c r="K110" s="492">
        <v>76594782286</v>
      </c>
      <c r="L110" s="492">
        <v>76818588894</v>
      </c>
      <c r="M110" s="492">
        <v>103444528894</v>
      </c>
      <c r="N110" s="492">
        <v>82898404212</v>
      </c>
      <c r="O110" s="502">
        <v>108410341946</v>
      </c>
      <c r="P110" s="516">
        <v>104162504168</v>
      </c>
      <c r="Q110" s="492">
        <v>103325726390</v>
      </c>
      <c r="R110" s="492">
        <v>102252755220</v>
      </c>
      <c r="S110" s="492">
        <v>98004917442</v>
      </c>
      <c r="T110" s="492">
        <v>77121791394</v>
      </c>
      <c r="U110" s="492">
        <v>76048820224</v>
      </c>
      <c r="V110" s="492">
        <v>74463510446</v>
      </c>
      <c r="W110" s="492">
        <v>73626732668</v>
      </c>
      <c r="X110" s="492">
        <v>68573133942</v>
      </c>
      <c r="Y110" s="492">
        <v>69631372942</v>
      </c>
      <c r="Z110" s="492">
        <v>50382254354</v>
      </c>
      <c r="AA110" s="492">
        <v>49472841415</v>
      </c>
      <c r="AB110" s="492">
        <v>71400341415</v>
      </c>
      <c r="AC110" s="492">
        <v>80100341415</v>
      </c>
      <c r="AD110" s="492">
        <v>80100341415</v>
      </c>
      <c r="AE110" s="492">
        <v>154933236415</v>
      </c>
      <c r="AF110" s="492">
        <v>0</v>
      </c>
      <c r="AG110" s="492">
        <v>0</v>
      </c>
      <c r="AH110" s="492">
        <v>0</v>
      </c>
      <c r="AI110" s="492">
        <v>0</v>
      </c>
      <c r="AJ110" s="492">
        <v>0</v>
      </c>
      <c r="AK110" s="492">
        <v>0</v>
      </c>
      <c r="AL110" s="492">
        <v>0</v>
      </c>
    </row>
    <row r="111" spans="1:38" ht="15" customHeight="1">
      <c r="A111" s="531" t="s">
        <v>432</v>
      </c>
      <c r="B111" s="491">
        <v>106</v>
      </c>
      <c r="C111" s="492">
        <v>0</v>
      </c>
      <c r="D111" s="492">
        <v>0</v>
      </c>
      <c r="E111" s="492">
        <v>0</v>
      </c>
      <c r="F111" s="492">
        <v>0</v>
      </c>
      <c r="G111" s="492">
        <v>0</v>
      </c>
      <c r="H111" s="492">
        <v>0</v>
      </c>
      <c r="I111" s="492">
        <v>0</v>
      </c>
      <c r="J111" s="492">
        <v>0</v>
      </c>
      <c r="K111" s="492">
        <v>0</v>
      </c>
      <c r="L111" s="492">
        <v>0</v>
      </c>
      <c r="M111" s="492">
        <v>0</v>
      </c>
      <c r="N111" s="492">
        <v>0</v>
      </c>
      <c r="O111" s="502">
        <v>0</v>
      </c>
      <c r="P111" s="516">
        <v>0</v>
      </c>
      <c r="Q111" s="492">
        <v>0</v>
      </c>
      <c r="R111" s="492">
        <v>0</v>
      </c>
      <c r="S111" s="492">
        <v>0</v>
      </c>
      <c r="T111" s="492">
        <v>0</v>
      </c>
      <c r="U111" s="492">
        <v>0</v>
      </c>
      <c r="V111" s="492">
        <v>0</v>
      </c>
      <c r="W111" s="492">
        <v>0</v>
      </c>
      <c r="X111" s="492">
        <v>0</v>
      </c>
      <c r="Y111" s="492">
        <v>0</v>
      </c>
      <c r="Z111" s="492">
        <v>0</v>
      </c>
      <c r="AA111" s="492">
        <v>0</v>
      </c>
      <c r="AB111" s="492">
        <v>0</v>
      </c>
      <c r="AC111" s="492">
        <v>0</v>
      </c>
      <c r="AD111" s="492">
        <v>0</v>
      </c>
      <c r="AE111" s="492"/>
      <c r="AF111" s="492">
        <v>0</v>
      </c>
      <c r="AG111" s="492">
        <v>0</v>
      </c>
      <c r="AH111" s="492">
        <v>0</v>
      </c>
      <c r="AI111" s="492">
        <v>0</v>
      </c>
      <c r="AJ111" s="492">
        <v>0</v>
      </c>
      <c r="AK111" s="492">
        <v>0</v>
      </c>
      <c r="AL111" s="492">
        <v>0</v>
      </c>
    </row>
    <row r="112" spans="1:38" ht="15" customHeight="1">
      <c r="A112" s="531" t="s">
        <v>433</v>
      </c>
      <c r="B112" s="491">
        <v>107</v>
      </c>
      <c r="C112" s="492">
        <v>0</v>
      </c>
      <c r="D112" s="492">
        <v>0</v>
      </c>
      <c r="E112" s="492">
        <v>0</v>
      </c>
      <c r="F112" s="492">
        <v>0</v>
      </c>
      <c r="G112" s="492">
        <v>0</v>
      </c>
      <c r="H112" s="492">
        <v>0</v>
      </c>
      <c r="I112" s="492">
        <v>0</v>
      </c>
      <c r="J112" s="492">
        <v>0</v>
      </c>
      <c r="K112" s="492">
        <v>0</v>
      </c>
      <c r="L112" s="492">
        <v>0</v>
      </c>
      <c r="M112" s="492">
        <v>0</v>
      </c>
      <c r="N112" s="492">
        <v>0</v>
      </c>
      <c r="O112" s="502">
        <v>0</v>
      </c>
      <c r="P112" s="516">
        <v>0</v>
      </c>
      <c r="Q112" s="492">
        <v>0</v>
      </c>
      <c r="R112" s="492">
        <v>0</v>
      </c>
      <c r="S112" s="492">
        <v>0</v>
      </c>
      <c r="T112" s="492">
        <v>0</v>
      </c>
      <c r="U112" s="492">
        <v>0</v>
      </c>
      <c r="V112" s="492">
        <v>0</v>
      </c>
      <c r="W112" s="492">
        <v>0</v>
      </c>
      <c r="X112" s="492">
        <v>0</v>
      </c>
      <c r="Y112" s="492">
        <v>0</v>
      </c>
      <c r="Z112" s="492">
        <v>0</v>
      </c>
      <c r="AA112" s="492">
        <v>0</v>
      </c>
      <c r="AB112" s="492">
        <v>0</v>
      </c>
      <c r="AC112" s="492">
        <v>0</v>
      </c>
      <c r="AD112" s="492">
        <v>0</v>
      </c>
      <c r="AE112" s="492"/>
      <c r="AF112" s="492">
        <v>0</v>
      </c>
      <c r="AG112" s="492">
        <v>0</v>
      </c>
      <c r="AH112" s="492">
        <v>0</v>
      </c>
      <c r="AI112" s="492">
        <v>0</v>
      </c>
      <c r="AJ112" s="492">
        <v>0</v>
      </c>
      <c r="AK112" s="492">
        <v>0</v>
      </c>
      <c r="AL112" s="492">
        <v>0</v>
      </c>
    </row>
    <row r="113" spans="1:38" ht="15" customHeight="1">
      <c r="A113" s="531" t="s">
        <v>434</v>
      </c>
      <c r="B113" s="491">
        <v>108</v>
      </c>
      <c r="C113" s="492">
        <v>0</v>
      </c>
      <c r="D113" s="492">
        <v>0</v>
      </c>
      <c r="E113" s="492">
        <v>0</v>
      </c>
      <c r="F113" s="492">
        <v>0</v>
      </c>
      <c r="G113" s="492">
        <v>0</v>
      </c>
      <c r="H113" s="492">
        <v>0</v>
      </c>
      <c r="I113" s="492">
        <v>0</v>
      </c>
      <c r="J113" s="492">
        <v>0</v>
      </c>
      <c r="K113" s="492">
        <v>0</v>
      </c>
      <c r="L113" s="492">
        <v>0</v>
      </c>
      <c r="M113" s="492">
        <v>0</v>
      </c>
      <c r="N113" s="492">
        <v>1838941310</v>
      </c>
      <c r="O113" s="502">
        <v>0</v>
      </c>
      <c r="P113" s="516">
        <v>0</v>
      </c>
      <c r="Q113" s="492">
        <v>0</v>
      </c>
      <c r="R113" s="492">
        <v>0</v>
      </c>
      <c r="S113" s="492">
        <v>0</v>
      </c>
      <c r="T113" s="492">
        <v>0</v>
      </c>
      <c r="U113" s="492">
        <v>0</v>
      </c>
      <c r="V113" s="492">
        <v>0</v>
      </c>
      <c r="W113" s="492">
        <v>0</v>
      </c>
      <c r="X113" s="492">
        <v>0</v>
      </c>
      <c r="Y113" s="492">
        <v>0</v>
      </c>
      <c r="Z113" s="492">
        <v>0</v>
      </c>
      <c r="AA113" s="492">
        <v>0</v>
      </c>
      <c r="AB113" s="492">
        <v>0</v>
      </c>
      <c r="AC113" s="492">
        <v>0</v>
      </c>
      <c r="AD113" s="492">
        <v>0</v>
      </c>
      <c r="AE113" s="492"/>
      <c r="AF113" s="492">
        <v>0</v>
      </c>
      <c r="AG113" s="492">
        <v>0</v>
      </c>
      <c r="AH113" s="492">
        <v>0</v>
      </c>
      <c r="AI113" s="492">
        <v>0</v>
      </c>
      <c r="AJ113" s="492">
        <v>0</v>
      </c>
      <c r="AK113" s="492">
        <v>0</v>
      </c>
      <c r="AL113" s="492">
        <v>0</v>
      </c>
    </row>
    <row r="114" spans="1:38" ht="15" customHeight="1">
      <c r="A114" s="531" t="s">
        <v>435</v>
      </c>
      <c r="B114" s="491">
        <v>109</v>
      </c>
      <c r="C114" s="492">
        <v>0</v>
      </c>
      <c r="D114" s="492">
        <v>0</v>
      </c>
      <c r="E114" s="492">
        <v>0</v>
      </c>
      <c r="F114" s="492">
        <v>0</v>
      </c>
      <c r="G114" s="492">
        <v>0</v>
      </c>
      <c r="H114" s="492">
        <v>0</v>
      </c>
      <c r="I114" s="492">
        <v>0</v>
      </c>
      <c r="J114" s="492">
        <v>0</v>
      </c>
      <c r="K114" s="492">
        <v>0</v>
      </c>
      <c r="L114" s="492">
        <v>0</v>
      </c>
      <c r="M114" s="492">
        <v>0</v>
      </c>
      <c r="N114" s="492">
        <v>0</v>
      </c>
      <c r="O114" s="502">
        <v>0</v>
      </c>
      <c r="P114" s="516">
        <v>0</v>
      </c>
      <c r="Q114" s="492">
        <v>0</v>
      </c>
      <c r="R114" s="492">
        <v>0</v>
      </c>
      <c r="S114" s="492">
        <v>0</v>
      </c>
      <c r="T114" s="492">
        <v>0</v>
      </c>
      <c r="U114" s="492">
        <v>0</v>
      </c>
      <c r="V114" s="492">
        <v>0</v>
      </c>
      <c r="W114" s="492">
        <v>0</v>
      </c>
      <c r="X114" s="492">
        <v>0</v>
      </c>
      <c r="Y114" s="492">
        <v>0</v>
      </c>
      <c r="Z114" s="492">
        <v>0</v>
      </c>
      <c r="AA114" s="492">
        <v>0</v>
      </c>
      <c r="AB114" s="492">
        <v>0</v>
      </c>
      <c r="AC114" s="492">
        <v>0</v>
      </c>
      <c r="AD114" s="492">
        <v>0</v>
      </c>
      <c r="AE114" s="492"/>
      <c r="AF114" s="492">
        <v>0</v>
      </c>
      <c r="AG114" s="492">
        <v>0</v>
      </c>
      <c r="AH114" s="492">
        <v>0</v>
      </c>
      <c r="AI114" s="492">
        <v>0</v>
      </c>
      <c r="AJ114" s="492">
        <v>0</v>
      </c>
      <c r="AK114" s="492">
        <v>0</v>
      </c>
      <c r="AL114" s="492">
        <v>0</v>
      </c>
    </row>
    <row r="115" spans="1:38" ht="15" customHeight="1">
      <c r="A115" s="531" t="s">
        <v>436</v>
      </c>
      <c r="B115" s="491">
        <v>110</v>
      </c>
      <c r="C115" s="492">
        <v>0</v>
      </c>
      <c r="D115" s="492">
        <v>0</v>
      </c>
      <c r="E115" s="492">
        <v>0</v>
      </c>
      <c r="F115" s="492">
        <v>0</v>
      </c>
      <c r="G115" s="492">
        <v>0</v>
      </c>
      <c r="H115" s="492">
        <v>0</v>
      </c>
      <c r="I115" s="492">
        <v>0</v>
      </c>
      <c r="J115" s="492">
        <v>0</v>
      </c>
      <c r="K115" s="492">
        <v>0</v>
      </c>
      <c r="L115" s="492">
        <v>0</v>
      </c>
      <c r="M115" s="492">
        <v>0</v>
      </c>
      <c r="N115" s="492">
        <v>0</v>
      </c>
      <c r="O115" s="534">
        <v>0</v>
      </c>
      <c r="P115" s="516">
        <v>0</v>
      </c>
      <c r="Q115" s="492">
        <v>0</v>
      </c>
      <c r="R115" s="492">
        <v>0</v>
      </c>
      <c r="S115" s="492">
        <v>0</v>
      </c>
      <c r="T115" s="492">
        <v>0</v>
      </c>
      <c r="U115" s="492">
        <v>0</v>
      </c>
      <c r="V115" s="492">
        <v>0</v>
      </c>
      <c r="W115" s="492">
        <v>0</v>
      </c>
      <c r="X115" s="492">
        <v>0</v>
      </c>
      <c r="Y115" s="492">
        <v>0</v>
      </c>
      <c r="Z115" s="492">
        <v>0</v>
      </c>
      <c r="AA115" s="492">
        <v>0</v>
      </c>
      <c r="AB115" s="492">
        <v>0</v>
      </c>
      <c r="AC115" s="492">
        <v>0</v>
      </c>
      <c r="AD115" s="492">
        <v>0</v>
      </c>
      <c r="AE115" s="492"/>
      <c r="AF115" s="492">
        <v>0</v>
      </c>
      <c r="AG115" s="492">
        <v>0</v>
      </c>
      <c r="AH115" s="492">
        <v>0</v>
      </c>
      <c r="AI115" s="492">
        <v>0</v>
      </c>
      <c r="AJ115" s="492">
        <v>0</v>
      </c>
      <c r="AK115" s="492">
        <v>0</v>
      </c>
      <c r="AL115" s="492">
        <v>0</v>
      </c>
    </row>
    <row r="116" spans="1:38" ht="15" customHeight="1">
      <c r="A116" s="482" t="s">
        <v>437</v>
      </c>
      <c r="B116" s="508">
        <v>111</v>
      </c>
      <c r="C116" s="509">
        <v>803168048821</v>
      </c>
      <c r="D116" s="509">
        <v>797897400024</v>
      </c>
      <c r="E116" s="509">
        <v>794938090423</v>
      </c>
      <c r="F116" s="509">
        <v>797413337163</v>
      </c>
      <c r="G116" s="509">
        <v>793259934823</v>
      </c>
      <c r="H116" s="509">
        <v>783044486756</v>
      </c>
      <c r="I116" s="509">
        <v>769519801263</v>
      </c>
      <c r="J116" s="509">
        <v>761236853278</v>
      </c>
      <c r="K116" s="509">
        <v>770910121395</v>
      </c>
      <c r="L116" s="509">
        <v>765931936164</v>
      </c>
      <c r="M116" s="509">
        <v>762689916038</v>
      </c>
      <c r="N116" s="510">
        <v>854759655867</v>
      </c>
      <c r="O116" s="535">
        <v>859656736419</v>
      </c>
      <c r="P116" s="536">
        <v>877057533148</v>
      </c>
      <c r="Q116" s="510">
        <v>884155782207</v>
      </c>
      <c r="R116" s="510">
        <v>887906765692</v>
      </c>
      <c r="S116" s="510">
        <v>897436969996</v>
      </c>
      <c r="T116" s="510">
        <v>898509470753</v>
      </c>
      <c r="U116" s="510">
        <v>899548988610</v>
      </c>
      <c r="V116" s="510">
        <v>899642208341</v>
      </c>
      <c r="W116" s="510">
        <v>889440053690</v>
      </c>
      <c r="X116" s="510">
        <v>884755395640</v>
      </c>
      <c r="Y116" s="510">
        <v>877834897793</v>
      </c>
      <c r="Z116" s="510">
        <v>880496410801</v>
      </c>
      <c r="AA116" s="510">
        <v>878802950065</v>
      </c>
      <c r="AB116" s="510">
        <v>872383736327</v>
      </c>
      <c r="AC116" s="510">
        <v>865718329703</v>
      </c>
      <c r="AD116" s="510">
        <v>869422083915</v>
      </c>
      <c r="AE116" s="510">
        <v>877649509332</v>
      </c>
      <c r="AF116" s="510">
        <v>0</v>
      </c>
      <c r="AG116" s="510">
        <v>0</v>
      </c>
      <c r="AH116" s="510">
        <v>0</v>
      </c>
      <c r="AI116" s="510">
        <v>0</v>
      </c>
      <c r="AJ116" s="510">
        <v>0</v>
      </c>
      <c r="AK116" s="510">
        <v>0</v>
      </c>
      <c r="AL116" s="510">
        <v>0</v>
      </c>
    </row>
    <row r="117" spans="1:38" ht="15" customHeight="1">
      <c r="A117" s="531" t="s">
        <v>438</v>
      </c>
      <c r="B117" s="491">
        <v>112</v>
      </c>
      <c r="C117" s="492">
        <v>650000000000</v>
      </c>
      <c r="D117" s="492">
        <v>650000000000</v>
      </c>
      <c r="E117" s="492">
        <v>650000000000</v>
      </c>
      <c r="F117" s="492">
        <v>650000000000</v>
      </c>
      <c r="G117" s="492">
        <v>650000000000</v>
      </c>
      <c r="H117" s="492">
        <v>650000000000</v>
      </c>
      <c r="I117" s="492">
        <v>650000000000</v>
      </c>
      <c r="J117" s="492">
        <v>650000000000</v>
      </c>
      <c r="K117" s="492">
        <v>650000000000</v>
      </c>
      <c r="L117" s="492">
        <v>650000000000</v>
      </c>
      <c r="M117" s="492">
        <v>650000000000</v>
      </c>
      <c r="N117" s="492">
        <v>650000000000</v>
      </c>
      <c r="O117" s="534">
        <v>650000000000</v>
      </c>
      <c r="P117" s="516">
        <v>650000000000</v>
      </c>
      <c r="Q117" s="492">
        <v>650000000000</v>
      </c>
      <c r="R117" s="492">
        <v>650000000000</v>
      </c>
      <c r="S117" s="492">
        <v>650000000000</v>
      </c>
      <c r="T117" s="492">
        <v>650000000000</v>
      </c>
      <c r="U117" s="492">
        <v>650000000000</v>
      </c>
      <c r="V117" s="492">
        <v>650000000000</v>
      </c>
      <c r="W117" s="492">
        <v>650000000000</v>
      </c>
      <c r="X117" s="492">
        <v>650000000000</v>
      </c>
      <c r="Y117" s="492">
        <v>650000000000</v>
      </c>
      <c r="Z117" s="492">
        <v>650000000000</v>
      </c>
      <c r="AA117" s="492">
        <v>650000000000</v>
      </c>
      <c r="AB117" s="492">
        <v>650000000000</v>
      </c>
      <c r="AC117" s="492">
        <v>650000000000</v>
      </c>
      <c r="AD117" s="492">
        <v>650000000000</v>
      </c>
      <c r="AE117" s="492">
        <v>650000000000</v>
      </c>
      <c r="AF117" s="492">
        <v>0</v>
      </c>
      <c r="AG117" s="492">
        <v>0</v>
      </c>
      <c r="AH117" s="492">
        <v>0</v>
      </c>
      <c r="AI117" s="492">
        <v>0</v>
      </c>
      <c r="AJ117" s="492">
        <v>0</v>
      </c>
      <c r="AK117" s="492">
        <v>0</v>
      </c>
      <c r="AL117" s="492">
        <v>0</v>
      </c>
    </row>
    <row r="118" spans="1:38" ht="15" customHeight="1">
      <c r="A118" s="531" t="s">
        <v>439</v>
      </c>
      <c r="B118" s="491">
        <v>113</v>
      </c>
      <c r="C118" s="492">
        <v>650000000000</v>
      </c>
      <c r="D118" s="492">
        <v>650000000000</v>
      </c>
      <c r="E118" s="492">
        <v>650000000000</v>
      </c>
      <c r="F118" s="492">
        <v>650000000000</v>
      </c>
      <c r="G118" s="492">
        <v>650000000000</v>
      </c>
      <c r="H118" s="492">
        <v>650000000000</v>
      </c>
      <c r="I118" s="492">
        <v>650000000000</v>
      </c>
      <c r="J118" s="492">
        <v>650000000000</v>
      </c>
      <c r="K118" s="492">
        <v>650000000000</v>
      </c>
      <c r="L118" s="492">
        <v>650000000000</v>
      </c>
      <c r="M118" s="492">
        <v>650000000000</v>
      </c>
      <c r="N118" s="492">
        <v>650000000000</v>
      </c>
      <c r="O118" s="502">
        <v>650000000000</v>
      </c>
      <c r="P118" s="516">
        <v>650000000000</v>
      </c>
      <c r="Q118" s="492">
        <v>650000000000</v>
      </c>
      <c r="R118" s="492">
        <v>650000000000</v>
      </c>
      <c r="S118" s="492">
        <v>650000000000</v>
      </c>
      <c r="T118" s="492">
        <v>650000000000</v>
      </c>
      <c r="U118" s="492">
        <v>650000000000</v>
      </c>
      <c r="V118" s="492">
        <v>650000000000</v>
      </c>
      <c r="W118" s="492">
        <v>650000000000</v>
      </c>
      <c r="X118" s="492">
        <v>650000000000</v>
      </c>
      <c r="Y118" s="492">
        <v>650000000000</v>
      </c>
      <c r="Z118" s="492">
        <v>650000000000</v>
      </c>
      <c r="AA118" s="492">
        <v>650000000000</v>
      </c>
      <c r="AB118" s="492">
        <v>650000000000</v>
      </c>
      <c r="AC118" s="492">
        <v>650000000000</v>
      </c>
      <c r="AD118" s="492">
        <v>650000000000</v>
      </c>
      <c r="AE118" s="492">
        <v>650000000000</v>
      </c>
      <c r="AF118" s="492">
        <v>0</v>
      </c>
      <c r="AG118" s="492">
        <v>0</v>
      </c>
      <c r="AH118" s="492">
        <v>0</v>
      </c>
      <c r="AI118" s="492">
        <v>0</v>
      </c>
      <c r="AJ118" s="492">
        <v>0</v>
      </c>
      <c r="AK118" s="492">
        <v>0</v>
      </c>
      <c r="AL118" s="492">
        <v>0</v>
      </c>
    </row>
    <row r="119" spans="1:38" ht="15" customHeight="1">
      <c r="A119" s="531" t="s">
        <v>440</v>
      </c>
      <c r="B119" s="491">
        <v>114</v>
      </c>
      <c r="C119" s="492">
        <v>0</v>
      </c>
      <c r="D119" s="492">
        <v>0</v>
      </c>
      <c r="E119" s="492">
        <v>0</v>
      </c>
      <c r="F119" s="492">
        <v>0</v>
      </c>
      <c r="G119" s="492">
        <v>0</v>
      </c>
      <c r="H119" s="492">
        <v>0</v>
      </c>
      <c r="I119" s="492">
        <v>0</v>
      </c>
      <c r="J119" s="492">
        <v>0</v>
      </c>
      <c r="K119" s="492">
        <v>0</v>
      </c>
      <c r="L119" s="492">
        <v>0</v>
      </c>
      <c r="M119" s="492">
        <v>0</v>
      </c>
      <c r="N119" s="492">
        <v>0</v>
      </c>
      <c r="O119" s="502">
        <v>0</v>
      </c>
      <c r="P119" s="516">
        <v>0</v>
      </c>
      <c r="Q119" s="492">
        <v>0</v>
      </c>
      <c r="R119" s="492">
        <v>0</v>
      </c>
      <c r="S119" s="492">
        <v>0</v>
      </c>
      <c r="T119" s="492">
        <v>0</v>
      </c>
      <c r="U119" s="492">
        <v>0</v>
      </c>
      <c r="V119" s="492">
        <v>0</v>
      </c>
      <c r="W119" s="492">
        <v>0</v>
      </c>
      <c r="X119" s="492">
        <v>0</v>
      </c>
      <c r="Y119" s="492">
        <v>0</v>
      </c>
      <c r="Z119" s="492">
        <v>0</v>
      </c>
      <c r="AA119" s="492">
        <v>0</v>
      </c>
      <c r="AB119" s="492">
        <v>0</v>
      </c>
      <c r="AC119" s="492">
        <v>0</v>
      </c>
      <c r="AD119" s="492">
        <v>0</v>
      </c>
      <c r="AE119" s="492"/>
      <c r="AF119" s="492">
        <v>0</v>
      </c>
      <c r="AG119" s="492">
        <v>0</v>
      </c>
      <c r="AH119" s="492">
        <v>0</v>
      </c>
      <c r="AI119" s="492">
        <v>0</v>
      </c>
      <c r="AJ119" s="492">
        <v>0</v>
      </c>
      <c r="AK119" s="492">
        <v>0</v>
      </c>
      <c r="AL119" s="492">
        <v>0</v>
      </c>
    </row>
    <row r="120" spans="1:38" ht="15" customHeight="1">
      <c r="A120" s="531" t="s">
        <v>441</v>
      </c>
      <c r="B120" s="491">
        <v>115</v>
      </c>
      <c r="C120" s="492">
        <v>0</v>
      </c>
      <c r="D120" s="492">
        <v>0</v>
      </c>
      <c r="E120" s="492">
        <v>0</v>
      </c>
      <c r="F120" s="492">
        <v>0</v>
      </c>
      <c r="G120" s="492">
        <v>0</v>
      </c>
      <c r="H120" s="492">
        <v>0</v>
      </c>
      <c r="I120" s="492">
        <v>0</v>
      </c>
      <c r="J120" s="492">
        <v>0</v>
      </c>
      <c r="K120" s="492">
        <v>0</v>
      </c>
      <c r="L120" s="492">
        <v>0</v>
      </c>
      <c r="M120" s="492">
        <v>0</v>
      </c>
      <c r="N120" s="492">
        <v>0</v>
      </c>
      <c r="O120" s="502">
        <v>0</v>
      </c>
      <c r="P120" s="516">
        <v>0</v>
      </c>
      <c r="Q120" s="492">
        <v>0</v>
      </c>
      <c r="R120" s="492">
        <v>0</v>
      </c>
      <c r="S120" s="492">
        <v>0</v>
      </c>
      <c r="T120" s="492">
        <v>0</v>
      </c>
      <c r="U120" s="492">
        <v>0</v>
      </c>
      <c r="V120" s="492">
        <v>0</v>
      </c>
      <c r="W120" s="492">
        <v>0</v>
      </c>
      <c r="X120" s="492">
        <v>0</v>
      </c>
      <c r="Y120" s="492">
        <v>0</v>
      </c>
      <c r="Z120" s="492">
        <v>0</v>
      </c>
      <c r="AA120" s="492">
        <v>0</v>
      </c>
      <c r="AB120" s="492">
        <v>0</v>
      </c>
      <c r="AC120" s="492">
        <v>0</v>
      </c>
      <c r="AD120" s="492">
        <v>0</v>
      </c>
      <c r="AE120" s="492"/>
      <c r="AF120" s="492">
        <v>0</v>
      </c>
      <c r="AG120" s="492">
        <v>0</v>
      </c>
      <c r="AH120" s="492">
        <v>0</v>
      </c>
      <c r="AI120" s="492">
        <v>0</v>
      </c>
      <c r="AJ120" s="492">
        <v>0</v>
      </c>
      <c r="AK120" s="492">
        <v>0</v>
      </c>
      <c r="AL120" s="492">
        <v>0</v>
      </c>
    </row>
    <row r="121" spans="1:38" ht="15" customHeight="1">
      <c r="A121" s="531" t="s">
        <v>442</v>
      </c>
      <c r="B121" s="491">
        <v>116</v>
      </c>
      <c r="C121" s="492">
        <v>0</v>
      </c>
      <c r="D121" s="492">
        <v>0</v>
      </c>
      <c r="E121" s="492">
        <v>0</v>
      </c>
      <c r="F121" s="492">
        <v>0</v>
      </c>
      <c r="G121" s="492">
        <v>0</v>
      </c>
      <c r="H121" s="492">
        <v>0</v>
      </c>
      <c r="I121" s="492">
        <v>0</v>
      </c>
      <c r="J121" s="492">
        <v>0</v>
      </c>
      <c r="K121" s="492">
        <v>0</v>
      </c>
      <c r="L121" s="492">
        <v>0</v>
      </c>
      <c r="M121" s="492">
        <v>0</v>
      </c>
      <c r="N121" s="492">
        <v>0</v>
      </c>
      <c r="O121" s="502">
        <v>0</v>
      </c>
      <c r="P121" s="516">
        <v>0</v>
      </c>
      <c r="Q121" s="492">
        <v>0</v>
      </c>
      <c r="R121" s="492">
        <v>0</v>
      </c>
      <c r="S121" s="492">
        <v>0</v>
      </c>
      <c r="T121" s="492">
        <v>0</v>
      </c>
      <c r="U121" s="492">
        <v>0</v>
      </c>
      <c r="V121" s="492">
        <v>0</v>
      </c>
      <c r="W121" s="492">
        <v>0</v>
      </c>
      <c r="X121" s="492">
        <v>0</v>
      </c>
      <c r="Y121" s="492">
        <v>0</v>
      </c>
      <c r="Z121" s="492">
        <v>0</v>
      </c>
      <c r="AA121" s="492">
        <v>0</v>
      </c>
      <c r="AB121" s="492">
        <v>0</v>
      </c>
      <c r="AC121" s="492">
        <v>0</v>
      </c>
      <c r="AD121" s="492">
        <v>0</v>
      </c>
      <c r="AE121" s="492"/>
      <c r="AF121" s="492">
        <v>0</v>
      </c>
      <c r="AG121" s="492">
        <v>0</v>
      </c>
      <c r="AH121" s="492">
        <v>0</v>
      </c>
      <c r="AI121" s="492">
        <v>0</v>
      </c>
      <c r="AJ121" s="492">
        <v>0</v>
      </c>
      <c r="AK121" s="492">
        <v>0</v>
      </c>
      <c r="AL121" s="492">
        <v>0</v>
      </c>
    </row>
    <row r="122" spans="1:38" ht="15" customHeight="1">
      <c r="A122" s="531" t="s">
        <v>443</v>
      </c>
      <c r="B122" s="491">
        <v>117</v>
      </c>
      <c r="C122" s="492">
        <v>0</v>
      </c>
      <c r="D122" s="492">
        <v>0</v>
      </c>
      <c r="E122" s="492">
        <v>0</v>
      </c>
      <c r="F122" s="492">
        <v>0</v>
      </c>
      <c r="G122" s="492">
        <v>0</v>
      </c>
      <c r="H122" s="492">
        <v>0</v>
      </c>
      <c r="I122" s="492">
        <v>0</v>
      </c>
      <c r="J122" s="492">
        <v>0</v>
      </c>
      <c r="K122" s="492">
        <v>0</v>
      </c>
      <c r="L122" s="492">
        <v>0</v>
      </c>
      <c r="M122" s="492">
        <v>0</v>
      </c>
      <c r="N122" s="492">
        <v>0</v>
      </c>
      <c r="O122" s="502">
        <v>0</v>
      </c>
      <c r="P122" s="516">
        <v>0</v>
      </c>
      <c r="Q122" s="492">
        <v>0</v>
      </c>
      <c r="R122" s="492">
        <v>0</v>
      </c>
      <c r="S122" s="492">
        <v>0</v>
      </c>
      <c r="T122" s="492">
        <v>0</v>
      </c>
      <c r="U122" s="492">
        <v>0</v>
      </c>
      <c r="V122" s="492">
        <v>0</v>
      </c>
      <c r="W122" s="492">
        <v>0</v>
      </c>
      <c r="X122" s="492">
        <v>0</v>
      </c>
      <c r="Y122" s="492">
        <v>0</v>
      </c>
      <c r="Z122" s="492">
        <v>0</v>
      </c>
      <c r="AA122" s="492">
        <v>0</v>
      </c>
      <c r="AB122" s="492">
        <v>0</v>
      </c>
      <c r="AC122" s="492">
        <v>0</v>
      </c>
      <c r="AD122" s="492">
        <v>0</v>
      </c>
      <c r="AE122" s="492"/>
      <c r="AF122" s="492">
        <v>0</v>
      </c>
      <c r="AG122" s="492">
        <v>0</v>
      </c>
      <c r="AH122" s="492">
        <v>0</v>
      </c>
      <c r="AI122" s="492">
        <v>0</v>
      </c>
      <c r="AJ122" s="492">
        <v>0</v>
      </c>
      <c r="AK122" s="492">
        <v>0</v>
      </c>
      <c r="AL122" s="492">
        <v>0</v>
      </c>
    </row>
    <row r="123" spans="1:38" ht="15" customHeight="1">
      <c r="A123" s="531" t="s">
        <v>444</v>
      </c>
      <c r="B123" s="491">
        <v>118</v>
      </c>
      <c r="C123" s="492">
        <v>0</v>
      </c>
      <c r="D123" s="492">
        <v>0</v>
      </c>
      <c r="E123" s="492">
        <v>0</v>
      </c>
      <c r="F123" s="492">
        <v>0</v>
      </c>
      <c r="G123" s="492">
        <v>0</v>
      </c>
      <c r="H123" s="492">
        <v>0</v>
      </c>
      <c r="I123" s="492">
        <v>0</v>
      </c>
      <c r="J123" s="492">
        <v>0</v>
      </c>
      <c r="K123" s="492">
        <v>0</v>
      </c>
      <c r="L123" s="492">
        <v>0</v>
      </c>
      <c r="M123" s="492">
        <v>0</v>
      </c>
      <c r="N123" s="492">
        <v>0</v>
      </c>
      <c r="O123" s="502">
        <v>0</v>
      </c>
      <c r="P123" s="516">
        <v>0</v>
      </c>
      <c r="Q123" s="492">
        <v>0</v>
      </c>
      <c r="R123" s="492">
        <v>0</v>
      </c>
      <c r="S123" s="492">
        <v>0</v>
      </c>
      <c r="T123" s="492">
        <v>0</v>
      </c>
      <c r="U123" s="492">
        <v>0</v>
      </c>
      <c r="V123" s="492">
        <v>0</v>
      </c>
      <c r="W123" s="492">
        <v>0</v>
      </c>
      <c r="X123" s="492">
        <v>0</v>
      </c>
      <c r="Y123" s="492">
        <v>0</v>
      </c>
      <c r="Z123" s="492">
        <v>0</v>
      </c>
      <c r="AA123" s="492">
        <v>0</v>
      </c>
      <c r="AB123" s="492">
        <v>0</v>
      </c>
      <c r="AC123" s="492">
        <v>0</v>
      </c>
      <c r="AD123" s="492">
        <v>0</v>
      </c>
      <c r="AE123" s="492"/>
      <c r="AF123" s="492">
        <v>0</v>
      </c>
      <c r="AG123" s="492">
        <v>0</v>
      </c>
      <c r="AH123" s="492">
        <v>0</v>
      </c>
      <c r="AI123" s="492">
        <v>0</v>
      </c>
      <c r="AJ123" s="492">
        <v>0</v>
      </c>
      <c r="AK123" s="492">
        <v>0</v>
      </c>
      <c r="AL123" s="492">
        <v>0</v>
      </c>
    </row>
    <row r="124" spans="1:38" ht="15" customHeight="1">
      <c r="A124" s="531" t="s">
        <v>445</v>
      </c>
      <c r="B124" s="491">
        <v>119</v>
      </c>
      <c r="C124" s="492">
        <v>0</v>
      </c>
      <c r="D124" s="492">
        <v>0</v>
      </c>
      <c r="E124" s="492">
        <v>0</v>
      </c>
      <c r="F124" s="492">
        <v>0</v>
      </c>
      <c r="G124" s="492">
        <v>0</v>
      </c>
      <c r="H124" s="492">
        <v>0</v>
      </c>
      <c r="I124" s="492">
        <v>0</v>
      </c>
      <c r="J124" s="492">
        <v>0</v>
      </c>
      <c r="K124" s="492">
        <v>0</v>
      </c>
      <c r="L124" s="492">
        <v>0</v>
      </c>
      <c r="M124" s="492">
        <v>0</v>
      </c>
      <c r="N124" s="492">
        <v>0</v>
      </c>
      <c r="O124" s="502">
        <v>0</v>
      </c>
      <c r="P124" s="516">
        <v>0</v>
      </c>
      <c r="Q124" s="492">
        <v>0</v>
      </c>
      <c r="R124" s="492">
        <v>0</v>
      </c>
      <c r="S124" s="492">
        <v>0</v>
      </c>
      <c r="T124" s="492">
        <v>0</v>
      </c>
      <c r="U124" s="492">
        <v>0</v>
      </c>
      <c r="V124" s="492">
        <v>0</v>
      </c>
      <c r="W124" s="492">
        <v>0</v>
      </c>
      <c r="X124" s="492">
        <v>0</v>
      </c>
      <c r="Y124" s="492">
        <v>0</v>
      </c>
      <c r="Z124" s="492">
        <v>0</v>
      </c>
      <c r="AA124" s="492">
        <v>0</v>
      </c>
      <c r="AB124" s="492">
        <v>0</v>
      </c>
      <c r="AC124" s="492">
        <v>0</v>
      </c>
      <c r="AD124" s="492">
        <v>0</v>
      </c>
      <c r="AE124" s="492"/>
      <c r="AF124" s="492">
        <v>0</v>
      </c>
      <c r="AG124" s="492">
        <v>0</v>
      </c>
      <c r="AH124" s="492">
        <v>0</v>
      </c>
      <c r="AI124" s="492">
        <v>0</v>
      </c>
      <c r="AJ124" s="492">
        <v>0</v>
      </c>
      <c r="AK124" s="492">
        <v>0</v>
      </c>
      <c r="AL124" s="492">
        <v>0</v>
      </c>
    </row>
    <row r="125" spans="1:38" ht="15" customHeight="1">
      <c r="A125" s="531" t="s">
        <v>446</v>
      </c>
      <c r="B125" s="491">
        <v>120</v>
      </c>
      <c r="C125" s="492">
        <v>0</v>
      </c>
      <c r="D125" s="492">
        <v>0</v>
      </c>
      <c r="E125" s="492">
        <v>0</v>
      </c>
      <c r="F125" s="492">
        <v>0</v>
      </c>
      <c r="G125" s="492">
        <v>0</v>
      </c>
      <c r="H125" s="492">
        <v>0</v>
      </c>
      <c r="I125" s="492">
        <v>0</v>
      </c>
      <c r="J125" s="492">
        <v>0</v>
      </c>
      <c r="K125" s="492">
        <v>0</v>
      </c>
      <c r="L125" s="492">
        <v>0</v>
      </c>
      <c r="M125" s="492">
        <v>0</v>
      </c>
      <c r="N125" s="492">
        <v>0</v>
      </c>
      <c r="O125" s="502">
        <v>0</v>
      </c>
      <c r="P125" s="516">
        <v>0</v>
      </c>
      <c r="Q125" s="492">
        <v>0</v>
      </c>
      <c r="R125" s="492">
        <v>0</v>
      </c>
      <c r="S125" s="492">
        <v>0</v>
      </c>
      <c r="T125" s="492">
        <v>0</v>
      </c>
      <c r="U125" s="492">
        <v>0</v>
      </c>
      <c r="V125" s="492">
        <v>0</v>
      </c>
      <c r="W125" s="492">
        <v>0</v>
      </c>
      <c r="X125" s="492">
        <v>0</v>
      </c>
      <c r="Y125" s="492">
        <v>0</v>
      </c>
      <c r="Z125" s="492">
        <v>0</v>
      </c>
      <c r="AA125" s="492">
        <v>0</v>
      </c>
      <c r="AB125" s="492">
        <v>0</v>
      </c>
      <c r="AC125" s="492">
        <v>0</v>
      </c>
      <c r="AD125" s="492">
        <v>0</v>
      </c>
      <c r="AE125" s="492"/>
      <c r="AF125" s="492">
        <v>0</v>
      </c>
      <c r="AG125" s="492">
        <v>0</v>
      </c>
      <c r="AH125" s="492">
        <v>0</v>
      </c>
      <c r="AI125" s="492">
        <v>0</v>
      </c>
      <c r="AJ125" s="492">
        <v>0</v>
      </c>
      <c r="AK125" s="492">
        <v>0</v>
      </c>
      <c r="AL125" s="492">
        <v>0</v>
      </c>
    </row>
    <row r="126" spans="1:38" ht="15" customHeight="1">
      <c r="A126" s="531" t="s">
        <v>447</v>
      </c>
      <c r="B126" s="491">
        <v>121</v>
      </c>
      <c r="C126" s="492">
        <v>0</v>
      </c>
      <c r="D126" s="492">
        <v>0</v>
      </c>
      <c r="E126" s="492">
        <v>0</v>
      </c>
      <c r="F126" s="492">
        <v>0</v>
      </c>
      <c r="G126" s="492">
        <v>0</v>
      </c>
      <c r="H126" s="492">
        <v>0</v>
      </c>
      <c r="I126" s="492">
        <v>0</v>
      </c>
      <c r="J126" s="492">
        <v>0</v>
      </c>
      <c r="K126" s="492">
        <v>0</v>
      </c>
      <c r="L126" s="492">
        <v>0</v>
      </c>
      <c r="M126" s="492">
        <v>0</v>
      </c>
      <c r="N126" s="492">
        <v>0</v>
      </c>
      <c r="O126" s="502">
        <v>0</v>
      </c>
      <c r="P126" s="516">
        <v>0</v>
      </c>
      <c r="Q126" s="492">
        <v>0</v>
      </c>
      <c r="R126" s="492">
        <v>0</v>
      </c>
      <c r="S126" s="492">
        <v>0</v>
      </c>
      <c r="T126" s="492">
        <v>0</v>
      </c>
      <c r="U126" s="492">
        <v>0</v>
      </c>
      <c r="V126" s="492">
        <v>0</v>
      </c>
      <c r="W126" s="492">
        <v>0</v>
      </c>
      <c r="X126" s="492">
        <v>0</v>
      </c>
      <c r="Y126" s="492">
        <v>0</v>
      </c>
      <c r="Z126" s="492">
        <v>0</v>
      </c>
      <c r="AA126" s="492">
        <v>0</v>
      </c>
      <c r="AB126" s="492">
        <v>0</v>
      </c>
      <c r="AC126" s="492">
        <v>0</v>
      </c>
      <c r="AD126" s="492">
        <v>0</v>
      </c>
      <c r="AE126" s="492"/>
      <c r="AF126" s="492">
        <v>0</v>
      </c>
      <c r="AG126" s="492">
        <v>0</v>
      </c>
      <c r="AH126" s="492">
        <v>0</v>
      </c>
      <c r="AI126" s="492">
        <v>0</v>
      </c>
      <c r="AJ126" s="492">
        <v>0</v>
      </c>
      <c r="AK126" s="492">
        <v>0</v>
      </c>
      <c r="AL126" s="492">
        <v>0</v>
      </c>
    </row>
    <row r="127" spans="1:38" ht="15" customHeight="1">
      <c r="A127" s="531" t="s">
        <v>448</v>
      </c>
      <c r="B127" s="491">
        <v>122</v>
      </c>
      <c r="C127" s="492">
        <v>0</v>
      </c>
      <c r="D127" s="492">
        <v>0</v>
      </c>
      <c r="E127" s="492">
        <v>0</v>
      </c>
      <c r="F127" s="492">
        <v>0</v>
      </c>
      <c r="G127" s="492">
        <v>0</v>
      </c>
      <c r="H127" s="492">
        <v>0</v>
      </c>
      <c r="I127" s="492">
        <v>0</v>
      </c>
      <c r="J127" s="492">
        <v>0</v>
      </c>
      <c r="K127" s="492">
        <v>0</v>
      </c>
      <c r="L127" s="492">
        <v>0</v>
      </c>
      <c r="M127" s="492">
        <v>0</v>
      </c>
      <c r="N127" s="492">
        <v>0</v>
      </c>
      <c r="O127" s="537">
        <v>0</v>
      </c>
      <c r="P127" s="516">
        <v>0</v>
      </c>
      <c r="Q127" s="492">
        <v>0</v>
      </c>
      <c r="R127" s="492">
        <v>0</v>
      </c>
      <c r="S127" s="492">
        <v>0</v>
      </c>
      <c r="T127" s="492">
        <v>0</v>
      </c>
      <c r="U127" s="492">
        <v>0</v>
      </c>
      <c r="V127" s="492">
        <v>0</v>
      </c>
      <c r="W127" s="492">
        <v>0</v>
      </c>
      <c r="X127" s="492">
        <v>0</v>
      </c>
      <c r="Y127" s="492">
        <v>0</v>
      </c>
      <c r="Z127" s="492">
        <v>0</v>
      </c>
      <c r="AA127" s="492">
        <v>0</v>
      </c>
      <c r="AB127" s="492">
        <v>0</v>
      </c>
      <c r="AC127" s="492">
        <v>0</v>
      </c>
      <c r="AD127" s="492">
        <v>0</v>
      </c>
      <c r="AE127" s="492"/>
      <c r="AF127" s="492">
        <v>0</v>
      </c>
      <c r="AG127" s="492">
        <v>0</v>
      </c>
      <c r="AH127" s="492">
        <v>0</v>
      </c>
      <c r="AI127" s="492">
        <v>0</v>
      </c>
      <c r="AJ127" s="492">
        <v>0</v>
      </c>
      <c r="AK127" s="492">
        <v>0</v>
      </c>
      <c r="AL127" s="492">
        <v>0</v>
      </c>
    </row>
    <row r="128" spans="1:38" ht="15" customHeight="1">
      <c r="A128" s="538" t="s">
        <v>449</v>
      </c>
      <c r="B128" s="539">
        <v>123</v>
      </c>
      <c r="C128" s="540">
        <v>153168048821</v>
      </c>
      <c r="D128" s="540">
        <v>147897400024</v>
      </c>
      <c r="E128" s="540">
        <v>144938090423</v>
      </c>
      <c r="F128" s="540">
        <v>147413337163</v>
      </c>
      <c r="G128" s="540">
        <v>143259934823</v>
      </c>
      <c r="H128" s="540">
        <v>133044486756</v>
      </c>
      <c r="I128" s="540">
        <v>119519801263</v>
      </c>
      <c r="J128" s="540">
        <v>111236853278</v>
      </c>
      <c r="K128" s="540">
        <v>120910121395</v>
      </c>
      <c r="L128" s="540">
        <v>115931936164</v>
      </c>
      <c r="M128" s="540">
        <v>112689916038</v>
      </c>
      <c r="N128" s="540">
        <v>204759655867</v>
      </c>
      <c r="O128" s="541">
        <v>209656736419</v>
      </c>
      <c r="P128" s="542">
        <v>227057533148</v>
      </c>
      <c r="Q128" s="540">
        <v>234155782207</v>
      </c>
      <c r="R128" s="540">
        <v>237906765692</v>
      </c>
      <c r="S128" s="540">
        <v>247436969996</v>
      </c>
      <c r="T128" s="540">
        <v>248509470753</v>
      </c>
      <c r="U128" s="540">
        <v>249548988610</v>
      </c>
      <c r="V128" s="540">
        <v>249642208341</v>
      </c>
      <c r="W128" s="540">
        <v>239440053690</v>
      </c>
      <c r="X128" s="540">
        <v>234755395640</v>
      </c>
      <c r="Y128" s="540">
        <v>227834897793</v>
      </c>
      <c r="Z128" s="540">
        <v>230496410801</v>
      </c>
      <c r="AA128" s="540">
        <v>228802950065</v>
      </c>
      <c r="AB128" s="540">
        <v>222383736327</v>
      </c>
      <c r="AC128" s="540">
        <v>215718329703</v>
      </c>
      <c r="AD128" s="540">
        <v>219422083915</v>
      </c>
      <c r="AE128" s="540">
        <v>227649509332</v>
      </c>
      <c r="AF128" s="540">
        <v>0</v>
      </c>
      <c r="AG128" s="540">
        <v>0</v>
      </c>
      <c r="AH128" s="540">
        <v>0</v>
      </c>
      <c r="AI128" s="540">
        <v>0</v>
      </c>
      <c r="AJ128" s="540">
        <v>0</v>
      </c>
      <c r="AK128" s="540">
        <v>0</v>
      </c>
      <c r="AL128" s="540">
        <v>0</v>
      </c>
    </row>
    <row r="129" spans="1:40" ht="15" customHeight="1">
      <c r="A129" s="543" t="s">
        <v>450</v>
      </c>
      <c r="B129" s="491">
        <v>124</v>
      </c>
      <c r="C129" s="492">
        <v>151242309208</v>
      </c>
      <c r="D129" s="492">
        <v>153168048821</v>
      </c>
      <c r="E129" s="492">
        <v>147897400024</v>
      </c>
      <c r="F129" s="492">
        <v>144938090423</v>
      </c>
      <c r="G129" s="492">
        <v>147413337163</v>
      </c>
      <c r="H129" s="492">
        <v>143259934823</v>
      </c>
      <c r="I129" s="492">
        <v>133044486756</v>
      </c>
      <c r="J129" s="492">
        <v>119519801263</v>
      </c>
      <c r="K129" s="492">
        <v>111236853278</v>
      </c>
      <c r="L129" s="492">
        <v>120910121395</v>
      </c>
      <c r="M129" s="492">
        <v>115931936164</v>
      </c>
      <c r="N129" s="492">
        <v>112689916038</v>
      </c>
      <c r="O129" s="503">
        <v>204759655867</v>
      </c>
      <c r="P129" s="516">
        <v>209656736419</v>
      </c>
      <c r="Q129" s="492">
        <v>227057533148</v>
      </c>
      <c r="R129" s="492">
        <v>234155782207</v>
      </c>
      <c r="S129" s="492">
        <v>237906765692</v>
      </c>
      <c r="T129" s="492">
        <v>247436969996</v>
      </c>
      <c r="U129" s="492">
        <v>248509470753</v>
      </c>
      <c r="V129" s="492">
        <v>249548988610</v>
      </c>
      <c r="W129" s="492">
        <v>249642208341</v>
      </c>
      <c r="X129" s="492">
        <v>239440053690</v>
      </c>
      <c r="Y129" s="492">
        <v>234755395640</v>
      </c>
      <c r="Z129" s="492">
        <v>227834897793</v>
      </c>
      <c r="AA129" s="492">
        <v>230496410801</v>
      </c>
      <c r="AB129" s="492">
        <v>228802950065</v>
      </c>
      <c r="AC129" s="492">
        <v>222383736327</v>
      </c>
      <c r="AD129" s="492">
        <v>215718329703</v>
      </c>
      <c r="AE129" s="492">
        <v>219422083915</v>
      </c>
      <c r="AF129" s="492">
        <v>0</v>
      </c>
      <c r="AG129" s="492">
        <v>0</v>
      </c>
      <c r="AH129" s="492">
        <v>0</v>
      </c>
      <c r="AI129" s="492">
        <v>0</v>
      </c>
      <c r="AJ129" s="492">
        <v>0</v>
      </c>
      <c r="AK129" s="492">
        <v>0</v>
      </c>
      <c r="AL129" s="492">
        <v>0</v>
      </c>
    </row>
    <row r="130" spans="1:40" ht="15" customHeight="1">
      <c r="A130" s="543" t="s">
        <v>451</v>
      </c>
      <c r="B130" s="491">
        <v>125</v>
      </c>
      <c r="C130" s="492">
        <v>1925739613</v>
      </c>
      <c r="D130" s="492">
        <v>-5270648797</v>
      </c>
      <c r="E130" s="492">
        <v>-2959309601</v>
      </c>
      <c r="F130" s="492">
        <v>2475246740</v>
      </c>
      <c r="G130" s="492">
        <v>-4153402340</v>
      </c>
      <c r="H130" s="492">
        <v>-10215448067</v>
      </c>
      <c r="I130" s="492">
        <v>-13524685493</v>
      </c>
      <c r="J130" s="492">
        <v>-8282947985</v>
      </c>
      <c r="K130" s="492">
        <v>9673268117</v>
      </c>
      <c r="L130" s="492">
        <v>-4978185231</v>
      </c>
      <c r="M130" s="492">
        <v>-3242020126</v>
      </c>
      <c r="N130" s="492">
        <v>92069739829</v>
      </c>
      <c r="O130" s="541">
        <v>4897080552</v>
      </c>
      <c r="P130" s="516">
        <v>17400796729</v>
      </c>
      <c r="Q130" s="492">
        <v>7098249059</v>
      </c>
      <c r="R130" s="492">
        <v>3750983485</v>
      </c>
      <c r="S130" s="492">
        <v>9530204304</v>
      </c>
      <c r="T130" s="492">
        <v>1072500757</v>
      </c>
      <c r="U130" s="492">
        <v>1039517857</v>
      </c>
      <c r="V130" s="492">
        <v>93219731</v>
      </c>
      <c r="W130" s="492">
        <v>-10202154651</v>
      </c>
      <c r="X130" s="492">
        <v>-4684658050</v>
      </c>
      <c r="Y130" s="492">
        <v>-6920497847</v>
      </c>
      <c r="Z130" s="492">
        <v>2661513008</v>
      </c>
      <c r="AA130" s="492">
        <v>-1693460736</v>
      </c>
      <c r="AB130" s="492">
        <v>-6419213738</v>
      </c>
      <c r="AC130" s="492">
        <v>-6665406624</v>
      </c>
      <c r="AD130" s="492">
        <v>3703754212</v>
      </c>
      <c r="AE130" s="492">
        <v>8227425417</v>
      </c>
      <c r="AF130" s="492">
        <v>0</v>
      </c>
      <c r="AG130" s="492">
        <v>0</v>
      </c>
      <c r="AH130" s="492">
        <v>0</v>
      </c>
      <c r="AI130" s="492">
        <v>0</v>
      </c>
      <c r="AJ130" s="492">
        <v>0</v>
      </c>
      <c r="AK130" s="492">
        <v>0</v>
      </c>
      <c r="AL130" s="492">
        <v>0</v>
      </c>
    </row>
    <row r="131" spans="1:40" s="550" customFormat="1" ht="15" customHeight="1">
      <c r="A131" s="544" t="s">
        <v>452</v>
      </c>
      <c r="B131" s="545">
        <v>126</v>
      </c>
      <c r="C131" s="546">
        <v>1057106496455</v>
      </c>
      <c r="D131" s="546">
        <v>1040899556726</v>
      </c>
      <c r="E131" s="546">
        <v>1086669152157</v>
      </c>
      <c r="F131" s="546">
        <v>1148318840816</v>
      </c>
      <c r="G131" s="546">
        <v>1198063045295</v>
      </c>
      <c r="H131" s="546">
        <v>1227310309881</v>
      </c>
      <c r="I131" s="546">
        <v>1174913086353</v>
      </c>
      <c r="J131" s="546">
        <v>1123552712261</v>
      </c>
      <c r="K131" s="546">
        <v>1164304769268</v>
      </c>
      <c r="L131" s="546">
        <v>1184459048233</v>
      </c>
      <c r="M131" s="546">
        <v>1262755141991</v>
      </c>
      <c r="N131" s="547">
        <v>1255526266731</v>
      </c>
      <c r="O131" s="548">
        <v>1184167227046</v>
      </c>
      <c r="P131" s="549">
        <v>1099673392126</v>
      </c>
      <c r="Q131" s="547">
        <v>1153710875298</v>
      </c>
      <c r="R131" s="547">
        <v>1224376777626</v>
      </c>
      <c r="S131" s="547">
        <v>1280979662011</v>
      </c>
      <c r="T131" s="547">
        <v>1310961670922</v>
      </c>
      <c r="U131" s="547">
        <v>1296565798277</v>
      </c>
      <c r="V131" s="547">
        <v>1356526045802</v>
      </c>
      <c r="W131" s="547">
        <v>1344912228849</v>
      </c>
      <c r="X131" s="547">
        <v>1299331457948</v>
      </c>
      <c r="Y131" s="547">
        <v>1275169884404</v>
      </c>
      <c r="Z131" s="547">
        <v>1266017714532</v>
      </c>
      <c r="AA131" s="547">
        <v>1211566398236</v>
      </c>
      <c r="AB131" s="547">
        <v>1233002251518</v>
      </c>
      <c r="AC131" s="547">
        <v>1192063370403</v>
      </c>
      <c r="AD131" s="547">
        <v>1173001139790</v>
      </c>
      <c r="AE131" s="547">
        <v>1251902380916</v>
      </c>
      <c r="AF131" s="547">
        <v>0</v>
      </c>
      <c r="AG131" s="547">
        <v>0</v>
      </c>
      <c r="AH131" s="547">
        <v>0</v>
      </c>
      <c r="AI131" s="547">
        <v>0</v>
      </c>
      <c r="AJ131" s="547">
        <v>0</v>
      </c>
      <c r="AK131" s="547">
        <v>0</v>
      </c>
      <c r="AL131" s="547">
        <v>0</v>
      </c>
    </row>
    <row r="132" spans="1:40" ht="15" customHeight="1">
      <c r="A132" s="551"/>
      <c r="B132" s="552"/>
      <c r="C132" s="552">
        <f t="shared" ref="C132:V132" si="2">C131-C83</f>
        <v>0</v>
      </c>
      <c r="D132" s="552">
        <f t="shared" si="2"/>
        <v>0</v>
      </c>
      <c r="E132" s="552">
        <f t="shared" si="2"/>
        <v>0</v>
      </c>
      <c r="F132" s="552">
        <f t="shared" si="2"/>
        <v>0</v>
      </c>
      <c r="G132" s="552">
        <f t="shared" si="2"/>
        <v>0</v>
      </c>
      <c r="H132" s="552">
        <f t="shared" si="2"/>
        <v>0</v>
      </c>
      <c r="I132" s="553">
        <f t="shared" si="2"/>
        <v>0</v>
      </c>
      <c r="J132" s="553">
        <f t="shared" si="2"/>
        <v>0</v>
      </c>
      <c r="K132" s="553">
        <f t="shared" si="2"/>
        <v>0</v>
      </c>
      <c r="L132" s="553">
        <f t="shared" si="2"/>
        <v>0</v>
      </c>
      <c r="M132" s="553">
        <f t="shared" si="2"/>
        <v>0</v>
      </c>
      <c r="N132" s="553">
        <f t="shared" si="2"/>
        <v>0</v>
      </c>
      <c r="O132" s="554">
        <f t="shared" si="2"/>
        <v>0</v>
      </c>
      <c r="P132" s="553">
        <f t="shared" si="2"/>
        <v>0</v>
      </c>
      <c r="Q132" s="553">
        <f t="shared" si="2"/>
        <v>0</v>
      </c>
      <c r="R132" s="553">
        <f t="shared" si="2"/>
        <v>0</v>
      </c>
      <c r="S132" s="553">
        <f t="shared" si="2"/>
        <v>0</v>
      </c>
      <c r="T132" s="553">
        <f t="shared" si="2"/>
        <v>0</v>
      </c>
      <c r="U132" s="553">
        <f t="shared" si="2"/>
        <v>0</v>
      </c>
      <c r="V132" s="553">
        <f t="shared" si="2"/>
        <v>0</v>
      </c>
      <c r="W132" s="553"/>
      <c r="X132" s="553">
        <f>X131-X83</f>
        <v>0</v>
      </c>
      <c r="Y132" s="553">
        <f>Y131-Y83</f>
        <v>0</v>
      </c>
      <c r="Z132" s="553">
        <f>Z131-Z83</f>
        <v>0</v>
      </c>
      <c r="AA132" s="553">
        <f t="shared" ref="AA132:AL132" si="3">AA131-AA83</f>
        <v>0</v>
      </c>
      <c r="AB132" s="553">
        <f t="shared" si="3"/>
        <v>0</v>
      </c>
      <c r="AC132" s="553">
        <f t="shared" si="3"/>
        <v>0</v>
      </c>
      <c r="AD132" s="553">
        <f t="shared" si="3"/>
        <v>0</v>
      </c>
      <c r="AE132" s="553">
        <f t="shared" si="3"/>
        <v>0</v>
      </c>
      <c r="AF132" s="553">
        <f t="shared" si="3"/>
        <v>0</v>
      </c>
      <c r="AG132" s="553">
        <f t="shared" si="3"/>
        <v>0</v>
      </c>
      <c r="AH132" s="553">
        <f t="shared" si="3"/>
        <v>0</v>
      </c>
      <c r="AI132" s="553">
        <f t="shared" si="3"/>
        <v>0</v>
      </c>
      <c r="AJ132" s="553">
        <f t="shared" si="3"/>
        <v>0</v>
      </c>
      <c r="AK132" s="553">
        <f t="shared" si="3"/>
        <v>0</v>
      </c>
      <c r="AL132" s="553">
        <f t="shared" si="3"/>
        <v>0</v>
      </c>
    </row>
    <row r="133" spans="1:40" ht="15" customHeight="1">
      <c r="A133" s="555" t="s">
        <v>453</v>
      </c>
      <c r="B133" s="556" t="s">
        <v>454</v>
      </c>
      <c r="C133" s="557" t="s">
        <v>291</v>
      </c>
      <c r="D133" s="557" t="s">
        <v>292</v>
      </c>
      <c r="E133" s="557" t="s">
        <v>293</v>
      </c>
      <c r="F133" s="557" t="s">
        <v>294</v>
      </c>
      <c r="G133" s="557" t="s">
        <v>295</v>
      </c>
      <c r="H133" s="557" t="s">
        <v>296</v>
      </c>
      <c r="I133" s="557" t="s">
        <v>297</v>
      </c>
      <c r="J133" s="557" t="s">
        <v>298</v>
      </c>
      <c r="K133" s="557" t="s">
        <v>299</v>
      </c>
      <c r="L133" s="557" t="s">
        <v>300</v>
      </c>
      <c r="M133" s="557" t="s">
        <v>301</v>
      </c>
      <c r="N133" s="557" t="s">
        <v>302</v>
      </c>
      <c r="O133" s="557" t="s">
        <v>303</v>
      </c>
      <c r="P133" s="557" t="s">
        <v>304</v>
      </c>
      <c r="Q133" s="557" t="s">
        <v>305</v>
      </c>
      <c r="R133" s="557" t="s">
        <v>306</v>
      </c>
      <c r="S133" s="557" t="s">
        <v>307</v>
      </c>
      <c r="T133" s="557" t="s">
        <v>308</v>
      </c>
      <c r="U133" s="557" t="s">
        <v>309</v>
      </c>
      <c r="V133" s="557" t="s">
        <v>310</v>
      </c>
      <c r="W133" s="557" t="s">
        <v>311</v>
      </c>
      <c r="X133" s="557" t="s">
        <v>312</v>
      </c>
      <c r="Y133" s="557" t="s">
        <v>313</v>
      </c>
      <c r="Z133" s="557" t="s">
        <v>314</v>
      </c>
      <c r="AA133" s="557" t="s">
        <v>315</v>
      </c>
      <c r="AB133" s="557" t="s">
        <v>316</v>
      </c>
      <c r="AC133" s="557" t="s">
        <v>317</v>
      </c>
      <c r="AD133" s="557" t="s">
        <v>318</v>
      </c>
      <c r="AE133" s="557" t="s">
        <v>319</v>
      </c>
      <c r="AF133" s="557" t="s">
        <v>320</v>
      </c>
      <c r="AG133" s="557" t="s">
        <v>321</v>
      </c>
      <c r="AH133" s="557" t="s">
        <v>322</v>
      </c>
      <c r="AI133" s="557" t="s">
        <v>323</v>
      </c>
      <c r="AJ133" s="557" t="s">
        <v>324</v>
      </c>
      <c r="AK133" s="557" t="s">
        <v>325</v>
      </c>
      <c r="AL133" s="557" t="s">
        <v>326</v>
      </c>
    </row>
    <row r="134" spans="1:40" ht="15" customHeight="1">
      <c r="A134" s="558" t="s">
        <v>455</v>
      </c>
      <c r="B134" s="559">
        <v>1</v>
      </c>
      <c r="C134" s="560">
        <v>3553.2</v>
      </c>
      <c r="D134" s="561">
        <v>2285.0509999999999</v>
      </c>
      <c r="E134" s="561">
        <v>2972.0680000000002</v>
      </c>
      <c r="F134" s="561">
        <v>3202.752</v>
      </c>
      <c r="G134" s="561">
        <v>3455.89</v>
      </c>
      <c r="H134" s="561">
        <v>2432.3249999999998</v>
      </c>
      <c r="I134" s="561">
        <v>1986.8530000000001</v>
      </c>
      <c r="J134" s="561">
        <v>5184.5942000000005</v>
      </c>
      <c r="K134" s="561">
        <v>4932.5069999999996</v>
      </c>
      <c r="L134" s="561">
        <v>4058.203</v>
      </c>
      <c r="M134" s="562">
        <v>2606.2530000000002</v>
      </c>
      <c r="N134" s="563">
        <v>3375.1480000000001</v>
      </c>
      <c r="O134" s="560">
        <v>3612.7512999999999</v>
      </c>
      <c r="P134" s="563">
        <v>6002.0379999999996</v>
      </c>
      <c r="Q134" s="563">
        <v>4985.5379999999996</v>
      </c>
      <c r="R134" s="563">
        <v>4060.3609999999999</v>
      </c>
      <c r="S134" s="563">
        <v>4785.7602999999999</v>
      </c>
      <c r="T134" s="563">
        <v>3895.6950000000002</v>
      </c>
      <c r="U134" s="563">
        <v>4652.4191000000001</v>
      </c>
      <c r="V134" s="563">
        <v>5655.27</v>
      </c>
      <c r="W134" s="563">
        <v>3106.2919999999999</v>
      </c>
      <c r="X134" s="563">
        <v>3393.5369999999998</v>
      </c>
      <c r="Y134" s="563">
        <v>3040.82</v>
      </c>
      <c r="Z134" s="563">
        <v>3185.6790000000001</v>
      </c>
      <c r="AA134" s="564">
        <v>4409.9920000000002</v>
      </c>
      <c r="AB134" s="564">
        <v>3267.6</v>
      </c>
      <c r="AC134" s="564">
        <v>6445.4459999999999</v>
      </c>
      <c r="AD134" s="564">
        <v>5748.625</v>
      </c>
      <c r="AE134" s="704">
        <v>5140.924</v>
      </c>
      <c r="AF134" s="564">
        <v>0</v>
      </c>
      <c r="AG134" s="564">
        <v>0</v>
      </c>
      <c r="AH134" s="564">
        <v>0</v>
      </c>
      <c r="AI134" s="564">
        <v>0</v>
      </c>
      <c r="AJ134" s="564">
        <v>0</v>
      </c>
      <c r="AK134" s="564">
        <v>0</v>
      </c>
      <c r="AL134" s="564">
        <v>0</v>
      </c>
    </row>
    <row r="135" spans="1:40" ht="15" customHeight="1">
      <c r="A135" s="565" t="s">
        <v>456</v>
      </c>
      <c r="B135" s="495">
        <v>2</v>
      </c>
      <c r="C135" s="498">
        <v>95961616736</v>
      </c>
      <c r="D135" s="498">
        <v>70105871996</v>
      </c>
      <c r="E135" s="498">
        <v>92109508133</v>
      </c>
      <c r="F135" s="498">
        <v>97489092894</v>
      </c>
      <c r="G135" s="498">
        <v>102501453344</v>
      </c>
      <c r="H135" s="498">
        <v>68093170109</v>
      </c>
      <c r="I135" s="498">
        <v>56451269692</v>
      </c>
      <c r="J135" s="498">
        <v>160372945473</v>
      </c>
      <c r="K135" s="498">
        <v>161501484254</v>
      </c>
      <c r="L135" s="498">
        <v>119734804022</v>
      </c>
      <c r="M135" s="498">
        <v>76175498864</v>
      </c>
      <c r="N135" s="498">
        <v>110890509220</v>
      </c>
      <c r="O135" s="498">
        <v>114976445897</v>
      </c>
      <c r="P135" s="498">
        <v>188477338235</v>
      </c>
      <c r="Q135" s="498">
        <v>150730683132</v>
      </c>
      <c r="R135" s="498">
        <v>125734240353</v>
      </c>
      <c r="S135" s="498">
        <v>153674258114</v>
      </c>
      <c r="T135" s="498">
        <v>119843310993</v>
      </c>
      <c r="U135" s="498">
        <v>138018360641</v>
      </c>
      <c r="V135" s="498">
        <v>169442946928</v>
      </c>
      <c r="W135" s="498">
        <v>91484253567</v>
      </c>
      <c r="X135" s="498">
        <v>108928556660</v>
      </c>
      <c r="Y135" s="498">
        <v>89826973802</v>
      </c>
      <c r="Z135" s="498">
        <v>100861213901</v>
      </c>
      <c r="AA135" s="498">
        <v>126786913920</v>
      </c>
      <c r="AB135" s="498">
        <v>96600110916</v>
      </c>
      <c r="AC135" s="498">
        <v>174261948689</v>
      </c>
      <c r="AD135" s="498">
        <v>159143428903</v>
      </c>
      <c r="AE135" s="498">
        <v>160987273061</v>
      </c>
      <c r="AF135" s="498">
        <v>0</v>
      </c>
      <c r="AG135" s="498">
        <v>0</v>
      </c>
      <c r="AH135" s="498">
        <v>0</v>
      </c>
      <c r="AI135" s="498">
        <v>0</v>
      </c>
      <c r="AJ135" s="498">
        <v>0</v>
      </c>
      <c r="AK135" s="498">
        <v>0</v>
      </c>
      <c r="AL135" s="498">
        <v>0</v>
      </c>
      <c r="AN135" s="566"/>
    </row>
    <row r="136" spans="1:40" ht="15" customHeight="1">
      <c r="A136" s="567" t="s">
        <v>457</v>
      </c>
      <c r="B136" s="491">
        <v>3</v>
      </c>
      <c r="C136" s="492">
        <v>0</v>
      </c>
      <c r="D136" s="492">
        <v>1166125000</v>
      </c>
      <c r="E136" s="492">
        <v>0</v>
      </c>
      <c r="F136" s="568">
        <v>0</v>
      </c>
      <c r="G136" s="568">
        <v>136455000</v>
      </c>
      <c r="H136" s="568">
        <v>0</v>
      </c>
      <c r="I136" s="568">
        <v>0</v>
      </c>
      <c r="J136" s="568">
        <v>6345077301</v>
      </c>
      <c r="K136" s="568">
        <v>4671587529</v>
      </c>
      <c r="L136" s="568">
        <v>2922205276</v>
      </c>
      <c r="M136" s="568">
        <v>49359030</v>
      </c>
      <c r="N136" s="569">
        <v>4680420540</v>
      </c>
      <c r="O136" s="569">
        <v>513935495</v>
      </c>
      <c r="P136" s="569">
        <v>477877176</v>
      </c>
      <c r="Q136" s="569">
        <v>477350452</v>
      </c>
      <c r="R136" s="569">
        <v>304590498</v>
      </c>
      <c r="S136" s="569">
        <v>1607115262</v>
      </c>
      <c r="T136" s="569">
        <v>708638196</v>
      </c>
      <c r="U136" s="569">
        <v>26953743</v>
      </c>
      <c r="V136" s="569">
        <v>1000293545</v>
      </c>
      <c r="W136" s="569">
        <v>6773818500</v>
      </c>
      <c r="X136" s="569">
        <v>0</v>
      </c>
      <c r="Y136" s="569">
        <v>1479093000</v>
      </c>
      <c r="Z136" s="569">
        <v>1103092320</v>
      </c>
      <c r="AA136" s="569">
        <v>687876997</v>
      </c>
      <c r="AB136" s="569">
        <v>33305556</v>
      </c>
      <c r="AC136" s="569">
        <v>956126160</v>
      </c>
      <c r="AD136" s="569">
        <v>86574074</v>
      </c>
      <c r="AE136" s="492">
        <v>1221964024</v>
      </c>
      <c r="AF136" s="569">
        <v>0</v>
      </c>
      <c r="AG136" s="569">
        <v>0</v>
      </c>
      <c r="AH136" s="569">
        <v>0</v>
      </c>
      <c r="AI136" s="569">
        <v>0</v>
      </c>
      <c r="AJ136" s="569">
        <v>0</v>
      </c>
      <c r="AK136" s="569">
        <v>0</v>
      </c>
      <c r="AL136" s="569">
        <v>0</v>
      </c>
      <c r="AN136" s="566"/>
    </row>
    <row r="137" spans="1:40" ht="15" customHeight="1">
      <c r="A137" s="565" t="s">
        <v>458</v>
      </c>
      <c r="B137" s="570">
        <v>4</v>
      </c>
      <c r="C137" s="571">
        <v>95961616736</v>
      </c>
      <c r="D137" s="571">
        <v>68939746996</v>
      </c>
      <c r="E137" s="571">
        <v>92109508133</v>
      </c>
      <c r="F137" s="571">
        <v>97489092894</v>
      </c>
      <c r="G137" s="571">
        <v>102364998344</v>
      </c>
      <c r="H137" s="571">
        <v>68093170109</v>
      </c>
      <c r="I137" s="571">
        <v>56451269692</v>
      </c>
      <c r="J137" s="571">
        <v>154027868172</v>
      </c>
      <c r="K137" s="571">
        <v>156829896725</v>
      </c>
      <c r="L137" s="571">
        <v>116812598746</v>
      </c>
      <c r="M137" s="571">
        <v>76126139834</v>
      </c>
      <c r="N137" s="572">
        <v>106210088680</v>
      </c>
      <c r="O137" s="572">
        <v>114462510402</v>
      </c>
      <c r="P137" s="572">
        <v>187999461059</v>
      </c>
      <c r="Q137" s="572">
        <v>150253332680</v>
      </c>
      <c r="R137" s="572">
        <v>125429649855</v>
      </c>
      <c r="S137" s="572">
        <v>152067142852</v>
      </c>
      <c r="T137" s="572">
        <v>119134672797</v>
      </c>
      <c r="U137" s="572">
        <v>137991406898</v>
      </c>
      <c r="V137" s="572">
        <v>168442653383</v>
      </c>
      <c r="W137" s="572">
        <v>84710435067</v>
      </c>
      <c r="X137" s="572">
        <v>108928556660</v>
      </c>
      <c r="Y137" s="572">
        <v>88347880802</v>
      </c>
      <c r="Z137" s="572">
        <v>99758121581</v>
      </c>
      <c r="AA137" s="498">
        <v>126099036923</v>
      </c>
      <c r="AB137" s="498">
        <v>96566805360</v>
      </c>
      <c r="AC137" s="498">
        <v>173305822529</v>
      </c>
      <c r="AD137" s="498">
        <v>159056854829</v>
      </c>
      <c r="AE137" s="571">
        <v>159765309037</v>
      </c>
      <c r="AF137" s="498">
        <v>0</v>
      </c>
      <c r="AG137" s="498">
        <v>0</v>
      </c>
      <c r="AH137" s="498">
        <v>0</v>
      </c>
      <c r="AI137" s="498">
        <v>0</v>
      </c>
      <c r="AJ137" s="498">
        <v>0</v>
      </c>
      <c r="AK137" s="498">
        <v>0</v>
      </c>
      <c r="AL137" s="498">
        <v>0</v>
      </c>
      <c r="AN137" s="566"/>
    </row>
    <row r="138" spans="1:40" ht="15" customHeight="1">
      <c r="A138" s="567" t="s">
        <v>459</v>
      </c>
      <c r="B138" s="573">
        <v>5</v>
      </c>
      <c r="C138" s="516">
        <v>85841765176</v>
      </c>
      <c r="D138" s="492">
        <v>68748321616</v>
      </c>
      <c r="E138" s="492">
        <v>86824377307</v>
      </c>
      <c r="F138" s="574">
        <v>85475594862</v>
      </c>
      <c r="G138" s="574">
        <v>99208228636</v>
      </c>
      <c r="H138" s="574">
        <v>69795611979</v>
      </c>
      <c r="I138" s="574">
        <v>61217801757</v>
      </c>
      <c r="J138" s="574">
        <v>147970813832</v>
      </c>
      <c r="K138" s="574">
        <v>132769623597</v>
      </c>
      <c r="L138" s="574">
        <v>112138441893</v>
      </c>
      <c r="M138" s="575">
        <v>70998442117</v>
      </c>
      <c r="N138" s="574">
        <v>-22758768790</v>
      </c>
      <c r="O138" s="574">
        <v>96299447936</v>
      </c>
      <c r="P138" s="574">
        <v>154570631505</v>
      </c>
      <c r="Q138" s="574">
        <v>129509315823</v>
      </c>
      <c r="R138" s="574">
        <v>109641808151</v>
      </c>
      <c r="S138" s="574">
        <v>129906078108</v>
      </c>
      <c r="T138" s="574">
        <v>105463649620</v>
      </c>
      <c r="U138" s="574">
        <v>128673842020</v>
      </c>
      <c r="V138" s="574">
        <v>155101842643</v>
      </c>
      <c r="W138" s="574">
        <v>83113314505</v>
      </c>
      <c r="X138" s="574">
        <v>99966937216</v>
      </c>
      <c r="Y138" s="574">
        <v>80940600844</v>
      </c>
      <c r="Z138" s="574">
        <v>70308328665</v>
      </c>
      <c r="AA138" s="576">
        <v>115080112871</v>
      </c>
      <c r="AB138" s="576">
        <v>90411470461</v>
      </c>
      <c r="AC138" s="576">
        <v>165844739865</v>
      </c>
      <c r="AD138" s="576">
        <v>141086003219</v>
      </c>
      <c r="AE138" s="516">
        <v>137580032058</v>
      </c>
      <c r="AF138" s="576">
        <v>0</v>
      </c>
      <c r="AG138" s="576">
        <v>0</v>
      </c>
      <c r="AH138" s="576">
        <v>0</v>
      </c>
      <c r="AI138" s="576">
        <v>0</v>
      </c>
      <c r="AJ138" s="576">
        <v>0</v>
      </c>
      <c r="AK138" s="576">
        <v>0</v>
      </c>
      <c r="AL138" s="576">
        <v>0</v>
      </c>
      <c r="AN138" s="566"/>
    </row>
    <row r="139" spans="1:40" ht="15" customHeight="1">
      <c r="A139" s="565" t="s">
        <v>460</v>
      </c>
      <c r="B139" s="577">
        <v>6</v>
      </c>
      <c r="C139" s="578">
        <f t="shared" ref="C139:AL139" si="4">C137-C138</f>
        <v>10119851560</v>
      </c>
      <c r="D139" s="578">
        <f t="shared" si="4"/>
        <v>191425380</v>
      </c>
      <c r="E139" s="578">
        <f t="shared" si="4"/>
        <v>5285130826</v>
      </c>
      <c r="F139" s="578">
        <f t="shared" si="4"/>
        <v>12013498032</v>
      </c>
      <c r="G139" s="578">
        <f t="shared" si="4"/>
        <v>3156769708</v>
      </c>
      <c r="H139" s="578">
        <f t="shared" si="4"/>
        <v>-1702441870</v>
      </c>
      <c r="I139" s="578">
        <f t="shared" si="4"/>
        <v>-4766532065</v>
      </c>
      <c r="J139" s="578">
        <f t="shared" si="4"/>
        <v>6057054340</v>
      </c>
      <c r="K139" s="578">
        <f t="shared" si="4"/>
        <v>24060273128</v>
      </c>
      <c r="L139" s="578">
        <f t="shared" si="4"/>
        <v>4674156853</v>
      </c>
      <c r="M139" s="578">
        <f t="shared" si="4"/>
        <v>5127697717</v>
      </c>
      <c r="N139" s="578">
        <f t="shared" si="4"/>
        <v>128968857470</v>
      </c>
      <c r="O139" s="578">
        <f t="shared" si="4"/>
        <v>18163062466</v>
      </c>
      <c r="P139" s="578">
        <f t="shared" si="4"/>
        <v>33428829554</v>
      </c>
      <c r="Q139" s="578">
        <f t="shared" si="4"/>
        <v>20744016857</v>
      </c>
      <c r="R139" s="578">
        <f t="shared" si="4"/>
        <v>15787841704</v>
      </c>
      <c r="S139" s="578">
        <f t="shared" si="4"/>
        <v>22161064744</v>
      </c>
      <c r="T139" s="578">
        <f t="shared" si="4"/>
        <v>13671023177</v>
      </c>
      <c r="U139" s="578">
        <f t="shared" si="4"/>
        <v>9317564878</v>
      </c>
      <c r="V139" s="578">
        <f t="shared" si="4"/>
        <v>13340810740</v>
      </c>
      <c r="W139" s="578">
        <f t="shared" si="4"/>
        <v>1597120562</v>
      </c>
      <c r="X139" s="578">
        <f t="shared" si="4"/>
        <v>8961619444</v>
      </c>
      <c r="Y139" s="578">
        <f t="shared" si="4"/>
        <v>7407279958</v>
      </c>
      <c r="Z139" s="578">
        <f t="shared" si="4"/>
        <v>29449792916</v>
      </c>
      <c r="AA139" s="578">
        <f t="shared" si="4"/>
        <v>11018924052</v>
      </c>
      <c r="AB139" s="578">
        <f t="shared" si="4"/>
        <v>6155334899</v>
      </c>
      <c r="AC139" s="578">
        <f t="shared" si="4"/>
        <v>7461082664</v>
      </c>
      <c r="AD139" s="578">
        <f t="shared" si="4"/>
        <v>17970851610</v>
      </c>
      <c r="AE139" s="578">
        <f t="shared" si="4"/>
        <v>22185276979</v>
      </c>
      <c r="AF139" s="578">
        <f t="shared" si="4"/>
        <v>0</v>
      </c>
      <c r="AG139" s="578">
        <f t="shared" si="4"/>
        <v>0</v>
      </c>
      <c r="AH139" s="578">
        <f t="shared" si="4"/>
        <v>0</v>
      </c>
      <c r="AI139" s="578">
        <f t="shared" si="4"/>
        <v>0</v>
      </c>
      <c r="AJ139" s="578">
        <f t="shared" si="4"/>
        <v>0</v>
      </c>
      <c r="AK139" s="578">
        <f t="shared" si="4"/>
        <v>0</v>
      </c>
      <c r="AL139" s="578">
        <f t="shared" si="4"/>
        <v>0</v>
      </c>
      <c r="AN139" s="566"/>
    </row>
    <row r="140" spans="1:40" ht="15" customHeight="1">
      <c r="A140" s="565" t="s">
        <v>461</v>
      </c>
      <c r="B140" s="577">
        <v>7</v>
      </c>
      <c r="C140" s="578">
        <v>0</v>
      </c>
      <c r="D140" s="578">
        <v>0</v>
      </c>
      <c r="E140" s="578">
        <v>0</v>
      </c>
      <c r="F140" s="578">
        <v>0</v>
      </c>
      <c r="G140" s="578">
        <v>0</v>
      </c>
      <c r="H140" s="578">
        <v>0</v>
      </c>
      <c r="I140" s="578">
        <v>0</v>
      </c>
      <c r="J140" s="578">
        <v>0</v>
      </c>
      <c r="K140" s="578">
        <v>0</v>
      </c>
      <c r="L140" s="578">
        <v>0</v>
      </c>
      <c r="M140" s="578">
        <v>0</v>
      </c>
      <c r="N140" s="578">
        <v>0</v>
      </c>
      <c r="O140" s="578">
        <v>0</v>
      </c>
      <c r="P140" s="578">
        <v>0</v>
      </c>
      <c r="Q140" s="578">
        <v>0</v>
      </c>
      <c r="R140" s="578">
        <v>0</v>
      </c>
      <c r="S140" s="578">
        <v>0</v>
      </c>
      <c r="T140" s="578">
        <v>0</v>
      </c>
      <c r="U140" s="578">
        <v>0</v>
      </c>
      <c r="V140" s="578">
        <v>0</v>
      </c>
      <c r="W140" s="578">
        <v>0</v>
      </c>
      <c r="X140" s="578">
        <v>0</v>
      </c>
      <c r="Y140" s="578">
        <v>0</v>
      </c>
      <c r="Z140" s="578">
        <v>0</v>
      </c>
      <c r="AA140" s="578">
        <v>0</v>
      </c>
      <c r="AB140" s="578">
        <v>0</v>
      </c>
      <c r="AC140" s="578">
        <v>0</v>
      </c>
      <c r="AD140" s="578">
        <v>0</v>
      </c>
      <c r="AE140" s="578">
        <v>0</v>
      </c>
      <c r="AF140" s="578">
        <v>0</v>
      </c>
      <c r="AG140" s="578">
        <v>0</v>
      </c>
      <c r="AH140" s="578">
        <v>0</v>
      </c>
      <c r="AI140" s="578">
        <v>0</v>
      </c>
      <c r="AJ140" s="578">
        <v>0</v>
      </c>
      <c r="AK140" s="578">
        <v>0</v>
      </c>
      <c r="AL140" s="578">
        <v>0</v>
      </c>
      <c r="AN140" s="566"/>
    </row>
    <row r="141" spans="1:40" ht="15" customHeight="1">
      <c r="A141" s="567" t="s">
        <v>462</v>
      </c>
      <c r="B141" s="491">
        <v>8</v>
      </c>
      <c r="C141" s="492">
        <v>702840610</v>
      </c>
      <c r="D141" s="492">
        <v>1100851130</v>
      </c>
      <c r="E141" s="492">
        <v>994712341</v>
      </c>
      <c r="F141" s="568">
        <v>1735368123</v>
      </c>
      <c r="G141" s="568">
        <v>1021938222</v>
      </c>
      <c r="H141" s="568">
        <v>578784271</v>
      </c>
      <c r="I141" s="568">
        <v>343643819</v>
      </c>
      <c r="J141" s="568">
        <v>1242477440</v>
      </c>
      <c r="K141" s="568">
        <v>1549112434</v>
      </c>
      <c r="L141" s="568">
        <v>2779237425</v>
      </c>
      <c r="M141" s="568">
        <v>865910053</v>
      </c>
      <c r="N141" s="569">
        <v>2184218732</v>
      </c>
      <c r="O141" s="569">
        <v>773999253</v>
      </c>
      <c r="P141" s="569">
        <v>1788435256</v>
      </c>
      <c r="Q141" s="569">
        <v>931124505</v>
      </c>
      <c r="R141" s="569">
        <v>1307926421</v>
      </c>
      <c r="S141" s="569">
        <v>2429341904</v>
      </c>
      <c r="T141" s="569">
        <v>1641453607</v>
      </c>
      <c r="U141" s="569">
        <v>1393514763</v>
      </c>
      <c r="V141" s="569">
        <v>1498736488</v>
      </c>
      <c r="W141" s="569">
        <v>1228780215</v>
      </c>
      <c r="X141" s="569">
        <v>2716737103</v>
      </c>
      <c r="Y141" s="569">
        <v>515476780</v>
      </c>
      <c r="Z141" s="569">
        <v>680982457</v>
      </c>
      <c r="AA141" s="569">
        <v>1053165322</v>
      </c>
      <c r="AB141" s="569">
        <v>307705069</v>
      </c>
      <c r="AC141" s="569">
        <v>839416558</v>
      </c>
      <c r="AD141" s="569">
        <v>1767937439</v>
      </c>
      <c r="AE141" s="492">
        <v>1261651212</v>
      </c>
      <c r="AF141" s="569">
        <v>0</v>
      </c>
      <c r="AG141" s="569">
        <v>0</v>
      </c>
      <c r="AH141" s="569">
        <v>0</v>
      </c>
      <c r="AI141" s="569">
        <v>0</v>
      </c>
      <c r="AJ141" s="569">
        <v>0</v>
      </c>
      <c r="AK141" s="569">
        <v>0</v>
      </c>
      <c r="AL141" s="569">
        <v>0</v>
      </c>
      <c r="AN141" s="566"/>
    </row>
    <row r="142" spans="1:40" ht="15" customHeight="1">
      <c r="A142" s="565" t="s">
        <v>463</v>
      </c>
      <c r="B142" s="495">
        <v>9</v>
      </c>
      <c r="C142" s="498">
        <v>801399604</v>
      </c>
      <c r="D142" s="498">
        <v>695500231</v>
      </c>
      <c r="E142" s="498">
        <v>663502461</v>
      </c>
      <c r="F142" s="498">
        <v>1555671370</v>
      </c>
      <c r="G142" s="498">
        <v>936492932</v>
      </c>
      <c r="H142" s="498">
        <v>1103852896</v>
      </c>
      <c r="I142" s="498">
        <v>1608708972</v>
      </c>
      <c r="J142" s="498">
        <v>1489581015</v>
      </c>
      <c r="K142" s="498">
        <v>1372261307</v>
      </c>
      <c r="L142" s="498">
        <v>636041020</v>
      </c>
      <c r="M142" s="498">
        <v>1257673070</v>
      </c>
      <c r="N142" s="499">
        <v>993026233</v>
      </c>
      <c r="O142" s="499">
        <v>1529745602</v>
      </c>
      <c r="P142" s="499">
        <v>1349010483</v>
      </c>
      <c r="Q142" s="499">
        <v>902730488</v>
      </c>
      <c r="R142" s="499">
        <v>1450570894</v>
      </c>
      <c r="S142" s="499">
        <v>858169737</v>
      </c>
      <c r="T142" s="499">
        <v>1483876982</v>
      </c>
      <c r="U142" s="499">
        <v>1315247967</v>
      </c>
      <c r="V142" s="499">
        <v>1366041150</v>
      </c>
      <c r="W142" s="499">
        <v>1603769193</v>
      </c>
      <c r="X142" s="499">
        <v>2900732378</v>
      </c>
      <c r="Y142" s="499">
        <v>1301741764</v>
      </c>
      <c r="Z142" s="499">
        <v>2479436989</v>
      </c>
      <c r="AA142" s="499">
        <v>1532817392</v>
      </c>
      <c r="AB142" s="499">
        <v>1569283837</v>
      </c>
      <c r="AC142" s="499">
        <v>1510605035</v>
      </c>
      <c r="AD142" s="499">
        <v>1998884061</v>
      </c>
      <c r="AE142" s="498">
        <v>1208736058</v>
      </c>
      <c r="AF142" s="499">
        <v>0</v>
      </c>
      <c r="AG142" s="499">
        <v>0</v>
      </c>
      <c r="AH142" s="499">
        <v>0</v>
      </c>
      <c r="AI142" s="499">
        <v>0</v>
      </c>
      <c r="AJ142" s="499">
        <v>0</v>
      </c>
      <c r="AK142" s="499">
        <v>0</v>
      </c>
      <c r="AL142" s="499">
        <v>0</v>
      </c>
      <c r="AN142" s="566"/>
    </row>
    <row r="143" spans="1:40" ht="15" customHeight="1">
      <c r="A143" s="579" t="s">
        <v>464</v>
      </c>
      <c r="B143" s="491">
        <v>10</v>
      </c>
      <c r="C143" s="492">
        <v>460461775</v>
      </c>
      <c r="D143" s="492">
        <v>563909516</v>
      </c>
      <c r="E143" s="492">
        <v>587315920</v>
      </c>
      <c r="F143" s="568">
        <v>905708142</v>
      </c>
      <c r="G143" s="568">
        <v>974310029</v>
      </c>
      <c r="H143" s="568">
        <v>1115056080</v>
      </c>
      <c r="I143" s="568">
        <v>1160823006</v>
      </c>
      <c r="J143" s="568">
        <v>939585045</v>
      </c>
      <c r="K143" s="568">
        <v>859444105</v>
      </c>
      <c r="L143" s="568">
        <v>840165515</v>
      </c>
      <c r="M143" s="568">
        <v>889159081</v>
      </c>
      <c r="N143" s="569">
        <v>1032562923</v>
      </c>
      <c r="O143" s="569">
        <v>1114824276</v>
      </c>
      <c r="P143" s="569">
        <v>928379281</v>
      </c>
      <c r="Q143" s="569">
        <v>673966789</v>
      </c>
      <c r="R143" s="569">
        <v>888393452</v>
      </c>
      <c r="S143" s="569">
        <v>1186588729</v>
      </c>
      <c r="T143" s="569">
        <v>1448899822</v>
      </c>
      <c r="U143" s="569">
        <v>1242023326</v>
      </c>
      <c r="V143" s="569">
        <v>1303560910</v>
      </c>
      <c r="W143" s="569">
        <v>1595764355</v>
      </c>
      <c r="X143" s="569">
        <v>1368802426</v>
      </c>
      <c r="Y143" s="569">
        <v>1256132292</v>
      </c>
      <c r="Z143" s="569">
        <v>1256103396</v>
      </c>
      <c r="AA143" s="569">
        <v>1240115065</v>
      </c>
      <c r="AB143" s="569">
        <v>1156279418</v>
      </c>
      <c r="AC143" s="569">
        <v>959718564</v>
      </c>
      <c r="AD143" s="569">
        <v>1062084475</v>
      </c>
      <c r="AE143" s="492">
        <v>838836791</v>
      </c>
      <c r="AF143" s="569">
        <v>0</v>
      </c>
      <c r="AG143" s="569">
        <v>0</v>
      </c>
      <c r="AH143" s="569">
        <v>0</v>
      </c>
      <c r="AI143" s="569">
        <v>0</v>
      </c>
      <c r="AJ143" s="569">
        <v>0</v>
      </c>
      <c r="AK143" s="569">
        <v>0</v>
      </c>
      <c r="AL143" s="569">
        <v>0</v>
      </c>
      <c r="AN143" s="566"/>
    </row>
    <row r="144" spans="1:40" ht="15" customHeight="1">
      <c r="A144" s="567" t="s">
        <v>465</v>
      </c>
      <c r="B144" s="491">
        <v>11</v>
      </c>
      <c r="C144" s="492">
        <v>2846219487</v>
      </c>
      <c r="D144" s="492">
        <v>1219456854</v>
      </c>
      <c r="E144" s="492">
        <v>3715738043</v>
      </c>
      <c r="F144" s="568">
        <v>4585159549</v>
      </c>
      <c r="G144" s="568">
        <v>1693810954</v>
      </c>
      <c r="H144" s="568">
        <v>2407466874</v>
      </c>
      <c r="I144" s="568">
        <v>2300964337</v>
      </c>
      <c r="J144" s="568">
        <v>8205607205</v>
      </c>
      <c r="K144" s="568">
        <v>7036529523</v>
      </c>
      <c r="L144" s="568">
        <v>4608951194</v>
      </c>
      <c r="M144" s="568">
        <v>1949627546</v>
      </c>
      <c r="N144" s="568">
        <v>10266748080</v>
      </c>
      <c r="O144" s="568">
        <v>4006424849</v>
      </c>
      <c r="P144" s="568">
        <v>6313682258</v>
      </c>
      <c r="Q144" s="568">
        <v>5091544776</v>
      </c>
      <c r="R144" s="568">
        <v>4077126734</v>
      </c>
      <c r="S144" s="568">
        <v>4686536575</v>
      </c>
      <c r="T144" s="568">
        <v>4796729528</v>
      </c>
      <c r="U144" s="568">
        <v>3449972349</v>
      </c>
      <c r="V144" s="568">
        <v>4949095751</v>
      </c>
      <c r="W144" s="568">
        <v>2811598286</v>
      </c>
      <c r="X144" s="568">
        <v>6688603934</v>
      </c>
      <c r="Y144" s="568">
        <v>3413749635</v>
      </c>
      <c r="Z144" s="568">
        <v>4816680917</v>
      </c>
      <c r="AA144" s="568">
        <v>3731798004</v>
      </c>
      <c r="AB144" s="568">
        <v>3202645336</v>
      </c>
      <c r="AC144" s="568">
        <v>6245695788</v>
      </c>
      <c r="AD144" s="568">
        <v>5821309126</v>
      </c>
      <c r="AE144" s="492">
        <v>5915805090</v>
      </c>
      <c r="AF144" s="568">
        <v>0</v>
      </c>
      <c r="AG144" s="568">
        <v>0</v>
      </c>
      <c r="AH144" s="568">
        <v>0</v>
      </c>
      <c r="AI144" s="568">
        <v>0</v>
      </c>
      <c r="AJ144" s="568">
        <v>0</v>
      </c>
      <c r="AK144" s="568">
        <v>0</v>
      </c>
      <c r="AL144" s="568">
        <v>0</v>
      </c>
      <c r="AN144" s="566"/>
    </row>
    <row r="145" spans="1:40" ht="15" customHeight="1">
      <c r="A145" s="567" t="s">
        <v>466</v>
      </c>
      <c r="B145" s="491">
        <v>12</v>
      </c>
      <c r="C145" s="492">
        <v>5241377343</v>
      </c>
      <c r="D145" s="492">
        <v>4647980221</v>
      </c>
      <c r="E145" s="492">
        <v>4838115306</v>
      </c>
      <c r="F145" s="568">
        <v>5132788494</v>
      </c>
      <c r="G145" s="568">
        <v>5665606587</v>
      </c>
      <c r="H145" s="568">
        <v>5470797521</v>
      </c>
      <c r="I145" s="568">
        <v>5239042307</v>
      </c>
      <c r="J145" s="568">
        <v>6065017937</v>
      </c>
      <c r="K145" s="568">
        <v>7524726581</v>
      </c>
      <c r="L145" s="568">
        <v>7016385931</v>
      </c>
      <c r="M145" s="568">
        <v>7426888275</v>
      </c>
      <c r="N145" s="568">
        <v>5833487838</v>
      </c>
      <c r="O145" s="568">
        <v>7638868570</v>
      </c>
      <c r="P145" s="568">
        <v>7013534740</v>
      </c>
      <c r="Q145" s="568">
        <v>7332584934</v>
      </c>
      <c r="R145" s="568">
        <v>7155903324</v>
      </c>
      <c r="S145" s="568">
        <v>7948694673</v>
      </c>
      <c r="T145" s="568">
        <v>7721648228</v>
      </c>
      <c r="U145" s="568">
        <v>7616453256</v>
      </c>
      <c r="V145" s="568">
        <v>7931593154</v>
      </c>
      <c r="W145" s="568">
        <v>9422194647</v>
      </c>
      <c r="X145" s="568">
        <v>3775611792</v>
      </c>
      <c r="Y145" s="568">
        <v>9875644458</v>
      </c>
      <c r="Z145" s="568">
        <v>15282438636</v>
      </c>
      <c r="AA145" s="568">
        <v>8394130638</v>
      </c>
      <c r="AB145" s="568">
        <v>7959394332</v>
      </c>
      <c r="AC145" s="568">
        <v>7329810589</v>
      </c>
      <c r="AD145" s="568">
        <v>8148952142</v>
      </c>
      <c r="AE145" s="492">
        <v>8010802475</v>
      </c>
      <c r="AF145" s="568">
        <v>0</v>
      </c>
      <c r="AG145" s="568">
        <v>0</v>
      </c>
      <c r="AH145" s="568">
        <v>0</v>
      </c>
      <c r="AI145" s="568">
        <v>0</v>
      </c>
      <c r="AJ145" s="568">
        <v>0</v>
      </c>
      <c r="AK145" s="568">
        <v>0</v>
      </c>
      <c r="AL145" s="568">
        <v>0</v>
      </c>
      <c r="AN145" s="566"/>
    </row>
    <row r="146" spans="1:40" ht="15" customHeight="1">
      <c r="A146" s="565" t="s">
        <v>467</v>
      </c>
      <c r="B146" s="495">
        <v>13</v>
      </c>
      <c r="C146" s="498">
        <f t="shared" ref="C146:AL146" si="5">C139+C141-C142-C144-C145</f>
        <v>1933695736</v>
      </c>
      <c r="D146" s="498">
        <f t="shared" si="5"/>
        <v>-5270660796</v>
      </c>
      <c r="E146" s="498">
        <f t="shared" si="5"/>
        <v>-2937512643</v>
      </c>
      <c r="F146" s="498">
        <f t="shared" si="5"/>
        <v>2475246742</v>
      </c>
      <c r="G146" s="498">
        <f t="shared" si="5"/>
        <v>-4117202543</v>
      </c>
      <c r="H146" s="498">
        <f t="shared" si="5"/>
        <v>-10105774890</v>
      </c>
      <c r="I146" s="498">
        <f t="shared" si="5"/>
        <v>-13571603862</v>
      </c>
      <c r="J146" s="498">
        <f t="shared" si="5"/>
        <v>-8460674377</v>
      </c>
      <c r="K146" s="498">
        <f t="shared" si="5"/>
        <v>9675868151</v>
      </c>
      <c r="L146" s="498">
        <f t="shared" si="5"/>
        <v>-4807983867</v>
      </c>
      <c r="M146" s="498">
        <f t="shared" si="5"/>
        <v>-4640581121</v>
      </c>
      <c r="N146" s="499">
        <f t="shared" si="5"/>
        <v>114059814051</v>
      </c>
      <c r="O146" s="499">
        <f t="shared" si="5"/>
        <v>5762022698</v>
      </c>
      <c r="P146" s="499">
        <f t="shared" si="5"/>
        <v>20541037329</v>
      </c>
      <c r="Q146" s="499">
        <f t="shared" si="5"/>
        <v>8348281164</v>
      </c>
      <c r="R146" s="499">
        <f t="shared" si="5"/>
        <v>4412167173</v>
      </c>
      <c r="S146" s="499">
        <f t="shared" si="5"/>
        <v>11097005663</v>
      </c>
      <c r="T146" s="499">
        <f t="shared" si="5"/>
        <v>1310222046</v>
      </c>
      <c r="U146" s="499">
        <f t="shared" si="5"/>
        <v>-1670593931</v>
      </c>
      <c r="V146" s="499">
        <f t="shared" si="5"/>
        <v>592817173</v>
      </c>
      <c r="W146" s="499">
        <f t="shared" si="5"/>
        <v>-11011661349</v>
      </c>
      <c r="X146" s="499">
        <f t="shared" si="5"/>
        <v>-1686591557</v>
      </c>
      <c r="Y146" s="499">
        <f t="shared" si="5"/>
        <v>-6668379119</v>
      </c>
      <c r="Z146" s="499">
        <f t="shared" si="5"/>
        <v>7552218831</v>
      </c>
      <c r="AA146" s="499">
        <f t="shared" si="5"/>
        <v>-1586656660</v>
      </c>
      <c r="AB146" s="499">
        <f t="shared" si="5"/>
        <v>-6268283537</v>
      </c>
      <c r="AC146" s="499">
        <f t="shared" si="5"/>
        <v>-6785612190</v>
      </c>
      <c r="AD146" s="499">
        <f t="shared" si="5"/>
        <v>3769643720</v>
      </c>
      <c r="AE146" s="499">
        <f t="shared" si="5"/>
        <v>8311584568</v>
      </c>
      <c r="AF146" s="499">
        <f t="shared" si="5"/>
        <v>0</v>
      </c>
      <c r="AG146" s="499">
        <f t="shared" si="5"/>
        <v>0</v>
      </c>
      <c r="AH146" s="499">
        <f t="shared" si="5"/>
        <v>0</v>
      </c>
      <c r="AI146" s="499">
        <f t="shared" si="5"/>
        <v>0</v>
      </c>
      <c r="AJ146" s="499">
        <f t="shared" si="5"/>
        <v>0</v>
      </c>
      <c r="AK146" s="499">
        <f t="shared" si="5"/>
        <v>0</v>
      </c>
      <c r="AL146" s="499">
        <f t="shared" si="5"/>
        <v>0</v>
      </c>
      <c r="AN146" s="566"/>
    </row>
    <row r="147" spans="1:40" ht="15" customHeight="1">
      <c r="A147" s="567" t="s">
        <v>468</v>
      </c>
      <c r="B147" s="491">
        <v>14</v>
      </c>
      <c r="C147" s="492">
        <v>1945</v>
      </c>
      <c r="D147" s="492">
        <v>12000</v>
      </c>
      <c r="E147" s="492">
        <v>0</v>
      </c>
      <c r="F147" s="568">
        <v>0</v>
      </c>
      <c r="G147" s="568">
        <v>203</v>
      </c>
      <c r="H147" s="568">
        <v>58510228</v>
      </c>
      <c r="I147" s="568">
        <v>52918371</v>
      </c>
      <c r="J147" s="568">
        <v>177726993</v>
      </c>
      <c r="K147" s="568">
        <v>999</v>
      </c>
      <c r="L147" s="568">
        <v>196700</v>
      </c>
      <c r="M147" s="568">
        <v>1398763491</v>
      </c>
      <c r="N147" s="569">
        <v>-184569027</v>
      </c>
      <c r="O147" s="569">
        <v>500207</v>
      </c>
      <c r="P147" s="569">
        <v>2492480</v>
      </c>
      <c r="Q147" s="569">
        <v>2600082</v>
      </c>
      <c r="R147" s="569">
        <v>33918440</v>
      </c>
      <c r="S147" s="569">
        <v>115000000</v>
      </c>
      <c r="T147" s="569">
        <v>2020926</v>
      </c>
      <c r="U147" s="569">
        <v>9788652</v>
      </c>
      <c r="V147" s="569">
        <v>244500606</v>
      </c>
      <c r="W147" s="569">
        <v>742</v>
      </c>
      <c r="X147" s="569">
        <v>819591</v>
      </c>
      <c r="Y147" s="569">
        <v>110446</v>
      </c>
      <c r="Z147" s="569">
        <v>42486461</v>
      </c>
      <c r="AA147" s="569">
        <v>4505</v>
      </c>
      <c r="AB147" s="569">
        <v>70001</v>
      </c>
      <c r="AC147" s="569">
        <v>1144804</v>
      </c>
      <c r="AD147" s="569">
        <v>10483805</v>
      </c>
      <c r="AE147" s="492"/>
      <c r="AF147" s="569">
        <v>0</v>
      </c>
      <c r="AG147" s="569">
        <v>0</v>
      </c>
      <c r="AH147" s="569">
        <v>0</v>
      </c>
      <c r="AI147" s="569">
        <v>0</v>
      </c>
      <c r="AJ147" s="569">
        <v>0</v>
      </c>
      <c r="AK147" s="569">
        <v>0</v>
      </c>
      <c r="AL147" s="569">
        <v>0</v>
      </c>
      <c r="AN147" s="566"/>
    </row>
    <row r="148" spans="1:40" ht="15" customHeight="1">
      <c r="A148" s="567" t="s">
        <v>469</v>
      </c>
      <c r="B148" s="491">
        <v>15</v>
      </c>
      <c r="C148" s="492">
        <v>7958068</v>
      </c>
      <c r="D148" s="492">
        <v>1</v>
      </c>
      <c r="E148" s="492">
        <v>21796958</v>
      </c>
      <c r="F148" s="568">
        <v>2</v>
      </c>
      <c r="G148" s="568">
        <v>36200000</v>
      </c>
      <c r="H148" s="568">
        <v>168183405</v>
      </c>
      <c r="I148" s="568">
        <v>6000002</v>
      </c>
      <c r="J148" s="568">
        <v>601</v>
      </c>
      <c r="K148" s="568">
        <v>2601033</v>
      </c>
      <c r="L148" s="568">
        <v>170398064</v>
      </c>
      <c r="M148" s="568">
        <v>202496</v>
      </c>
      <c r="N148" s="569">
        <v>8471297430</v>
      </c>
      <c r="O148" s="569">
        <v>1251667</v>
      </c>
      <c r="P148" s="569">
        <v>130033300</v>
      </c>
      <c r="Q148" s="569">
        <v>0</v>
      </c>
      <c r="R148" s="569">
        <v>17808640</v>
      </c>
      <c r="S148" s="569">
        <v>600</v>
      </c>
      <c r="T148" s="569">
        <v>50477376</v>
      </c>
      <c r="U148" s="569">
        <v>130663204</v>
      </c>
      <c r="V148" s="569">
        <v>539898446</v>
      </c>
      <c r="W148" s="569">
        <v>539664890</v>
      </c>
      <c r="X148" s="569">
        <v>3515574706</v>
      </c>
      <c r="Y148" s="569">
        <v>1106262251</v>
      </c>
      <c r="Z148" s="569">
        <v>1603033842</v>
      </c>
      <c r="AA148" s="569">
        <v>106808581</v>
      </c>
      <c r="AB148" s="569">
        <v>151000202</v>
      </c>
      <c r="AC148" s="569">
        <v>34000105</v>
      </c>
      <c r="AD148" s="569">
        <v>76373313</v>
      </c>
      <c r="AE148" s="492">
        <v>130000650</v>
      </c>
      <c r="AF148" s="569">
        <v>0</v>
      </c>
      <c r="AG148" s="569">
        <v>0</v>
      </c>
      <c r="AH148" s="569">
        <v>0</v>
      </c>
      <c r="AI148" s="569">
        <v>0</v>
      </c>
      <c r="AJ148" s="569">
        <v>0</v>
      </c>
      <c r="AK148" s="569">
        <v>0</v>
      </c>
      <c r="AL148" s="569">
        <v>0</v>
      </c>
      <c r="AN148" s="566"/>
    </row>
    <row r="149" spans="1:40" ht="15" customHeight="1">
      <c r="A149" s="565" t="s">
        <v>470</v>
      </c>
      <c r="B149" s="495">
        <v>16</v>
      </c>
      <c r="C149" s="498">
        <f t="shared" ref="C149:AL149" si="6">C147-C148</f>
        <v>-7956123</v>
      </c>
      <c r="D149" s="498">
        <f t="shared" si="6"/>
        <v>11999</v>
      </c>
      <c r="E149" s="498">
        <f t="shared" si="6"/>
        <v>-21796958</v>
      </c>
      <c r="F149" s="498">
        <f t="shared" si="6"/>
        <v>-2</v>
      </c>
      <c r="G149" s="498">
        <f t="shared" si="6"/>
        <v>-36199797</v>
      </c>
      <c r="H149" s="498">
        <f t="shared" si="6"/>
        <v>-109673177</v>
      </c>
      <c r="I149" s="498">
        <f t="shared" si="6"/>
        <v>46918369</v>
      </c>
      <c r="J149" s="498">
        <f t="shared" si="6"/>
        <v>177726392</v>
      </c>
      <c r="K149" s="498">
        <f t="shared" si="6"/>
        <v>-2600034</v>
      </c>
      <c r="L149" s="498">
        <f t="shared" si="6"/>
        <v>-170201364</v>
      </c>
      <c r="M149" s="498">
        <f t="shared" si="6"/>
        <v>1398560995</v>
      </c>
      <c r="N149" s="499">
        <f t="shared" si="6"/>
        <v>-8655866457</v>
      </c>
      <c r="O149" s="499">
        <f t="shared" si="6"/>
        <v>-751460</v>
      </c>
      <c r="P149" s="499">
        <f t="shared" si="6"/>
        <v>-127540820</v>
      </c>
      <c r="Q149" s="499">
        <f t="shared" si="6"/>
        <v>2600082</v>
      </c>
      <c r="R149" s="499">
        <f t="shared" si="6"/>
        <v>16109800</v>
      </c>
      <c r="S149" s="499">
        <f t="shared" si="6"/>
        <v>114999400</v>
      </c>
      <c r="T149" s="499">
        <f t="shared" si="6"/>
        <v>-48456450</v>
      </c>
      <c r="U149" s="499">
        <f t="shared" si="6"/>
        <v>-120874552</v>
      </c>
      <c r="V149" s="499">
        <f t="shared" si="6"/>
        <v>-295397840</v>
      </c>
      <c r="W149" s="499">
        <f t="shared" si="6"/>
        <v>-539664148</v>
      </c>
      <c r="X149" s="499">
        <f t="shared" si="6"/>
        <v>-3514755115</v>
      </c>
      <c r="Y149" s="499">
        <f t="shared" si="6"/>
        <v>-1106151805</v>
      </c>
      <c r="Z149" s="499">
        <f t="shared" si="6"/>
        <v>-1560547381</v>
      </c>
      <c r="AA149" s="499">
        <f t="shared" si="6"/>
        <v>-106804076</v>
      </c>
      <c r="AB149" s="499">
        <f t="shared" si="6"/>
        <v>-150930201</v>
      </c>
      <c r="AC149" s="499">
        <f t="shared" si="6"/>
        <v>-32855301</v>
      </c>
      <c r="AD149" s="499">
        <f t="shared" si="6"/>
        <v>-65889508</v>
      </c>
      <c r="AE149" s="499">
        <f t="shared" si="6"/>
        <v>-130000650</v>
      </c>
      <c r="AF149" s="499">
        <f t="shared" si="6"/>
        <v>0</v>
      </c>
      <c r="AG149" s="499">
        <f t="shared" si="6"/>
        <v>0</v>
      </c>
      <c r="AH149" s="499">
        <f t="shared" si="6"/>
        <v>0</v>
      </c>
      <c r="AI149" s="499">
        <f t="shared" si="6"/>
        <v>0</v>
      </c>
      <c r="AJ149" s="499">
        <f t="shared" si="6"/>
        <v>0</v>
      </c>
      <c r="AK149" s="499">
        <f t="shared" si="6"/>
        <v>0</v>
      </c>
      <c r="AL149" s="499">
        <f t="shared" si="6"/>
        <v>0</v>
      </c>
      <c r="AN149" s="566"/>
    </row>
    <row r="150" spans="1:40" ht="15" customHeight="1">
      <c r="A150" s="565" t="s">
        <v>471</v>
      </c>
      <c r="B150" s="570">
        <v>17</v>
      </c>
      <c r="C150" s="571">
        <f t="shared" ref="C150:AL150" si="7">C146+C149</f>
        <v>1925739613</v>
      </c>
      <c r="D150" s="571">
        <f t="shared" si="7"/>
        <v>-5270648797</v>
      </c>
      <c r="E150" s="571">
        <f t="shared" si="7"/>
        <v>-2959309601</v>
      </c>
      <c r="F150" s="571">
        <f t="shared" si="7"/>
        <v>2475246740</v>
      </c>
      <c r="G150" s="571">
        <f t="shared" si="7"/>
        <v>-4153402340</v>
      </c>
      <c r="H150" s="571">
        <f t="shared" si="7"/>
        <v>-10215448067</v>
      </c>
      <c r="I150" s="571">
        <f t="shared" si="7"/>
        <v>-13524685493</v>
      </c>
      <c r="J150" s="571">
        <f t="shared" si="7"/>
        <v>-8282947985</v>
      </c>
      <c r="K150" s="571">
        <f t="shared" si="7"/>
        <v>9673268117</v>
      </c>
      <c r="L150" s="571">
        <f t="shared" si="7"/>
        <v>-4978185231</v>
      </c>
      <c r="M150" s="571">
        <f t="shared" si="7"/>
        <v>-3242020126</v>
      </c>
      <c r="N150" s="572">
        <f t="shared" si="7"/>
        <v>105403947594</v>
      </c>
      <c r="O150" s="572">
        <f t="shared" si="7"/>
        <v>5761271238</v>
      </c>
      <c r="P150" s="572">
        <f t="shared" si="7"/>
        <v>20413496509</v>
      </c>
      <c r="Q150" s="572">
        <f t="shared" si="7"/>
        <v>8350881246</v>
      </c>
      <c r="R150" s="572">
        <f t="shared" si="7"/>
        <v>4428276973</v>
      </c>
      <c r="S150" s="572">
        <f t="shared" si="7"/>
        <v>11212005063</v>
      </c>
      <c r="T150" s="572">
        <f t="shared" si="7"/>
        <v>1261765596</v>
      </c>
      <c r="U150" s="572">
        <f t="shared" si="7"/>
        <v>-1791468483</v>
      </c>
      <c r="V150" s="572">
        <f t="shared" si="7"/>
        <v>297419333</v>
      </c>
      <c r="W150" s="572">
        <f t="shared" si="7"/>
        <v>-11551325497</v>
      </c>
      <c r="X150" s="572">
        <f t="shared" si="7"/>
        <v>-5201346672</v>
      </c>
      <c r="Y150" s="572">
        <f t="shared" si="7"/>
        <v>-7774530924</v>
      </c>
      <c r="Z150" s="572">
        <f t="shared" si="7"/>
        <v>5991671450</v>
      </c>
      <c r="AA150" s="572">
        <f t="shared" si="7"/>
        <v>-1693460736</v>
      </c>
      <c r="AB150" s="572">
        <f t="shared" si="7"/>
        <v>-6419213738</v>
      </c>
      <c r="AC150" s="572">
        <f t="shared" si="7"/>
        <v>-6818467491</v>
      </c>
      <c r="AD150" s="572">
        <f t="shared" si="7"/>
        <v>3703754212</v>
      </c>
      <c r="AE150" s="572">
        <f t="shared" si="7"/>
        <v>8181583918</v>
      </c>
      <c r="AF150" s="572">
        <f t="shared" si="7"/>
        <v>0</v>
      </c>
      <c r="AG150" s="572">
        <f t="shared" si="7"/>
        <v>0</v>
      </c>
      <c r="AH150" s="572">
        <f t="shared" si="7"/>
        <v>0</v>
      </c>
      <c r="AI150" s="572">
        <f t="shared" si="7"/>
        <v>0</v>
      </c>
      <c r="AJ150" s="572">
        <f t="shared" si="7"/>
        <v>0</v>
      </c>
      <c r="AK150" s="572">
        <f t="shared" si="7"/>
        <v>0</v>
      </c>
      <c r="AL150" s="572">
        <f t="shared" si="7"/>
        <v>0</v>
      </c>
      <c r="AN150" s="566"/>
    </row>
    <row r="151" spans="1:40" ht="15" customHeight="1">
      <c r="A151" s="580" t="s">
        <v>472</v>
      </c>
      <c r="B151" s="491">
        <v>18</v>
      </c>
      <c r="C151" s="492">
        <v>0</v>
      </c>
      <c r="D151" s="581">
        <v>0</v>
      </c>
      <c r="E151" s="581">
        <v>0</v>
      </c>
      <c r="F151" s="581">
        <v>0</v>
      </c>
      <c r="G151" s="581">
        <v>0</v>
      </c>
      <c r="H151" s="581">
        <v>0</v>
      </c>
      <c r="I151" s="581">
        <v>0</v>
      </c>
      <c r="J151" s="581">
        <v>0</v>
      </c>
      <c r="K151" s="581">
        <v>0</v>
      </c>
      <c r="L151" s="581">
        <v>0</v>
      </c>
      <c r="M151" s="581">
        <v>0</v>
      </c>
      <c r="N151" s="582">
        <v>11495266455</v>
      </c>
      <c r="O151" s="582">
        <v>864190686</v>
      </c>
      <c r="P151" s="582">
        <v>3020742780</v>
      </c>
      <c r="Q151" s="582">
        <v>1252632187</v>
      </c>
      <c r="R151" s="582">
        <v>677293488</v>
      </c>
      <c r="S151" s="582">
        <v>1681800759</v>
      </c>
      <c r="T151" s="582">
        <v>189264839</v>
      </c>
      <c r="U151" s="582">
        <v>-1000088030</v>
      </c>
      <c r="V151" s="582">
        <v>204199602</v>
      </c>
      <c r="W151" s="582">
        <v>-1349170846</v>
      </c>
      <c r="X151" s="582">
        <v>-516688622</v>
      </c>
      <c r="Y151" s="582">
        <v>-854033077</v>
      </c>
      <c r="Z151" s="582">
        <v>3330158442</v>
      </c>
      <c r="AA151" s="582">
        <v>0</v>
      </c>
      <c r="AB151" s="582">
        <v>0</v>
      </c>
      <c r="AC151" s="582">
        <v>-153060867</v>
      </c>
      <c r="AD151" s="582">
        <v>0</v>
      </c>
      <c r="AE151" s="492">
        <v>-45841499</v>
      </c>
      <c r="AF151" s="582">
        <v>0</v>
      </c>
      <c r="AG151" s="582">
        <v>0</v>
      </c>
      <c r="AH151" s="582">
        <v>0</v>
      </c>
      <c r="AI151" s="582">
        <v>0</v>
      </c>
      <c r="AJ151" s="582">
        <v>0</v>
      </c>
      <c r="AK151" s="582">
        <v>0</v>
      </c>
      <c r="AL151" s="582">
        <v>0</v>
      </c>
      <c r="AN151" s="566"/>
    </row>
    <row r="152" spans="1:40" ht="15" customHeight="1">
      <c r="A152" s="567" t="s">
        <v>473</v>
      </c>
      <c r="B152" s="491">
        <v>19</v>
      </c>
      <c r="C152" s="492">
        <v>0</v>
      </c>
      <c r="D152" s="568">
        <v>0</v>
      </c>
      <c r="E152" s="568">
        <v>0</v>
      </c>
      <c r="F152" s="568">
        <v>0</v>
      </c>
      <c r="G152" s="568">
        <v>0</v>
      </c>
      <c r="H152" s="568">
        <v>0</v>
      </c>
      <c r="I152" s="568">
        <v>0</v>
      </c>
      <c r="J152" s="568">
        <v>0</v>
      </c>
      <c r="K152" s="568">
        <v>0</v>
      </c>
      <c r="L152" s="568">
        <v>0</v>
      </c>
      <c r="M152" s="568">
        <v>0</v>
      </c>
      <c r="N152" s="569">
        <v>1838941310</v>
      </c>
      <c r="O152" s="569">
        <v>0</v>
      </c>
      <c r="P152" s="569">
        <v>-8043000</v>
      </c>
      <c r="Q152" s="569">
        <v>0</v>
      </c>
      <c r="R152" s="569">
        <v>0</v>
      </c>
      <c r="S152" s="569">
        <v>0</v>
      </c>
      <c r="T152" s="569">
        <v>0</v>
      </c>
      <c r="U152" s="569">
        <v>-1830898310</v>
      </c>
      <c r="V152" s="569">
        <v>0</v>
      </c>
      <c r="W152" s="569">
        <v>0</v>
      </c>
      <c r="X152" s="569">
        <v>0</v>
      </c>
      <c r="Y152" s="569">
        <v>0</v>
      </c>
      <c r="Z152" s="569">
        <v>0</v>
      </c>
      <c r="AA152" s="569">
        <v>0</v>
      </c>
      <c r="AB152" s="569">
        <v>0</v>
      </c>
      <c r="AC152" s="569">
        <v>0</v>
      </c>
      <c r="AD152" s="569">
        <v>0</v>
      </c>
      <c r="AE152" s="569">
        <v>0</v>
      </c>
      <c r="AF152" s="569">
        <v>0</v>
      </c>
      <c r="AG152" s="569">
        <v>0</v>
      </c>
      <c r="AH152" s="569">
        <v>0</v>
      </c>
      <c r="AI152" s="569">
        <v>0</v>
      </c>
      <c r="AJ152" s="569">
        <v>0</v>
      </c>
      <c r="AK152" s="569">
        <v>0</v>
      </c>
      <c r="AL152" s="569">
        <v>0</v>
      </c>
      <c r="AN152" s="566"/>
    </row>
    <row r="153" spans="1:40" ht="15" customHeight="1">
      <c r="A153" s="565" t="s">
        <v>474</v>
      </c>
      <c r="B153" s="577">
        <v>20</v>
      </c>
      <c r="C153" s="578">
        <f t="shared" ref="C153:AL153" si="8">C150-C151-C152</f>
        <v>1925739613</v>
      </c>
      <c r="D153" s="578">
        <f t="shared" si="8"/>
        <v>-5270648797</v>
      </c>
      <c r="E153" s="578">
        <f t="shared" si="8"/>
        <v>-2959309601</v>
      </c>
      <c r="F153" s="578">
        <f t="shared" si="8"/>
        <v>2475246740</v>
      </c>
      <c r="G153" s="578">
        <f t="shared" si="8"/>
        <v>-4153402340</v>
      </c>
      <c r="H153" s="578">
        <f t="shared" si="8"/>
        <v>-10215448067</v>
      </c>
      <c r="I153" s="578">
        <f t="shared" si="8"/>
        <v>-13524685493</v>
      </c>
      <c r="J153" s="578">
        <f t="shared" si="8"/>
        <v>-8282947985</v>
      </c>
      <c r="K153" s="578">
        <f t="shared" si="8"/>
        <v>9673268117</v>
      </c>
      <c r="L153" s="578">
        <f t="shared" si="8"/>
        <v>-4978185231</v>
      </c>
      <c r="M153" s="578">
        <f t="shared" si="8"/>
        <v>-3242020126</v>
      </c>
      <c r="N153" s="578">
        <f t="shared" si="8"/>
        <v>92069739829</v>
      </c>
      <c r="O153" s="578">
        <f t="shared" si="8"/>
        <v>4897080552</v>
      </c>
      <c r="P153" s="578">
        <f t="shared" si="8"/>
        <v>17400796729</v>
      </c>
      <c r="Q153" s="578">
        <f t="shared" si="8"/>
        <v>7098249059</v>
      </c>
      <c r="R153" s="578">
        <f t="shared" si="8"/>
        <v>3750983485</v>
      </c>
      <c r="S153" s="578">
        <f t="shared" si="8"/>
        <v>9530204304</v>
      </c>
      <c r="T153" s="578">
        <f t="shared" si="8"/>
        <v>1072500757</v>
      </c>
      <c r="U153" s="578">
        <f t="shared" si="8"/>
        <v>1039517857</v>
      </c>
      <c r="V153" s="578">
        <f t="shared" si="8"/>
        <v>93219731</v>
      </c>
      <c r="W153" s="578">
        <f t="shared" si="8"/>
        <v>-10202154651</v>
      </c>
      <c r="X153" s="578">
        <f t="shared" si="8"/>
        <v>-4684658050</v>
      </c>
      <c r="Y153" s="578">
        <f t="shared" si="8"/>
        <v>-6920497847</v>
      </c>
      <c r="Z153" s="578">
        <f t="shared" si="8"/>
        <v>2661513008</v>
      </c>
      <c r="AA153" s="583">
        <f t="shared" si="8"/>
        <v>-1693460736</v>
      </c>
      <c r="AB153" s="583">
        <f t="shared" si="8"/>
        <v>-6419213738</v>
      </c>
      <c r="AC153" s="583">
        <f t="shared" si="8"/>
        <v>-6665406624</v>
      </c>
      <c r="AD153" s="578">
        <f t="shared" si="8"/>
        <v>3703754212</v>
      </c>
      <c r="AE153" s="578">
        <f t="shared" si="8"/>
        <v>8227425417</v>
      </c>
      <c r="AF153" s="578">
        <f t="shared" si="8"/>
        <v>0</v>
      </c>
      <c r="AG153" s="578">
        <f t="shared" si="8"/>
        <v>0</v>
      </c>
      <c r="AH153" s="578">
        <f t="shared" si="8"/>
        <v>0</v>
      </c>
      <c r="AI153" s="578">
        <f t="shared" si="8"/>
        <v>0</v>
      </c>
      <c r="AJ153" s="578">
        <f t="shared" si="8"/>
        <v>0</v>
      </c>
      <c r="AK153" s="578">
        <f t="shared" si="8"/>
        <v>0</v>
      </c>
      <c r="AL153" s="578">
        <f t="shared" si="8"/>
        <v>0</v>
      </c>
      <c r="AN153" s="566"/>
    </row>
    <row r="154" spans="1:40" ht="15" customHeight="1">
      <c r="A154" s="584"/>
      <c r="B154" s="585"/>
      <c r="C154" s="586"/>
      <c r="D154" s="586"/>
      <c r="E154" s="586"/>
      <c r="F154" s="586"/>
      <c r="G154" s="586"/>
      <c r="H154" s="586"/>
      <c r="I154" s="586"/>
      <c r="J154" s="586"/>
      <c r="K154" s="586"/>
      <c r="L154" s="586"/>
      <c r="M154" s="586"/>
      <c r="N154" s="586"/>
      <c r="O154" s="586"/>
      <c r="P154" s="586"/>
      <c r="Q154" s="586"/>
      <c r="R154" s="586"/>
      <c r="S154" s="586"/>
      <c r="T154" s="586"/>
      <c r="U154" s="586"/>
      <c r="V154" s="586"/>
      <c r="W154" s="586"/>
      <c r="X154" s="586"/>
      <c r="Y154" s="586"/>
      <c r="Z154" s="586"/>
      <c r="AA154" s="587"/>
      <c r="AB154" s="587"/>
      <c r="AC154" s="587"/>
      <c r="AD154" s="587"/>
      <c r="AE154" s="587"/>
      <c r="AF154" s="587"/>
      <c r="AG154" s="587"/>
      <c r="AH154" s="587"/>
      <c r="AI154" s="587"/>
      <c r="AJ154" s="587"/>
      <c r="AK154" s="587"/>
      <c r="AL154" s="587"/>
    </row>
    <row r="155" spans="1:40" ht="15" customHeight="1">
      <c r="A155" s="477" t="s">
        <v>475</v>
      </c>
      <c r="B155" s="588" t="s">
        <v>476</v>
      </c>
      <c r="C155" s="479" t="s">
        <v>291</v>
      </c>
      <c r="D155" s="480" t="s">
        <v>292</v>
      </c>
      <c r="E155" s="480" t="s">
        <v>293</v>
      </c>
      <c r="F155" s="479" t="s">
        <v>294</v>
      </c>
      <c r="G155" s="479" t="s">
        <v>295</v>
      </c>
      <c r="H155" s="479" t="s">
        <v>296</v>
      </c>
      <c r="I155" s="479" t="s">
        <v>297</v>
      </c>
      <c r="J155" s="480" t="s">
        <v>298</v>
      </c>
      <c r="K155" s="480" t="s">
        <v>299</v>
      </c>
      <c r="L155" s="480" t="s">
        <v>300</v>
      </c>
      <c r="M155" s="480" t="s">
        <v>301</v>
      </c>
      <c r="N155" s="479" t="s">
        <v>302</v>
      </c>
      <c r="O155" s="479" t="s">
        <v>303</v>
      </c>
      <c r="P155" s="479" t="s">
        <v>304</v>
      </c>
      <c r="Q155" s="479" t="s">
        <v>305</v>
      </c>
      <c r="R155" s="479" t="s">
        <v>306</v>
      </c>
      <c r="S155" s="479" t="s">
        <v>307</v>
      </c>
      <c r="T155" s="479" t="s">
        <v>308</v>
      </c>
      <c r="U155" s="479" t="s">
        <v>309</v>
      </c>
      <c r="V155" s="479" t="s">
        <v>310</v>
      </c>
      <c r="W155" s="479" t="s">
        <v>311</v>
      </c>
      <c r="X155" s="479" t="s">
        <v>312</v>
      </c>
      <c r="Y155" s="479" t="s">
        <v>313</v>
      </c>
      <c r="Z155" s="479" t="s">
        <v>314</v>
      </c>
      <c r="AA155" s="479" t="s">
        <v>315</v>
      </c>
      <c r="AB155" s="479" t="s">
        <v>316</v>
      </c>
      <c r="AC155" s="479" t="s">
        <v>317</v>
      </c>
      <c r="AD155" s="479" t="s">
        <v>318</v>
      </c>
      <c r="AE155" s="479" t="s">
        <v>319</v>
      </c>
      <c r="AF155" s="479" t="s">
        <v>320</v>
      </c>
      <c r="AG155" s="479" t="s">
        <v>321</v>
      </c>
      <c r="AH155" s="479" t="s">
        <v>322</v>
      </c>
      <c r="AI155" s="479" t="s">
        <v>323</v>
      </c>
      <c r="AJ155" s="479" t="s">
        <v>324</v>
      </c>
      <c r="AK155" s="479" t="s">
        <v>325</v>
      </c>
      <c r="AL155" s="479" t="s">
        <v>326</v>
      </c>
    </row>
    <row r="156" spans="1:40" ht="15" customHeight="1">
      <c r="A156" s="589" t="s">
        <v>477</v>
      </c>
      <c r="B156" s="590">
        <v>1</v>
      </c>
      <c r="C156" s="591"/>
      <c r="D156" s="592"/>
      <c r="E156" s="592"/>
      <c r="F156" s="592"/>
      <c r="G156" s="592"/>
      <c r="H156" s="592"/>
      <c r="I156" s="592"/>
      <c r="J156" s="592"/>
      <c r="K156" s="592"/>
      <c r="L156" s="592"/>
      <c r="M156" s="592"/>
      <c r="N156" s="591"/>
      <c r="O156" s="591"/>
      <c r="P156" s="591"/>
      <c r="Q156" s="591"/>
      <c r="R156" s="591"/>
      <c r="S156" s="591"/>
      <c r="T156" s="591"/>
      <c r="U156" s="591"/>
      <c r="V156" s="591"/>
      <c r="W156" s="591"/>
      <c r="X156" s="591"/>
      <c r="Y156" s="591"/>
      <c r="Z156" s="591"/>
      <c r="AA156" s="591"/>
      <c r="AB156" s="591"/>
      <c r="AC156" s="591"/>
      <c r="AD156" s="591"/>
      <c r="AE156" s="591"/>
      <c r="AF156" s="591"/>
      <c r="AG156" s="591"/>
      <c r="AH156" s="591"/>
      <c r="AI156" s="591"/>
      <c r="AJ156" s="591"/>
      <c r="AK156" s="591"/>
      <c r="AL156" s="591"/>
    </row>
    <row r="157" spans="1:40" ht="15" customHeight="1">
      <c r="A157" s="589" t="s">
        <v>241</v>
      </c>
      <c r="B157" s="590">
        <v>2</v>
      </c>
      <c r="C157" s="593">
        <v>-729878180</v>
      </c>
      <c r="D157" s="593">
        <v>-5270648797</v>
      </c>
      <c r="E157" s="593">
        <v>-2959309601</v>
      </c>
      <c r="F157" s="593">
        <v>2475246740</v>
      </c>
      <c r="G157" s="593">
        <v>-4153402340</v>
      </c>
      <c r="H157" s="593">
        <v>-10215448067</v>
      </c>
      <c r="I157" s="593">
        <v>-13524685493</v>
      </c>
      <c r="J157" s="593">
        <v>-8282947985</v>
      </c>
      <c r="K157" s="593">
        <v>9673268117</v>
      </c>
      <c r="L157" s="593">
        <v>-4978185231</v>
      </c>
      <c r="M157" s="593">
        <v>-3242020126</v>
      </c>
      <c r="N157" s="593">
        <v>105403947594</v>
      </c>
      <c r="O157" s="593">
        <v>5761271238</v>
      </c>
      <c r="P157" s="593">
        <v>20413496509</v>
      </c>
      <c r="Q157" s="593">
        <v>8350881246</v>
      </c>
      <c r="R157" s="593">
        <v>4428276973</v>
      </c>
      <c r="S157" s="593">
        <v>11212005063</v>
      </c>
      <c r="T157" s="593">
        <v>1261765596</v>
      </c>
      <c r="U157" s="593">
        <v>-1791468483</v>
      </c>
      <c r="V157" s="593">
        <v>297419333</v>
      </c>
      <c r="W157" s="593">
        <v>-11551325497</v>
      </c>
      <c r="X157" s="593">
        <v>-5201346672</v>
      </c>
      <c r="Y157" s="593">
        <v>-7774530924</v>
      </c>
      <c r="Z157" s="593">
        <v>5991671450</v>
      </c>
      <c r="AA157" s="594">
        <v>-1693460736</v>
      </c>
      <c r="AB157" s="594">
        <v>-6419213738</v>
      </c>
      <c r="AC157" s="594">
        <v>-6818467491</v>
      </c>
      <c r="AD157" s="594">
        <v>3703754212</v>
      </c>
      <c r="AE157" s="593">
        <v>8181583918</v>
      </c>
      <c r="AF157" s="594">
        <v>0</v>
      </c>
      <c r="AG157" s="594">
        <v>0</v>
      </c>
      <c r="AH157" s="594">
        <v>0</v>
      </c>
      <c r="AI157" s="594">
        <v>0</v>
      </c>
      <c r="AJ157" s="594">
        <v>0</v>
      </c>
      <c r="AK157" s="594">
        <v>0</v>
      </c>
      <c r="AL157" s="594">
        <v>0</v>
      </c>
    </row>
    <row r="158" spans="1:40" ht="15" customHeight="1">
      <c r="A158" s="595" t="s">
        <v>478</v>
      </c>
      <c r="B158" s="596">
        <v>3</v>
      </c>
      <c r="C158" s="597">
        <v>0</v>
      </c>
      <c r="D158" s="597">
        <v>0</v>
      </c>
      <c r="E158" s="597">
        <v>0</v>
      </c>
      <c r="F158" s="597">
        <v>0</v>
      </c>
      <c r="G158" s="597">
        <v>0</v>
      </c>
      <c r="H158" s="597">
        <v>0</v>
      </c>
      <c r="I158" s="597">
        <v>0</v>
      </c>
      <c r="J158" s="597">
        <v>0</v>
      </c>
      <c r="K158" s="597">
        <v>0</v>
      </c>
      <c r="L158" s="597">
        <v>0</v>
      </c>
      <c r="M158" s="597">
        <v>0</v>
      </c>
      <c r="N158" s="597">
        <v>0</v>
      </c>
      <c r="O158" s="597">
        <v>0</v>
      </c>
      <c r="P158" s="597">
        <v>0</v>
      </c>
      <c r="Q158" s="597">
        <v>0</v>
      </c>
      <c r="R158" s="597">
        <v>0</v>
      </c>
      <c r="S158" s="597">
        <v>0</v>
      </c>
      <c r="T158" s="597">
        <v>0</v>
      </c>
      <c r="U158" s="597">
        <v>0</v>
      </c>
      <c r="V158" s="597">
        <v>0</v>
      </c>
      <c r="W158" s="597">
        <v>0</v>
      </c>
      <c r="X158" s="597">
        <v>0</v>
      </c>
      <c r="Y158" s="597">
        <v>0</v>
      </c>
      <c r="Z158" s="597">
        <v>0</v>
      </c>
      <c r="AA158" s="598">
        <v>0</v>
      </c>
      <c r="AB158" s="598">
        <v>0</v>
      </c>
      <c r="AC158" s="598">
        <v>0</v>
      </c>
      <c r="AD158" s="598">
        <v>0</v>
      </c>
      <c r="AE158" s="597"/>
      <c r="AF158" s="598">
        <v>0</v>
      </c>
      <c r="AG158" s="598">
        <v>0</v>
      </c>
      <c r="AH158" s="598">
        <v>0</v>
      </c>
      <c r="AI158" s="598">
        <v>0</v>
      </c>
      <c r="AJ158" s="598">
        <v>0</v>
      </c>
      <c r="AK158" s="598">
        <v>0</v>
      </c>
      <c r="AL158" s="598">
        <v>0</v>
      </c>
    </row>
    <row r="159" spans="1:40" ht="15" customHeight="1">
      <c r="A159" s="599" t="s">
        <v>479</v>
      </c>
      <c r="B159" s="600">
        <v>4</v>
      </c>
      <c r="C159" s="601">
        <v>2998479509</v>
      </c>
      <c r="D159" s="601">
        <v>3003358762</v>
      </c>
      <c r="E159" s="601">
        <v>2998978933</v>
      </c>
      <c r="F159" s="601">
        <v>3181024399</v>
      </c>
      <c r="G159" s="601">
        <v>3238724278</v>
      </c>
      <c r="H159" s="602">
        <v>3240440023</v>
      </c>
      <c r="I159" s="602">
        <v>3274496481</v>
      </c>
      <c r="J159" s="602">
        <v>3295429795</v>
      </c>
      <c r="K159" s="602">
        <v>3434711622</v>
      </c>
      <c r="L159" s="602">
        <v>3434792405</v>
      </c>
      <c r="M159" s="602">
        <v>3448986541</v>
      </c>
      <c r="N159" s="602">
        <v>3762460661</v>
      </c>
      <c r="O159" s="602">
        <v>3803154168</v>
      </c>
      <c r="P159" s="602">
        <v>3804698614</v>
      </c>
      <c r="Q159" s="602">
        <v>4002633975</v>
      </c>
      <c r="R159" s="602">
        <v>3905195928</v>
      </c>
      <c r="S159" s="602">
        <v>4091854986</v>
      </c>
      <c r="T159" s="602">
        <v>4087468338</v>
      </c>
      <c r="U159" s="602">
        <v>4085457551</v>
      </c>
      <c r="V159" s="602">
        <v>4092995160</v>
      </c>
      <c r="W159" s="602">
        <v>4407500048</v>
      </c>
      <c r="X159" s="602">
        <v>4260856692</v>
      </c>
      <c r="Y159" s="602">
        <v>4421950561</v>
      </c>
      <c r="Z159" s="602">
        <v>4442318343</v>
      </c>
      <c r="AA159" s="603">
        <v>2133968845</v>
      </c>
      <c r="AB159" s="603">
        <v>2103008488</v>
      </c>
      <c r="AC159" s="603">
        <v>2118111558</v>
      </c>
      <c r="AD159" s="603">
        <v>2277961573</v>
      </c>
      <c r="AE159" s="705">
        <v>2330977557</v>
      </c>
      <c r="AF159" s="603">
        <v>0</v>
      </c>
      <c r="AG159" s="603">
        <v>0</v>
      </c>
      <c r="AH159" s="603">
        <v>0</v>
      </c>
      <c r="AI159" s="603">
        <v>0</v>
      </c>
      <c r="AJ159" s="603">
        <v>0</v>
      </c>
      <c r="AK159" s="603">
        <v>0</v>
      </c>
      <c r="AL159" s="603">
        <v>0</v>
      </c>
    </row>
    <row r="160" spans="1:40" ht="15" customHeight="1">
      <c r="A160" s="599" t="s">
        <v>480</v>
      </c>
      <c r="B160" s="600">
        <v>5</v>
      </c>
      <c r="C160" s="601">
        <v>0</v>
      </c>
      <c r="D160" s="601">
        <v>0</v>
      </c>
      <c r="E160" s="601">
        <v>0</v>
      </c>
      <c r="F160" s="601">
        <v>0</v>
      </c>
      <c r="G160" s="601">
        <v>0</v>
      </c>
      <c r="H160" s="601">
        <v>0</v>
      </c>
      <c r="I160" s="601">
        <v>0</v>
      </c>
      <c r="J160" s="601">
        <v>0</v>
      </c>
      <c r="K160" s="601">
        <v>0</v>
      </c>
      <c r="L160" s="601">
        <v>0</v>
      </c>
      <c r="M160" s="601">
        <v>0</v>
      </c>
      <c r="N160" s="604">
        <v>0</v>
      </c>
      <c r="O160" s="604">
        <v>0</v>
      </c>
      <c r="P160" s="604">
        <v>0</v>
      </c>
      <c r="Q160" s="604">
        <v>0</v>
      </c>
      <c r="R160" s="604">
        <v>0</v>
      </c>
      <c r="S160" s="604">
        <v>0</v>
      </c>
      <c r="T160" s="604">
        <v>0</v>
      </c>
      <c r="U160" s="604">
        <v>0</v>
      </c>
      <c r="V160" s="604">
        <v>0</v>
      </c>
      <c r="W160" s="604">
        <v>0</v>
      </c>
      <c r="X160" s="604">
        <v>0</v>
      </c>
      <c r="Y160" s="604">
        <v>0</v>
      </c>
      <c r="Z160" s="604">
        <v>0</v>
      </c>
      <c r="AA160" s="605">
        <v>0</v>
      </c>
      <c r="AB160" s="605">
        <v>0</v>
      </c>
      <c r="AC160" s="605">
        <v>0</v>
      </c>
      <c r="AD160" s="605">
        <v>0</v>
      </c>
      <c r="AE160" s="705"/>
      <c r="AF160" s="605">
        <v>0</v>
      </c>
      <c r="AG160" s="605">
        <v>0</v>
      </c>
      <c r="AH160" s="605">
        <v>0</v>
      </c>
      <c r="AI160" s="605">
        <v>0</v>
      </c>
      <c r="AJ160" s="605">
        <v>0</v>
      </c>
      <c r="AK160" s="605">
        <v>0</v>
      </c>
      <c r="AL160" s="605">
        <v>0</v>
      </c>
    </row>
    <row r="161" spans="1:38" ht="14">
      <c r="A161" s="606" t="s">
        <v>481</v>
      </c>
      <c r="B161" s="607">
        <v>6</v>
      </c>
      <c r="C161" s="608">
        <v>-55279705</v>
      </c>
      <c r="D161" s="608">
        <v>-427077314</v>
      </c>
      <c r="E161" s="608">
        <v>-320017067</v>
      </c>
      <c r="F161" s="608">
        <v>-242395730</v>
      </c>
      <c r="G161" s="608">
        <v>-818581781</v>
      </c>
      <c r="H161" s="608">
        <v>-185223798</v>
      </c>
      <c r="I161" s="608">
        <v>-180874896</v>
      </c>
      <c r="J161" s="608">
        <v>-263960563</v>
      </c>
      <c r="K161" s="608">
        <v>-297048858</v>
      </c>
      <c r="L161" s="608">
        <v>-1429021178</v>
      </c>
      <c r="M161" s="608">
        <v>-522578257</v>
      </c>
      <c r="N161" s="609">
        <v>-1311270209</v>
      </c>
      <c r="O161" s="609">
        <v>-357780096</v>
      </c>
      <c r="P161" s="609">
        <v>-1275864519</v>
      </c>
      <c r="Q161" s="609">
        <v>-608968263</v>
      </c>
      <c r="R161" s="609">
        <v>-658231709</v>
      </c>
      <c r="S161" s="609">
        <v>-1643945913</v>
      </c>
      <c r="T161" s="609">
        <v>-645043805</v>
      </c>
      <c r="U161" s="609">
        <v>-757881624</v>
      </c>
      <c r="V161" s="609">
        <v>-621393506</v>
      </c>
      <c r="W161" s="609">
        <v>-844098636</v>
      </c>
      <c r="X161" s="609">
        <v>-1011211322</v>
      </c>
      <c r="Y161" s="609">
        <v>-120205688</v>
      </c>
      <c r="Z161" s="609">
        <v>-252471998</v>
      </c>
      <c r="AA161" s="610">
        <v>-282378363</v>
      </c>
      <c r="AB161" s="610">
        <v>-195993248</v>
      </c>
      <c r="AC161" s="610">
        <v>-773200542</v>
      </c>
      <c r="AD161" s="610">
        <v>-16042566</v>
      </c>
      <c r="AE161" s="706">
        <v>-618868933</v>
      </c>
      <c r="AF161" s="610">
        <v>0</v>
      </c>
      <c r="AG161" s="610">
        <v>0</v>
      </c>
      <c r="AH161" s="610">
        <v>0</v>
      </c>
      <c r="AI161" s="610">
        <v>0</v>
      </c>
      <c r="AJ161" s="610">
        <v>0</v>
      </c>
      <c r="AK161" s="610">
        <v>0</v>
      </c>
      <c r="AL161" s="610">
        <v>0</v>
      </c>
    </row>
    <row r="162" spans="1:38" ht="15" customHeight="1">
      <c r="A162" s="599" t="s">
        <v>482</v>
      </c>
      <c r="B162" s="600">
        <v>7</v>
      </c>
      <c r="C162" s="601">
        <v>0</v>
      </c>
      <c r="D162" s="601">
        <v>-296561</v>
      </c>
      <c r="E162" s="601">
        <v>-171678249</v>
      </c>
      <c r="F162" s="601">
        <v>-808078</v>
      </c>
      <c r="G162" s="601">
        <v>-439987</v>
      </c>
      <c r="H162" s="601">
        <v>-482338</v>
      </c>
      <c r="I162" s="602">
        <v>-374904</v>
      </c>
      <c r="J162" s="602">
        <v>-1014834</v>
      </c>
      <c r="K162" s="602">
        <v>-826804</v>
      </c>
      <c r="L162" s="601">
        <v>-156232879</v>
      </c>
      <c r="M162" s="601">
        <v>-1036275</v>
      </c>
      <c r="N162" s="601">
        <v>-1314400686</v>
      </c>
      <c r="O162" s="601">
        <v>-398202236</v>
      </c>
      <c r="P162" s="601">
        <v>-1278506781</v>
      </c>
      <c r="Q162" s="601">
        <v>-681642</v>
      </c>
      <c r="R162" s="601">
        <v>-1661994</v>
      </c>
      <c r="S162" s="601">
        <v>-649627</v>
      </c>
      <c r="T162" s="601">
        <v>-989334</v>
      </c>
      <c r="U162" s="601">
        <v>-870633</v>
      </c>
      <c r="V162" s="601">
        <v>-913181</v>
      </c>
      <c r="W162" s="601">
        <v>-1031619</v>
      </c>
      <c r="X162" s="601">
        <v>-717642885</v>
      </c>
      <c r="Y162" s="601">
        <v>-81582428</v>
      </c>
      <c r="Z162" s="601">
        <v>-337960853</v>
      </c>
      <c r="AA162" s="611">
        <v>-1708611</v>
      </c>
      <c r="AB162" s="611">
        <v>-1116123</v>
      </c>
      <c r="AC162" s="611">
        <v>-2001208197</v>
      </c>
      <c r="AD162" s="611">
        <v>-803441325</v>
      </c>
      <c r="AE162" s="705">
        <v>-73063458</v>
      </c>
      <c r="AF162" s="611">
        <v>0</v>
      </c>
      <c r="AG162" s="611">
        <v>0</v>
      </c>
      <c r="AH162" s="611">
        <v>0</v>
      </c>
      <c r="AI162" s="611">
        <v>0</v>
      </c>
      <c r="AJ162" s="611">
        <v>0</v>
      </c>
      <c r="AK162" s="611">
        <v>0</v>
      </c>
      <c r="AL162" s="611">
        <v>0</v>
      </c>
    </row>
    <row r="163" spans="1:38" ht="15" customHeight="1">
      <c r="A163" s="599" t="s">
        <v>483</v>
      </c>
      <c r="B163" s="600">
        <v>8</v>
      </c>
      <c r="C163" s="612">
        <v>422755791</v>
      </c>
      <c r="D163" s="612">
        <v>563909516</v>
      </c>
      <c r="E163" s="613">
        <v>567924561</v>
      </c>
      <c r="F163" s="612">
        <v>840791009</v>
      </c>
      <c r="G163" s="612">
        <v>961855770</v>
      </c>
      <c r="H163" s="612">
        <v>1030712173</v>
      </c>
      <c r="I163" s="612">
        <v>1160823006</v>
      </c>
      <c r="J163" s="612">
        <v>939585045</v>
      </c>
      <c r="K163" s="612">
        <v>859444105</v>
      </c>
      <c r="L163" s="612">
        <v>840165515</v>
      </c>
      <c r="M163" s="612">
        <v>889159081</v>
      </c>
      <c r="N163" s="612">
        <v>1032562923</v>
      </c>
      <c r="O163" s="612">
        <v>739360517</v>
      </c>
      <c r="P163" s="612">
        <v>1303843040</v>
      </c>
      <c r="Q163" s="612">
        <v>673966789</v>
      </c>
      <c r="R163" s="612">
        <v>888393452</v>
      </c>
      <c r="S163" s="612">
        <v>1186588729</v>
      </c>
      <c r="T163" s="612">
        <v>1448899822</v>
      </c>
      <c r="U163" s="612">
        <v>1242023326</v>
      </c>
      <c r="V163" s="612">
        <v>1303560910</v>
      </c>
      <c r="W163" s="612">
        <v>1595764355</v>
      </c>
      <c r="X163" s="612">
        <v>1368802426</v>
      </c>
      <c r="Y163" s="612">
        <v>1256132292</v>
      </c>
      <c r="Z163" s="612">
        <v>1256103396</v>
      </c>
      <c r="AA163" s="611">
        <v>1240115065</v>
      </c>
      <c r="AB163" s="611">
        <v>1156279418</v>
      </c>
      <c r="AC163" s="611">
        <v>959718564</v>
      </c>
      <c r="AD163" s="611">
        <v>1062084475</v>
      </c>
      <c r="AE163" s="707">
        <v>838836791</v>
      </c>
      <c r="AF163" s="611">
        <v>0</v>
      </c>
      <c r="AG163" s="611">
        <v>0</v>
      </c>
      <c r="AH163" s="611">
        <v>0</v>
      </c>
      <c r="AI163" s="611">
        <v>0</v>
      </c>
      <c r="AJ163" s="611">
        <v>0</v>
      </c>
      <c r="AK163" s="611">
        <v>0</v>
      </c>
      <c r="AL163" s="611">
        <v>0</v>
      </c>
    </row>
    <row r="164" spans="1:38" ht="15" customHeight="1">
      <c r="A164" s="599" t="s">
        <v>484</v>
      </c>
      <c r="B164" s="600">
        <v>9</v>
      </c>
      <c r="C164" s="614">
        <v>0</v>
      </c>
      <c r="D164" s="614">
        <v>0</v>
      </c>
      <c r="E164" s="614">
        <v>0</v>
      </c>
      <c r="F164" s="614">
        <v>0</v>
      </c>
      <c r="G164" s="614">
        <v>0</v>
      </c>
      <c r="H164" s="614">
        <v>0</v>
      </c>
      <c r="I164" s="614">
        <v>0</v>
      </c>
      <c r="J164" s="614">
        <v>0</v>
      </c>
      <c r="K164" s="614">
        <v>0</v>
      </c>
      <c r="L164" s="614">
        <v>0</v>
      </c>
      <c r="M164" s="614">
        <v>0</v>
      </c>
      <c r="N164" s="604">
        <v>0</v>
      </c>
      <c r="O164" s="604">
        <v>0</v>
      </c>
      <c r="P164" s="604">
        <v>0</v>
      </c>
      <c r="Q164" s="604">
        <v>0</v>
      </c>
      <c r="R164" s="604">
        <v>0</v>
      </c>
      <c r="S164" s="604">
        <v>0</v>
      </c>
      <c r="T164" s="604">
        <v>0</v>
      </c>
      <c r="U164" s="604">
        <v>0</v>
      </c>
      <c r="V164" s="604">
        <v>0</v>
      </c>
      <c r="W164" s="604">
        <v>0</v>
      </c>
      <c r="X164" s="604">
        <v>0</v>
      </c>
      <c r="Y164" s="604">
        <v>0</v>
      </c>
      <c r="Z164" s="604">
        <v>0</v>
      </c>
      <c r="AA164" s="605">
        <v>0</v>
      </c>
      <c r="AB164" s="605">
        <v>0</v>
      </c>
      <c r="AC164" s="605">
        <v>0</v>
      </c>
      <c r="AD164" s="605">
        <v>0</v>
      </c>
      <c r="AE164" s="614"/>
      <c r="AF164" s="605">
        <v>0</v>
      </c>
      <c r="AG164" s="605">
        <v>0</v>
      </c>
      <c r="AH164" s="605">
        <v>0</v>
      </c>
      <c r="AI164" s="605">
        <v>0</v>
      </c>
      <c r="AJ164" s="605">
        <v>0</v>
      </c>
      <c r="AK164" s="605">
        <v>0</v>
      </c>
      <c r="AL164" s="605">
        <v>0</v>
      </c>
    </row>
    <row r="165" spans="1:38" ht="14">
      <c r="A165" s="615" t="s">
        <v>485</v>
      </c>
      <c r="B165" s="616">
        <v>10</v>
      </c>
      <c r="C165" s="617">
        <v>2636077415</v>
      </c>
      <c r="D165" s="617">
        <v>-2130754394</v>
      </c>
      <c r="E165" s="617">
        <v>115898577</v>
      </c>
      <c r="F165" s="617">
        <v>6253858340</v>
      </c>
      <c r="G165" s="617">
        <v>-771844060</v>
      </c>
      <c r="H165" s="617">
        <v>-6130002007</v>
      </c>
      <c r="I165" s="617">
        <v>-9270615806</v>
      </c>
      <c r="J165" s="617">
        <v>-4312908542</v>
      </c>
      <c r="K165" s="617">
        <v>13669548182</v>
      </c>
      <c r="L165" s="617">
        <v>-2288481368</v>
      </c>
      <c r="M165" s="617">
        <v>572510964</v>
      </c>
      <c r="N165" s="617">
        <v>107573300283</v>
      </c>
      <c r="O165" s="617">
        <v>9547803591</v>
      </c>
      <c r="P165" s="617">
        <v>22967666863</v>
      </c>
      <c r="Q165" s="617">
        <v>12417832105</v>
      </c>
      <c r="R165" s="617">
        <v>8561972650</v>
      </c>
      <c r="S165" s="617">
        <v>14845853238</v>
      </c>
      <c r="T165" s="617">
        <v>6152100617</v>
      </c>
      <c r="U165" s="617">
        <v>2777260137</v>
      </c>
      <c r="V165" s="617">
        <v>5071668716</v>
      </c>
      <c r="W165" s="617">
        <v>-6393191349</v>
      </c>
      <c r="X165" s="617">
        <v>-1300541761</v>
      </c>
      <c r="Y165" s="617">
        <v>-2298236187</v>
      </c>
      <c r="Z165" s="617">
        <v>11099660338</v>
      </c>
      <c r="AA165" s="618">
        <v>1396536200</v>
      </c>
      <c r="AB165" s="618">
        <v>-3357035203</v>
      </c>
      <c r="AC165" s="618">
        <v>-6515046108</v>
      </c>
      <c r="AD165" s="618">
        <v>6224316369</v>
      </c>
      <c r="AE165" s="617">
        <v>10659465875</v>
      </c>
      <c r="AF165" s="618">
        <v>0</v>
      </c>
      <c r="AG165" s="618">
        <v>0</v>
      </c>
      <c r="AH165" s="618">
        <v>0</v>
      </c>
      <c r="AI165" s="618">
        <v>0</v>
      </c>
      <c r="AJ165" s="618">
        <v>0</v>
      </c>
      <c r="AK165" s="618">
        <v>0</v>
      </c>
      <c r="AL165" s="618">
        <v>0</v>
      </c>
    </row>
    <row r="166" spans="1:38" ht="15" customHeight="1">
      <c r="A166" s="619" t="s">
        <v>486</v>
      </c>
      <c r="B166" s="620">
        <v>11</v>
      </c>
      <c r="C166" s="601">
        <v>-5652437642</v>
      </c>
      <c r="D166" s="601">
        <v>12718033317</v>
      </c>
      <c r="E166" s="601">
        <v>-27842598162</v>
      </c>
      <c r="F166" s="601">
        <v>-18112988822</v>
      </c>
      <c r="G166" s="601">
        <v>-13542246944</v>
      </c>
      <c r="H166" s="601">
        <v>-22167334330</v>
      </c>
      <c r="I166" s="601">
        <v>85173759375</v>
      </c>
      <c r="J166" s="601">
        <v>-23854718494</v>
      </c>
      <c r="K166" s="601">
        <v>-33309317893</v>
      </c>
      <c r="L166" s="601">
        <v>-980685357</v>
      </c>
      <c r="M166" s="601">
        <v>-50275873317</v>
      </c>
      <c r="N166" s="601">
        <v>48930483720</v>
      </c>
      <c r="O166" s="601">
        <v>48855114582</v>
      </c>
      <c r="P166" s="601">
        <v>-44766736418</v>
      </c>
      <c r="Q166" s="601">
        <v>-37871215662</v>
      </c>
      <c r="R166" s="601">
        <v>28625577432</v>
      </c>
      <c r="S166" s="601">
        <v>-55448925268</v>
      </c>
      <c r="T166" s="601">
        <v>720428098</v>
      </c>
      <c r="U166" s="601">
        <v>256498082</v>
      </c>
      <c r="V166" s="601">
        <v>-61126022727</v>
      </c>
      <c r="W166" s="601">
        <v>55449630438</v>
      </c>
      <c r="X166" s="601">
        <v>42194737277</v>
      </c>
      <c r="Y166" s="601">
        <v>12367013188</v>
      </c>
      <c r="Z166" s="601">
        <v>-17408925524</v>
      </c>
      <c r="AA166" s="611">
        <v>27691290746</v>
      </c>
      <c r="AB166" s="611">
        <v>-17620075226</v>
      </c>
      <c r="AC166" s="611">
        <v>-26617409794</v>
      </c>
      <c r="AD166" s="611">
        <v>13431110240</v>
      </c>
      <c r="AE166" s="705">
        <v>-97423755750</v>
      </c>
      <c r="AF166" s="611">
        <v>0</v>
      </c>
      <c r="AG166" s="611">
        <v>0</v>
      </c>
      <c r="AH166" s="611">
        <v>0</v>
      </c>
      <c r="AI166" s="611">
        <v>0</v>
      </c>
      <c r="AJ166" s="611">
        <v>0</v>
      </c>
      <c r="AK166" s="611">
        <v>0</v>
      </c>
      <c r="AL166" s="611">
        <v>0</v>
      </c>
    </row>
    <row r="167" spans="1:38" ht="15" customHeight="1">
      <c r="A167" s="621" t="s">
        <v>487</v>
      </c>
      <c r="B167" s="622">
        <v>12</v>
      </c>
      <c r="C167" s="601">
        <v>-62048923911</v>
      </c>
      <c r="D167" s="601">
        <v>-6967205423</v>
      </c>
      <c r="E167" s="601">
        <v>-41958712604</v>
      </c>
      <c r="F167" s="601">
        <v>-40309960571</v>
      </c>
      <c r="G167" s="601">
        <v>-45123242085</v>
      </c>
      <c r="H167" s="601">
        <v>-25153534354</v>
      </c>
      <c r="I167" s="601">
        <v>-23609068040</v>
      </c>
      <c r="J167" s="601">
        <v>40963897237</v>
      </c>
      <c r="K167" s="601">
        <v>-9261864488</v>
      </c>
      <c r="L167" s="601">
        <v>2566665862</v>
      </c>
      <c r="M167" s="601">
        <v>-41434587500</v>
      </c>
      <c r="N167" s="601">
        <v>-17812326753</v>
      </c>
      <c r="O167" s="601">
        <v>39011677209</v>
      </c>
      <c r="P167" s="601">
        <v>82988328541</v>
      </c>
      <c r="Q167" s="601">
        <v>15465577608</v>
      </c>
      <c r="R167" s="601">
        <v>-54309944038</v>
      </c>
      <c r="S167" s="601">
        <v>-3833514940</v>
      </c>
      <c r="T167" s="601">
        <v>-17092818286</v>
      </c>
      <c r="U167" s="601">
        <v>-5007590876</v>
      </c>
      <c r="V167" s="601">
        <v>325978186</v>
      </c>
      <c r="W167" s="601">
        <v>-15929021809</v>
      </c>
      <c r="X167" s="601">
        <v>12975330253</v>
      </c>
      <c r="Y167" s="601">
        <v>656481204</v>
      </c>
      <c r="Z167" s="601">
        <v>-11864351833</v>
      </c>
      <c r="AA167" s="611">
        <v>28329195342</v>
      </c>
      <c r="AB167" s="611">
        <v>31559998874</v>
      </c>
      <c r="AC167" s="611">
        <v>77094855201</v>
      </c>
      <c r="AD167" s="611">
        <v>55037438938</v>
      </c>
      <c r="AE167" s="705">
        <v>8532767673</v>
      </c>
      <c r="AF167" s="611">
        <v>0</v>
      </c>
      <c r="AG167" s="611">
        <v>0</v>
      </c>
      <c r="AH167" s="611">
        <v>0</v>
      </c>
      <c r="AI167" s="611">
        <v>0</v>
      </c>
      <c r="AJ167" s="611">
        <v>0</v>
      </c>
      <c r="AK167" s="611">
        <v>0</v>
      </c>
      <c r="AL167" s="611">
        <v>0</v>
      </c>
    </row>
    <row r="168" spans="1:38" ht="14">
      <c r="A168" s="623" t="s">
        <v>488</v>
      </c>
      <c r="B168" s="624">
        <v>13</v>
      </c>
      <c r="C168" s="625">
        <v>4207075109</v>
      </c>
      <c r="D168" s="625">
        <v>3916411982</v>
      </c>
      <c r="E168" s="625">
        <v>13622200989</v>
      </c>
      <c r="F168" s="625">
        <v>17907838314</v>
      </c>
      <c r="G168" s="625">
        <v>29819590224</v>
      </c>
      <c r="H168" s="625">
        <v>29796216577</v>
      </c>
      <c r="I168" s="625">
        <v>17066288696</v>
      </c>
      <c r="J168" s="625">
        <v>12068637446</v>
      </c>
      <c r="K168" s="625">
        <v>33332918829</v>
      </c>
      <c r="L168" s="625">
        <v>9256815094</v>
      </c>
      <c r="M168" s="625">
        <v>44681754380</v>
      </c>
      <c r="N168" s="625">
        <v>-141135934090</v>
      </c>
      <c r="O168" s="625">
        <v>-18846487637</v>
      </c>
      <c r="P168" s="625">
        <v>-3242891008</v>
      </c>
      <c r="Q168" s="625">
        <v>-10856648380</v>
      </c>
      <c r="R168" s="625">
        <v>-15817906933</v>
      </c>
      <c r="S168" s="625">
        <v>21901299832</v>
      </c>
      <c r="T168" s="625">
        <v>14884971711</v>
      </c>
      <c r="U168" s="625">
        <v>-23926762811</v>
      </c>
      <c r="V168" s="625">
        <v>16989265000</v>
      </c>
      <c r="W168" s="625">
        <v>-14078738209</v>
      </c>
      <c r="X168" s="625">
        <v>10955857665</v>
      </c>
      <c r="Y168" s="625">
        <v>-9154991595</v>
      </c>
      <c r="Z168" s="625">
        <v>-3419997293</v>
      </c>
      <c r="AA168" s="626">
        <v>-5147235213</v>
      </c>
      <c r="AB168" s="626">
        <v>-9100141912</v>
      </c>
      <c r="AC168" s="626">
        <v>9288982043</v>
      </c>
      <c r="AD168" s="626">
        <v>9456557035</v>
      </c>
      <c r="AE168" s="708">
        <v>26805727933</v>
      </c>
      <c r="AF168" s="626">
        <v>0</v>
      </c>
      <c r="AG168" s="626">
        <v>0</v>
      </c>
      <c r="AH168" s="626">
        <v>0</v>
      </c>
      <c r="AI168" s="626">
        <v>0</v>
      </c>
      <c r="AJ168" s="626">
        <v>0</v>
      </c>
      <c r="AK168" s="626">
        <v>0</v>
      </c>
      <c r="AL168" s="626">
        <v>0</v>
      </c>
    </row>
    <row r="169" spans="1:38" ht="15" customHeight="1">
      <c r="A169" s="619" t="s">
        <v>489</v>
      </c>
      <c r="B169" s="620">
        <v>14</v>
      </c>
      <c r="C169" s="601">
        <v>372777599</v>
      </c>
      <c r="D169" s="601">
        <v>0</v>
      </c>
      <c r="E169" s="601">
        <v>0</v>
      </c>
      <c r="F169" s="601">
        <v>0</v>
      </c>
      <c r="G169" s="601">
        <v>0</v>
      </c>
      <c r="H169" s="601">
        <v>0</v>
      </c>
      <c r="I169" s="601">
        <v>0</v>
      </c>
      <c r="J169" s="601">
        <v>0</v>
      </c>
      <c r="K169" s="602">
        <v>0</v>
      </c>
      <c r="L169" s="625">
        <v>1169047833</v>
      </c>
      <c r="M169" s="625">
        <v>696155386</v>
      </c>
      <c r="N169" s="625">
        <v>1000976009</v>
      </c>
      <c r="O169" s="625">
        <v>110283488</v>
      </c>
      <c r="P169" s="625">
        <v>-4175776372</v>
      </c>
      <c r="Q169" s="625">
        <v>601863673</v>
      </c>
      <c r="R169" s="625">
        <v>1249320119</v>
      </c>
      <c r="S169" s="625">
        <v>1913803036</v>
      </c>
      <c r="T169" s="625">
        <v>-5497715935</v>
      </c>
      <c r="U169" s="625">
        <v>-592614643</v>
      </c>
      <c r="V169" s="625">
        <v>-371361391</v>
      </c>
      <c r="W169" s="625">
        <v>2579678545</v>
      </c>
      <c r="X169" s="625">
        <v>1512112454</v>
      </c>
      <c r="Y169" s="625">
        <v>2428581212</v>
      </c>
      <c r="Z169" s="625">
        <v>374694148</v>
      </c>
      <c r="AA169" s="626">
        <v>1820605679</v>
      </c>
      <c r="AB169" s="626">
        <v>1054820971</v>
      </c>
      <c r="AC169" s="626">
        <v>-171978952</v>
      </c>
      <c r="AD169" s="626">
        <v>-392776099</v>
      </c>
      <c r="AE169" s="705">
        <v>-877993234</v>
      </c>
      <c r="AF169" s="626">
        <v>0</v>
      </c>
      <c r="AG169" s="626">
        <v>0</v>
      </c>
      <c r="AH169" s="626">
        <v>0</v>
      </c>
      <c r="AI169" s="626">
        <v>0</v>
      </c>
      <c r="AJ169" s="626">
        <v>0</v>
      </c>
      <c r="AK169" s="626">
        <v>0</v>
      </c>
      <c r="AL169" s="626">
        <v>0</v>
      </c>
    </row>
    <row r="170" spans="1:38" ht="15" customHeight="1">
      <c r="A170" s="619" t="s">
        <v>490</v>
      </c>
      <c r="B170" s="620">
        <v>15</v>
      </c>
      <c r="C170" s="612">
        <v>0</v>
      </c>
      <c r="D170" s="612">
        <v>0</v>
      </c>
      <c r="E170" s="612">
        <v>0</v>
      </c>
      <c r="F170" s="612">
        <v>0</v>
      </c>
      <c r="G170" s="612">
        <v>0</v>
      </c>
      <c r="H170" s="612">
        <v>0</v>
      </c>
      <c r="I170" s="612">
        <v>0</v>
      </c>
      <c r="J170" s="612">
        <v>0</v>
      </c>
      <c r="K170" s="612">
        <v>0</v>
      </c>
      <c r="L170" s="612">
        <v>0</v>
      </c>
      <c r="M170" s="612">
        <v>0</v>
      </c>
      <c r="N170" s="612">
        <v>0</v>
      </c>
      <c r="O170" s="612">
        <v>0</v>
      </c>
      <c r="P170" s="612">
        <v>0</v>
      </c>
      <c r="Q170" s="612">
        <v>0</v>
      </c>
      <c r="R170" s="612">
        <v>0</v>
      </c>
      <c r="S170" s="612">
        <v>0</v>
      </c>
      <c r="T170" s="612">
        <v>0</v>
      </c>
      <c r="U170" s="612">
        <v>0</v>
      </c>
      <c r="V170" s="612">
        <v>0</v>
      </c>
      <c r="W170" s="612">
        <v>0</v>
      </c>
      <c r="X170" s="612">
        <v>0</v>
      </c>
      <c r="Y170" s="612">
        <v>0</v>
      </c>
      <c r="Z170" s="612">
        <v>0</v>
      </c>
      <c r="AA170" s="611">
        <v>0</v>
      </c>
      <c r="AB170" s="611">
        <v>0</v>
      </c>
      <c r="AC170" s="611">
        <v>0</v>
      </c>
      <c r="AD170" s="611">
        <v>0</v>
      </c>
      <c r="AE170" s="707"/>
      <c r="AF170" s="611">
        <v>0</v>
      </c>
      <c r="AG170" s="611">
        <v>0</v>
      </c>
      <c r="AH170" s="611">
        <v>0</v>
      </c>
      <c r="AI170" s="611">
        <v>0</v>
      </c>
      <c r="AJ170" s="611">
        <v>0</v>
      </c>
      <c r="AK170" s="611">
        <v>0</v>
      </c>
      <c r="AL170" s="611">
        <v>0</v>
      </c>
    </row>
    <row r="171" spans="1:38" ht="15" customHeight="1">
      <c r="A171" s="619" t="s">
        <v>491</v>
      </c>
      <c r="B171" s="620">
        <v>16</v>
      </c>
      <c r="C171" s="601">
        <v>-422755791</v>
      </c>
      <c r="D171" s="601">
        <v>-563909516</v>
      </c>
      <c r="E171" s="601">
        <v>-567924561</v>
      </c>
      <c r="F171" s="601">
        <v>-840791009</v>
      </c>
      <c r="G171" s="601">
        <v>-961855770</v>
      </c>
      <c r="H171" s="601">
        <v>-1030712173</v>
      </c>
      <c r="I171" s="601">
        <v>-1160823006</v>
      </c>
      <c r="J171" s="601">
        <v>-939585045</v>
      </c>
      <c r="K171" s="601">
        <v>-859444105</v>
      </c>
      <c r="L171" s="601">
        <v>-840165515</v>
      </c>
      <c r="M171" s="601">
        <v>-889159081</v>
      </c>
      <c r="N171" s="601">
        <v>-1032562923</v>
      </c>
      <c r="O171" s="612">
        <v>-739360517</v>
      </c>
      <c r="P171" s="601">
        <v>-1303843040</v>
      </c>
      <c r="Q171" s="601">
        <v>-673966789</v>
      </c>
      <c r="R171" s="601">
        <v>-888393452</v>
      </c>
      <c r="S171" s="601">
        <v>-1186588729</v>
      </c>
      <c r="T171" s="601">
        <v>-1448899822</v>
      </c>
      <c r="U171" s="601">
        <v>-1242023326</v>
      </c>
      <c r="V171" s="601">
        <v>-1303560910</v>
      </c>
      <c r="W171" s="601">
        <v>-1595764355</v>
      </c>
      <c r="X171" s="601">
        <v>-1368802426</v>
      </c>
      <c r="Y171" s="601">
        <v>-1256132292</v>
      </c>
      <c r="Z171" s="601">
        <v>-1256103396</v>
      </c>
      <c r="AA171" s="611">
        <v>-1240115065</v>
      </c>
      <c r="AB171" s="611">
        <v>-1156279418</v>
      </c>
      <c r="AC171" s="611">
        <v>-959718564</v>
      </c>
      <c r="AD171" s="611">
        <v>-1062084475</v>
      </c>
      <c r="AE171" s="705">
        <v>-838836791</v>
      </c>
      <c r="AF171" s="611">
        <v>0</v>
      </c>
      <c r="AG171" s="611">
        <v>0</v>
      </c>
      <c r="AH171" s="611">
        <v>0</v>
      </c>
      <c r="AI171" s="611">
        <v>0</v>
      </c>
      <c r="AJ171" s="611">
        <v>0</v>
      </c>
      <c r="AK171" s="611">
        <v>0</v>
      </c>
      <c r="AL171" s="611">
        <v>0</v>
      </c>
    </row>
    <row r="172" spans="1:38" ht="15" customHeight="1">
      <c r="A172" s="619" t="s">
        <v>492</v>
      </c>
      <c r="B172" s="620">
        <v>17</v>
      </c>
      <c r="C172" s="601">
        <v>0</v>
      </c>
      <c r="D172" s="601">
        <v>-6372627736</v>
      </c>
      <c r="E172" s="601">
        <v>0</v>
      </c>
      <c r="F172" s="601">
        <v>-1567047590</v>
      </c>
      <c r="G172" s="601">
        <v>0</v>
      </c>
      <c r="H172" s="601">
        <v>0</v>
      </c>
      <c r="I172" s="601">
        <v>-4839738089</v>
      </c>
      <c r="J172" s="601">
        <v>0</v>
      </c>
      <c r="K172" s="601">
        <v>0</v>
      </c>
      <c r="L172" s="601">
        <v>0</v>
      </c>
      <c r="M172" s="601">
        <v>0</v>
      </c>
      <c r="N172" s="601">
        <v>0</v>
      </c>
      <c r="O172" s="601">
        <v>0</v>
      </c>
      <c r="P172" s="601">
        <v>0</v>
      </c>
      <c r="Q172" s="601">
        <v>0</v>
      </c>
      <c r="R172" s="601">
        <v>0</v>
      </c>
      <c r="S172" s="601">
        <v>0</v>
      </c>
      <c r="T172" s="601">
        <v>0</v>
      </c>
      <c r="U172" s="601">
        <v>0</v>
      </c>
      <c r="V172" s="601">
        <v>0</v>
      </c>
      <c r="W172" s="601">
        <v>0</v>
      </c>
      <c r="X172" s="601">
        <v>0</v>
      </c>
      <c r="Y172" s="601">
        <v>0</v>
      </c>
      <c r="Z172" s="601">
        <v>0</v>
      </c>
      <c r="AA172" s="611">
        <v>0</v>
      </c>
      <c r="AB172" s="611">
        <v>0</v>
      </c>
      <c r="AC172" s="611">
        <v>0</v>
      </c>
      <c r="AD172" s="611">
        <v>0</v>
      </c>
      <c r="AE172" s="705"/>
      <c r="AF172" s="611">
        <v>0</v>
      </c>
      <c r="AG172" s="611">
        <v>0</v>
      </c>
      <c r="AH172" s="611">
        <v>0</v>
      </c>
      <c r="AI172" s="611">
        <v>0</v>
      </c>
      <c r="AJ172" s="611">
        <v>0</v>
      </c>
      <c r="AK172" s="611">
        <v>0</v>
      </c>
      <c r="AL172" s="611">
        <v>0</v>
      </c>
    </row>
    <row r="173" spans="1:38" ht="15" customHeight="1">
      <c r="A173" s="619" t="s">
        <v>493</v>
      </c>
      <c r="B173" s="620">
        <v>18</v>
      </c>
      <c r="C173" s="627">
        <v>33300285459</v>
      </c>
      <c r="D173" s="614">
        <v>0</v>
      </c>
      <c r="E173" s="627">
        <v>0</v>
      </c>
      <c r="F173" s="627">
        <v>6000000000</v>
      </c>
      <c r="G173" s="627">
        <v>0</v>
      </c>
      <c r="H173" s="627">
        <v>0</v>
      </c>
      <c r="I173" s="627">
        <v>0</v>
      </c>
      <c r="J173" s="627">
        <v>0</v>
      </c>
      <c r="K173" s="627">
        <v>0</v>
      </c>
      <c r="L173" s="627">
        <v>0</v>
      </c>
      <c r="M173" s="627">
        <v>0</v>
      </c>
      <c r="N173" s="627">
        <v>0</v>
      </c>
      <c r="O173" s="627">
        <v>0</v>
      </c>
      <c r="P173" s="627">
        <v>0</v>
      </c>
      <c r="Q173" s="627">
        <v>0</v>
      </c>
      <c r="R173" s="627">
        <v>0</v>
      </c>
      <c r="S173" s="627">
        <v>0</v>
      </c>
      <c r="T173" s="627">
        <v>0</v>
      </c>
      <c r="U173" s="627">
        <v>0</v>
      </c>
      <c r="V173" s="627">
        <v>0</v>
      </c>
      <c r="W173" s="627">
        <v>0</v>
      </c>
      <c r="X173" s="627">
        <v>0</v>
      </c>
      <c r="Y173" s="627">
        <v>0</v>
      </c>
      <c r="Z173" s="627">
        <v>0</v>
      </c>
      <c r="AA173" s="627">
        <v>0</v>
      </c>
      <c r="AB173" s="627">
        <v>0</v>
      </c>
      <c r="AC173" s="627">
        <v>0</v>
      </c>
      <c r="AD173" s="627">
        <v>0</v>
      </c>
      <c r="AE173" s="709"/>
      <c r="AF173" s="627">
        <v>0</v>
      </c>
      <c r="AG173" s="627">
        <v>0</v>
      </c>
      <c r="AH173" s="627">
        <v>0</v>
      </c>
      <c r="AI173" s="627">
        <v>0</v>
      </c>
      <c r="AJ173" s="627">
        <v>0</v>
      </c>
      <c r="AK173" s="627">
        <v>0</v>
      </c>
      <c r="AL173" s="627">
        <v>0</v>
      </c>
    </row>
    <row r="174" spans="1:38" ht="15" customHeight="1">
      <c r="A174" s="619" t="s">
        <v>494</v>
      </c>
      <c r="B174" s="620">
        <v>19</v>
      </c>
      <c r="C174" s="614">
        <v>-160000000</v>
      </c>
      <c r="D174" s="475">
        <v>0</v>
      </c>
      <c r="E174" s="614">
        <v>-2626029698</v>
      </c>
      <c r="F174" s="614">
        <v>-1520939337</v>
      </c>
      <c r="G174" s="614">
        <v>0</v>
      </c>
      <c r="H174" s="614">
        <v>-168183405</v>
      </c>
      <c r="I174" s="614">
        <v>-7178605141</v>
      </c>
      <c r="J174" s="614">
        <v>0</v>
      </c>
      <c r="K174" s="614">
        <v>0</v>
      </c>
      <c r="L174" s="614">
        <v>0</v>
      </c>
      <c r="M174" s="614">
        <v>0</v>
      </c>
      <c r="N174" s="614">
        <v>0</v>
      </c>
      <c r="O174" s="614">
        <v>0</v>
      </c>
      <c r="P174" s="614">
        <v>0</v>
      </c>
      <c r="Q174" s="614">
        <v>0</v>
      </c>
      <c r="R174" s="614">
        <v>0</v>
      </c>
      <c r="S174" s="614">
        <v>0</v>
      </c>
      <c r="T174" s="614">
        <v>0</v>
      </c>
      <c r="U174" s="614">
        <v>0</v>
      </c>
      <c r="V174" s="614">
        <v>0</v>
      </c>
      <c r="W174" s="614">
        <v>0</v>
      </c>
      <c r="X174" s="614">
        <v>0</v>
      </c>
      <c r="Y174" s="614">
        <v>0</v>
      </c>
      <c r="Z174" s="614">
        <v>0</v>
      </c>
      <c r="AA174" s="628">
        <v>0</v>
      </c>
      <c r="AB174" s="628">
        <v>0</v>
      </c>
      <c r="AC174" s="628">
        <v>0</v>
      </c>
      <c r="AD174" s="628">
        <v>0</v>
      </c>
      <c r="AE174" s="614"/>
      <c r="AF174" s="628">
        <v>0</v>
      </c>
      <c r="AG174" s="628">
        <v>0</v>
      </c>
      <c r="AH174" s="628">
        <v>0</v>
      </c>
      <c r="AI174" s="628">
        <v>0</v>
      </c>
      <c r="AJ174" s="628">
        <v>0</v>
      </c>
      <c r="AK174" s="628">
        <v>0</v>
      </c>
      <c r="AL174" s="628">
        <v>0</v>
      </c>
    </row>
    <row r="175" spans="1:38" ht="15" customHeight="1">
      <c r="A175" s="629" t="s">
        <v>495</v>
      </c>
      <c r="B175" s="590">
        <v>20</v>
      </c>
      <c r="C175" s="630">
        <v>-27767901762</v>
      </c>
      <c r="D175" s="630">
        <v>599948230</v>
      </c>
      <c r="E175" s="630">
        <v>-59257165459</v>
      </c>
      <c r="F175" s="630">
        <v>-32190030675</v>
      </c>
      <c r="G175" s="630">
        <v>-30579598635</v>
      </c>
      <c r="H175" s="630">
        <v>-24853549692</v>
      </c>
      <c r="I175" s="630">
        <v>56181197989</v>
      </c>
      <c r="J175" s="630">
        <v>23925322602</v>
      </c>
      <c r="K175" s="630">
        <v>3571840525</v>
      </c>
      <c r="L175" s="630">
        <v>8883196549</v>
      </c>
      <c r="M175" s="630">
        <v>-46649199168</v>
      </c>
      <c r="N175" s="630">
        <v>-2476063754</v>
      </c>
      <c r="O175" s="630">
        <v>77939030716</v>
      </c>
      <c r="P175" s="630">
        <v>52466748566</v>
      </c>
      <c r="Q175" s="630">
        <v>-20916557445</v>
      </c>
      <c r="R175" s="630">
        <v>-32579374222</v>
      </c>
      <c r="S175" s="630">
        <v>-21808072831</v>
      </c>
      <c r="T175" s="630">
        <v>-2281933617</v>
      </c>
      <c r="U175" s="630">
        <v>-27735233437</v>
      </c>
      <c r="V175" s="630">
        <v>-40414033126</v>
      </c>
      <c r="W175" s="630">
        <v>20032593261</v>
      </c>
      <c r="X175" s="630">
        <v>64968693462</v>
      </c>
      <c r="Y175" s="630">
        <v>2742715530</v>
      </c>
      <c r="Z175" s="630">
        <v>-22475023560</v>
      </c>
      <c r="AA175" s="631">
        <v>52850277689</v>
      </c>
      <c r="AB175" s="631">
        <v>1381288086</v>
      </c>
      <c r="AC175" s="631">
        <v>52119683826</v>
      </c>
      <c r="AD175" s="631">
        <v>82694562008</v>
      </c>
      <c r="AE175" s="630">
        <v>-53142624294</v>
      </c>
      <c r="AF175" s="631">
        <v>0</v>
      </c>
      <c r="AG175" s="631">
        <v>0</v>
      </c>
      <c r="AH175" s="631">
        <v>0</v>
      </c>
      <c r="AI175" s="631">
        <v>0</v>
      </c>
      <c r="AJ175" s="631">
        <v>0</v>
      </c>
      <c r="AK175" s="631">
        <v>0</v>
      </c>
      <c r="AL175" s="631">
        <v>0</v>
      </c>
    </row>
    <row r="176" spans="1:38" ht="15" customHeight="1">
      <c r="A176" s="589" t="s">
        <v>496</v>
      </c>
      <c r="B176" s="590">
        <v>21</v>
      </c>
      <c r="C176" s="632">
        <v>0</v>
      </c>
      <c r="D176" s="632">
        <v>0</v>
      </c>
      <c r="E176" s="632">
        <v>0</v>
      </c>
      <c r="F176" s="632">
        <v>0</v>
      </c>
      <c r="G176" s="632">
        <v>0</v>
      </c>
      <c r="H176" s="632">
        <v>0</v>
      </c>
      <c r="I176" s="632">
        <v>0</v>
      </c>
      <c r="J176" s="632">
        <v>0</v>
      </c>
      <c r="K176" s="632">
        <v>0</v>
      </c>
      <c r="L176" s="632">
        <v>0</v>
      </c>
      <c r="M176" s="632">
        <v>0</v>
      </c>
      <c r="N176" s="633">
        <v>0</v>
      </c>
      <c r="O176" s="633">
        <v>0</v>
      </c>
      <c r="P176" s="633">
        <v>0</v>
      </c>
      <c r="Q176" s="633">
        <v>0</v>
      </c>
      <c r="R176" s="633">
        <v>0</v>
      </c>
      <c r="S176" s="633">
        <v>0</v>
      </c>
      <c r="T176" s="633">
        <v>0</v>
      </c>
      <c r="U176" s="633">
        <v>0</v>
      </c>
      <c r="V176" s="633">
        <v>0</v>
      </c>
      <c r="W176" s="633">
        <v>0</v>
      </c>
      <c r="X176" s="633">
        <v>0</v>
      </c>
      <c r="Y176" s="633">
        <v>0</v>
      </c>
      <c r="Z176" s="633">
        <v>0</v>
      </c>
      <c r="AA176" s="634">
        <v>0</v>
      </c>
      <c r="AB176" s="634">
        <v>0</v>
      </c>
      <c r="AC176" s="634">
        <v>0</v>
      </c>
      <c r="AD176" s="634">
        <v>0</v>
      </c>
      <c r="AE176" s="632"/>
      <c r="AF176" s="634">
        <v>0</v>
      </c>
      <c r="AG176" s="634">
        <v>0</v>
      </c>
      <c r="AH176" s="634">
        <v>0</v>
      </c>
      <c r="AI176" s="634">
        <v>0</v>
      </c>
      <c r="AJ176" s="634">
        <v>0</v>
      </c>
      <c r="AK176" s="634">
        <v>0</v>
      </c>
      <c r="AL176" s="634">
        <v>0</v>
      </c>
    </row>
    <row r="177" spans="1:38" ht="14">
      <c r="A177" s="635" t="s">
        <v>497</v>
      </c>
      <c r="B177" s="636">
        <v>22</v>
      </c>
      <c r="C177" s="625">
        <v>-4762682554</v>
      </c>
      <c r="D177" s="625">
        <v>-4326536447</v>
      </c>
      <c r="E177" s="625">
        <v>-1164996000</v>
      </c>
      <c r="F177" s="625">
        <v>-1992822833</v>
      </c>
      <c r="G177" s="625">
        <v>-1782228497</v>
      </c>
      <c r="H177" s="625">
        <v>-833209764</v>
      </c>
      <c r="I177" s="625">
        <v>-1378714978</v>
      </c>
      <c r="J177" s="625">
        <v>-855184497</v>
      </c>
      <c r="K177" s="625">
        <v>-737051257</v>
      </c>
      <c r="L177" s="625">
        <v>-2821949386</v>
      </c>
      <c r="M177" s="625">
        <v>-4084384131</v>
      </c>
      <c r="N177" s="625">
        <v>-10311962607</v>
      </c>
      <c r="O177" s="625">
        <v>-9820805490</v>
      </c>
      <c r="P177" s="625">
        <v>-2688251335</v>
      </c>
      <c r="Q177" s="625">
        <v>-5950435401</v>
      </c>
      <c r="R177" s="625">
        <v>-4022280971</v>
      </c>
      <c r="S177" s="625">
        <v>-9142433511</v>
      </c>
      <c r="T177" s="625">
        <v>-4827154812</v>
      </c>
      <c r="U177" s="625">
        <v>-944507473</v>
      </c>
      <c r="V177" s="625">
        <v>-3998692586</v>
      </c>
      <c r="W177" s="625">
        <v>-12299284463</v>
      </c>
      <c r="X177" s="625">
        <v>-16012258392</v>
      </c>
      <c r="Y177" s="625">
        <v>-3849925706</v>
      </c>
      <c r="Z177" s="625">
        <v>-9722078427</v>
      </c>
      <c r="AA177" s="626">
        <v>-1526091775</v>
      </c>
      <c r="AB177" s="626">
        <v>-22678765485</v>
      </c>
      <c r="AC177" s="626">
        <v>-8653014841</v>
      </c>
      <c r="AD177" s="626">
        <v>-24169387455</v>
      </c>
      <c r="AE177" s="708">
        <v>-2584444323</v>
      </c>
      <c r="AF177" s="626">
        <v>0</v>
      </c>
      <c r="AG177" s="626">
        <v>0</v>
      </c>
      <c r="AH177" s="626">
        <v>0</v>
      </c>
      <c r="AI177" s="626">
        <v>0</v>
      </c>
      <c r="AJ177" s="626">
        <v>0</v>
      </c>
      <c r="AK177" s="626">
        <v>0</v>
      </c>
      <c r="AL177" s="626">
        <v>0</v>
      </c>
    </row>
    <row r="178" spans="1:38" ht="14">
      <c r="A178" s="635" t="s">
        <v>498</v>
      </c>
      <c r="B178" s="636">
        <v>23</v>
      </c>
      <c r="C178" s="637">
        <v>0</v>
      </c>
      <c r="D178" s="637">
        <v>0</v>
      </c>
      <c r="E178" s="637">
        <v>0</v>
      </c>
      <c r="F178" s="637">
        <v>0</v>
      </c>
      <c r="G178" s="637">
        <v>0</v>
      </c>
      <c r="H178" s="637">
        <v>0</v>
      </c>
      <c r="I178" s="637">
        <v>0</v>
      </c>
      <c r="J178" s="637">
        <v>0</v>
      </c>
      <c r="K178" s="637">
        <v>0</v>
      </c>
      <c r="L178" s="637">
        <v>0</v>
      </c>
      <c r="M178" s="637">
        <v>0</v>
      </c>
      <c r="N178" s="604">
        <v>0</v>
      </c>
      <c r="O178" s="604">
        <v>0</v>
      </c>
      <c r="P178" s="604">
        <v>0</v>
      </c>
      <c r="Q178" s="604">
        <v>0</v>
      </c>
      <c r="R178" s="604">
        <v>623633187</v>
      </c>
      <c r="S178" s="604">
        <v>95000000</v>
      </c>
      <c r="T178" s="604">
        <v>226000000</v>
      </c>
      <c r="U178" s="604">
        <v>0</v>
      </c>
      <c r="V178" s="604">
        <v>226000000</v>
      </c>
      <c r="W178" s="604">
        <v>0</v>
      </c>
      <c r="X178" s="604">
        <v>0</v>
      </c>
      <c r="Y178" s="604">
        <v>0</v>
      </c>
      <c r="Z178" s="604">
        <v>0</v>
      </c>
      <c r="AA178" s="605">
        <v>0</v>
      </c>
      <c r="AB178" s="605">
        <v>0</v>
      </c>
      <c r="AC178" s="605">
        <v>0</v>
      </c>
      <c r="AD178" s="605">
        <v>0</v>
      </c>
      <c r="AE178" s="710"/>
      <c r="AF178" s="605">
        <v>0</v>
      </c>
      <c r="AG178" s="605">
        <v>0</v>
      </c>
      <c r="AH178" s="605">
        <v>0</v>
      </c>
      <c r="AI178" s="605">
        <v>0</v>
      </c>
      <c r="AJ178" s="605">
        <v>0</v>
      </c>
      <c r="AK178" s="605">
        <v>0</v>
      </c>
      <c r="AL178" s="605">
        <v>0</v>
      </c>
    </row>
    <row r="179" spans="1:38" ht="14">
      <c r="A179" s="635" t="s">
        <v>499</v>
      </c>
      <c r="B179" s="636">
        <v>24</v>
      </c>
      <c r="C179" s="638">
        <v>0</v>
      </c>
      <c r="D179" s="638">
        <v>0</v>
      </c>
      <c r="E179" s="638">
        <v>0</v>
      </c>
      <c r="F179" s="638">
        <v>0</v>
      </c>
      <c r="G179" s="638">
        <v>0</v>
      </c>
      <c r="H179" s="638">
        <v>0</v>
      </c>
      <c r="I179" s="638">
        <v>0</v>
      </c>
      <c r="J179" s="638">
        <v>0</v>
      </c>
      <c r="K179" s="638">
        <v>0</v>
      </c>
      <c r="L179" s="638">
        <v>0</v>
      </c>
      <c r="M179" s="638">
        <v>0</v>
      </c>
      <c r="N179" s="638">
        <v>0</v>
      </c>
      <c r="O179" s="638">
        <v>0</v>
      </c>
      <c r="P179" s="638">
        <v>0</v>
      </c>
      <c r="Q179" s="638">
        <v>-37000000000</v>
      </c>
      <c r="R179" s="638">
        <v>-30000000000</v>
      </c>
      <c r="S179" s="638">
        <v>-10000000000</v>
      </c>
      <c r="T179" s="638">
        <v>0</v>
      </c>
      <c r="U179" s="638">
        <v>0</v>
      </c>
      <c r="V179" s="638">
        <v>0</v>
      </c>
      <c r="W179" s="638">
        <v>0</v>
      </c>
      <c r="X179" s="638">
        <v>-20000000000</v>
      </c>
      <c r="Y179" s="638">
        <v>-20000000000</v>
      </c>
      <c r="Z179" s="638">
        <v>0</v>
      </c>
      <c r="AA179" s="627">
        <v>0</v>
      </c>
      <c r="AB179" s="627">
        <v>-12000000000</v>
      </c>
      <c r="AC179" s="627">
        <v>-18200000000</v>
      </c>
      <c r="AD179" s="627">
        <v>-19800000000</v>
      </c>
      <c r="AE179" s="711">
        <v>-37000000000</v>
      </c>
      <c r="AF179" s="627">
        <v>0</v>
      </c>
      <c r="AG179" s="627">
        <v>0</v>
      </c>
      <c r="AH179" s="627">
        <v>0</v>
      </c>
      <c r="AI179" s="627">
        <v>0</v>
      </c>
      <c r="AJ179" s="627">
        <v>0</v>
      </c>
      <c r="AK179" s="627">
        <v>0</v>
      </c>
      <c r="AL179" s="627">
        <v>0</v>
      </c>
    </row>
    <row r="180" spans="1:38" ht="14">
      <c r="A180" s="635" t="s">
        <v>500</v>
      </c>
      <c r="B180" s="636">
        <v>25</v>
      </c>
      <c r="C180" s="637">
        <v>0</v>
      </c>
      <c r="D180" s="637">
        <v>0</v>
      </c>
      <c r="E180" s="637">
        <v>0</v>
      </c>
      <c r="F180" s="637">
        <v>0</v>
      </c>
      <c r="G180" s="637">
        <v>0</v>
      </c>
      <c r="H180" s="637">
        <v>0</v>
      </c>
      <c r="I180" s="637">
        <v>0</v>
      </c>
      <c r="J180" s="637">
        <v>0</v>
      </c>
      <c r="K180" s="637">
        <v>0</v>
      </c>
      <c r="L180" s="637">
        <v>0</v>
      </c>
      <c r="M180" s="637">
        <v>0</v>
      </c>
      <c r="N180" s="604">
        <v>0</v>
      </c>
      <c r="O180" s="604">
        <v>0</v>
      </c>
      <c r="P180" s="604">
        <v>0</v>
      </c>
      <c r="Q180" s="604">
        <v>0</v>
      </c>
      <c r="R180" s="604">
        <v>5500000000</v>
      </c>
      <c r="S180" s="604">
        <v>0</v>
      </c>
      <c r="T180" s="604">
        <v>0</v>
      </c>
      <c r="U180" s="604">
        <v>15000000000</v>
      </c>
      <c r="V180" s="604">
        <v>0</v>
      </c>
      <c r="W180" s="604">
        <v>12000000000</v>
      </c>
      <c r="X180" s="604">
        <v>10000000000</v>
      </c>
      <c r="Y180" s="604">
        <v>30000000000</v>
      </c>
      <c r="Z180" s="604">
        <v>25000000000</v>
      </c>
      <c r="AA180" s="605">
        <v>0</v>
      </c>
      <c r="AB180" s="605">
        <v>0</v>
      </c>
      <c r="AC180" s="605">
        <v>3000000000</v>
      </c>
      <c r="AD180" s="605">
        <v>6200000000</v>
      </c>
      <c r="AE180" s="710">
        <v>42000000000</v>
      </c>
      <c r="AF180" s="605">
        <v>0</v>
      </c>
      <c r="AG180" s="605">
        <v>0</v>
      </c>
      <c r="AH180" s="605">
        <v>0</v>
      </c>
      <c r="AI180" s="605">
        <v>0</v>
      </c>
      <c r="AJ180" s="605">
        <v>0</v>
      </c>
      <c r="AK180" s="605">
        <v>0</v>
      </c>
      <c r="AL180" s="605">
        <v>0</v>
      </c>
    </row>
    <row r="181" spans="1:38" ht="15" customHeight="1">
      <c r="A181" s="635" t="s">
        <v>501</v>
      </c>
      <c r="B181" s="636">
        <v>26</v>
      </c>
      <c r="C181" s="601">
        <v>0</v>
      </c>
      <c r="D181" s="601">
        <v>0</v>
      </c>
      <c r="E181" s="637">
        <v>0</v>
      </c>
      <c r="F181" s="601">
        <v>0</v>
      </c>
      <c r="G181" s="601">
        <v>0</v>
      </c>
      <c r="H181" s="601">
        <v>0</v>
      </c>
      <c r="I181" s="601">
        <v>0</v>
      </c>
      <c r="J181" s="601">
        <v>0</v>
      </c>
      <c r="K181" s="601">
        <v>-830000000</v>
      </c>
      <c r="L181" s="601">
        <v>0</v>
      </c>
      <c r="M181" s="601">
        <v>0</v>
      </c>
      <c r="N181" s="601">
        <v>0</v>
      </c>
      <c r="O181" s="601">
        <v>0</v>
      </c>
      <c r="P181" s="601">
        <v>0</v>
      </c>
      <c r="Q181" s="601">
        <v>0</v>
      </c>
      <c r="R181" s="601">
        <v>0</v>
      </c>
      <c r="S181" s="601">
        <v>0</v>
      </c>
      <c r="T181" s="601">
        <v>0</v>
      </c>
      <c r="U181" s="601">
        <v>0</v>
      </c>
      <c r="V181" s="601">
        <v>0</v>
      </c>
      <c r="W181" s="601">
        <v>0</v>
      </c>
      <c r="X181" s="601">
        <v>0</v>
      </c>
      <c r="Y181" s="601">
        <v>0</v>
      </c>
      <c r="Z181" s="601">
        <v>0</v>
      </c>
      <c r="AA181" s="611">
        <v>0</v>
      </c>
      <c r="AB181" s="611">
        <v>0</v>
      </c>
      <c r="AC181" s="611">
        <v>0</v>
      </c>
      <c r="AD181" s="611">
        <v>0</v>
      </c>
      <c r="AE181" s="705"/>
      <c r="AF181" s="611">
        <v>0</v>
      </c>
      <c r="AG181" s="611">
        <v>0</v>
      </c>
      <c r="AH181" s="611">
        <v>0</v>
      </c>
      <c r="AI181" s="611">
        <v>0</v>
      </c>
      <c r="AJ181" s="611">
        <v>0</v>
      </c>
      <c r="AK181" s="611">
        <v>0</v>
      </c>
      <c r="AL181" s="611">
        <v>0</v>
      </c>
    </row>
    <row r="182" spans="1:38" ht="15" customHeight="1">
      <c r="A182" s="635" t="s">
        <v>502</v>
      </c>
      <c r="B182" s="636">
        <v>27</v>
      </c>
      <c r="C182" s="627">
        <v>0</v>
      </c>
      <c r="D182" s="627">
        <v>0</v>
      </c>
      <c r="E182" s="627">
        <v>0</v>
      </c>
      <c r="F182" s="627">
        <v>0</v>
      </c>
      <c r="G182" s="627">
        <v>0</v>
      </c>
      <c r="H182" s="627">
        <v>0</v>
      </c>
      <c r="I182" s="627">
        <v>0</v>
      </c>
      <c r="J182" s="627">
        <v>0</v>
      </c>
      <c r="K182" s="627">
        <v>0</v>
      </c>
      <c r="L182" s="627">
        <v>0</v>
      </c>
      <c r="M182" s="627">
        <v>0</v>
      </c>
      <c r="N182" s="604">
        <v>0</v>
      </c>
      <c r="O182" s="604">
        <v>0</v>
      </c>
      <c r="P182" s="604">
        <v>0</v>
      </c>
      <c r="Q182" s="604">
        <v>0</v>
      </c>
      <c r="R182" s="604">
        <v>0</v>
      </c>
      <c r="S182" s="604">
        <v>0</v>
      </c>
      <c r="T182" s="604">
        <v>0</v>
      </c>
      <c r="U182" s="604">
        <v>0</v>
      </c>
      <c r="V182" s="604">
        <v>0</v>
      </c>
      <c r="W182" s="604">
        <v>0</v>
      </c>
      <c r="X182" s="604">
        <v>0</v>
      </c>
      <c r="Y182" s="604">
        <v>0</v>
      </c>
      <c r="Z182" s="604">
        <v>0</v>
      </c>
      <c r="AA182" s="605">
        <v>0</v>
      </c>
      <c r="AB182" s="605">
        <v>0</v>
      </c>
      <c r="AC182" s="605">
        <v>0</v>
      </c>
      <c r="AD182" s="605">
        <v>0</v>
      </c>
      <c r="AE182" s="709"/>
      <c r="AF182" s="605">
        <v>0</v>
      </c>
      <c r="AG182" s="605">
        <v>0</v>
      </c>
      <c r="AH182" s="605">
        <v>0</v>
      </c>
      <c r="AI182" s="605">
        <v>0</v>
      </c>
      <c r="AJ182" s="605">
        <v>0</v>
      </c>
      <c r="AK182" s="605">
        <v>0</v>
      </c>
      <c r="AL182" s="605">
        <v>0</v>
      </c>
    </row>
    <row r="183" spans="1:38" ht="15" customHeight="1">
      <c r="A183" s="635" t="s">
        <v>503</v>
      </c>
      <c r="B183" s="636">
        <v>28</v>
      </c>
      <c r="C183" s="601">
        <v>0</v>
      </c>
      <c r="D183" s="601">
        <v>296561</v>
      </c>
      <c r="E183" s="601">
        <v>171678249</v>
      </c>
      <c r="F183" s="601">
        <v>808078</v>
      </c>
      <c r="G183" s="601">
        <v>439987</v>
      </c>
      <c r="H183" s="601">
        <v>482338</v>
      </c>
      <c r="I183" s="601">
        <v>374904</v>
      </c>
      <c r="J183" s="601">
        <v>1014834</v>
      </c>
      <c r="K183" s="601">
        <v>826804</v>
      </c>
      <c r="L183" s="601">
        <v>156232879</v>
      </c>
      <c r="M183" s="601">
        <v>1036275</v>
      </c>
      <c r="N183" s="601">
        <v>1314400686</v>
      </c>
      <c r="O183" s="601">
        <v>398202236</v>
      </c>
      <c r="P183" s="601">
        <v>1278506781</v>
      </c>
      <c r="Q183" s="601">
        <v>681642</v>
      </c>
      <c r="R183" s="601">
        <v>1661994</v>
      </c>
      <c r="S183" s="601">
        <v>649627</v>
      </c>
      <c r="T183" s="601">
        <v>989334</v>
      </c>
      <c r="U183" s="601">
        <v>870633</v>
      </c>
      <c r="V183" s="601">
        <v>913181</v>
      </c>
      <c r="W183" s="601">
        <v>1031619</v>
      </c>
      <c r="X183" s="601">
        <v>717642885</v>
      </c>
      <c r="Y183" s="601">
        <v>81582428</v>
      </c>
      <c r="Z183" s="601">
        <v>337960853</v>
      </c>
      <c r="AA183" s="611">
        <v>1708611</v>
      </c>
      <c r="AB183" s="611">
        <v>1116123</v>
      </c>
      <c r="AC183" s="611">
        <v>2001208197</v>
      </c>
      <c r="AD183" s="611">
        <v>803441325</v>
      </c>
      <c r="AE183" s="705">
        <v>73063458</v>
      </c>
      <c r="AF183" s="611">
        <v>0</v>
      </c>
      <c r="AG183" s="611">
        <v>0</v>
      </c>
      <c r="AH183" s="611">
        <v>0</v>
      </c>
      <c r="AI183" s="611">
        <v>0</v>
      </c>
      <c r="AJ183" s="611">
        <v>0</v>
      </c>
      <c r="AK183" s="611">
        <v>0</v>
      </c>
      <c r="AL183" s="611">
        <v>0</v>
      </c>
    </row>
    <row r="184" spans="1:38" ht="15" customHeight="1">
      <c r="A184" s="589" t="s">
        <v>504</v>
      </c>
      <c r="B184" s="590">
        <v>29</v>
      </c>
      <c r="C184" s="639">
        <v>-4762682554</v>
      </c>
      <c r="D184" s="639">
        <v>-4326239886</v>
      </c>
      <c r="E184" s="639">
        <v>-993317751</v>
      </c>
      <c r="F184" s="639">
        <v>-1992014755</v>
      </c>
      <c r="G184" s="639">
        <v>-1781788510</v>
      </c>
      <c r="H184" s="639">
        <v>-832727426</v>
      </c>
      <c r="I184" s="639">
        <v>-1378340074</v>
      </c>
      <c r="J184" s="639">
        <v>-854169663</v>
      </c>
      <c r="K184" s="639">
        <v>-1566224453</v>
      </c>
      <c r="L184" s="639">
        <v>-2665716507</v>
      </c>
      <c r="M184" s="639">
        <v>-4083347856</v>
      </c>
      <c r="N184" s="639">
        <v>-8997561921</v>
      </c>
      <c r="O184" s="639">
        <v>-9422603254</v>
      </c>
      <c r="P184" s="639">
        <v>-1409744554</v>
      </c>
      <c r="Q184" s="639">
        <v>-42949753759</v>
      </c>
      <c r="R184" s="639">
        <v>-27896985790</v>
      </c>
      <c r="S184" s="639">
        <v>-19046783884</v>
      </c>
      <c r="T184" s="639">
        <v>-4600165478</v>
      </c>
      <c r="U184" s="639">
        <v>14056363160</v>
      </c>
      <c r="V184" s="639">
        <v>-3771779405</v>
      </c>
      <c r="W184" s="639">
        <v>-298252844</v>
      </c>
      <c r="X184" s="639">
        <v>-25294615507</v>
      </c>
      <c r="Y184" s="639">
        <v>6231656722</v>
      </c>
      <c r="Z184" s="639">
        <v>15615882426</v>
      </c>
      <c r="AA184" s="631">
        <v>-1524383164</v>
      </c>
      <c r="AB184" s="631">
        <v>-34677649362</v>
      </c>
      <c r="AC184" s="631">
        <v>-21851806644</v>
      </c>
      <c r="AD184" s="631">
        <v>-36965946130</v>
      </c>
      <c r="AE184" s="639">
        <v>2488619135</v>
      </c>
      <c r="AF184" s="631">
        <v>0</v>
      </c>
      <c r="AG184" s="631">
        <v>0</v>
      </c>
      <c r="AH184" s="631">
        <v>0</v>
      </c>
      <c r="AI184" s="631">
        <v>0</v>
      </c>
      <c r="AJ184" s="631">
        <v>0</v>
      </c>
      <c r="AK184" s="631">
        <v>0</v>
      </c>
      <c r="AL184" s="631">
        <v>0</v>
      </c>
    </row>
    <row r="185" spans="1:38" ht="15" customHeight="1">
      <c r="A185" s="589" t="s">
        <v>505</v>
      </c>
      <c r="B185" s="590">
        <v>30</v>
      </c>
      <c r="C185" s="632">
        <v>0</v>
      </c>
      <c r="D185" s="632">
        <v>0</v>
      </c>
      <c r="E185" s="632">
        <v>0</v>
      </c>
      <c r="F185" s="632">
        <v>0</v>
      </c>
      <c r="G185" s="632">
        <v>0</v>
      </c>
      <c r="H185" s="632">
        <v>0</v>
      </c>
      <c r="I185" s="632">
        <v>0</v>
      </c>
      <c r="J185" s="632">
        <v>0</v>
      </c>
      <c r="K185" s="632">
        <v>0</v>
      </c>
      <c r="L185" s="632">
        <v>0</v>
      </c>
      <c r="M185" s="632">
        <v>0</v>
      </c>
      <c r="N185" s="633">
        <v>0</v>
      </c>
      <c r="O185" s="633">
        <v>0</v>
      </c>
      <c r="P185" s="633">
        <v>0</v>
      </c>
      <c r="Q185" s="633">
        <v>0</v>
      </c>
      <c r="R185" s="633">
        <v>0</v>
      </c>
      <c r="S185" s="633">
        <v>0</v>
      </c>
      <c r="T185" s="633">
        <v>0</v>
      </c>
      <c r="U185" s="633">
        <v>0</v>
      </c>
      <c r="V185" s="633">
        <v>0</v>
      </c>
      <c r="W185" s="633">
        <v>0</v>
      </c>
      <c r="X185" s="633">
        <v>0</v>
      </c>
      <c r="Y185" s="633">
        <v>0</v>
      </c>
      <c r="Z185" s="633">
        <v>0</v>
      </c>
      <c r="AA185" s="634">
        <v>0</v>
      </c>
      <c r="AB185" s="634">
        <v>0</v>
      </c>
      <c r="AC185" s="634">
        <v>0</v>
      </c>
      <c r="AD185" s="634">
        <v>0</v>
      </c>
      <c r="AE185" s="632"/>
      <c r="AF185" s="634">
        <v>0</v>
      </c>
      <c r="AG185" s="634">
        <v>0</v>
      </c>
      <c r="AH185" s="634">
        <v>0</v>
      </c>
      <c r="AI185" s="634">
        <v>0</v>
      </c>
      <c r="AJ185" s="634">
        <v>0</v>
      </c>
      <c r="AK185" s="634">
        <v>0</v>
      </c>
      <c r="AL185" s="634">
        <v>0</v>
      </c>
    </row>
    <row r="186" spans="1:38" ht="14">
      <c r="A186" s="635" t="s">
        <v>506</v>
      </c>
      <c r="B186" s="636">
        <v>31</v>
      </c>
      <c r="C186" s="614">
        <v>0</v>
      </c>
      <c r="D186" s="614">
        <v>0</v>
      </c>
      <c r="E186" s="614">
        <v>0</v>
      </c>
      <c r="F186" s="614">
        <v>0</v>
      </c>
      <c r="G186" s="614">
        <v>0</v>
      </c>
      <c r="H186" s="614">
        <v>0</v>
      </c>
      <c r="I186" s="614">
        <v>0</v>
      </c>
      <c r="J186" s="614">
        <v>0</v>
      </c>
      <c r="K186" s="614">
        <v>0</v>
      </c>
      <c r="L186" s="614">
        <v>0</v>
      </c>
      <c r="M186" s="614">
        <v>0</v>
      </c>
      <c r="N186" s="604">
        <v>0</v>
      </c>
      <c r="O186" s="604">
        <v>0</v>
      </c>
      <c r="P186" s="604">
        <v>0</v>
      </c>
      <c r="Q186" s="604">
        <v>0</v>
      </c>
      <c r="R186" s="604">
        <v>0</v>
      </c>
      <c r="S186" s="604">
        <v>0</v>
      </c>
      <c r="T186" s="604">
        <v>0</v>
      </c>
      <c r="U186" s="604">
        <v>0</v>
      </c>
      <c r="V186" s="604">
        <v>0</v>
      </c>
      <c r="W186" s="604">
        <v>0</v>
      </c>
      <c r="X186" s="604">
        <v>0</v>
      </c>
      <c r="Y186" s="604">
        <v>0</v>
      </c>
      <c r="Z186" s="604">
        <v>0</v>
      </c>
      <c r="AA186" s="605">
        <v>0</v>
      </c>
      <c r="AB186" s="605">
        <v>0</v>
      </c>
      <c r="AC186" s="605">
        <v>0</v>
      </c>
      <c r="AD186" s="605">
        <v>0</v>
      </c>
      <c r="AE186" s="614"/>
      <c r="AF186" s="605">
        <v>0</v>
      </c>
      <c r="AG186" s="605">
        <v>0</v>
      </c>
      <c r="AH186" s="605">
        <v>0</v>
      </c>
      <c r="AI186" s="605">
        <v>0</v>
      </c>
      <c r="AJ186" s="605">
        <v>0</v>
      </c>
      <c r="AK186" s="605">
        <v>0</v>
      </c>
      <c r="AL186" s="605">
        <v>0</v>
      </c>
    </row>
    <row r="187" spans="1:38" ht="14">
      <c r="A187" s="640" t="s">
        <v>507</v>
      </c>
      <c r="B187" s="641">
        <v>32</v>
      </c>
      <c r="C187" s="642">
        <v>0</v>
      </c>
      <c r="D187" s="642">
        <v>0</v>
      </c>
      <c r="E187" s="642">
        <v>0</v>
      </c>
      <c r="F187" s="642">
        <v>0</v>
      </c>
      <c r="G187" s="642">
        <v>0</v>
      </c>
      <c r="H187" s="642">
        <v>0</v>
      </c>
      <c r="I187" s="642">
        <v>0</v>
      </c>
      <c r="J187" s="642">
        <v>0</v>
      </c>
      <c r="K187" s="642">
        <v>0</v>
      </c>
      <c r="L187" s="642">
        <v>0</v>
      </c>
      <c r="M187" s="642">
        <v>0</v>
      </c>
      <c r="N187" s="609">
        <v>0</v>
      </c>
      <c r="O187" s="609">
        <v>0</v>
      </c>
      <c r="P187" s="609">
        <v>0</v>
      </c>
      <c r="Q187" s="609">
        <v>0</v>
      </c>
      <c r="R187" s="609">
        <v>0</v>
      </c>
      <c r="S187" s="609">
        <v>0</v>
      </c>
      <c r="T187" s="609">
        <v>0</v>
      </c>
      <c r="U187" s="609">
        <v>0</v>
      </c>
      <c r="V187" s="609">
        <v>0</v>
      </c>
      <c r="W187" s="609">
        <v>0</v>
      </c>
      <c r="X187" s="609">
        <v>0</v>
      </c>
      <c r="Y187" s="609">
        <v>0</v>
      </c>
      <c r="Z187" s="609">
        <v>0</v>
      </c>
      <c r="AA187" s="610">
        <v>0</v>
      </c>
      <c r="AB187" s="610">
        <v>0</v>
      </c>
      <c r="AC187" s="610">
        <v>0</v>
      </c>
      <c r="AD187" s="610">
        <v>0</v>
      </c>
      <c r="AE187" s="642"/>
      <c r="AF187" s="610">
        <v>0</v>
      </c>
      <c r="AG187" s="610">
        <v>0</v>
      </c>
      <c r="AH187" s="610">
        <v>0</v>
      </c>
      <c r="AI187" s="610">
        <v>0</v>
      </c>
      <c r="AJ187" s="610">
        <v>0</v>
      </c>
      <c r="AK187" s="610">
        <v>0</v>
      </c>
      <c r="AL187" s="610">
        <v>0</v>
      </c>
    </row>
    <row r="188" spans="1:38" ht="15" customHeight="1">
      <c r="A188" s="635" t="s">
        <v>257</v>
      </c>
      <c r="B188" s="636">
        <v>33</v>
      </c>
      <c r="C188" s="601">
        <v>57270669795</v>
      </c>
      <c r="D188" s="637">
        <v>2700000000</v>
      </c>
      <c r="E188" s="637">
        <v>51941747542</v>
      </c>
      <c r="F188" s="637">
        <v>43144705866</v>
      </c>
      <c r="G188" s="637">
        <v>34881897765</v>
      </c>
      <c r="H188" s="637">
        <v>19187776584</v>
      </c>
      <c r="I188" s="637">
        <v>4706000000</v>
      </c>
      <c r="J188" s="637">
        <v>51191060696</v>
      </c>
      <c r="K188" s="637">
        <v>84691804308</v>
      </c>
      <c r="L188" s="637">
        <v>102825721496</v>
      </c>
      <c r="M188" s="637">
        <v>83853569555</v>
      </c>
      <c r="N188" s="637">
        <v>37383794832</v>
      </c>
      <c r="O188" s="637">
        <v>2310562000</v>
      </c>
      <c r="P188" s="637">
        <v>5428000000</v>
      </c>
      <c r="Q188" s="637">
        <v>58529191203</v>
      </c>
      <c r="R188" s="637">
        <v>90358841948</v>
      </c>
      <c r="S188" s="637">
        <v>46360978617</v>
      </c>
      <c r="T188" s="637">
        <v>47723278583</v>
      </c>
      <c r="U188" s="637">
        <v>49379624959</v>
      </c>
      <c r="V188" s="637">
        <v>76433887270</v>
      </c>
      <c r="W188" s="637">
        <v>74543374853</v>
      </c>
      <c r="X188" s="637">
        <v>35990648109</v>
      </c>
      <c r="Y188" s="637">
        <v>46874996976</v>
      </c>
      <c r="Z188" s="637">
        <v>40177257513</v>
      </c>
      <c r="AA188" s="627">
        <v>56609988510</v>
      </c>
      <c r="AB188" s="627">
        <v>47431035680</v>
      </c>
      <c r="AC188" s="627">
        <v>28824946157</v>
      </c>
      <c r="AD188" s="627">
        <v>0</v>
      </c>
      <c r="AE188" s="705">
        <v>104042294769</v>
      </c>
      <c r="AF188" s="627">
        <v>0</v>
      </c>
      <c r="AG188" s="627">
        <v>0</v>
      </c>
      <c r="AH188" s="627">
        <v>0</v>
      </c>
      <c r="AI188" s="627">
        <v>0</v>
      </c>
      <c r="AJ188" s="627">
        <v>0</v>
      </c>
      <c r="AK188" s="627">
        <v>0</v>
      </c>
      <c r="AL188" s="627">
        <v>0</v>
      </c>
    </row>
    <row r="189" spans="1:38" ht="15" customHeight="1">
      <c r="A189" s="635" t="s">
        <v>508</v>
      </c>
      <c r="B189" s="636">
        <v>34</v>
      </c>
      <c r="C189" s="601">
        <v>0</v>
      </c>
      <c r="D189" s="601">
        <v>-7768970250</v>
      </c>
      <c r="E189" s="601">
        <v>-8016000000</v>
      </c>
      <c r="F189" s="601">
        <v>-295193392</v>
      </c>
      <c r="G189" s="601">
        <v>-2906560000</v>
      </c>
      <c r="H189" s="601">
        <v>-6016005797</v>
      </c>
      <c r="I189" s="601">
        <v>-26451297542</v>
      </c>
      <c r="J189" s="601">
        <v>-94694168939</v>
      </c>
      <c r="K189" s="601">
        <v>-70491152886</v>
      </c>
      <c r="L189" s="601">
        <v>-86950072394</v>
      </c>
      <c r="M189" s="601">
        <v>-46997210051</v>
      </c>
      <c r="N189" s="601">
        <v>-30836777778</v>
      </c>
      <c r="O189" s="601">
        <v>-33725113955</v>
      </c>
      <c r="P189" s="601">
        <v>-100211784973</v>
      </c>
      <c r="Q189" s="601">
        <v>-4197000000</v>
      </c>
      <c r="R189" s="601">
        <v>-15728148401</v>
      </c>
      <c r="S189" s="601">
        <v>-22093621349</v>
      </c>
      <c r="T189" s="601">
        <v>-30106272270</v>
      </c>
      <c r="U189" s="601">
        <v>-37490126842</v>
      </c>
      <c r="V189" s="601">
        <v>-32982546300</v>
      </c>
      <c r="W189" s="601">
        <v>-59818118843</v>
      </c>
      <c r="X189" s="601">
        <v>-86548152225</v>
      </c>
      <c r="Y189" s="601">
        <v>-53673092111</v>
      </c>
      <c r="Z189" s="601">
        <v>-51123323764</v>
      </c>
      <c r="AA189" s="611">
        <v>-101278931518</v>
      </c>
      <c r="AB189" s="611">
        <v>-9737588663</v>
      </c>
      <c r="AC189" s="611">
        <v>-71496103739</v>
      </c>
      <c r="AD189" s="611">
        <v>-31484303775</v>
      </c>
      <c r="AE189" s="705">
        <v>-59390127409</v>
      </c>
      <c r="AF189" s="611">
        <v>0</v>
      </c>
      <c r="AG189" s="611">
        <v>0</v>
      </c>
      <c r="AH189" s="611">
        <v>0</v>
      </c>
      <c r="AI189" s="611">
        <v>0</v>
      </c>
      <c r="AJ189" s="611">
        <v>0</v>
      </c>
      <c r="AK189" s="611">
        <v>0</v>
      </c>
      <c r="AL189" s="611">
        <v>0</v>
      </c>
    </row>
    <row r="190" spans="1:38" ht="15" customHeight="1">
      <c r="A190" s="635" t="s">
        <v>509</v>
      </c>
      <c r="B190" s="636">
        <v>35</v>
      </c>
      <c r="C190" s="601">
        <v>0</v>
      </c>
      <c r="D190" s="601">
        <v>0</v>
      </c>
      <c r="E190" s="601">
        <v>0</v>
      </c>
      <c r="F190" s="601">
        <v>0</v>
      </c>
      <c r="G190" s="601">
        <v>0</v>
      </c>
      <c r="H190" s="601">
        <v>0</v>
      </c>
      <c r="I190" s="601">
        <v>0</v>
      </c>
      <c r="J190" s="601">
        <v>0</v>
      </c>
      <c r="K190" s="601">
        <v>0</v>
      </c>
      <c r="L190" s="601">
        <v>0</v>
      </c>
      <c r="M190" s="601">
        <v>0</v>
      </c>
      <c r="N190" s="601">
        <v>0</v>
      </c>
      <c r="O190" s="601">
        <v>-777777778</v>
      </c>
      <c r="P190" s="601">
        <v>-777777778</v>
      </c>
      <c r="Q190" s="601">
        <v>-777777778</v>
      </c>
      <c r="R190" s="601">
        <v>-777777778</v>
      </c>
      <c r="S190" s="601">
        <v>-777777778</v>
      </c>
      <c r="T190" s="601">
        <v>-777777778</v>
      </c>
      <c r="U190" s="601">
        <v>-777777778</v>
      </c>
      <c r="V190" s="601">
        <v>-777777778</v>
      </c>
      <c r="W190" s="601">
        <v>-777777778</v>
      </c>
      <c r="X190" s="601">
        <v>-777777778</v>
      </c>
      <c r="Y190" s="601">
        <v>-777777778</v>
      </c>
      <c r="Z190" s="601">
        <v>-777777778</v>
      </c>
      <c r="AA190" s="611">
        <v>-1647651024</v>
      </c>
      <c r="AB190" s="611">
        <v>-738238085</v>
      </c>
      <c r="AC190" s="611">
        <v>-738238085</v>
      </c>
      <c r="AD190" s="611">
        <v>-738238085</v>
      </c>
      <c r="AE190" s="705">
        <v>-738238085</v>
      </c>
      <c r="AF190" s="611">
        <v>0</v>
      </c>
      <c r="AG190" s="611">
        <v>0</v>
      </c>
      <c r="AH190" s="611">
        <v>0</v>
      </c>
      <c r="AI190" s="611">
        <v>0</v>
      </c>
      <c r="AJ190" s="611">
        <v>0</v>
      </c>
      <c r="AK190" s="611">
        <v>0</v>
      </c>
      <c r="AL190" s="611">
        <v>0</v>
      </c>
    </row>
    <row r="191" spans="1:38" ht="15" customHeight="1">
      <c r="A191" s="635" t="s">
        <v>510</v>
      </c>
      <c r="B191" s="636">
        <v>36</v>
      </c>
      <c r="C191" s="614">
        <v>0</v>
      </c>
      <c r="D191" s="614">
        <v>0</v>
      </c>
      <c r="E191" s="614">
        <v>0</v>
      </c>
      <c r="F191" s="614">
        <v>0</v>
      </c>
      <c r="G191" s="614">
        <v>0</v>
      </c>
      <c r="H191" s="614">
        <v>0</v>
      </c>
      <c r="I191" s="614">
        <v>0</v>
      </c>
      <c r="J191" s="614">
        <v>0</v>
      </c>
      <c r="K191" s="614">
        <v>0</v>
      </c>
      <c r="L191" s="614">
        <v>0</v>
      </c>
      <c r="M191" s="614">
        <v>0</v>
      </c>
      <c r="N191" s="614">
        <v>0</v>
      </c>
      <c r="O191" s="614">
        <v>0</v>
      </c>
      <c r="P191" s="614">
        <v>0</v>
      </c>
      <c r="Q191" s="614">
        <v>0</v>
      </c>
      <c r="R191" s="614">
        <v>0</v>
      </c>
      <c r="S191" s="614">
        <v>0</v>
      </c>
      <c r="T191" s="614">
        <v>0</v>
      </c>
      <c r="U191" s="614">
        <v>0</v>
      </c>
      <c r="V191" s="614">
        <v>0</v>
      </c>
      <c r="W191" s="614">
        <v>0</v>
      </c>
      <c r="X191" s="614">
        <v>0</v>
      </c>
      <c r="Y191" s="614">
        <v>0</v>
      </c>
      <c r="Z191" s="614">
        <v>0</v>
      </c>
      <c r="AA191" s="628">
        <v>0</v>
      </c>
      <c r="AB191" s="628">
        <v>0</v>
      </c>
      <c r="AC191" s="628">
        <v>0</v>
      </c>
      <c r="AD191" s="628">
        <v>0</v>
      </c>
      <c r="AE191" s="614"/>
      <c r="AF191" s="628">
        <v>0</v>
      </c>
      <c r="AG191" s="628">
        <v>0</v>
      </c>
      <c r="AH191" s="628">
        <v>0</v>
      </c>
      <c r="AI191" s="628">
        <v>0</v>
      </c>
      <c r="AJ191" s="628">
        <v>0</v>
      </c>
      <c r="AK191" s="628">
        <v>0</v>
      </c>
      <c r="AL191" s="628">
        <v>0</v>
      </c>
    </row>
    <row r="192" spans="1:38" ht="15" customHeight="1">
      <c r="A192" s="589" t="s">
        <v>511</v>
      </c>
      <c r="B192" s="590">
        <v>37</v>
      </c>
      <c r="C192" s="639">
        <v>57270669795</v>
      </c>
      <c r="D192" s="639">
        <v>-5068970250</v>
      </c>
      <c r="E192" s="639">
        <v>43925747542</v>
      </c>
      <c r="F192" s="639">
        <v>42849512474</v>
      </c>
      <c r="G192" s="639">
        <v>31975337765</v>
      </c>
      <c r="H192" s="639">
        <v>13171770787</v>
      </c>
      <c r="I192" s="639">
        <v>-21745297542</v>
      </c>
      <c r="J192" s="639">
        <v>-43503108243</v>
      </c>
      <c r="K192" s="639">
        <v>14200651422</v>
      </c>
      <c r="L192" s="639">
        <v>15875649102</v>
      </c>
      <c r="M192" s="639">
        <v>36856359504</v>
      </c>
      <c r="N192" s="639">
        <v>6547017054</v>
      </c>
      <c r="O192" s="639">
        <v>-32192329733</v>
      </c>
      <c r="P192" s="639">
        <v>-95561562751</v>
      </c>
      <c r="Q192" s="639">
        <v>53554413425</v>
      </c>
      <c r="R192" s="639">
        <v>73852915769</v>
      </c>
      <c r="S192" s="639">
        <v>23489579490</v>
      </c>
      <c r="T192" s="639">
        <v>16839228535</v>
      </c>
      <c r="U192" s="639">
        <v>11111720339</v>
      </c>
      <c r="V192" s="639">
        <v>42673563192</v>
      </c>
      <c r="W192" s="639">
        <v>13947478232</v>
      </c>
      <c r="X192" s="639">
        <v>-51335281894</v>
      </c>
      <c r="Y192" s="639">
        <v>-7575872913</v>
      </c>
      <c r="Z192" s="639">
        <v>-11723844029</v>
      </c>
      <c r="AA192" s="631">
        <v>-46316594032</v>
      </c>
      <c r="AB192" s="631">
        <v>36955208932</v>
      </c>
      <c r="AC192" s="631">
        <v>-43409395667</v>
      </c>
      <c r="AD192" s="631">
        <v>-32222541860</v>
      </c>
      <c r="AE192" s="639">
        <v>43913929275</v>
      </c>
      <c r="AF192" s="631">
        <v>0</v>
      </c>
      <c r="AG192" s="631">
        <v>0</v>
      </c>
      <c r="AH192" s="631">
        <v>0</v>
      </c>
      <c r="AI192" s="631">
        <v>0</v>
      </c>
      <c r="AJ192" s="631">
        <v>0</v>
      </c>
      <c r="AK192" s="631">
        <v>0</v>
      </c>
      <c r="AL192" s="631">
        <v>0</v>
      </c>
    </row>
    <row r="193" spans="1:38" ht="15" customHeight="1">
      <c r="A193" s="643" t="s">
        <v>512</v>
      </c>
      <c r="B193" s="644">
        <v>38</v>
      </c>
      <c r="C193" s="645">
        <v>24740085479</v>
      </c>
      <c r="D193" s="645">
        <v>-8795261906</v>
      </c>
      <c r="E193" s="645">
        <v>-16324735668</v>
      </c>
      <c r="F193" s="645">
        <v>8667467044</v>
      </c>
      <c r="G193" s="645">
        <v>-386049380</v>
      </c>
      <c r="H193" s="645">
        <v>-12514506331</v>
      </c>
      <c r="I193" s="645">
        <v>33057560373</v>
      </c>
      <c r="J193" s="645">
        <v>-20431955304</v>
      </c>
      <c r="K193" s="645">
        <v>16206267494</v>
      </c>
      <c r="L193" s="645">
        <v>22093129144</v>
      </c>
      <c r="M193" s="645">
        <v>-13876187520</v>
      </c>
      <c r="N193" s="645">
        <v>-4926608621</v>
      </c>
      <c r="O193" s="645">
        <v>36324097729</v>
      </c>
      <c r="P193" s="645">
        <v>-44504558739</v>
      </c>
      <c r="Q193" s="645">
        <v>-10311897779</v>
      </c>
      <c r="R193" s="645">
        <v>13376555757</v>
      </c>
      <c r="S193" s="645">
        <v>-17365277225</v>
      </c>
      <c r="T193" s="645">
        <v>9957129440</v>
      </c>
      <c r="U193" s="645">
        <v>-2567149938</v>
      </c>
      <c r="V193" s="645">
        <v>-1512249339</v>
      </c>
      <c r="W193" s="645">
        <v>33681818649</v>
      </c>
      <c r="X193" s="645">
        <v>-11661203939</v>
      </c>
      <c r="Y193" s="645">
        <v>1398499339</v>
      </c>
      <c r="Z193" s="645">
        <v>-18582985163</v>
      </c>
      <c r="AA193" s="646">
        <v>5009300493</v>
      </c>
      <c r="AB193" s="646">
        <v>3658847656</v>
      </c>
      <c r="AC193" s="646">
        <v>-13141518485</v>
      </c>
      <c r="AD193" s="646">
        <v>13506074018</v>
      </c>
      <c r="AE193" s="645">
        <v>-6740075884</v>
      </c>
      <c r="AF193" s="646">
        <v>0</v>
      </c>
      <c r="AG193" s="646">
        <v>0</v>
      </c>
      <c r="AH193" s="646">
        <v>0</v>
      </c>
      <c r="AI193" s="646">
        <v>0</v>
      </c>
      <c r="AJ193" s="646">
        <v>0</v>
      </c>
      <c r="AK193" s="646">
        <v>0</v>
      </c>
      <c r="AL193" s="646">
        <v>0</v>
      </c>
    </row>
    <row r="194" spans="1:38" ht="15" customHeight="1">
      <c r="A194" s="589" t="s">
        <v>513</v>
      </c>
      <c r="B194" s="590">
        <v>39</v>
      </c>
      <c r="C194" s="639">
        <v>6353042534</v>
      </c>
      <c r="D194" s="639">
        <v>31037848308</v>
      </c>
      <c r="E194" s="639">
        <v>22669663716</v>
      </c>
      <c r="F194" s="639">
        <v>6664945115</v>
      </c>
      <c r="G194" s="639">
        <v>15574807889</v>
      </c>
      <c r="H194" s="639">
        <v>16007340290</v>
      </c>
      <c r="I194" s="639">
        <v>3678057757</v>
      </c>
      <c r="J194" s="639">
        <v>36916493026</v>
      </c>
      <c r="K194" s="639">
        <v>16748498285</v>
      </c>
      <c r="L194" s="639">
        <v>33251814637</v>
      </c>
      <c r="M194" s="639">
        <v>56773964959</v>
      </c>
      <c r="N194" s="639">
        <v>43420355696</v>
      </c>
      <c r="O194" s="639">
        <v>39805017284</v>
      </c>
      <c r="P194" s="639">
        <v>76486895109</v>
      </c>
      <c r="Q194" s="639">
        <v>33258200889</v>
      </c>
      <c r="R194" s="639">
        <v>23555271373</v>
      </c>
      <c r="S194" s="639">
        <v>37590058839</v>
      </c>
      <c r="T194" s="639">
        <v>21868727527</v>
      </c>
      <c r="U194" s="639">
        <v>32470900772</v>
      </c>
      <c r="V194" s="639">
        <v>30661632458</v>
      </c>
      <c r="W194" s="639">
        <v>29770776625</v>
      </c>
      <c r="X194" s="639">
        <v>64296693910</v>
      </c>
      <c r="Y194" s="639">
        <v>53646701293</v>
      </c>
      <c r="Z194" s="639">
        <v>55165406320</v>
      </c>
      <c r="AA194" s="631">
        <v>36834893155</v>
      </c>
      <c r="AB194" s="631">
        <v>42126572011</v>
      </c>
      <c r="AC194" s="631">
        <v>45981412915</v>
      </c>
      <c r="AD194" s="631">
        <v>33613094972</v>
      </c>
      <c r="AE194" s="639">
        <v>47135211556</v>
      </c>
      <c r="AF194" s="631">
        <v>0</v>
      </c>
      <c r="AG194" s="631">
        <v>0</v>
      </c>
      <c r="AH194" s="631">
        <v>0</v>
      </c>
      <c r="AI194" s="631">
        <v>0</v>
      </c>
      <c r="AJ194" s="631">
        <v>0</v>
      </c>
      <c r="AK194" s="631">
        <v>0</v>
      </c>
      <c r="AL194" s="631">
        <v>0</v>
      </c>
    </row>
    <row r="195" spans="1:38" ht="15" customHeight="1">
      <c r="A195" s="647" t="s">
        <v>514</v>
      </c>
      <c r="B195" s="648">
        <v>40</v>
      </c>
      <c r="C195" s="649">
        <v>-55279705</v>
      </c>
      <c r="D195" s="649">
        <v>427077314</v>
      </c>
      <c r="E195" s="649">
        <v>320017067</v>
      </c>
      <c r="F195" s="649">
        <v>242395730</v>
      </c>
      <c r="G195" s="649">
        <v>818581781</v>
      </c>
      <c r="H195" s="649">
        <v>185223798</v>
      </c>
      <c r="I195" s="649">
        <v>180874896</v>
      </c>
      <c r="J195" s="649">
        <v>263960563</v>
      </c>
      <c r="K195" s="649">
        <v>297048858</v>
      </c>
      <c r="L195" s="649">
        <v>1429021178</v>
      </c>
      <c r="M195" s="649">
        <v>522578257</v>
      </c>
      <c r="N195" s="650">
        <v>1311270209</v>
      </c>
      <c r="O195" s="651">
        <v>357780096</v>
      </c>
      <c r="P195" s="650">
        <v>1275864519</v>
      </c>
      <c r="Q195" s="650">
        <v>608968263</v>
      </c>
      <c r="R195" s="650">
        <v>658231709</v>
      </c>
      <c r="S195" s="650">
        <v>1643945913</v>
      </c>
      <c r="T195" s="650">
        <v>645043805</v>
      </c>
      <c r="U195" s="650">
        <v>757881624</v>
      </c>
      <c r="V195" s="650">
        <v>621393506</v>
      </c>
      <c r="W195" s="650">
        <v>844098636</v>
      </c>
      <c r="X195" s="650">
        <v>1011211322</v>
      </c>
      <c r="Y195" s="650">
        <v>120205688</v>
      </c>
      <c r="Z195" s="650">
        <v>252471998</v>
      </c>
      <c r="AA195" s="652">
        <v>282378363</v>
      </c>
      <c r="AB195" s="652">
        <v>195993248</v>
      </c>
      <c r="AC195" s="652">
        <v>773200542</v>
      </c>
      <c r="AD195" s="652">
        <v>16042566</v>
      </c>
      <c r="AE195" s="649">
        <v>618868933</v>
      </c>
      <c r="AF195" s="652">
        <v>0</v>
      </c>
      <c r="AG195" s="652">
        <v>0</v>
      </c>
      <c r="AH195" s="652">
        <v>0</v>
      </c>
      <c r="AI195" s="652">
        <v>0</v>
      </c>
      <c r="AJ195" s="652">
        <v>0</v>
      </c>
      <c r="AK195" s="652">
        <v>0</v>
      </c>
      <c r="AL195" s="652">
        <v>0</v>
      </c>
    </row>
    <row r="196" spans="1:38" ht="15" customHeight="1">
      <c r="A196" s="589" t="s">
        <v>515</v>
      </c>
      <c r="B196" s="590">
        <v>41</v>
      </c>
      <c r="C196" s="639">
        <v>31037848308</v>
      </c>
      <c r="D196" s="639">
        <v>22669663716</v>
      </c>
      <c r="E196" s="639">
        <v>6664945115</v>
      </c>
      <c r="F196" s="639">
        <v>15574807889</v>
      </c>
      <c r="G196" s="639">
        <v>16007340290</v>
      </c>
      <c r="H196" s="639">
        <v>3678057757</v>
      </c>
      <c r="I196" s="639">
        <v>36916493026</v>
      </c>
      <c r="J196" s="639">
        <v>16748498285</v>
      </c>
      <c r="K196" s="639">
        <v>33251814637</v>
      </c>
      <c r="L196" s="639">
        <v>56773964959</v>
      </c>
      <c r="M196" s="639">
        <v>43420355696</v>
      </c>
      <c r="N196" s="639">
        <v>39805017284</v>
      </c>
      <c r="O196" s="639">
        <v>76486895109</v>
      </c>
      <c r="P196" s="639">
        <v>33258200889</v>
      </c>
      <c r="Q196" s="639">
        <v>23555271373</v>
      </c>
      <c r="R196" s="639">
        <v>37590058839</v>
      </c>
      <c r="S196" s="639">
        <v>21868727527</v>
      </c>
      <c r="T196" s="639">
        <v>32470900772</v>
      </c>
      <c r="U196" s="639">
        <v>30661632458</v>
      </c>
      <c r="V196" s="639">
        <v>29770776625</v>
      </c>
      <c r="W196" s="639">
        <v>64296693910</v>
      </c>
      <c r="X196" s="639">
        <v>53646701293</v>
      </c>
      <c r="Y196" s="639">
        <v>55165406320</v>
      </c>
      <c r="Z196" s="639">
        <v>36834893155</v>
      </c>
      <c r="AA196" s="631">
        <v>42126572011</v>
      </c>
      <c r="AB196" s="631">
        <v>45981412915</v>
      </c>
      <c r="AC196" s="631">
        <v>33613094972</v>
      </c>
      <c r="AD196" s="631">
        <v>47135211556</v>
      </c>
      <c r="AE196" s="639">
        <v>41014004605</v>
      </c>
      <c r="AF196" s="631">
        <v>0</v>
      </c>
      <c r="AG196" s="631">
        <v>0</v>
      </c>
      <c r="AH196" s="631">
        <v>0</v>
      </c>
      <c r="AI196" s="631">
        <v>0</v>
      </c>
      <c r="AJ196" s="631">
        <v>0</v>
      </c>
      <c r="AK196" s="631">
        <v>0</v>
      </c>
      <c r="AL196" s="631">
        <v>0</v>
      </c>
    </row>
    <row r="197" spans="1:38" ht="15" customHeight="1">
      <c r="C197" s="654">
        <f t="shared" ref="C197:Y197" si="9">C7-C196</f>
        <v>0</v>
      </c>
      <c r="D197" s="654">
        <f t="shared" si="9"/>
        <v>0</v>
      </c>
      <c r="E197" s="654">
        <f t="shared" si="9"/>
        <v>0</v>
      </c>
      <c r="F197" s="654">
        <f t="shared" si="9"/>
        <v>0</v>
      </c>
      <c r="G197" s="654">
        <f t="shared" si="9"/>
        <v>0</v>
      </c>
      <c r="H197" s="654">
        <f t="shared" si="9"/>
        <v>0</v>
      </c>
      <c r="I197" s="654">
        <f t="shared" si="9"/>
        <v>0</v>
      </c>
      <c r="J197" s="654">
        <f t="shared" si="9"/>
        <v>0</v>
      </c>
      <c r="K197" s="654">
        <f t="shared" si="9"/>
        <v>0</v>
      </c>
      <c r="L197" s="654">
        <f t="shared" si="9"/>
        <v>0</v>
      </c>
      <c r="M197" s="654">
        <f t="shared" si="9"/>
        <v>0</v>
      </c>
      <c r="N197" s="654">
        <f t="shared" si="9"/>
        <v>0</v>
      </c>
      <c r="O197" s="654">
        <f t="shared" si="9"/>
        <v>0</v>
      </c>
      <c r="P197" s="654">
        <f t="shared" si="9"/>
        <v>0</v>
      </c>
      <c r="Q197" s="654">
        <f t="shared" si="9"/>
        <v>0</v>
      </c>
      <c r="R197" s="654">
        <f t="shared" si="9"/>
        <v>0</v>
      </c>
      <c r="S197" s="654">
        <f t="shared" si="9"/>
        <v>0</v>
      </c>
      <c r="T197" s="654">
        <f t="shared" si="9"/>
        <v>0</v>
      </c>
      <c r="U197" s="654">
        <f t="shared" si="9"/>
        <v>0</v>
      </c>
      <c r="V197" s="654">
        <f t="shared" si="9"/>
        <v>0</v>
      </c>
      <c r="W197" s="654">
        <f t="shared" si="9"/>
        <v>0</v>
      </c>
      <c r="X197" s="654">
        <f t="shared" si="9"/>
        <v>0</v>
      </c>
      <c r="Y197" s="654">
        <f t="shared" si="9"/>
        <v>0</v>
      </c>
      <c r="Z197" s="654">
        <v>0</v>
      </c>
      <c r="AA197" s="654"/>
      <c r="AB197" s="654"/>
      <c r="AC197" s="654"/>
      <c r="AD197" s="654"/>
      <c r="AE197" s="654"/>
      <c r="AF197" s="654"/>
      <c r="AG197" s="654"/>
      <c r="AH197" s="654"/>
      <c r="AI197" s="654"/>
      <c r="AJ197" s="654"/>
      <c r="AK197" s="654"/>
      <c r="AL197" s="654"/>
    </row>
    <row r="198" spans="1:38" ht="15" customHeight="1">
      <c r="A198" s="655" t="s">
        <v>516</v>
      </c>
      <c r="B198" s="656" t="s">
        <v>517</v>
      </c>
      <c r="C198" s="479" t="s">
        <v>291</v>
      </c>
      <c r="D198" s="479" t="s">
        <v>292</v>
      </c>
      <c r="E198" s="479" t="s">
        <v>293</v>
      </c>
      <c r="F198" s="479" t="s">
        <v>294</v>
      </c>
      <c r="G198" s="479" t="s">
        <v>295</v>
      </c>
      <c r="H198" s="479" t="s">
        <v>296</v>
      </c>
      <c r="I198" s="479" t="s">
        <v>297</v>
      </c>
      <c r="J198" s="479" t="s">
        <v>298</v>
      </c>
      <c r="K198" s="479" t="s">
        <v>299</v>
      </c>
      <c r="L198" s="479" t="s">
        <v>300</v>
      </c>
      <c r="M198" s="479" t="s">
        <v>301</v>
      </c>
      <c r="N198" s="479" t="s">
        <v>302</v>
      </c>
      <c r="O198" s="479" t="s">
        <v>303</v>
      </c>
      <c r="P198" s="479" t="s">
        <v>304</v>
      </c>
      <c r="Q198" s="479" t="s">
        <v>305</v>
      </c>
      <c r="R198" s="479" t="s">
        <v>306</v>
      </c>
      <c r="S198" s="479" t="s">
        <v>307</v>
      </c>
      <c r="T198" s="479" t="s">
        <v>308</v>
      </c>
      <c r="U198" s="479" t="s">
        <v>309</v>
      </c>
      <c r="V198" s="479" t="s">
        <v>310</v>
      </c>
      <c r="W198" s="479" t="s">
        <v>311</v>
      </c>
      <c r="X198" s="479" t="s">
        <v>312</v>
      </c>
      <c r="Y198" s="479" t="s">
        <v>313</v>
      </c>
      <c r="Z198" s="479" t="s">
        <v>314</v>
      </c>
      <c r="AA198" s="479" t="s">
        <v>315</v>
      </c>
      <c r="AB198" s="479" t="s">
        <v>316</v>
      </c>
      <c r="AC198" s="479" t="s">
        <v>317</v>
      </c>
      <c r="AD198" s="479" t="s">
        <v>318</v>
      </c>
      <c r="AE198" s="479" t="s">
        <v>319</v>
      </c>
      <c r="AF198" s="479" t="s">
        <v>320</v>
      </c>
      <c r="AG198" s="479" t="s">
        <v>321</v>
      </c>
      <c r="AH198" s="479" t="s">
        <v>322</v>
      </c>
      <c r="AI198" s="479" t="s">
        <v>323</v>
      </c>
      <c r="AJ198" s="479" t="s">
        <v>324</v>
      </c>
      <c r="AK198" s="479" t="s">
        <v>325</v>
      </c>
      <c r="AL198" s="479" t="s">
        <v>326</v>
      </c>
    </row>
    <row r="199" spans="1:38" ht="15" customHeight="1">
      <c r="A199" s="657" t="s">
        <v>518</v>
      </c>
      <c r="B199" s="658">
        <v>1</v>
      </c>
      <c r="C199" s="659">
        <v>449.32407407407408</v>
      </c>
      <c r="D199" s="659">
        <v>426.94230769230768</v>
      </c>
      <c r="E199" s="659">
        <v>469.77</v>
      </c>
      <c r="F199" s="659">
        <v>495.26851851851853</v>
      </c>
      <c r="G199" s="659">
        <v>511.88461538461536</v>
      </c>
      <c r="H199" s="659">
        <v>520.61538461538464</v>
      </c>
      <c r="I199" s="659">
        <v>525.125</v>
      </c>
      <c r="J199" s="659">
        <v>518.92307692307691</v>
      </c>
      <c r="K199" s="659">
        <v>552</v>
      </c>
      <c r="L199" s="659">
        <v>571.61057692307691</v>
      </c>
      <c r="M199" s="659">
        <v>608.78846153846155</v>
      </c>
      <c r="N199" s="659">
        <v>615.65384615384619</v>
      </c>
      <c r="O199" s="659">
        <v>593.7037037037037</v>
      </c>
      <c r="P199" s="659">
        <v>594.96153846153845</v>
      </c>
      <c r="Q199" s="659">
        <v>615.22916666666663</v>
      </c>
      <c r="R199" s="659">
        <v>624.57407407407402</v>
      </c>
      <c r="S199" s="659">
        <v>617.74</v>
      </c>
      <c r="T199" s="659">
        <v>637.75480769230774</v>
      </c>
      <c r="U199" s="659">
        <v>691.15384615384619</v>
      </c>
      <c r="V199" s="659">
        <v>697.73076923076928</v>
      </c>
      <c r="W199" s="659">
        <v>705.2037037037037</v>
      </c>
      <c r="X199" s="659">
        <v>675.40865384615381</v>
      </c>
      <c r="Y199" s="659">
        <v>650.38461538461536</v>
      </c>
      <c r="Z199" s="659">
        <v>634.42788461538464</v>
      </c>
      <c r="AA199" s="659">
        <v>616.32000000000005</v>
      </c>
      <c r="AB199" s="659">
        <v>628.40909090909088</v>
      </c>
      <c r="AC199" s="659">
        <v>616.09635416666663</v>
      </c>
      <c r="AD199" s="659">
        <v>619.35185185185185</v>
      </c>
      <c r="AE199" s="659">
        <v>637.78</v>
      </c>
      <c r="AF199" s="659">
        <v>674</v>
      </c>
      <c r="AG199" s="659">
        <v>674</v>
      </c>
      <c r="AH199" s="659">
        <v>674</v>
      </c>
      <c r="AI199" s="659">
        <v>675</v>
      </c>
      <c r="AJ199" s="659">
        <v>675</v>
      </c>
      <c r="AK199" s="659">
        <v>675</v>
      </c>
      <c r="AL199" s="659">
        <v>675</v>
      </c>
    </row>
    <row r="200" spans="1:38" ht="15" customHeight="1">
      <c r="A200" s="657" t="s">
        <v>519</v>
      </c>
      <c r="B200" s="658">
        <v>2</v>
      </c>
      <c r="C200" s="659">
        <v>248.32407407407408</v>
      </c>
      <c r="D200" s="659">
        <v>228.94230769230768</v>
      </c>
      <c r="E200" s="659">
        <v>262.77</v>
      </c>
      <c r="F200" s="659">
        <v>275.26851851851853</v>
      </c>
      <c r="G200" s="659">
        <v>280.88461538461536</v>
      </c>
      <c r="H200" s="659">
        <v>291.61538461538464</v>
      </c>
      <c r="I200" s="659">
        <v>294.125</v>
      </c>
      <c r="J200" s="659">
        <v>289.92307692307691</v>
      </c>
      <c r="K200" s="659">
        <v>315</v>
      </c>
      <c r="L200" s="659">
        <v>329.61057692307691</v>
      </c>
      <c r="M200" s="659">
        <v>361.78846153846155</v>
      </c>
      <c r="N200" s="659">
        <v>360.65384615384613</v>
      </c>
      <c r="O200" s="659">
        <v>333.7037037037037</v>
      </c>
      <c r="P200" s="659">
        <v>337.96153846153845</v>
      </c>
      <c r="Q200" s="659">
        <v>344.22916666666669</v>
      </c>
      <c r="R200" s="659">
        <v>347.57407407407408</v>
      </c>
      <c r="S200" s="659">
        <v>336.74</v>
      </c>
      <c r="T200" s="659">
        <v>351.75480769230768</v>
      </c>
      <c r="U200" s="659">
        <v>406.15384615384613</v>
      </c>
      <c r="V200" s="659">
        <v>409.73076923076923</v>
      </c>
      <c r="W200" s="659">
        <v>418.2037037037037</v>
      </c>
      <c r="X200" s="659">
        <v>384.40865384615387</v>
      </c>
      <c r="Y200" s="659">
        <v>357.38461538461536</v>
      </c>
      <c r="Z200" s="659">
        <v>340.42788461538464</v>
      </c>
      <c r="AA200" s="659">
        <v>326.32</v>
      </c>
      <c r="AB200" s="659">
        <v>348.40909090909088</v>
      </c>
      <c r="AC200" s="659">
        <v>335.09635416666669</v>
      </c>
      <c r="AD200" s="659">
        <v>342.35185185185185</v>
      </c>
      <c r="AE200" s="659">
        <v>354.78</v>
      </c>
      <c r="AF200" s="659">
        <v>369</v>
      </c>
      <c r="AG200" s="659">
        <v>369</v>
      </c>
      <c r="AH200" s="659">
        <v>369</v>
      </c>
      <c r="AI200" s="659">
        <v>370</v>
      </c>
      <c r="AJ200" s="659">
        <v>370</v>
      </c>
      <c r="AK200" s="659">
        <v>370</v>
      </c>
      <c r="AL200" s="659">
        <v>370</v>
      </c>
    </row>
    <row r="201" spans="1:38" ht="15" customHeight="1">
      <c r="A201" s="657" t="s">
        <v>520</v>
      </c>
      <c r="B201" s="658">
        <v>3</v>
      </c>
      <c r="C201" s="659">
        <v>8313.125</v>
      </c>
      <c r="D201" s="659">
        <v>5751.2562500000004</v>
      </c>
      <c r="E201" s="659">
        <v>8410.5487499999999</v>
      </c>
      <c r="F201" s="659">
        <v>9674.7637500000001</v>
      </c>
      <c r="G201" s="659">
        <v>9070.9487499999996</v>
      </c>
      <c r="H201" s="659">
        <v>9978.34</v>
      </c>
      <c r="I201" s="659">
        <v>9880.3887500000001</v>
      </c>
      <c r="J201" s="659">
        <v>8027.2775000000001</v>
      </c>
      <c r="K201" s="659">
        <v>7669.3125</v>
      </c>
      <c r="L201" s="659">
        <v>9098.2224999999999</v>
      </c>
      <c r="M201" s="659">
        <v>10053.99</v>
      </c>
      <c r="N201" s="659">
        <v>9981.5949999999993</v>
      </c>
      <c r="O201" s="659">
        <v>8888.6762500000004</v>
      </c>
      <c r="P201" s="659">
        <v>7373.15</v>
      </c>
      <c r="Q201" s="659">
        <v>8885.2450000000008</v>
      </c>
      <c r="R201" s="659">
        <v>9712.6712499999994</v>
      </c>
      <c r="S201" s="659">
        <v>9376.4337500000001</v>
      </c>
      <c r="T201" s="659">
        <v>10781.004999999999</v>
      </c>
      <c r="U201" s="659">
        <v>11002.8375</v>
      </c>
      <c r="V201" s="659">
        <v>10746.68</v>
      </c>
      <c r="W201" s="659">
        <v>11568.86</v>
      </c>
      <c r="X201" s="659">
        <v>10863.221250000001</v>
      </c>
      <c r="Y201" s="659">
        <v>9705.3449999999993</v>
      </c>
      <c r="Z201" s="659">
        <v>9400.6362499999996</v>
      </c>
      <c r="AA201" s="659">
        <v>8272.098750000001</v>
      </c>
      <c r="AB201" s="659">
        <v>6904.42</v>
      </c>
      <c r="AC201" s="659">
        <v>8481.5962499999987</v>
      </c>
      <c r="AD201" s="659">
        <v>10303.626249999999</v>
      </c>
      <c r="AE201" s="659">
        <v>6773.8362500000003</v>
      </c>
      <c r="AF201" s="659">
        <v>9225</v>
      </c>
      <c r="AG201" s="659">
        <v>9225</v>
      </c>
      <c r="AH201" s="659">
        <v>9225</v>
      </c>
      <c r="AI201" s="659">
        <v>9250</v>
      </c>
      <c r="AJ201" s="659">
        <v>9250</v>
      </c>
      <c r="AK201" s="659">
        <v>9250</v>
      </c>
      <c r="AL201" s="659">
        <v>9250</v>
      </c>
    </row>
    <row r="202" spans="1:38" ht="15" customHeight="1">
      <c r="A202" s="657" t="s">
        <v>521</v>
      </c>
      <c r="B202" s="658">
        <v>4</v>
      </c>
      <c r="C202" s="659">
        <v>4748.3130000000001</v>
      </c>
      <c r="D202" s="659">
        <v>2926.502</v>
      </c>
      <c r="E202" s="659">
        <v>4896.4380000000001</v>
      </c>
      <c r="F202" s="659">
        <v>4526.3689999999997</v>
      </c>
      <c r="G202" s="659">
        <v>4417.875</v>
      </c>
      <c r="H202" s="659">
        <v>3495.0745000000002</v>
      </c>
      <c r="I202" s="659">
        <v>1866.424</v>
      </c>
      <c r="J202" s="659">
        <v>2192.5825</v>
      </c>
      <c r="K202" s="659">
        <v>2799.3997000000004</v>
      </c>
      <c r="L202" s="659">
        <v>4293.2714999999998</v>
      </c>
      <c r="M202" s="659">
        <v>4775.3969999999999</v>
      </c>
      <c r="N202" s="659">
        <v>3318.6421</v>
      </c>
      <c r="O202" s="659">
        <v>1839.731</v>
      </c>
      <c r="P202" s="659">
        <v>2957.2660000000001</v>
      </c>
      <c r="Q202" s="659">
        <v>4821.92</v>
      </c>
      <c r="R202" s="659">
        <v>4088.2489999999998</v>
      </c>
      <c r="S202" s="659">
        <v>4828.9709999999995</v>
      </c>
      <c r="T202" s="659">
        <v>4232.4530000000004</v>
      </c>
      <c r="U202" s="659">
        <v>4561.6409999999996</v>
      </c>
      <c r="V202" s="659">
        <v>4570.5645000000004</v>
      </c>
      <c r="W202" s="659">
        <v>4555.5079999999998</v>
      </c>
      <c r="X202" s="659">
        <v>3173.9180000000001</v>
      </c>
      <c r="Y202" s="659">
        <v>2323.2629999999999</v>
      </c>
      <c r="Z202" s="659">
        <v>3552.8618000000001</v>
      </c>
      <c r="AA202" s="659">
        <v>2868.56925</v>
      </c>
      <c r="AB202" s="659">
        <v>1811.1</v>
      </c>
      <c r="AC202" s="659">
        <v>4279.4889999999996</v>
      </c>
      <c r="AD202" s="659">
        <v>4003.7973046143684</v>
      </c>
      <c r="AE202" s="659">
        <v>3592.6819999999998</v>
      </c>
      <c r="AF202" s="659">
        <v>4284.8144134292879</v>
      </c>
      <c r="AG202" s="659">
        <v>4264.7783844271753</v>
      </c>
      <c r="AH202" s="659">
        <v>4161.473212798478</v>
      </c>
      <c r="AI202" s="659">
        <v>4366.0900727482203</v>
      </c>
      <c r="AJ202" s="659">
        <v>4073.6191944065081</v>
      </c>
      <c r="AK202" s="659">
        <v>4294.6592745360449</v>
      </c>
      <c r="AL202" s="659">
        <v>4380.6502413697199</v>
      </c>
    </row>
    <row r="203" spans="1:38" ht="15" customHeight="1">
      <c r="A203" s="657" t="s">
        <v>522</v>
      </c>
      <c r="B203" s="658">
        <v>5</v>
      </c>
      <c r="C203" s="659">
        <f t="shared" ref="C203:AL205" si="10">C134</f>
        <v>3553.2</v>
      </c>
      <c r="D203" s="659">
        <f t="shared" si="10"/>
        <v>2285.0509999999999</v>
      </c>
      <c r="E203" s="659">
        <f t="shared" si="10"/>
        <v>2972.0680000000002</v>
      </c>
      <c r="F203" s="659">
        <f t="shared" si="10"/>
        <v>3202.752</v>
      </c>
      <c r="G203" s="659">
        <f t="shared" si="10"/>
        <v>3455.89</v>
      </c>
      <c r="H203" s="659">
        <f t="shared" si="10"/>
        <v>2432.3249999999998</v>
      </c>
      <c r="I203" s="659">
        <f t="shared" si="10"/>
        <v>1986.8530000000001</v>
      </c>
      <c r="J203" s="659">
        <f t="shared" si="10"/>
        <v>5184.5942000000005</v>
      </c>
      <c r="K203" s="659">
        <f t="shared" si="10"/>
        <v>4932.5069999999996</v>
      </c>
      <c r="L203" s="659">
        <f t="shared" si="10"/>
        <v>4058.203</v>
      </c>
      <c r="M203" s="659">
        <f t="shared" si="10"/>
        <v>2606.2530000000002</v>
      </c>
      <c r="N203" s="659">
        <f t="shared" si="10"/>
        <v>3375.1480000000001</v>
      </c>
      <c r="O203" s="659">
        <f t="shared" si="10"/>
        <v>3612.7512999999999</v>
      </c>
      <c r="P203" s="659">
        <f t="shared" si="10"/>
        <v>6002.0379999999996</v>
      </c>
      <c r="Q203" s="659">
        <f t="shared" si="10"/>
        <v>4985.5379999999996</v>
      </c>
      <c r="R203" s="659">
        <f t="shared" si="10"/>
        <v>4060.3609999999999</v>
      </c>
      <c r="S203" s="659">
        <f t="shared" si="10"/>
        <v>4785.7602999999999</v>
      </c>
      <c r="T203" s="659">
        <f t="shared" si="10"/>
        <v>3895.6950000000002</v>
      </c>
      <c r="U203" s="659">
        <f t="shared" si="10"/>
        <v>4652.4191000000001</v>
      </c>
      <c r="V203" s="659">
        <f t="shared" si="10"/>
        <v>5655.27</v>
      </c>
      <c r="W203" s="659">
        <f t="shared" si="10"/>
        <v>3106.2919999999999</v>
      </c>
      <c r="X203" s="659">
        <f t="shared" si="10"/>
        <v>3393.5369999999998</v>
      </c>
      <c r="Y203" s="659">
        <f t="shared" si="10"/>
        <v>3040.82</v>
      </c>
      <c r="Z203" s="659">
        <f t="shared" si="10"/>
        <v>3185.6790000000001</v>
      </c>
      <c r="AA203" s="659">
        <f t="shared" si="10"/>
        <v>4409.9920000000002</v>
      </c>
      <c r="AB203" s="659">
        <f t="shared" si="10"/>
        <v>3267.6</v>
      </c>
      <c r="AC203" s="659">
        <f t="shared" si="10"/>
        <v>6445.4459999999999</v>
      </c>
      <c r="AD203" s="659">
        <f t="shared" si="10"/>
        <v>5748.625</v>
      </c>
      <c r="AE203" s="659">
        <f t="shared" si="10"/>
        <v>5140.924</v>
      </c>
      <c r="AF203" s="659">
        <f t="shared" si="10"/>
        <v>0</v>
      </c>
      <c r="AG203" s="659">
        <f t="shared" si="10"/>
        <v>0</v>
      </c>
      <c r="AH203" s="659">
        <f t="shared" si="10"/>
        <v>0</v>
      </c>
      <c r="AI203" s="659">
        <f t="shared" si="10"/>
        <v>0</v>
      </c>
      <c r="AJ203" s="659">
        <f t="shared" si="10"/>
        <v>0</v>
      </c>
      <c r="AK203" s="659">
        <f t="shared" si="10"/>
        <v>0</v>
      </c>
      <c r="AL203" s="659">
        <f t="shared" si="10"/>
        <v>0</v>
      </c>
    </row>
    <row r="204" spans="1:38" ht="15" customHeight="1">
      <c r="A204" s="660" t="s">
        <v>523</v>
      </c>
      <c r="B204" s="661">
        <v>6</v>
      </c>
      <c r="C204" s="662">
        <f t="shared" si="10"/>
        <v>95961616736</v>
      </c>
      <c r="D204" s="662">
        <f t="shared" si="10"/>
        <v>70105871996</v>
      </c>
      <c r="E204" s="662">
        <f t="shared" si="10"/>
        <v>92109508133</v>
      </c>
      <c r="F204" s="662">
        <f t="shared" si="10"/>
        <v>97489092894</v>
      </c>
      <c r="G204" s="662">
        <f t="shared" si="10"/>
        <v>102501453344</v>
      </c>
      <c r="H204" s="662">
        <f t="shared" si="10"/>
        <v>68093170109</v>
      </c>
      <c r="I204" s="662">
        <f t="shared" si="10"/>
        <v>56451269692</v>
      </c>
      <c r="J204" s="662">
        <f t="shared" si="10"/>
        <v>160372945473</v>
      </c>
      <c r="K204" s="662">
        <f t="shared" si="10"/>
        <v>161501484254</v>
      </c>
      <c r="L204" s="662">
        <f t="shared" si="10"/>
        <v>119734804022</v>
      </c>
      <c r="M204" s="662">
        <f t="shared" si="10"/>
        <v>76175498864</v>
      </c>
      <c r="N204" s="662">
        <f t="shared" si="10"/>
        <v>110890509220</v>
      </c>
      <c r="O204" s="662">
        <f t="shared" si="10"/>
        <v>114976445897</v>
      </c>
      <c r="P204" s="662">
        <f t="shared" si="10"/>
        <v>188477338235</v>
      </c>
      <c r="Q204" s="662">
        <f t="shared" si="10"/>
        <v>150730683132</v>
      </c>
      <c r="R204" s="662">
        <f t="shared" si="10"/>
        <v>125734240353</v>
      </c>
      <c r="S204" s="662">
        <f t="shared" si="10"/>
        <v>153674258114</v>
      </c>
      <c r="T204" s="662">
        <f t="shared" si="10"/>
        <v>119843310993</v>
      </c>
      <c r="U204" s="662">
        <f t="shared" si="10"/>
        <v>138018360641</v>
      </c>
      <c r="V204" s="662">
        <f t="shared" si="10"/>
        <v>169442946928</v>
      </c>
      <c r="W204" s="662">
        <f t="shared" si="10"/>
        <v>91484253567</v>
      </c>
      <c r="X204" s="662">
        <f t="shared" si="10"/>
        <v>108928556660</v>
      </c>
      <c r="Y204" s="662">
        <f>Y135</f>
        <v>89826973802</v>
      </c>
      <c r="Z204" s="662">
        <f>Z135</f>
        <v>100861213901</v>
      </c>
      <c r="AA204" s="662">
        <f>AA135</f>
        <v>126786913920</v>
      </c>
      <c r="AB204" s="662">
        <f t="shared" si="10"/>
        <v>96600110916</v>
      </c>
      <c r="AC204" s="662">
        <f t="shared" si="10"/>
        <v>174261948689</v>
      </c>
      <c r="AD204" s="662">
        <f t="shared" si="10"/>
        <v>159143428903</v>
      </c>
      <c r="AE204" s="662">
        <f t="shared" si="10"/>
        <v>160987273061</v>
      </c>
      <c r="AF204" s="662">
        <f t="shared" si="10"/>
        <v>0</v>
      </c>
      <c r="AG204" s="662">
        <f t="shared" si="10"/>
        <v>0</v>
      </c>
      <c r="AH204" s="662">
        <f t="shared" si="10"/>
        <v>0</v>
      </c>
      <c r="AI204" s="662">
        <f t="shared" si="10"/>
        <v>0</v>
      </c>
      <c r="AJ204" s="662">
        <f t="shared" si="10"/>
        <v>0</v>
      </c>
      <c r="AK204" s="662">
        <f t="shared" si="10"/>
        <v>0</v>
      </c>
      <c r="AL204" s="662">
        <f t="shared" si="10"/>
        <v>0</v>
      </c>
    </row>
    <row r="205" spans="1:38" ht="15" customHeight="1">
      <c r="A205" s="663" t="s">
        <v>524</v>
      </c>
      <c r="B205" s="664">
        <v>7</v>
      </c>
      <c r="C205" s="665">
        <f t="shared" si="10"/>
        <v>0</v>
      </c>
      <c r="D205" s="665">
        <f t="shared" si="10"/>
        <v>1166125000</v>
      </c>
      <c r="E205" s="665">
        <f t="shared" si="10"/>
        <v>0</v>
      </c>
      <c r="F205" s="665">
        <f t="shared" si="10"/>
        <v>0</v>
      </c>
      <c r="G205" s="665">
        <f t="shared" si="10"/>
        <v>136455000</v>
      </c>
      <c r="H205" s="665">
        <f t="shared" si="10"/>
        <v>0</v>
      </c>
      <c r="I205" s="665">
        <f t="shared" si="10"/>
        <v>0</v>
      </c>
      <c r="J205" s="665">
        <f t="shared" si="10"/>
        <v>6345077301</v>
      </c>
      <c r="K205" s="665">
        <f t="shared" si="10"/>
        <v>4671587529</v>
      </c>
      <c r="L205" s="665">
        <f t="shared" si="10"/>
        <v>2922205276</v>
      </c>
      <c r="M205" s="665">
        <f t="shared" si="10"/>
        <v>49359030</v>
      </c>
      <c r="N205" s="665">
        <f t="shared" si="10"/>
        <v>4680420540</v>
      </c>
      <c r="O205" s="665">
        <f t="shared" si="10"/>
        <v>513935495</v>
      </c>
      <c r="P205" s="665">
        <f t="shared" si="10"/>
        <v>477877176</v>
      </c>
      <c r="Q205" s="665">
        <f t="shared" si="10"/>
        <v>477350452</v>
      </c>
      <c r="R205" s="665">
        <f t="shared" si="10"/>
        <v>304590498</v>
      </c>
      <c r="S205" s="665">
        <f t="shared" si="10"/>
        <v>1607115262</v>
      </c>
      <c r="T205" s="665">
        <f t="shared" si="10"/>
        <v>708638196</v>
      </c>
      <c r="U205" s="665">
        <f t="shared" si="10"/>
        <v>26953743</v>
      </c>
      <c r="V205" s="665">
        <f t="shared" si="10"/>
        <v>1000293545</v>
      </c>
      <c r="W205" s="665">
        <f t="shared" si="10"/>
        <v>6773818500</v>
      </c>
      <c r="X205" s="665">
        <f t="shared" si="10"/>
        <v>0</v>
      </c>
      <c r="Y205" s="665">
        <f>Y136</f>
        <v>1479093000</v>
      </c>
      <c r="Z205" s="665">
        <v>-573868680</v>
      </c>
      <c r="AA205" s="665">
        <f t="shared" si="10"/>
        <v>687876997</v>
      </c>
      <c r="AB205" s="665">
        <f t="shared" si="10"/>
        <v>33305556</v>
      </c>
      <c r="AC205" s="665">
        <f t="shared" si="10"/>
        <v>956126160</v>
      </c>
      <c r="AD205" s="665">
        <f t="shared" si="10"/>
        <v>86574074</v>
      </c>
      <c r="AE205" s="665">
        <f t="shared" si="10"/>
        <v>1221964024</v>
      </c>
      <c r="AF205" s="665">
        <f t="shared" si="10"/>
        <v>0</v>
      </c>
      <c r="AG205" s="665">
        <f t="shared" si="10"/>
        <v>0</v>
      </c>
      <c r="AH205" s="665">
        <f t="shared" si="10"/>
        <v>0</v>
      </c>
      <c r="AI205" s="665">
        <f t="shared" si="10"/>
        <v>0</v>
      </c>
      <c r="AJ205" s="665">
        <f t="shared" si="10"/>
        <v>0</v>
      </c>
      <c r="AK205" s="665">
        <f t="shared" si="10"/>
        <v>0</v>
      </c>
      <c r="AL205" s="665">
        <f t="shared" si="10"/>
        <v>0</v>
      </c>
    </row>
    <row r="206" spans="1:38" ht="15" customHeight="1">
      <c r="A206" s="663" t="s">
        <v>525</v>
      </c>
      <c r="B206" s="664">
        <v>8</v>
      </c>
      <c r="C206" s="666">
        <f t="shared" ref="C206:AL206" si="11">IFERROR(C205/C204,"")</f>
        <v>0</v>
      </c>
      <c r="D206" s="666">
        <f t="shared" si="11"/>
        <v>1.6633770707060531E-2</v>
      </c>
      <c r="E206" s="666">
        <f t="shared" si="11"/>
        <v>0</v>
      </c>
      <c r="F206" s="666">
        <f t="shared" si="11"/>
        <v>0</v>
      </c>
      <c r="G206" s="666">
        <f t="shared" si="11"/>
        <v>1.3312494169429013E-3</v>
      </c>
      <c r="H206" s="666">
        <f t="shared" si="11"/>
        <v>0</v>
      </c>
      <c r="I206" s="666">
        <f t="shared" si="11"/>
        <v>0</v>
      </c>
      <c r="J206" s="666">
        <f t="shared" si="11"/>
        <v>3.9564511846346566E-2</v>
      </c>
      <c r="K206" s="666">
        <f t="shared" si="11"/>
        <v>2.8925972727611611E-2</v>
      </c>
      <c r="L206" s="666">
        <f t="shared" si="11"/>
        <v>2.4405646293646381E-2</v>
      </c>
      <c r="M206" s="666">
        <f t="shared" si="11"/>
        <v>6.4796464396148148E-4</v>
      </c>
      <c r="N206" s="666">
        <f t="shared" si="11"/>
        <v>4.2207584516672489E-2</v>
      </c>
      <c r="O206" s="666">
        <f t="shared" si="11"/>
        <v>4.4699198256693525E-3</v>
      </c>
      <c r="P206" s="666">
        <f t="shared" si="11"/>
        <v>2.5354622496003543E-3</v>
      </c>
      <c r="Q206" s="666">
        <f t="shared" si="11"/>
        <v>3.1669096303502315E-3</v>
      </c>
      <c r="R206" s="666">
        <f t="shared" si="11"/>
        <v>2.4224944386259419E-3</v>
      </c>
      <c r="S206" s="666">
        <f t="shared" si="11"/>
        <v>1.0457934085536925E-2</v>
      </c>
      <c r="T206" s="666">
        <f t="shared" si="11"/>
        <v>5.9130392020076217E-3</v>
      </c>
      <c r="U206" s="666">
        <f t="shared" si="11"/>
        <v>1.9529099516048788E-4</v>
      </c>
      <c r="V206" s="666">
        <f t="shared" si="11"/>
        <v>5.9034239142750893E-3</v>
      </c>
      <c r="W206" s="666">
        <f t="shared" si="11"/>
        <v>7.4043545592674939E-2</v>
      </c>
      <c r="X206" s="666">
        <f t="shared" si="11"/>
        <v>0</v>
      </c>
      <c r="Y206" s="666">
        <f t="shared" si="11"/>
        <v>1.6466022814709005E-2</v>
      </c>
      <c r="Z206" s="666">
        <v>-5.6896864295454437E-3</v>
      </c>
      <c r="AA206" s="666">
        <f t="shared" si="11"/>
        <v>5.4254573735743467E-3</v>
      </c>
      <c r="AB206" s="666">
        <f t="shared" si="11"/>
        <v>3.4477761654912924E-4</v>
      </c>
      <c r="AC206" s="666">
        <f t="shared" si="11"/>
        <v>5.4867179392465611E-3</v>
      </c>
      <c r="AD206" s="666">
        <f t="shared" si="11"/>
        <v>5.4400030586728169E-4</v>
      </c>
      <c r="AE206" s="666">
        <f t="shared" si="11"/>
        <v>7.5904386773293763E-3</v>
      </c>
      <c r="AF206" s="666" t="str">
        <f t="shared" si="11"/>
        <v/>
      </c>
      <c r="AG206" s="666" t="str">
        <f t="shared" si="11"/>
        <v/>
      </c>
      <c r="AH206" s="666" t="str">
        <f t="shared" si="11"/>
        <v/>
      </c>
      <c r="AI206" s="666" t="str">
        <f t="shared" si="11"/>
        <v/>
      </c>
      <c r="AJ206" s="666" t="str">
        <f t="shared" si="11"/>
        <v/>
      </c>
      <c r="AK206" s="666" t="str">
        <f t="shared" si="11"/>
        <v/>
      </c>
      <c r="AL206" s="666" t="str">
        <f t="shared" si="11"/>
        <v/>
      </c>
    </row>
    <row r="207" spans="1:38" ht="15" customHeight="1">
      <c r="A207" s="660" t="s">
        <v>526</v>
      </c>
      <c r="B207" s="661">
        <v>9</v>
      </c>
      <c r="C207" s="667">
        <f t="shared" ref="C207:AL207" si="12">C137</f>
        <v>95961616736</v>
      </c>
      <c r="D207" s="667">
        <f t="shared" si="12"/>
        <v>68939746996</v>
      </c>
      <c r="E207" s="667">
        <f t="shared" si="12"/>
        <v>92109508133</v>
      </c>
      <c r="F207" s="667">
        <f t="shared" si="12"/>
        <v>97489092894</v>
      </c>
      <c r="G207" s="667">
        <f t="shared" si="12"/>
        <v>102364998344</v>
      </c>
      <c r="H207" s="667">
        <f t="shared" si="12"/>
        <v>68093170109</v>
      </c>
      <c r="I207" s="667">
        <f t="shared" si="12"/>
        <v>56451269692</v>
      </c>
      <c r="J207" s="667">
        <f t="shared" si="12"/>
        <v>154027868172</v>
      </c>
      <c r="K207" s="667">
        <f t="shared" si="12"/>
        <v>156829896725</v>
      </c>
      <c r="L207" s="667">
        <f t="shared" si="12"/>
        <v>116812598746</v>
      </c>
      <c r="M207" s="667">
        <f t="shared" si="12"/>
        <v>76126139834</v>
      </c>
      <c r="N207" s="667">
        <f t="shared" si="12"/>
        <v>106210088680</v>
      </c>
      <c r="O207" s="667">
        <f t="shared" si="12"/>
        <v>114462510402</v>
      </c>
      <c r="P207" s="667">
        <f t="shared" si="12"/>
        <v>187999461059</v>
      </c>
      <c r="Q207" s="667">
        <f t="shared" si="12"/>
        <v>150253332680</v>
      </c>
      <c r="R207" s="667">
        <f t="shared" si="12"/>
        <v>125429649855</v>
      </c>
      <c r="S207" s="667">
        <f t="shared" si="12"/>
        <v>152067142852</v>
      </c>
      <c r="T207" s="667">
        <f t="shared" si="12"/>
        <v>119134672797</v>
      </c>
      <c r="U207" s="667">
        <f t="shared" si="12"/>
        <v>137991406898</v>
      </c>
      <c r="V207" s="667">
        <f t="shared" si="12"/>
        <v>168442653383</v>
      </c>
      <c r="W207" s="667">
        <f t="shared" si="12"/>
        <v>84710435067</v>
      </c>
      <c r="X207" s="667">
        <f t="shared" si="12"/>
        <v>108928556660</v>
      </c>
      <c r="Y207" s="667">
        <f t="shared" si="12"/>
        <v>88347880802</v>
      </c>
      <c r="Z207" s="667">
        <v>101435082581</v>
      </c>
      <c r="AA207" s="667">
        <f t="shared" si="12"/>
        <v>126099036923</v>
      </c>
      <c r="AB207" s="667">
        <f t="shared" si="12"/>
        <v>96566805360</v>
      </c>
      <c r="AC207" s="667">
        <f t="shared" si="12"/>
        <v>173305822529</v>
      </c>
      <c r="AD207" s="667">
        <f t="shared" si="12"/>
        <v>159056854829</v>
      </c>
      <c r="AE207" s="667">
        <f t="shared" si="12"/>
        <v>159765309037</v>
      </c>
      <c r="AF207" s="667">
        <f t="shared" si="12"/>
        <v>0</v>
      </c>
      <c r="AG207" s="667">
        <f t="shared" si="12"/>
        <v>0</v>
      </c>
      <c r="AH207" s="667">
        <f t="shared" si="12"/>
        <v>0</v>
      </c>
      <c r="AI207" s="667">
        <f t="shared" si="12"/>
        <v>0</v>
      </c>
      <c r="AJ207" s="667">
        <f t="shared" si="12"/>
        <v>0</v>
      </c>
      <c r="AK207" s="667">
        <f t="shared" si="12"/>
        <v>0</v>
      </c>
      <c r="AL207" s="667">
        <f t="shared" si="12"/>
        <v>0</v>
      </c>
    </row>
    <row r="208" spans="1:38" ht="15" customHeight="1">
      <c r="A208" s="657" t="s">
        <v>527</v>
      </c>
      <c r="B208" s="658">
        <v>10</v>
      </c>
      <c r="C208" s="668">
        <v>82123174705</v>
      </c>
      <c r="D208" s="668">
        <v>82123174705</v>
      </c>
      <c r="E208" s="668">
        <v>82123174705</v>
      </c>
      <c r="F208" s="668">
        <v>82123174705</v>
      </c>
      <c r="G208" s="668">
        <v>82123174705</v>
      </c>
      <c r="H208" s="668">
        <v>82123174705</v>
      </c>
      <c r="I208" s="668">
        <v>82123174705</v>
      </c>
      <c r="J208" s="668">
        <v>82123174705</v>
      </c>
      <c r="K208" s="668">
        <v>82123174705</v>
      </c>
      <c r="L208" s="668">
        <v>82123174705</v>
      </c>
      <c r="M208" s="668">
        <v>82123174705</v>
      </c>
      <c r="N208" s="668">
        <v>82123174705</v>
      </c>
      <c r="O208" s="668">
        <v>82123174705</v>
      </c>
      <c r="P208" s="668">
        <v>127754884829</v>
      </c>
      <c r="Q208" s="668">
        <v>103667980875</v>
      </c>
      <c r="R208" s="668">
        <v>89699052245</v>
      </c>
      <c r="S208" s="668">
        <v>114824058990</v>
      </c>
      <c r="T208" s="668">
        <v>70054412500</v>
      </c>
      <c r="U208" s="668">
        <v>88123126474</v>
      </c>
      <c r="V208" s="668">
        <v>94069028914</v>
      </c>
      <c r="W208" s="668">
        <v>24953975916</v>
      </c>
      <c r="X208" s="668">
        <v>27056388040</v>
      </c>
      <c r="Y208" s="668">
        <v>21625208400</v>
      </c>
      <c r="Z208" s="668">
        <v>30893476900</v>
      </c>
      <c r="AA208" s="659">
        <v>70701288516</v>
      </c>
      <c r="AB208" s="659">
        <v>58540341826</v>
      </c>
      <c r="AC208" s="659">
        <v>80759624796</v>
      </c>
      <c r="AD208" s="659">
        <v>67176948835</v>
      </c>
      <c r="AE208" s="712">
        <v>87346708460</v>
      </c>
      <c r="AF208" s="659">
        <v>84694024090.909088</v>
      </c>
      <c r="AG208" s="659">
        <v>81755188545.454544</v>
      </c>
      <c r="AH208" s="659">
        <v>74361264545.454559</v>
      </c>
      <c r="AI208" s="659">
        <v>89651870545.454559</v>
      </c>
      <c r="AJ208" s="659">
        <v>75481684545.454559</v>
      </c>
      <c r="AK208" s="659">
        <v>82304374545.454544</v>
      </c>
      <c r="AL208" s="659">
        <v>82308031545.454544</v>
      </c>
    </row>
    <row r="209" spans="1:38" ht="15" customHeight="1">
      <c r="A209" s="657" t="s">
        <v>528</v>
      </c>
      <c r="B209" s="658">
        <v>11</v>
      </c>
      <c r="C209" s="668">
        <v>32339335697</v>
      </c>
      <c r="D209" s="668">
        <v>32339335697</v>
      </c>
      <c r="E209" s="668">
        <v>32339335697</v>
      </c>
      <c r="F209" s="668">
        <v>32339335697</v>
      </c>
      <c r="G209" s="668">
        <v>32339335697</v>
      </c>
      <c r="H209" s="668">
        <v>32339335697</v>
      </c>
      <c r="I209" s="668">
        <v>32339335697</v>
      </c>
      <c r="J209" s="668">
        <v>32339335697</v>
      </c>
      <c r="K209" s="668">
        <v>32339335697</v>
      </c>
      <c r="L209" s="668">
        <v>32339335697</v>
      </c>
      <c r="M209" s="668">
        <v>32339335697</v>
      </c>
      <c r="N209" s="668">
        <v>32339335697</v>
      </c>
      <c r="O209" s="668">
        <v>32339335697</v>
      </c>
      <c r="P209" s="668">
        <v>60244576230</v>
      </c>
      <c r="Q209" s="668">
        <v>46405979203</v>
      </c>
      <c r="R209" s="668">
        <v>35730597610</v>
      </c>
      <c r="S209" s="668">
        <v>37243083862</v>
      </c>
      <c r="T209" s="668">
        <v>49080260297</v>
      </c>
      <c r="U209" s="668">
        <v>49868280424</v>
      </c>
      <c r="V209" s="668">
        <v>74191430822</v>
      </c>
      <c r="W209" s="668">
        <v>58338102351</v>
      </c>
      <c r="X209" s="668">
        <v>72117222220</v>
      </c>
      <c r="Y209" s="668">
        <v>63327421201</v>
      </c>
      <c r="Z209" s="668">
        <v>62246318181</v>
      </c>
      <c r="AA209" s="659">
        <v>55230863407</v>
      </c>
      <c r="AB209" s="659">
        <v>37446516644</v>
      </c>
      <c r="AC209" s="659">
        <v>91465682733.000031</v>
      </c>
      <c r="AD209" s="659">
        <v>91879905994</v>
      </c>
      <c r="AE209" s="712">
        <v>70741575322</v>
      </c>
      <c r="AF209" s="659">
        <v>58821048808.334557</v>
      </c>
      <c r="AG209" s="659">
        <v>60852250322.50544</v>
      </c>
      <c r="AH209" s="659">
        <v>64042688452.690079</v>
      </c>
      <c r="AI209" s="659">
        <v>55748010476.828041</v>
      </c>
      <c r="AJ209" s="659">
        <v>59630388177.709099</v>
      </c>
      <c r="AK209" s="659">
        <v>60830658973.372383</v>
      </c>
      <c r="AL209" s="659">
        <v>62271076580.716881</v>
      </c>
    </row>
    <row r="210" spans="1:38" ht="15" customHeight="1">
      <c r="A210" s="657" t="s">
        <v>529</v>
      </c>
      <c r="B210" s="658">
        <v>12</v>
      </c>
      <c r="C210" s="668"/>
      <c r="D210" s="668"/>
      <c r="E210" s="668"/>
      <c r="F210" s="668"/>
      <c r="G210" s="668"/>
      <c r="H210" s="668"/>
      <c r="I210" s="668"/>
      <c r="J210" s="668"/>
      <c r="K210" s="668"/>
      <c r="L210" s="668"/>
      <c r="M210" s="668"/>
      <c r="N210" s="668"/>
      <c r="O210" s="668"/>
      <c r="P210" s="668"/>
      <c r="Q210" s="668">
        <v>179372602</v>
      </c>
      <c r="R210" s="668"/>
      <c r="S210" s="668"/>
      <c r="T210" s="668"/>
      <c r="U210" s="668"/>
      <c r="V210" s="668">
        <v>182193647</v>
      </c>
      <c r="W210" s="668">
        <v>1418356800</v>
      </c>
      <c r="X210" s="668">
        <v>9754946400</v>
      </c>
      <c r="Y210" s="668">
        <v>3395251201</v>
      </c>
      <c r="Z210" s="668">
        <v>8295287500</v>
      </c>
      <c r="AA210" s="668">
        <v>166885000</v>
      </c>
      <c r="AB210" s="668">
        <v>579946890</v>
      </c>
      <c r="AC210" s="668">
        <v>1080515000</v>
      </c>
      <c r="AD210" s="668">
        <v>0</v>
      </c>
      <c r="AE210" s="712">
        <v>1677025255</v>
      </c>
      <c r="AF210" s="668">
        <v>0</v>
      </c>
      <c r="AG210" s="659">
        <v>4925058000</v>
      </c>
      <c r="AH210" s="659">
        <v>4925058000</v>
      </c>
      <c r="AI210" s="659">
        <v>4925058000</v>
      </c>
      <c r="AJ210" s="659">
        <v>4925058000</v>
      </c>
      <c r="AK210" s="659">
        <v>4925058000</v>
      </c>
      <c r="AL210" s="659">
        <v>5243797200</v>
      </c>
    </row>
    <row r="211" spans="1:38" ht="15" customHeight="1">
      <c r="A211" s="660" t="s">
        <v>530</v>
      </c>
      <c r="B211" s="661">
        <v>13</v>
      </c>
      <c r="C211" s="662">
        <f t="shared" ref="C211:AL211" si="13">C138</f>
        <v>85841765176</v>
      </c>
      <c r="D211" s="662">
        <f t="shared" si="13"/>
        <v>68748321616</v>
      </c>
      <c r="E211" s="662">
        <f t="shared" si="13"/>
        <v>86824377307</v>
      </c>
      <c r="F211" s="662">
        <f t="shared" si="13"/>
        <v>85475594862</v>
      </c>
      <c r="G211" s="662">
        <f t="shared" si="13"/>
        <v>99208228636</v>
      </c>
      <c r="H211" s="662">
        <f t="shared" si="13"/>
        <v>69795611979</v>
      </c>
      <c r="I211" s="662">
        <f t="shared" si="13"/>
        <v>61217801757</v>
      </c>
      <c r="J211" s="662">
        <f t="shared" si="13"/>
        <v>147970813832</v>
      </c>
      <c r="K211" s="662">
        <f t="shared" si="13"/>
        <v>132769623597</v>
      </c>
      <c r="L211" s="662">
        <f t="shared" si="13"/>
        <v>112138441893</v>
      </c>
      <c r="M211" s="662">
        <f t="shared" si="13"/>
        <v>70998442117</v>
      </c>
      <c r="N211" s="662">
        <f t="shared" si="13"/>
        <v>-22758768790</v>
      </c>
      <c r="O211" s="662">
        <f t="shared" si="13"/>
        <v>96299447936</v>
      </c>
      <c r="P211" s="662">
        <f t="shared" si="13"/>
        <v>154570631505</v>
      </c>
      <c r="Q211" s="662">
        <f t="shared" si="13"/>
        <v>129509315823</v>
      </c>
      <c r="R211" s="662">
        <f t="shared" si="13"/>
        <v>109641808151</v>
      </c>
      <c r="S211" s="662">
        <f t="shared" si="13"/>
        <v>129906078108</v>
      </c>
      <c r="T211" s="662">
        <f t="shared" si="13"/>
        <v>105463649620</v>
      </c>
      <c r="U211" s="662">
        <f t="shared" si="13"/>
        <v>128673842020</v>
      </c>
      <c r="V211" s="662">
        <f t="shared" si="13"/>
        <v>155101842643</v>
      </c>
      <c r="W211" s="662">
        <f t="shared" si="13"/>
        <v>83113314505</v>
      </c>
      <c r="X211" s="662">
        <f t="shared" si="13"/>
        <v>99966937216</v>
      </c>
      <c r="Y211" s="662">
        <f t="shared" si="13"/>
        <v>80940600844</v>
      </c>
      <c r="Z211" s="662">
        <f t="shared" si="13"/>
        <v>70308328665</v>
      </c>
      <c r="AA211" s="662">
        <f t="shared" si="13"/>
        <v>115080112871</v>
      </c>
      <c r="AB211" s="662">
        <f t="shared" si="13"/>
        <v>90411470461</v>
      </c>
      <c r="AC211" s="662">
        <f t="shared" si="13"/>
        <v>165844739865</v>
      </c>
      <c r="AD211" s="662">
        <f t="shared" si="13"/>
        <v>141086003219</v>
      </c>
      <c r="AE211" s="662">
        <f t="shared" si="13"/>
        <v>137580032058</v>
      </c>
      <c r="AF211" s="662">
        <f t="shared" si="13"/>
        <v>0</v>
      </c>
      <c r="AG211" s="662">
        <f t="shared" si="13"/>
        <v>0</v>
      </c>
      <c r="AH211" s="662">
        <f t="shared" si="13"/>
        <v>0</v>
      </c>
      <c r="AI211" s="662">
        <f t="shared" si="13"/>
        <v>0</v>
      </c>
      <c r="AJ211" s="662">
        <f t="shared" si="13"/>
        <v>0</v>
      </c>
      <c r="AK211" s="662">
        <f t="shared" si="13"/>
        <v>0</v>
      </c>
      <c r="AL211" s="662">
        <f t="shared" si="13"/>
        <v>0</v>
      </c>
    </row>
    <row r="212" spans="1:38" ht="15" customHeight="1">
      <c r="A212" s="657" t="s">
        <v>531</v>
      </c>
      <c r="B212" s="658">
        <v>14</v>
      </c>
      <c r="C212" s="668">
        <v>59329689662.037117</v>
      </c>
      <c r="D212" s="668">
        <v>44670723974</v>
      </c>
      <c r="E212" s="668">
        <v>55370087445.000031</v>
      </c>
      <c r="F212" s="668">
        <v>58899111953.000015</v>
      </c>
      <c r="G212" s="668">
        <v>68236506182.000015</v>
      </c>
      <c r="H212" s="668">
        <v>46389174439.000008</v>
      </c>
      <c r="I212" s="668">
        <v>40923610688.000031</v>
      </c>
      <c r="J212" s="668">
        <v>103236605964.00002</v>
      </c>
      <c r="K212" s="668">
        <v>96300506935.999939</v>
      </c>
      <c r="L212" s="668">
        <v>77607107093.000031</v>
      </c>
      <c r="M212" s="668">
        <v>45879463528.000008</v>
      </c>
      <c r="N212" s="668">
        <v>58103730049.584564</v>
      </c>
      <c r="O212" s="668">
        <v>68221516405.415436</v>
      </c>
      <c r="P212" s="668">
        <v>113527505882.12552</v>
      </c>
      <c r="Q212" s="668">
        <v>96004841554.999969</v>
      </c>
      <c r="R212" s="668">
        <v>79931588096.999985</v>
      </c>
      <c r="S212" s="668">
        <v>97656609600.457062</v>
      </c>
      <c r="T212" s="668">
        <v>78658431769.503632</v>
      </c>
      <c r="U212" s="668">
        <v>95890721473.837784</v>
      </c>
      <c r="V212" s="668">
        <v>114270744699.16875</v>
      </c>
      <c r="W212" s="668">
        <v>60560947912.984756</v>
      </c>
      <c r="X212" s="668">
        <v>67092922656.37043</v>
      </c>
      <c r="Y212" s="668">
        <v>53898728166</v>
      </c>
      <c r="Z212" s="668">
        <v>57953398051.406631</v>
      </c>
      <c r="AA212" s="659">
        <v>82659834144.875</v>
      </c>
      <c r="AB212" s="659">
        <v>60512615438.000191</v>
      </c>
      <c r="AC212" s="659">
        <v>119540135587.9998</v>
      </c>
      <c r="AD212" s="659">
        <v>101825654285.00024</v>
      </c>
      <c r="AE212" s="659">
        <v>100676110279.99994</v>
      </c>
      <c r="AF212" s="659">
        <v>85107631632.138962</v>
      </c>
      <c r="AG212" s="659">
        <v>84284702919.148239</v>
      </c>
      <c r="AH212" s="659">
        <v>82266894131.756058</v>
      </c>
      <c r="AI212" s="659">
        <v>86457682527.52919</v>
      </c>
      <c r="AJ212" s="659">
        <v>80691825757.730774</v>
      </c>
      <c r="AK212" s="659">
        <v>85004052401.054535</v>
      </c>
      <c r="AL212" s="659">
        <v>86852310764.981949</v>
      </c>
    </row>
    <row r="213" spans="1:38" ht="15" customHeight="1">
      <c r="A213" s="657" t="s">
        <v>532</v>
      </c>
      <c r="B213" s="658">
        <v>15</v>
      </c>
      <c r="C213" s="668">
        <v>5457667459</v>
      </c>
      <c r="D213" s="668">
        <v>4115002140</v>
      </c>
      <c r="E213" s="668">
        <v>5069779794</v>
      </c>
      <c r="F213" s="668">
        <v>5488644404</v>
      </c>
      <c r="G213" s="668">
        <v>5922960272</v>
      </c>
      <c r="H213" s="668">
        <v>4771803237</v>
      </c>
      <c r="I213" s="668">
        <v>2990887219</v>
      </c>
      <c r="J213" s="668">
        <v>3465068093</v>
      </c>
      <c r="K213" s="668">
        <v>4603448776</v>
      </c>
      <c r="L213" s="668">
        <v>5484150759</v>
      </c>
      <c r="M213" s="668">
        <v>6348864220</v>
      </c>
      <c r="N213" s="668">
        <v>4848607138</v>
      </c>
      <c r="O213" s="668">
        <v>3115586041</v>
      </c>
      <c r="P213" s="668">
        <v>4131446442</v>
      </c>
      <c r="Q213" s="668">
        <v>6471627635</v>
      </c>
      <c r="R213" s="668">
        <v>6106208552</v>
      </c>
      <c r="S213" s="668">
        <v>6534087601</v>
      </c>
      <c r="T213" s="668">
        <v>6331091846</v>
      </c>
      <c r="U213" s="668">
        <v>7033711933</v>
      </c>
      <c r="V213" s="668">
        <v>7206770412</v>
      </c>
      <c r="W213" s="668">
        <v>6987173251</v>
      </c>
      <c r="X213" s="668">
        <v>6199135410</v>
      </c>
      <c r="Y213" s="668">
        <v>4260435206</v>
      </c>
      <c r="Z213" s="668">
        <v>4839388132</v>
      </c>
      <c r="AA213" s="659">
        <v>4027863724</v>
      </c>
      <c r="AB213" s="659">
        <v>2451956924</v>
      </c>
      <c r="AC213" s="659">
        <v>5626303966</v>
      </c>
      <c r="AD213" s="659">
        <v>5649277552</v>
      </c>
      <c r="AE213" s="659">
        <v>5769165884</v>
      </c>
      <c r="AF213" s="659">
        <v>5147240296.3601894</v>
      </c>
      <c r="AG213" s="659">
        <v>5282689343.1678486</v>
      </c>
      <c r="AH213" s="659">
        <v>5349632570.1678476</v>
      </c>
      <c r="AI213" s="659">
        <v>5325812842.6830482</v>
      </c>
      <c r="AJ213" s="659">
        <v>5508097200.2235899</v>
      </c>
      <c r="AK213" s="659">
        <v>5421679815.1673632</v>
      </c>
      <c r="AL213" s="659">
        <v>5488468422.2235909</v>
      </c>
    </row>
    <row r="214" spans="1:38" ht="15" customHeight="1">
      <c r="A214" s="657" t="s">
        <v>533</v>
      </c>
      <c r="B214" s="658">
        <v>16</v>
      </c>
      <c r="C214" s="668">
        <v>673524358</v>
      </c>
      <c r="D214" s="668">
        <v>445330075</v>
      </c>
      <c r="E214" s="668">
        <v>646654899</v>
      </c>
      <c r="F214" s="668">
        <v>1789160297</v>
      </c>
      <c r="G214" s="668">
        <v>743322765</v>
      </c>
      <c r="H214" s="668">
        <v>710659695</v>
      </c>
      <c r="I214" s="668">
        <v>562555746</v>
      </c>
      <c r="J214" s="668">
        <v>273359738</v>
      </c>
      <c r="K214" s="668">
        <v>293591517</v>
      </c>
      <c r="L214" s="668">
        <v>342226346</v>
      </c>
      <c r="M214" s="668">
        <v>357205652</v>
      </c>
      <c r="N214" s="668">
        <v>352714337</v>
      </c>
      <c r="O214" s="668">
        <v>326525959</v>
      </c>
      <c r="P214" s="668">
        <v>301395737</v>
      </c>
      <c r="Q214" s="668">
        <v>353064382</v>
      </c>
      <c r="R214" s="668">
        <v>367893640</v>
      </c>
      <c r="S214" s="668">
        <v>583268535</v>
      </c>
      <c r="T214" s="668">
        <v>409683221</v>
      </c>
      <c r="U214" s="668">
        <v>382580514</v>
      </c>
      <c r="V214" s="668">
        <v>409675223</v>
      </c>
      <c r="W214" s="668">
        <v>681336938</v>
      </c>
      <c r="X214" s="668">
        <v>434513561</v>
      </c>
      <c r="Y214" s="668">
        <v>359300470</v>
      </c>
      <c r="Z214" s="668">
        <v>371608824</v>
      </c>
      <c r="AA214" s="659">
        <v>368816619</v>
      </c>
      <c r="AB214" s="659">
        <v>248754636</v>
      </c>
      <c r="AC214" s="659">
        <v>337308264</v>
      </c>
      <c r="AD214" s="659">
        <v>499755909</v>
      </c>
      <c r="AE214" s="659">
        <v>354846806</v>
      </c>
      <c r="AF214" s="659">
        <v>550521969</v>
      </c>
      <c r="AG214" s="659">
        <v>530132244</v>
      </c>
      <c r="AH214" s="659">
        <v>530132244</v>
      </c>
      <c r="AI214" s="659">
        <v>509742498</v>
      </c>
      <c r="AJ214" s="659">
        <v>509742498</v>
      </c>
      <c r="AK214" s="659">
        <v>550521969</v>
      </c>
      <c r="AL214" s="659">
        <v>530132244</v>
      </c>
    </row>
    <row r="215" spans="1:38" ht="15" customHeight="1">
      <c r="A215" s="657" t="s">
        <v>534</v>
      </c>
      <c r="B215" s="658">
        <v>17</v>
      </c>
      <c r="C215" s="668">
        <v>1708507014</v>
      </c>
      <c r="D215" s="668">
        <v>1230497207</v>
      </c>
      <c r="E215" s="668">
        <v>1379015197</v>
      </c>
      <c r="F215" s="668">
        <v>521248356</v>
      </c>
      <c r="G215" s="668">
        <v>1657709643</v>
      </c>
      <c r="H215" s="668">
        <v>1580786853</v>
      </c>
      <c r="I215" s="668">
        <v>1552872520</v>
      </c>
      <c r="J215" s="668">
        <v>1840092100</v>
      </c>
      <c r="K215" s="668">
        <v>1842453925</v>
      </c>
      <c r="L215" s="668">
        <v>2033072895</v>
      </c>
      <c r="M215" s="668">
        <v>2081813555</v>
      </c>
      <c r="N215" s="668">
        <v>2664027703</v>
      </c>
      <c r="O215" s="668">
        <v>2102841120</v>
      </c>
      <c r="P215" s="668">
        <v>2139570280</v>
      </c>
      <c r="Q215" s="668">
        <v>2143336877</v>
      </c>
      <c r="R215" s="668">
        <v>2211173874</v>
      </c>
      <c r="S215" s="668">
        <v>2328020395</v>
      </c>
      <c r="T215" s="668">
        <v>2570077869</v>
      </c>
      <c r="U215" s="668">
        <v>3450671363</v>
      </c>
      <c r="V215" s="668">
        <v>2893137111</v>
      </c>
      <c r="W215" s="668">
        <v>3075521247</v>
      </c>
      <c r="X215" s="668">
        <v>2805457512</v>
      </c>
      <c r="Y215" s="668">
        <v>2486851728</v>
      </c>
      <c r="Z215" s="668">
        <v>2339162817</v>
      </c>
      <c r="AA215" s="659">
        <v>2314962109</v>
      </c>
      <c r="AB215" s="659">
        <v>1839461214</v>
      </c>
      <c r="AC215" s="659">
        <v>2152019625</v>
      </c>
      <c r="AD215" s="659">
        <v>2463187426</v>
      </c>
      <c r="AE215" s="659">
        <v>2407536723</v>
      </c>
      <c r="AF215" s="659">
        <v>3324865254.6923079</v>
      </c>
      <c r="AG215" s="659">
        <v>3258165255</v>
      </c>
      <c r="AH215" s="659">
        <v>3258165255</v>
      </c>
      <c r="AI215" s="659">
        <v>3358110767.3076921</v>
      </c>
      <c r="AJ215" s="659">
        <v>3191465255.3076921</v>
      </c>
      <c r="AK215" s="659">
        <v>3324865254.6923079</v>
      </c>
      <c r="AL215" s="659">
        <v>3258165255</v>
      </c>
    </row>
    <row r="216" spans="1:38" ht="15" customHeight="1">
      <c r="A216" s="657" t="s">
        <v>535</v>
      </c>
      <c r="B216" s="658">
        <v>18</v>
      </c>
      <c r="C216" s="668">
        <v>2782213759</v>
      </c>
      <c r="D216" s="668">
        <v>2629007193</v>
      </c>
      <c r="E216" s="668">
        <v>2770751785</v>
      </c>
      <c r="F216" s="668">
        <v>3041632252</v>
      </c>
      <c r="G216" s="668">
        <v>3141804002</v>
      </c>
      <c r="H216" s="668">
        <v>3245971482</v>
      </c>
      <c r="I216" s="668">
        <v>3110331141</v>
      </c>
      <c r="J216" s="668">
        <v>3202665604</v>
      </c>
      <c r="K216" s="668">
        <v>3369907026</v>
      </c>
      <c r="L216" s="668">
        <v>3488049090</v>
      </c>
      <c r="M216" s="668">
        <v>3537619794</v>
      </c>
      <c r="N216" s="668">
        <v>3622850142</v>
      </c>
      <c r="O216" s="668">
        <v>3867069957</v>
      </c>
      <c r="P216" s="668">
        <v>3594333014</v>
      </c>
      <c r="Q216" s="668">
        <v>3676490698</v>
      </c>
      <c r="R216" s="668">
        <v>4144437406</v>
      </c>
      <c r="S216" s="668">
        <v>4051343169</v>
      </c>
      <c r="T216" s="668">
        <v>4168433618</v>
      </c>
      <c r="U216" s="668">
        <v>4155409281</v>
      </c>
      <c r="V216" s="668">
        <v>4177314711</v>
      </c>
      <c r="W216" s="668">
        <v>4406134044</v>
      </c>
      <c r="X216" s="668">
        <v>4029385993</v>
      </c>
      <c r="Y216" s="668">
        <v>3859104703</v>
      </c>
      <c r="Z216" s="668">
        <v>3914832620</v>
      </c>
      <c r="AA216" s="659">
        <v>4079461212</v>
      </c>
      <c r="AB216" s="659">
        <v>3772730095</v>
      </c>
      <c r="AC216" s="659">
        <v>3815553479</v>
      </c>
      <c r="AD216" s="659">
        <v>4321000559</v>
      </c>
      <c r="AE216" s="659">
        <v>4083134231</v>
      </c>
      <c r="AF216" s="659">
        <v>5024152177</v>
      </c>
      <c r="AG216" s="659">
        <v>4874545466</v>
      </c>
      <c r="AH216" s="659">
        <v>4879100238</v>
      </c>
      <c r="AI216" s="659">
        <v>5014508623.999999</v>
      </c>
      <c r="AJ216" s="659">
        <v>4763939673.999999</v>
      </c>
      <c r="AK216" s="659">
        <v>5060906023</v>
      </c>
      <c r="AL216" s="659">
        <v>4914700237.999999</v>
      </c>
    </row>
    <row r="217" spans="1:38" ht="15" customHeight="1">
      <c r="A217" s="669" t="s">
        <v>536</v>
      </c>
      <c r="B217" s="658">
        <v>19</v>
      </c>
      <c r="C217" s="668">
        <v>911307115</v>
      </c>
      <c r="D217" s="668">
        <v>1033542982</v>
      </c>
      <c r="E217" s="668">
        <v>848336770</v>
      </c>
      <c r="F217" s="668">
        <v>1031003534</v>
      </c>
      <c r="G217" s="668">
        <v>1063533369</v>
      </c>
      <c r="H217" s="668">
        <v>973190576</v>
      </c>
      <c r="I217" s="668">
        <v>1014630936</v>
      </c>
      <c r="J217" s="668">
        <v>959100838</v>
      </c>
      <c r="K217" s="668">
        <v>1144461915</v>
      </c>
      <c r="L217" s="668">
        <v>1036988852</v>
      </c>
      <c r="M217" s="668">
        <v>1127298804</v>
      </c>
      <c r="N217" s="668">
        <v>1148303858</v>
      </c>
      <c r="O217" s="668">
        <v>1410836444</v>
      </c>
      <c r="P217" s="668">
        <v>1399090851</v>
      </c>
      <c r="Q217" s="668">
        <v>1131053888</v>
      </c>
      <c r="R217" s="668">
        <v>1267920577</v>
      </c>
      <c r="S217" s="668">
        <v>1265039349</v>
      </c>
      <c r="T217" s="668">
        <v>1227820821</v>
      </c>
      <c r="U217" s="668">
        <v>1280940063</v>
      </c>
      <c r="V217" s="668">
        <v>1361210881</v>
      </c>
      <c r="W217" s="668">
        <v>1461146329</v>
      </c>
      <c r="X217" s="668">
        <v>1389869954</v>
      </c>
      <c r="Y217" s="668">
        <v>1306926122</v>
      </c>
      <c r="Z217" s="668">
        <v>1304400970</v>
      </c>
      <c r="AA217" s="659">
        <v>1426956545</v>
      </c>
      <c r="AB217" s="659">
        <v>1161357165</v>
      </c>
      <c r="AC217" s="659">
        <v>1239376171</v>
      </c>
      <c r="AD217" s="659">
        <v>1265702203</v>
      </c>
      <c r="AE217" s="659">
        <v>1357271039</v>
      </c>
      <c r="AF217" s="659">
        <v>991559065.97043884</v>
      </c>
      <c r="AG217" s="659">
        <v>964350262.53846157</v>
      </c>
      <c r="AH217" s="659">
        <v>941952252.54729104</v>
      </c>
      <c r="AI217" s="659">
        <v>1025628098.5769941</v>
      </c>
      <c r="AJ217" s="659">
        <v>940270903.00000012</v>
      </c>
      <c r="AK217" s="659">
        <v>959514997.08575261</v>
      </c>
      <c r="AL217" s="659">
        <v>983628346.0385325</v>
      </c>
    </row>
    <row r="218" spans="1:38" ht="15" customHeight="1">
      <c r="A218" s="657" t="s">
        <v>537</v>
      </c>
      <c r="B218" s="658">
        <v>20</v>
      </c>
      <c r="C218" s="668">
        <v>460529842</v>
      </c>
      <c r="D218" s="668">
        <v>434571553</v>
      </c>
      <c r="E218" s="668">
        <v>544088110</v>
      </c>
      <c r="F218" s="668">
        <v>510521295</v>
      </c>
      <c r="G218" s="668">
        <v>642495196</v>
      </c>
      <c r="H218" s="668">
        <v>690234002</v>
      </c>
      <c r="I218" s="668">
        <v>410469104</v>
      </c>
      <c r="J218" s="668">
        <v>569152145</v>
      </c>
      <c r="K218" s="668">
        <v>603787768</v>
      </c>
      <c r="L218" s="668">
        <v>725450829</v>
      </c>
      <c r="M218" s="668">
        <v>794641207</v>
      </c>
      <c r="N218" s="668">
        <v>939137701</v>
      </c>
      <c r="O218" s="668">
        <v>734659695</v>
      </c>
      <c r="P218" s="668">
        <v>631468372</v>
      </c>
      <c r="Q218" s="668">
        <v>695561422</v>
      </c>
      <c r="R218" s="668">
        <v>743147515</v>
      </c>
      <c r="S218" s="668">
        <v>753334254</v>
      </c>
      <c r="T218" s="668">
        <v>977482432</v>
      </c>
      <c r="U218" s="668">
        <v>1028204484</v>
      </c>
      <c r="V218" s="668">
        <v>944206342</v>
      </c>
      <c r="W218" s="668">
        <v>727564953</v>
      </c>
      <c r="X218" s="668">
        <v>733977685</v>
      </c>
      <c r="Y218" s="668">
        <v>772842144</v>
      </c>
      <c r="Z218" s="668">
        <v>759303904</v>
      </c>
      <c r="AA218" s="659">
        <v>675532018</v>
      </c>
      <c r="AB218" s="659">
        <v>427508026</v>
      </c>
      <c r="AC218" s="659">
        <v>594679880</v>
      </c>
      <c r="AD218" s="659">
        <v>684234657</v>
      </c>
      <c r="AE218" s="659">
        <v>776152179</v>
      </c>
      <c r="AF218" s="659">
        <v>1342765484.5593209</v>
      </c>
      <c r="AG218" s="659">
        <v>1169435947.5812445</v>
      </c>
      <c r="AH218" s="659">
        <v>1171780498.4979112</v>
      </c>
      <c r="AI218" s="659">
        <v>1335378606.0778399</v>
      </c>
      <c r="AJ218" s="659">
        <v>1235939644.4145775</v>
      </c>
      <c r="AK218" s="659">
        <v>1240319281.6611724</v>
      </c>
      <c r="AL218" s="659">
        <v>1272946302.9145777</v>
      </c>
    </row>
    <row r="219" spans="1:38" ht="15" customHeight="1">
      <c r="A219" s="669" t="s">
        <v>538</v>
      </c>
      <c r="B219" s="670">
        <v>21</v>
      </c>
      <c r="C219" s="668">
        <v>3894354715</v>
      </c>
      <c r="D219" s="668">
        <v>3652447665</v>
      </c>
      <c r="E219" s="668">
        <v>10039240901</v>
      </c>
      <c r="F219" s="668">
        <v>8812805553</v>
      </c>
      <c r="G219" s="668">
        <v>8812804558</v>
      </c>
      <c r="H219" s="668">
        <v>8371551826</v>
      </c>
      <c r="I219" s="668">
        <v>7720780123</v>
      </c>
      <c r="J219" s="668">
        <v>8071776355</v>
      </c>
      <c r="K219" s="668">
        <v>8327236899</v>
      </c>
      <c r="L219" s="668">
        <v>7638641417</v>
      </c>
      <c r="M219" s="668">
        <v>7497692372</v>
      </c>
      <c r="N219" s="668">
        <v>4107851153</v>
      </c>
      <c r="O219" s="668">
        <v>6967902702</v>
      </c>
      <c r="P219" s="668">
        <v>7268983233</v>
      </c>
      <c r="Q219" s="668">
        <v>7432302750</v>
      </c>
      <c r="R219" s="668">
        <v>7711233616</v>
      </c>
      <c r="S219" s="668">
        <v>7346014335</v>
      </c>
      <c r="T219" s="668">
        <v>7576020330</v>
      </c>
      <c r="U219" s="668">
        <v>7255934279</v>
      </c>
      <c r="V219" s="668">
        <v>7718888264</v>
      </c>
      <c r="W219" s="668">
        <v>7771480054</v>
      </c>
      <c r="X219" s="668">
        <v>7822162905</v>
      </c>
      <c r="Y219" s="668">
        <v>7414435618</v>
      </c>
      <c r="Z219" s="668">
        <v>7190954710</v>
      </c>
      <c r="AA219" s="659">
        <v>8152127945</v>
      </c>
      <c r="AB219" s="659">
        <v>7520098945</v>
      </c>
      <c r="AC219" s="659">
        <v>8458447921</v>
      </c>
      <c r="AD219" s="659">
        <v>8501500743</v>
      </c>
      <c r="AE219" s="659">
        <v>8532632034</v>
      </c>
      <c r="AF219" s="659">
        <v>7797308812.1281672</v>
      </c>
      <c r="AG219" s="659">
        <v>7747613955.6365499</v>
      </c>
      <c r="AH219" s="659">
        <v>7537193940.7447548</v>
      </c>
      <c r="AI219" s="659">
        <v>7617518752.0942364</v>
      </c>
      <c r="AJ219" s="659">
        <v>7689626868.4834566</v>
      </c>
      <c r="AK219" s="659">
        <v>7398850891.5824156</v>
      </c>
      <c r="AL219" s="659">
        <v>7547865364.3528452</v>
      </c>
    </row>
    <row r="220" spans="1:38" ht="15" customHeight="1">
      <c r="A220" s="657" t="s">
        <v>539</v>
      </c>
      <c r="B220" s="658">
        <v>22</v>
      </c>
      <c r="C220" s="668">
        <v>5568667717</v>
      </c>
      <c r="D220" s="668">
        <v>5573546970</v>
      </c>
      <c r="E220" s="668">
        <v>2870749336</v>
      </c>
      <c r="F220" s="668">
        <v>2993181073</v>
      </c>
      <c r="G220" s="668">
        <v>3046414798</v>
      </c>
      <c r="H220" s="668">
        <v>3049589322</v>
      </c>
      <c r="I220" s="668">
        <v>3083645781</v>
      </c>
      <c r="J220" s="668">
        <v>3104579094</v>
      </c>
      <c r="K220" s="668">
        <v>3243860916</v>
      </c>
      <c r="L220" s="668">
        <v>3243941706</v>
      </c>
      <c r="M220" s="668">
        <v>3278052242</v>
      </c>
      <c r="N220" s="668">
        <v>3553075383</v>
      </c>
      <c r="O220" s="668">
        <v>6282890506</v>
      </c>
      <c r="P220" s="668">
        <v>6284434951</v>
      </c>
      <c r="Q220" s="668">
        <v>6478465588</v>
      </c>
      <c r="R220" s="668">
        <v>6364572301</v>
      </c>
      <c r="S220" s="668">
        <v>6551231356</v>
      </c>
      <c r="T220" s="668">
        <v>7301286882</v>
      </c>
      <c r="U220" s="668">
        <v>8036503847</v>
      </c>
      <c r="V220" s="668">
        <v>8029010438</v>
      </c>
      <c r="W220" s="668">
        <v>8348436055</v>
      </c>
      <c r="X220" s="668">
        <v>8155620172</v>
      </c>
      <c r="Y220" s="668">
        <v>8319054123</v>
      </c>
      <c r="Z220" s="668">
        <v>8348386906</v>
      </c>
      <c r="AA220" s="659">
        <v>5561606002</v>
      </c>
      <c r="AB220" s="659">
        <v>5530647021</v>
      </c>
      <c r="AC220" s="659">
        <v>5553408317</v>
      </c>
      <c r="AD220" s="659">
        <v>5712976010</v>
      </c>
      <c r="AE220" s="659">
        <v>5764064909</v>
      </c>
      <c r="AF220" s="659">
        <v>5883087384.5821295</v>
      </c>
      <c r="AG220" s="659">
        <v>5883087384.5821295</v>
      </c>
      <c r="AH220" s="659">
        <v>5883087384.5821295</v>
      </c>
      <c r="AI220" s="659">
        <v>5883087384.5821295</v>
      </c>
      <c r="AJ220" s="659">
        <v>5883087384.5821295</v>
      </c>
      <c r="AK220" s="659">
        <v>5883087384.5821295</v>
      </c>
      <c r="AL220" s="659">
        <v>5895362384.5821295</v>
      </c>
    </row>
    <row r="221" spans="1:38" ht="15" customHeight="1">
      <c r="A221" s="657" t="s">
        <v>540</v>
      </c>
      <c r="B221" s="658">
        <v>23</v>
      </c>
      <c r="C221" s="668">
        <v>2408877200</v>
      </c>
      <c r="D221" s="668">
        <v>321736000</v>
      </c>
      <c r="E221" s="668">
        <v>407200000</v>
      </c>
      <c r="F221" s="668">
        <v>1027400000</v>
      </c>
      <c r="G221" s="668">
        <v>1296610000</v>
      </c>
      <c r="H221" s="668">
        <v>932027000</v>
      </c>
      <c r="I221" s="668">
        <v>1461251000</v>
      </c>
      <c r="J221" s="668">
        <v>1743703999</v>
      </c>
      <c r="K221" s="668">
        <v>838296001</v>
      </c>
      <c r="L221" s="668">
        <v>1688273746</v>
      </c>
      <c r="M221" s="668">
        <v>1220372826</v>
      </c>
      <c r="N221" s="668">
        <v>1496105366</v>
      </c>
      <c r="O221" s="668">
        <v>380467548</v>
      </c>
      <c r="P221" s="668">
        <v>1845315600</v>
      </c>
      <c r="Q221" s="668">
        <v>1342787586</v>
      </c>
      <c r="R221" s="668">
        <v>843454000</v>
      </c>
      <c r="S221" s="668">
        <v>350000000</v>
      </c>
      <c r="T221" s="668">
        <v>510000000</v>
      </c>
      <c r="U221" s="668">
        <v>200000000</v>
      </c>
      <c r="V221" s="668">
        <v>898330000</v>
      </c>
      <c r="W221" s="668">
        <v>1091045000</v>
      </c>
      <c r="X221" s="668">
        <v>1155172500</v>
      </c>
      <c r="Y221" s="668">
        <v>975000000</v>
      </c>
      <c r="Z221" s="668">
        <v>930000000</v>
      </c>
      <c r="AA221" s="659">
        <v>0</v>
      </c>
      <c r="AB221" s="659">
        <v>0</v>
      </c>
      <c r="AC221" s="659">
        <v>44274073</v>
      </c>
      <c r="AD221" s="659">
        <v>176148628</v>
      </c>
      <c r="AE221" s="659">
        <v>167431172</v>
      </c>
      <c r="AF221" s="659">
        <v>0</v>
      </c>
      <c r="AG221" s="659">
        <v>0</v>
      </c>
      <c r="AH221" s="659">
        <v>0</v>
      </c>
      <c r="AI221" s="659">
        <v>0</v>
      </c>
      <c r="AJ221" s="659">
        <v>0</v>
      </c>
      <c r="AK221" s="659">
        <v>0</v>
      </c>
      <c r="AL221" s="659">
        <v>0</v>
      </c>
    </row>
    <row r="222" spans="1:38" ht="15" customHeight="1">
      <c r="A222" s="657" t="s">
        <v>541</v>
      </c>
      <c r="B222" s="658">
        <v>24</v>
      </c>
      <c r="C222" s="668">
        <v>11008792358</v>
      </c>
      <c r="D222" s="668">
        <v>14091966230</v>
      </c>
      <c r="E222" s="668">
        <v>14967977208</v>
      </c>
      <c r="F222" s="668">
        <v>9793313487</v>
      </c>
      <c r="G222" s="668">
        <v>10326586768</v>
      </c>
      <c r="H222" s="668">
        <v>10046707984</v>
      </c>
      <c r="I222" s="668">
        <v>10237671622</v>
      </c>
      <c r="J222" s="668">
        <v>11454537032.999998</v>
      </c>
      <c r="K222" s="668">
        <v>8202935246.1999998</v>
      </c>
      <c r="L222" s="668">
        <v>11930809359</v>
      </c>
      <c r="M222" s="668">
        <v>11338421470</v>
      </c>
      <c r="N222" s="668">
        <v>-100750162957.9847</v>
      </c>
      <c r="O222" s="668">
        <v>1199313766.2285714</v>
      </c>
      <c r="P222" s="668">
        <v>3951106221</v>
      </c>
      <c r="Q222" s="668">
        <v>2477786130</v>
      </c>
      <c r="R222" s="668">
        <v>2672108313</v>
      </c>
      <c r="S222" s="668">
        <v>1930915150</v>
      </c>
      <c r="T222" s="668">
        <v>-1171661984.999999</v>
      </c>
      <c r="U222" s="668">
        <v>-632408976</v>
      </c>
      <c r="V222" s="668">
        <v>2450838410.0000019</v>
      </c>
      <c r="W222" s="668">
        <v>-441819888</v>
      </c>
      <c r="X222" s="668">
        <v>4410577869.999999</v>
      </c>
      <c r="Y222" s="668">
        <v>678871840.00000048</v>
      </c>
      <c r="Z222" s="668">
        <v>-14106508618.663048</v>
      </c>
      <c r="AA222" s="659">
        <v>2269079203.3635092</v>
      </c>
      <c r="AB222" s="659">
        <v>1345305515.000001</v>
      </c>
      <c r="AC222" s="659">
        <v>2557256188.9999981</v>
      </c>
      <c r="AD222" s="659">
        <v>458452990.40080321</v>
      </c>
      <c r="AE222" s="659">
        <v>3071676706.9998627</v>
      </c>
      <c r="AF222" s="659">
        <v>457986048.60881668</v>
      </c>
      <c r="AG222" s="659">
        <v>457758378.73592746</v>
      </c>
      <c r="AH222" s="659">
        <v>446366807.11011988</v>
      </c>
      <c r="AI222" s="659">
        <v>465426431.37833297</v>
      </c>
      <c r="AJ222" s="659">
        <v>437886718.97690505</v>
      </c>
      <c r="AK222" s="659">
        <v>460532233.400235</v>
      </c>
      <c r="AL222" s="659">
        <v>466317189.87963611</v>
      </c>
    </row>
    <row r="223" spans="1:38" ht="15" customHeight="1">
      <c r="A223" s="657" t="s">
        <v>542</v>
      </c>
      <c r="B223" s="658">
        <v>25</v>
      </c>
      <c r="C223" s="668">
        <v>-8362366023.0371094</v>
      </c>
      <c r="D223" s="668">
        <v>-9450050373</v>
      </c>
      <c r="E223" s="668">
        <v>-8089504138.0000305</v>
      </c>
      <c r="F223" s="668">
        <v>-8432427342.0000153</v>
      </c>
      <c r="G223" s="668">
        <v>-5682518917.0000153</v>
      </c>
      <c r="H223" s="668">
        <v>-10966084437</v>
      </c>
      <c r="I223" s="668">
        <v>-11850904123.000031</v>
      </c>
      <c r="J223" s="668">
        <v>10050172869</v>
      </c>
      <c r="K223" s="668">
        <v>3999136671.8000641</v>
      </c>
      <c r="L223" s="668">
        <v>-3080270199.0000305</v>
      </c>
      <c r="M223" s="668">
        <v>-12463003553</v>
      </c>
      <c r="N223" s="668">
        <v>-2845008662.5998688</v>
      </c>
      <c r="O223" s="668">
        <v>1689837792.3559875</v>
      </c>
      <c r="P223" s="668">
        <v>9495980921.8744812</v>
      </c>
      <c r="Q223" s="668">
        <v>1301997312.0000305</v>
      </c>
      <c r="R223" s="668">
        <v>-2721929739.9999847</v>
      </c>
      <c r="S223" s="668">
        <v>556214363.54293823</v>
      </c>
      <c r="T223" s="668">
        <v>-3095017183.5036316</v>
      </c>
      <c r="U223" s="668">
        <v>591573758.16221619</v>
      </c>
      <c r="V223" s="668">
        <v>4741716151.8312378</v>
      </c>
      <c r="W223" s="668">
        <v>-11555651390.984756</v>
      </c>
      <c r="X223" s="668">
        <v>-4261859002.3704224</v>
      </c>
      <c r="Y223" s="668">
        <v>-3390949276</v>
      </c>
      <c r="Z223" s="668">
        <v>-3536599650.7435913</v>
      </c>
      <c r="AA223" s="659">
        <v>3543873348.7614899</v>
      </c>
      <c r="AB223" s="659">
        <v>5601035481.9998169</v>
      </c>
      <c r="AC223" s="659">
        <v>15925976392.000183</v>
      </c>
      <c r="AD223" s="659">
        <v>9528112256.5989532</v>
      </c>
      <c r="AE223" s="659">
        <v>4620010094.0001984</v>
      </c>
      <c r="AF223" s="659">
        <v>11002302097.618843</v>
      </c>
      <c r="AG223" s="659">
        <v>11069535820.724144</v>
      </c>
      <c r="AH223" s="659">
        <v>10797341803.229197</v>
      </c>
      <c r="AI223" s="659">
        <v>10893909891.434971</v>
      </c>
      <c r="AJ223" s="659">
        <v>10865049433.325729</v>
      </c>
      <c r="AK223" s="659">
        <v>11078564795.193489</v>
      </c>
      <c r="AL223" s="659">
        <v>10821710890.213249</v>
      </c>
    </row>
    <row r="224" spans="1:38" ht="15" customHeight="1">
      <c r="A224" s="663" t="s">
        <v>543</v>
      </c>
      <c r="B224" s="664">
        <v>26</v>
      </c>
      <c r="C224" s="671">
        <f t="shared" ref="C224:AL224" si="14">IFERROR(C211/C207,"")</f>
        <v>0.89454271505407501</v>
      </c>
      <c r="D224" s="671">
        <f t="shared" si="14"/>
        <v>0.99722329442243085</v>
      </c>
      <c r="E224" s="671">
        <f t="shared" si="14"/>
        <v>0.94262122409373172</v>
      </c>
      <c r="F224" s="671">
        <f t="shared" si="14"/>
        <v>0.8767708502010344</v>
      </c>
      <c r="G224" s="671">
        <f t="shared" si="14"/>
        <v>0.96916162986305532</v>
      </c>
      <c r="H224" s="671">
        <f t="shared" si="14"/>
        <v>1.0250016538703488</v>
      </c>
      <c r="I224" s="671">
        <f t="shared" si="14"/>
        <v>1.0844362242161489</v>
      </c>
      <c r="J224" s="671">
        <f t="shared" si="14"/>
        <v>0.96067559454087748</v>
      </c>
      <c r="K224" s="671">
        <f t="shared" si="14"/>
        <v>0.84658363213622778</v>
      </c>
      <c r="L224" s="671">
        <f t="shared" si="14"/>
        <v>0.95998584995815739</v>
      </c>
      <c r="M224" s="671">
        <f t="shared" si="14"/>
        <v>0.9326420894559817</v>
      </c>
      <c r="N224" s="671">
        <f t="shared" si="14"/>
        <v>-0.21428066837011892</v>
      </c>
      <c r="O224" s="671">
        <f t="shared" si="14"/>
        <v>0.84131867803519156</v>
      </c>
      <c r="P224" s="671">
        <f t="shared" si="14"/>
        <v>0.82218656710133331</v>
      </c>
      <c r="Q224" s="671">
        <f t="shared" si="14"/>
        <v>0.86193972215458747</v>
      </c>
      <c r="R224" s="671">
        <f t="shared" si="14"/>
        <v>0.87412990690597347</v>
      </c>
      <c r="S224" s="671">
        <f t="shared" si="14"/>
        <v>0.85426789556000038</v>
      </c>
      <c r="T224" s="671">
        <f t="shared" si="14"/>
        <v>0.88524731838316462</v>
      </c>
      <c r="U224" s="671">
        <f t="shared" si="14"/>
        <v>0.9324772093606718</v>
      </c>
      <c r="V224" s="671">
        <f t="shared" si="14"/>
        <v>0.92079909410079142</v>
      </c>
      <c r="W224" s="671">
        <f t="shared" si="14"/>
        <v>0.981146117822004</v>
      </c>
      <c r="X224" s="671">
        <f t="shared" si="14"/>
        <v>0.91772938411391969</v>
      </c>
      <c r="Y224" s="671">
        <f t="shared" si="14"/>
        <v>0.91615780830554661</v>
      </c>
      <c r="Z224" s="671">
        <v>0.65330954923886342</v>
      </c>
      <c r="AA224" s="671">
        <f t="shared" si="14"/>
        <v>0.91261690556186803</v>
      </c>
      <c r="AB224" s="671">
        <f t="shared" si="14"/>
        <v>0.9362582734713758</v>
      </c>
      <c r="AC224" s="671">
        <f t="shared" si="14"/>
        <v>0.95694845934705108</v>
      </c>
      <c r="AD224" s="671">
        <f t="shared" si="14"/>
        <v>0.88701617651549669</v>
      </c>
      <c r="AE224" s="671">
        <f t="shared" si="14"/>
        <v>0.86113833401804318</v>
      </c>
      <c r="AF224" s="671" t="str">
        <f t="shared" si="14"/>
        <v/>
      </c>
      <c r="AG224" s="671" t="str">
        <f t="shared" si="14"/>
        <v/>
      </c>
      <c r="AH224" s="671" t="str">
        <f t="shared" si="14"/>
        <v/>
      </c>
      <c r="AI224" s="671" t="str">
        <f t="shared" si="14"/>
        <v/>
      </c>
      <c r="AJ224" s="671" t="str">
        <f t="shared" si="14"/>
        <v/>
      </c>
      <c r="AK224" s="671" t="str">
        <f t="shared" si="14"/>
        <v/>
      </c>
      <c r="AL224" s="671" t="str">
        <f t="shared" si="14"/>
        <v/>
      </c>
    </row>
    <row r="225" spans="1:38" ht="15" customHeight="1">
      <c r="A225" s="660" t="s">
        <v>544</v>
      </c>
      <c r="B225" s="661">
        <v>27</v>
      </c>
      <c r="C225" s="662">
        <f t="shared" ref="C225:AL225" si="15">C139</f>
        <v>10119851560</v>
      </c>
      <c r="D225" s="662">
        <f t="shared" si="15"/>
        <v>191425380</v>
      </c>
      <c r="E225" s="662">
        <f t="shared" si="15"/>
        <v>5285130826</v>
      </c>
      <c r="F225" s="662">
        <f t="shared" si="15"/>
        <v>12013498032</v>
      </c>
      <c r="G225" s="662">
        <f t="shared" si="15"/>
        <v>3156769708</v>
      </c>
      <c r="H225" s="662">
        <f t="shared" si="15"/>
        <v>-1702441870</v>
      </c>
      <c r="I225" s="662">
        <f t="shared" si="15"/>
        <v>-4766532065</v>
      </c>
      <c r="J225" s="662">
        <f t="shared" si="15"/>
        <v>6057054340</v>
      </c>
      <c r="K225" s="662">
        <f t="shared" si="15"/>
        <v>24060273128</v>
      </c>
      <c r="L225" s="662">
        <f t="shared" si="15"/>
        <v>4674156853</v>
      </c>
      <c r="M225" s="662">
        <f t="shared" si="15"/>
        <v>5127697717</v>
      </c>
      <c r="N225" s="662">
        <f t="shared" si="15"/>
        <v>128968857470</v>
      </c>
      <c r="O225" s="662">
        <f t="shared" si="15"/>
        <v>18163062466</v>
      </c>
      <c r="P225" s="662">
        <f t="shared" si="15"/>
        <v>33428829554</v>
      </c>
      <c r="Q225" s="662">
        <f t="shared" si="15"/>
        <v>20744016857</v>
      </c>
      <c r="R225" s="662">
        <f t="shared" si="15"/>
        <v>15787841704</v>
      </c>
      <c r="S225" s="662">
        <f t="shared" si="15"/>
        <v>22161064744</v>
      </c>
      <c r="T225" s="662">
        <f t="shared" si="15"/>
        <v>13671023177</v>
      </c>
      <c r="U225" s="662">
        <f t="shared" si="15"/>
        <v>9317564878</v>
      </c>
      <c r="V225" s="662">
        <f t="shared" si="15"/>
        <v>13340810740</v>
      </c>
      <c r="W225" s="662">
        <f t="shared" si="15"/>
        <v>1597120562</v>
      </c>
      <c r="X225" s="662">
        <f t="shared" si="15"/>
        <v>8961619444</v>
      </c>
      <c r="Y225" s="662">
        <f t="shared" si="15"/>
        <v>7407279958</v>
      </c>
      <c r="Z225" s="662">
        <f t="shared" si="15"/>
        <v>29449792916</v>
      </c>
      <c r="AA225" s="662">
        <f t="shared" si="15"/>
        <v>11018924052</v>
      </c>
      <c r="AB225" s="662">
        <f t="shared" si="15"/>
        <v>6155334899</v>
      </c>
      <c r="AC225" s="662">
        <f t="shared" si="15"/>
        <v>7461082664</v>
      </c>
      <c r="AD225" s="662">
        <f t="shared" si="15"/>
        <v>17970851610</v>
      </c>
      <c r="AE225" s="662">
        <f t="shared" si="15"/>
        <v>22185276979</v>
      </c>
      <c r="AF225" s="662">
        <f t="shared" si="15"/>
        <v>0</v>
      </c>
      <c r="AG225" s="662">
        <f t="shared" si="15"/>
        <v>0</v>
      </c>
      <c r="AH225" s="662">
        <f t="shared" si="15"/>
        <v>0</v>
      </c>
      <c r="AI225" s="662">
        <f t="shared" si="15"/>
        <v>0</v>
      </c>
      <c r="AJ225" s="662">
        <f t="shared" si="15"/>
        <v>0</v>
      </c>
      <c r="AK225" s="662">
        <f t="shared" si="15"/>
        <v>0</v>
      </c>
      <c r="AL225" s="662">
        <f t="shared" si="15"/>
        <v>0</v>
      </c>
    </row>
    <row r="226" spans="1:38" ht="15" customHeight="1">
      <c r="A226" s="663" t="s">
        <v>545</v>
      </c>
      <c r="B226" s="664">
        <v>28</v>
      </c>
      <c r="C226" s="666">
        <f t="shared" ref="C226:AL226" si="16">IFERROR(C225/C207,"")</f>
        <v>0.10545728494592503</v>
      </c>
      <c r="D226" s="666">
        <f t="shared" si="16"/>
        <v>2.7767055775691609E-3</v>
      </c>
      <c r="E226" s="666">
        <f t="shared" si="16"/>
        <v>5.7378775906268255E-2</v>
      </c>
      <c r="F226" s="666">
        <f t="shared" si="16"/>
        <v>0.12322914979896561</v>
      </c>
      <c r="G226" s="666">
        <f t="shared" si="16"/>
        <v>3.0838370136944668E-2</v>
      </c>
      <c r="H226" s="666">
        <f t="shared" si="16"/>
        <v>-2.5001653870348813E-2</v>
      </c>
      <c r="I226" s="666">
        <f t="shared" si="16"/>
        <v>-8.4436224216148853E-2</v>
      </c>
      <c r="J226" s="666">
        <f t="shared" si="16"/>
        <v>3.9324405459122518E-2</v>
      </c>
      <c r="K226" s="666">
        <f t="shared" si="16"/>
        <v>0.15341636786377219</v>
      </c>
      <c r="L226" s="666">
        <f t="shared" si="16"/>
        <v>4.0014150041842611E-2</v>
      </c>
      <c r="M226" s="666">
        <f t="shared" si="16"/>
        <v>6.7357910544018296E-2</v>
      </c>
      <c r="N226" s="666">
        <f t="shared" si="16"/>
        <v>1.2142806683701188</v>
      </c>
      <c r="O226" s="666">
        <f t="shared" si="16"/>
        <v>0.15868132196480847</v>
      </c>
      <c r="P226" s="666">
        <f t="shared" si="16"/>
        <v>0.17781343289866669</v>
      </c>
      <c r="Q226" s="666">
        <f t="shared" si="16"/>
        <v>0.13806027784541253</v>
      </c>
      <c r="R226" s="666">
        <f t="shared" si="16"/>
        <v>0.12587009309402653</v>
      </c>
      <c r="S226" s="666">
        <f t="shared" si="16"/>
        <v>0.14573210443999959</v>
      </c>
      <c r="T226" s="666">
        <f t="shared" si="16"/>
        <v>0.11475268161683538</v>
      </c>
      <c r="U226" s="666">
        <f t="shared" si="16"/>
        <v>6.7522790639328173E-2</v>
      </c>
      <c r="V226" s="666">
        <f t="shared" si="16"/>
        <v>7.920090589920864E-2</v>
      </c>
      <c r="W226" s="666">
        <f t="shared" si="16"/>
        <v>1.8853882177996016E-2</v>
      </c>
      <c r="X226" s="666">
        <f t="shared" si="16"/>
        <v>8.2270615886080353E-2</v>
      </c>
      <c r="Y226" s="666">
        <f t="shared" si="16"/>
        <v>8.3842191694453366E-2</v>
      </c>
      <c r="Z226" s="666">
        <f t="shared" si="16"/>
        <v>0.29033143333306949</v>
      </c>
      <c r="AA226" s="666">
        <f t="shared" si="16"/>
        <v>8.738309443813197E-2</v>
      </c>
      <c r="AB226" s="666">
        <f t="shared" si="16"/>
        <v>6.3741726528624185E-2</v>
      </c>
      <c r="AC226" s="666">
        <f t="shared" si="16"/>
        <v>4.3051540652948951E-2</v>
      </c>
      <c r="AD226" s="666">
        <f t="shared" si="16"/>
        <v>0.11298382348450328</v>
      </c>
      <c r="AE226" s="666">
        <f t="shared" si="16"/>
        <v>0.13886166598195682</v>
      </c>
      <c r="AF226" s="666" t="str">
        <f t="shared" si="16"/>
        <v/>
      </c>
      <c r="AG226" s="666" t="str">
        <f t="shared" si="16"/>
        <v/>
      </c>
      <c r="AH226" s="666" t="str">
        <f t="shared" si="16"/>
        <v/>
      </c>
      <c r="AI226" s="666" t="str">
        <f t="shared" si="16"/>
        <v/>
      </c>
      <c r="AJ226" s="666" t="str">
        <f t="shared" si="16"/>
        <v/>
      </c>
      <c r="AK226" s="666" t="str">
        <f t="shared" si="16"/>
        <v/>
      </c>
      <c r="AL226" s="666" t="str">
        <f t="shared" si="16"/>
        <v/>
      </c>
    </row>
    <row r="227" spans="1:38" ht="15" customHeight="1">
      <c r="A227" s="660" t="s">
        <v>546</v>
      </c>
      <c r="B227" s="661">
        <v>29</v>
      </c>
      <c r="C227" s="662">
        <f t="shared" ref="C227:AL227" si="17">C150</f>
        <v>1925739613</v>
      </c>
      <c r="D227" s="662">
        <f t="shared" si="17"/>
        <v>-5270648797</v>
      </c>
      <c r="E227" s="662">
        <f t="shared" si="17"/>
        <v>-2959309601</v>
      </c>
      <c r="F227" s="662">
        <f t="shared" si="17"/>
        <v>2475246740</v>
      </c>
      <c r="G227" s="662">
        <f t="shared" si="17"/>
        <v>-4153402340</v>
      </c>
      <c r="H227" s="662">
        <f t="shared" si="17"/>
        <v>-10215448067</v>
      </c>
      <c r="I227" s="662">
        <f t="shared" si="17"/>
        <v>-13524685493</v>
      </c>
      <c r="J227" s="662">
        <f t="shared" si="17"/>
        <v>-8282947985</v>
      </c>
      <c r="K227" s="662">
        <f t="shared" si="17"/>
        <v>9673268117</v>
      </c>
      <c r="L227" s="662">
        <f t="shared" si="17"/>
        <v>-4978185231</v>
      </c>
      <c r="M227" s="662">
        <f t="shared" si="17"/>
        <v>-3242020126</v>
      </c>
      <c r="N227" s="662">
        <f t="shared" si="17"/>
        <v>105403947594</v>
      </c>
      <c r="O227" s="662">
        <f t="shared" si="17"/>
        <v>5761271238</v>
      </c>
      <c r="P227" s="662">
        <f t="shared" si="17"/>
        <v>20413496509</v>
      </c>
      <c r="Q227" s="662">
        <f t="shared" si="17"/>
        <v>8350881246</v>
      </c>
      <c r="R227" s="662">
        <f t="shared" si="17"/>
        <v>4428276973</v>
      </c>
      <c r="S227" s="662">
        <f t="shared" si="17"/>
        <v>11212005063</v>
      </c>
      <c r="T227" s="662">
        <f t="shared" si="17"/>
        <v>1261765596</v>
      </c>
      <c r="U227" s="662">
        <f t="shared" si="17"/>
        <v>-1791468483</v>
      </c>
      <c r="V227" s="662">
        <f t="shared" si="17"/>
        <v>297419333</v>
      </c>
      <c r="W227" s="662">
        <f t="shared" si="17"/>
        <v>-11551325497</v>
      </c>
      <c r="X227" s="662">
        <f t="shared" si="17"/>
        <v>-5201346672</v>
      </c>
      <c r="Y227" s="662">
        <f t="shared" si="17"/>
        <v>-7774530924</v>
      </c>
      <c r="Z227" s="662">
        <f t="shared" si="17"/>
        <v>5991671450</v>
      </c>
      <c r="AA227" s="662">
        <f t="shared" si="17"/>
        <v>-1693460736</v>
      </c>
      <c r="AB227" s="662">
        <f t="shared" si="17"/>
        <v>-6419213738</v>
      </c>
      <c r="AC227" s="662">
        <f t="shared" si="17"/>
        <v>-6818467491</v>
      </c>
      <c r="AD227" s="662">
        <f t="shared" si="17"/>
        <v>3703754212</v>
      </c>
      <c r="AE227" s="662">
        <f t="shared" si="17"/>
        <v>8181583918</v>
      </c>
      <c r="AF227" s="662">
        <f t="shared" si="17"/>
        <v>0</v>
      </c>
      <c r="AG227" s="662">
        <f t="shared" si="17"/>
        <v>0</v>
      </c>
      <c r="AH227" s="662">
        <f t="shared" si="17"/>
        <v>0</v>
      </c>
      <c r="AI227" s="662">
        <f t="shared" si="17"/>
        <v>0</v>
      </c>
      <c r="AJ227" s="662">
        <f t="shared" si="17"/>
        <v>0</v>
      </c>
      <c r="AK227" s="662">
        <f t="shared" si="17"/>
        <v>0</v>
      </c>
      <c r="AL227" s="662">
        <f t="shared" si="17"/>
        <v>0</v>
      </c>
    </row>
    <row r="228" spans="1:38" ht="15" customHeight="1">
      <c r="A228" s="663" t="s">
        <v>547</v>
      </c>
      <c r="B228" s="664">
        <v>30</v>
      </c>
      <c r="C228" s="666">
        <f t="shared" ref="C228:AL228" si="18">IFERROR(C227/C207,"")</f>
        <v>2.0067811261432811E-2</v>
      </c>
      <c r="D228" s="666">
        <f t="shared" si="18"/>
        <v>-7.6452975629658346E-2</v>
      </c>
      <c r="E228" s="666">
        <f t="shared" si="18"/>
        <v>-3.2128166363964879E-2</v>
      </c>
      <c r="F228" s="666">
        <f t="shared" si="18"/>
        <v>2.5389986372027676E-2</v>
      </c>
      <c r="G228" s="666">
        <f t="shared" si="18"/>
        <v>-4.0574438599045283E-2</v>
      </c>
      <c r="H228" s="666">
        <f t="shared" si="18"/>
        <v>-0.15002162552643156</v>
      </c>
      <c r="I228" s="666">
        <f t="shared" si="18"/>
        <v>-0.2395815996131023</v>
      </c>
      <c r="J228" s="666">
        <f t="shared" si="18"/>
        <v>-5.3775645169292279E-2</v>
      </c>
      <c r="K228" s="666">
        <f t="shared" si="18"/>
        <v>6.1680000554753922E-2</v>
      </c>
      <c r="L228" s="666">
        <f t="shared" si="18"/>
        <v>-4.2616851987213128E-2</v>
      </c>
      <c r="M228" s="666">
        <f t="shared" si="18"/>
        <v>-4.2587475643314124E-2</v>
      </c>
      <c r="N228" s="666">
        <f t="shared" si="18"/>
        <v>0.99240993867890626</v>
      </c>
      <c r="O228" s="666">
        <f t="shared" si="18"/>
        <v>5.0333259490518159E-2</v>
      </c>
      <c r="P228" s="666">
        <f t="shared" si="18"/>
        <v>0.10858273951430966</v>
      </c>
      <c r="Q228" s="666">
        <f t="shared" si="18"/>
        <v>5.5578675674270578E-2</v>
      </c>
      <c r="R228" s="666">
        <f t="shared" si="18"/>
        <v>3.530486593974555E-2</v>
      </c>
      <c r="S228" s="666">
        <f t="shared" si="18"/>
        <v>7.3730622228577888E-2</v>
      </c>
      <c r="T228" s="666">
        <f t="shared" si="18"/>
        <v>1.0591086258741739E-2</v>
      </c>
      <c r="U228" s="666">
        <f t="shared" si="18"/>
        <v>-1.2982464077087143E-2</v>
      </c>
      <c r="V228" s="666">
        <f t="shared" si="18"/>
        <v>1.765700830678181E-3</v>
      </c>
      <c r="W228" s="666">
        <f t="shared" si="18"/>
        <v>-0.13636248577715029</v>
      </c>
      <c r="X228" s="666">
        <f t="shared" si="18"/>
        <v>-4.7750074282495315E-2</v>
      </c>
      <c r="Y228" s="666">
        <f t="shared" si="18"/>
        <v>-8.7999065211578922E-2</v>
      </c>
      <c r="Z228" s="666">
        <f t="shared" si="18"/>
        <v>5.9069025208466797E-2</v>
      </c>
      <c r="AA228" s="666">
        <f t="shared" si="18"/>
        <v>-1.3429608800534138E-2</v>
      </c>
      <c r="AB228" s="666">
        <f t="shared" si="18"/>
        <v>-6.6474330532828974E-2</v>
      </c>
      <c r="AC228" s="666">
        <f t="shared" si="18"/>
        <v>-3.9343556907091431E-2</v>
      </c>
      <c r="AD228" s="666">
        <f t="shared" si="18"/>
        <v>2.3285725195445736E-2</v>
      </c>
      <c r="AE228" s="666">
        <f t="shared" si="18"/>
        <v>5.1210015286267369E-2</v>
      </c>
      <c r="AF228" s="666" t="str">
        <f t="shared" si="18"/>
        <v/>
      </c>
      <c r="AG228" s="666" t="str">
        <f t="shared" si="18"/>
        <v/>
      </c>
      <c r="AH228" s="666" t="str">
        <f t="shared" si="18"/>
        <v/>
      </c>
      <c r="AI228" s="666" t="str">
        <f t="shared" si="18"/>
        <v/>
      </c>
      <c r="AJ228" s="666" t="str">
        <f t="shared" si="18"/>
        <v/>
      </c>
      <c r="AK228" s="666" t="str">
        <f t="shared" si="18"/>
        <v/>
      </c>
      <c r="AL228" s="666" t="str">
        <f t="shared" si="18"/>
        <v/>
      </c>
    </row>
    <row r="229" spans="1:38" ht="15" customHeight="1">
      <c r="A229" s="660" t="s">
        <v>91</v>
      </c>
      <c r="B229" s="661">
        <v>31</v>
      </c>
      <c r="C229" s="662">
        <f t="shared" ref="C229:AL229" si="19">C150+C143+C159</f>
        <v>5384680897</v>
      </c>
      <c r="D229" s="662">
        <f t="shared" si="19"/>
        <v>-1703380519</v>
      </c>
      <c r="E229" s="662">
        <f t="shared" si="19"/>
        <v>626985252</v>
      </c>
      <c r="F229" s="662">
        <f t="shared" si="19"/>
        <v>6561979281</v>
      </c>
      <c r="G229" s="662">
        <f t="shared" si="19"/>
        <v>59631967</v>
      </c>
      <c r="H229" s="662">
        <f t="shared" si="19"/>
        <v>-5859951964</v>
      </c>
      <c r="I229" s="662">
        <f t="shared" si="19"/>
        <v>-9089366006</v>
      </c>
      <c r="J229" s="662">
        <f t="shared" si="19"/>
        <v>-4047933145</v>
      </c>
      <c r="K229" s="662">
        <f t="shared" si="19"/>
        <v>13967423844</v>
      </c>
      <c r="L229" s="662">
        <f t="shared" si="19"/>
        <v>-703227311</v>
      </c>
      <c r="M229" s="662">
        <f t="shared" si="19"/>
        <v>1096125496</v>
      </c>
      <c r="N229" s="662">
        <f t="shared" si="19"/>
        <v>110198971178</v>
      </c>
      <c r="O229" s="662">
        <f t="shared" si="19"/>
        <v>10679249682</v>
      </c>
      <c r="P229" s="662">
        <f t="shared" si="19"/>
        <v>25146574404</v>
      </c>
      <c r="Q229" s="662">
        <f t="shared" si="19"/>
        <v>13027482010</v>
      </c>
      <c r="R229" s="662">
        <f t="shared" si="19"/>
        <v>9221866353</v>
      </c>
      <c r="S229" s="662">
        <f t="shared" si="19"/>
        <v>16490448778</v>
      </c>
      <c r="T229" s="662">
        <f t="shared" si="19"/>
        <v>6798133756</v>
      </c>
      <c r="U229" s="662">
        <f t="shared" si="19"/>
        <v>3536012394</v>
      </c>
      <c r="V229" s="662">
        <f t="shared" si="19"/>
        <v>5693975403</v>
      </c>
      <c r="W229" s="662">
        <f t="shared" si="19"/>
        <v>-5548061094</v>
      </c>
      <c r="X229" s="662">
        <f t="shared" si="19"/>
        <v>428312446</v>
      </c>
      <c r="Y229" s="662">
        <f t="shared" si="19"/>
        <v>-2096448071</v>
      </c>
      <c r="Z229" s="662">
        <f t="shared" si="19"/>
        <v>11690093189</v>
      </c>
      <c r="AA229" s="662">
        <f t="shared" si="19"/>
        <v>1680623174</v>
      </c>
      <c r="AB229" s="662">
        <f t="shared" si="19"/>
        <v>-3159925832</v>
      </c>
      <c r="AC229" s="662">
        <f t="shared" si="19"/>
        <v>-3740637369</v>
      </c>
      <c r="AD229" s="662">
        <f t="shared" si="19"/>
        <v>7043800260</v>
      </c>
      <c r="AE229" s="662">
        <f t="shared" si="19"/>
        <v>11351398266</v>
      </c>
      <c r="AF229" s="662">
        <f t="shared" si="19"/>
        <v>0</v>
      </c>
      <c r="AG229" s="662">
        <f t="shared" si="19"/>
        <v>0</v>
      </c>
      <c r="AH229" s="662">
        <f t="shared" si="19"/>
        <v>0</v>
      </c>
      <c r="AI229" s="662">
        <f t="shared" si="19"/>
        <v>0</v>
      </c>
      <c r="AJ229" s="662">
        <f t="shared" si="19"/>
        <v>0</v>
      </c>
      <c r="AK229" s="662">
        <f t="shared" si="19"/>
        <v>0</v>
      </c>
      <c r="AL229" s="662">
        <f t="shared" si="19"/>
        <v>0</v>
      </c>
    </row>
    <row r="230" spans="1:38" ht="15" customHeight="1">
      <c r="A230" s="663" t="s">
        <v>548</v>
      </c>
      <c r="B230" s="664">
        <v>32</v>
      </c>
      <c r="C230" s="666">
        <f t="shared" ref="C230:AL230" si="20">IFERROR(C229/C207,"")</f>
        <v>5.611286137262355E-2</v>
      </c>
      <c r="D230" s="666">
        <f t="shared" si="20"/>
        <v>-2.4708250221731058E-2</v>
      </c>
      <c r="E230" s="666">
        <f t="shared" si="20"/>
        <v>6.8069547293062842E-3</v>
      </c>
      <c r="F230" s="666">
        <f t="shared" si="20"/>
        <v>6.7309881405244451E-2</v>
      </c>
      <c r="G230" s="666">
        <f t="shared" si="20"/>
        <v>5.825425483777703E-4</v>
      </c>
      <c r="H230" s="666">
        <f t="shared" si="20"/>
        <v>-8.6057852125546425E-2</v>
      </c>
      <c r="I230" s="666">
        <f t="shared" si="20"/>
        <v>-0.16101260530705302</v>
      </c>
      <c r="J230" s="666">
        <f t="shared" si="20"/>
        <v>-2.6280524381988784E-2</v>
      </c>
      <c r="K230" s="666">
        <f t="shared" si="20"/>
        <v>8.9060977120272986E-2</v>
      </c>
      <c r="L230" s="666">
        <f t="shared" si="20"/>
        <v>-6.020132404802616E-3</v>
      </c>
      <c r="M230" s="666">
        <f t="shared" si="20"/>
        <v>1.4398805697887766E-2</v>
      </c>
      <c r="N230" s="666">
        <f t="shared" si="20"/>
        <v>1.037556531093935</v>
      </c>
      <c r="O230" s="666">
        <f t="shared" si="20"/>
        <v>9.3299104173879821E-2</v>
      </c>
      <c r="P230" s="666">
        <f t="shared" si="20"/>
        <v>0.13375875793658915</v>
      </c>
      <c r="Q230" s="666">
        <f t="shared" si="20"/>
        <v>8.670344795442976E-2</v>
      </c>
      <c r="R230" s="666">
        <f t="shared" si="20"/>
        <v>7.352222033355528E-2</v>
      </c>
      <c r="S230" s="666">
        <f t="shared" si="20"/>
        <v>0.10844189263192378</v>
      </c>
      <c r="T230" s="666">
        <f t="shared" si="20"/>
        <v>5.7062596441455019E-2</v>
      </c>
      <c r="U230" s="666">
        <f t="shared" si="20"/>
        <v>2.5624873848947256E-2</v>
      </c>
      <c r="V230" s="666">
        <f t="shared" si="20"/>
        <v>3.3803643487218198E-2</v>
      </c>
      <c r="W230" s="666">
        <f t="shared" si="20"/>
        <v>-6.549442332118674E-2</v>
      </c>
      <c r="X230" s="666">
        <f t="shared" si="20"/>
        <v>3.9320492176986863E-3</v>
      </c>
      <c r="Y230" s="666">
        <f t="shared" si="20"/>
        <v>-2.3729466422612155E-2</v>
      </c>
      <c r="Z230" s="666">
        <f t="shared" si="20"/>
        <v>0.11524704166987777</v>
      </c>
      <c r="AA230" s="666">
        <f t="shared" si="20"/>
        <v>1.332780340762032E-2</v>
      </c>
      <c r="AB230" s="666">
        <f t="shared" si="20"/>
        <v>-3.2722692028796345E-2</v>
      </c>
      <c r="AC230" s="666">
        <f t="shared" si="20"/>
        <v>-2.1584025939890526E-2</v>
      </c>
      <c r="AD230" s="666">
        <f t="shared" si="20"/>
        <v>4.4284795317829591E-2</v>
      </c>
      <c r="AE230" s="666">
        <f t="shared" si="20"/>
        <v>7.1050457289017183E-2</v>
      </c>
      <c r="AF230" s="666" t="str">
        <f t="shared" si="20"/>
        <v/>
      </c>
      <c r="AG230" s="666" t="str">
        <f t="shared" si="20"/>
        <v/>
      </c>
      <c r="AH230" s="666" t="str">
        <f t="shared" si="20"/>
        <v/>
      </c>
      <c r="AI230" s="666" t="str">
        <f t="shared" si="20"/>
        <v/>
      </c>
      <c r="AJ230" s="666" t="str">
        <f t="shared" si="20"/>
        <v/>
      </c>
      <c r="AK230" s="666" t="str">
        <f t="shared" si="20"/>
        <v/>
      </c>
      <c r="AL230" s="666" t="str">
        <f t="shared" si="20"/>
        <v/>
      </c>
    </row>
    <row r="231" spans="1:38" ht="15" customHeight="1">
      <c r="A231" s="660" t="s">
        <v>549</v>
      </c>
      <c r="B231" s="661">
        <v>33</v>
      </c>
      <c r="C231" s="662">
        <f t="shared" ref="C231:AL231" si="21">C151+C152</f>
        <v>0</v>
      </c>
      <c r="D231" s="662">
        <f t="shared" si="21"/>
        <v>0</v>
      </c>
      <c r="E231" s="662">
        <f t="shared" si="21"/>
        <v>0</v>
      </c>
      <c r="F231" s="662">
        <f t="shared" si="21"/>
        <v>0</v>
      </c>
      <c r="G231" s="662">
        <f t="shared" si="21"/>
        <v>0</v>
      </c>
      <c r="H231" s="662">
        <f t="shared" si="21"/>
        <v>0</v>
      </c>
      <c r="I231" s="662">
        <f t="shared" si="21"/>
        <v>0</v>
      </c>
      <c r="J231" s="662">
        <f t="shared" si="21"/>
        <v>0</v>
      </c>
      <c r="K231" s="662">
        <f t="shared" si="21"/>
        <v>0</v>
      </c>
      <c r="L231" s="662">
        <f t="shared" si="21"/>
        <v>0</v>
      </c>
      <c r="M231" s="662">
        <f t="shared" si="21"/>
        <v>0</v>
      </c>
      <c r="N231" s="662">
        <f t="shared" si="21"/>
        <v>13334207765</v>
      </c>
      <c r="O231" s="662">
        <f t="shared" si="21"/>
        <v>864190686</v>
      </c>
      <c r="P231" s="662">
        <f t="shared" si="21"/>
        <v>3012699780</v>
      </c>
      <c r="Q231" s="662">
        <f t="shared" si="21"/>
        <v>1252632187</v>
      </c>
      <c r="R231" s="662">
        <f t="shared" si="21"/>
        <v>677293488</v>
      </c>
      <c r="S231" s="662">
        <f t="shared" si="21"/>
        <v>1681800759</v>
      </c>
      <c r="T231" s="662">
        <f t="shared" si="21"/>
        <v>189264839</v>
      </c>
      <c r="U231" s="662">
        <f t="shared" si="21"/>
        <v>-2830986340</v>
      </c>
      <c r="V231" s="662">
        <f t="shared" si="21"/>
        <v>204199602</v>
      </c>
      <c r="W231" s="662">
        <f t="shared" si="21"/>
        <v>-1349170846</v>
      </c>
      <c r="X231" s="662">
        <f t="shared" si="21"/>
        <v>-516688622</v>
      </c>
      <c r="Y231" s="662">
        <f t="shared" si="21"/>
        <v>-854033077</v>
      </c>
      <c r="Z231" s="662">
        <f t="shared" si="21"/>
        <v>3330158442</v>
      </c>
      <c r="AA231" s="662">
        <f t="shared" si="21"/>
        <v>0</v>
      </c>
      <c r="AB231" s="662">
        <f t="shared" si="21"/>
        <v>0</v>
      </c>
      <c r="AC231" s="662">
        <f t="shared" si="21"/>
        <v>-153060867</v>
      </c>
      <c r="AD231" s="662">
        <f t="shared" si="21"/>
        <v>0</v>
      </c>
      <c r="AE231" s="662">
        <f t="shared" si="21"/>
        <v>-45841499</v>
      </c>
      <c r="AF231" s="662">
        <f t="shared" si="21"/>
        <v>0</v>
      </c>
      <c r="AG231" s="662">
        <f t="shared" si="21"/>
        <v>0</v>
      </c>
      <c r="AH231" s="662">
        <f t="shared" si="21"/>
        <v>0</v>
      </c>
      <c r="AI231" s="662">
        <f t="shared" si="21"/>
        <v>0</v>
      </c>
      <c r="AJ231" s="662">
        <f t="shared" si="21"/>
        <v>0</v>
      </c>
      <c r="AK231" s="662">
        <f t="shared" si="21"/>
        <v>0</v>
      </c>
      <c r="AL231" s="662">
        <f t="shared" si="21"/>
        <v>0</v>
      </c>
    </row>
    <row r="232" spans="1:38" ht="15" customHeight="1">
      <c r="A232" s="663" t="s">
        <v>550</v>
      </c>
      <c r="B232" s="664">
        <v>34</v>
      </c>
      <c r="C232" s="666">
        <f t="shared" ref="C232:AL232" si="22">IFERROR(C231/C207,"")</f>
        <v>0</v>
      </c>
      <c r="D232" s="666">
        <f t="shared" si="22"/>
        <v>0</v>
      </c>
      <c r="E232" s="666">
        <f t="shared" si="22"/>
        <v>0</v>
      </c>
      <c r="F232" s="666">
        <f t="shared" si="22"/>
        <v>0</v>
      </c>
      <c r="G232" s="666">
        <f t="shared" si="22"/>
        <v>0</v>
      </c>
      <c r="H232" s="666">
        <f t="shared" si="22"/>
        <v>0</v>
      </c>
      <c r="I232" s="666">
        <f t="shared" si="22"/>
        <v>0</v>
      </c>
      <c r="J232" s="666">
        <f t="shared" si="22"/>
        <v>0</v>
      </c>
      <c r="K232" s="666">
        <f t="shared" si="22"/>
        <v>0</v>
      </c>
      <c r="L232" s="666">
        <f t="shared" si="22"/>
        <v>0</v>
      </c>
      <c r="M232" s="666">
        <f t="shared" si="22"/>
        <v>0</v>
      </c>
      <c r="N232" s="666">
        <f t="shared" si="22"/>
        <v>0.12554558545916092</v>
      </c>
      <c r="O232" s="666">
        <f t="shared" si="22"/>
        <v>7.5499889261986695E-3</v>
      </c>
      <c r="P232" s="666">
        <f t="shared" si="22"/>
        <v>1.6025044768902409E-2</v>
      </c>
      <c r="Q232" s="666">
        <f t="shared" si="22"/>
        <v>8.336801351806129E-3</v>
      </c>
      <c r="R232" s="666">
        <f t="shared" si="22"/>
        <v>5.3997877597758521E-3</v>
      </c>
      <c r="S232" s="666">
        <f t="shared" si="22"/>
        <v>1.1059593331327463E-2</v>
      </c>
      <c r="T232" s="666">
        <f t="shared" si="22"/>
        <v>1.588662935453716E-3</v>
      </c>
      <c r="U232" s="666">
        <f t="shared" si="22"/>
        <v>-2.0515671255476063E-2</v>
      </c>
      <c r="V232" s="666">
        <f t="shared" si="22"/>
        <v>1.2122796566003795E-3</v>
      </c>
      <c r="W232" s="666">
        <f t="shared" si="22"/>
        <v>-1.5926855350617674E-2</v>
      </c>
      <c r="X232" s="666">
        <f t="shared" si="22"/>
        <v>-4.7433715991734501E-3</v>
      </c>
      <c r="Y232" s="666">
        <f t="shared" si="22"/>
        <v>-9.6667069911275851E-3</v>
      </c>
      <c r="Z232" s="666">
        <f t="shared" si="22"/>
        <v>3.2830440487301167E-2</v>
      </c>
      <c r="AA232" s="666">
        <f t="shared" si="22"/>
        <v>0</v>
      </c>
      <c r="AB232" s="666">
        <f t="shared" si="22"/>
        <v>0</v>
      </c>
      <c r="AC232" s="666">
        <f t="shared" si="22"/>
        <v>-8.8318363899393898E-4</v>
      </c>
      <c r="AD232" s="666">
        <f t="shared" si="22"/>
        <v>0</v>
      </c>
      <c r="AE232" s="666">
        <f t="shared" si="22"/>
        <v>-2.8693024334452722E-4</v>
      </c>
      <c r="AF232" s="666" t="str">
        <f t="shared" si="22"/>
        <v/>
      </c>
      <c r="AG232" s="666" t="str">
        <f t="shared" si="22"/>
        <v/>
      </c>
      <c r="AH232" s="666" t="str">
        <f t="shared" si="22"/>
        <v/>
      </c>
      <c r="AI232" s="666" t="str">
        <f t="shared" si="22"/>
        <v/>
      </c>
      <c r="AJ232" s="666" t="str">
        <f t="shared" si="22"/>
        <v/>
      </c>
      <c r="AK232" s="666" t="str">
        <f t="shared" si="22"/>
        <v/>
      </c>
      <c r="AL232" s="666" t="str">
        <f t="shared" si="22"/>
        <v/>
      </c>
    </row>
    <row r="233" spans="1:38" ht="15" customHeight="1">
      <c r="A233" s="660" t="s">
        <v>551</v>
      </c>
      <c r="B233" s="661">
        <v>35</v>
      </c>
      <c r="C233" s="662">
        <f t="shared" ref="C233:X233" si="23">C153</f>
        <v>1925739613</v>
      </c>
      <c r="D233" s="662">
        <f t="shared" si="23"/>
        <v>-5270648797</v>
      </c>
      <c r="E233" s="662">
        <f t="shared" si="23"/>
        <v>-2959309601</v>
      </c>
      <c r="F233" s="662">
        <f t="shared" si="23"/>
        <v>2475246740</v>
      </c>
      <c r="G233" s="662">
        <f t="shared" si="23"/>
        <v>-4153402340</v>
      </c>
      <c r="H233" s="662">
        <f t="shared" si="23"/>
        <v>-10215448067</v>
      </c>
      <c r="I233" s="662">
        <f t="shared" si="23"/>
        <v>-13524685493</v>
      </c>
      <c r="J233" s="662">
        <f t="shared" si="23"/>
        <v>-8282947985</v>
      </c>
      <c r="K233" s="662">
        <f t="shared" si="23"/>
        <v>9673268117</v>
      </c>
      <c r="L233" s="662">
        <f t="shared" si="23"/>
        <v>-4978185231</v>
      </c>
      <c r="M233" s="662">
        <f t="shared" si="23"/>
        <v>-3242020126</v>
      </c>
      <c r="N233" s="662">
        <f t="shared" si="23"/>
        <v>92069739829</v>
      </c>
      <c r="O233" s="662">
        <f t="shared" si="23"/>
        <v>4897080552</v>
      </c>
      <c r="P233" s="662">
        <f t="shared" si="23"/>
        <v>17400796729</v>
      </c>
      <c r="Q233" s="662">
        <f t="shared" si="23"/>
        <v>7098249059</v>
      </c>
      <c r="R233" s="662">
        <f t="shared" si="23"/>
        <v>3750983485</v>
      </c>
      <c r="S233" s="662">
        <f t="shared" si="23"/>
        <v>9530204304</v>
      </c>
      <c r="T233" s="662">
        <f t="shared" si="23"/>
        <v>1072500757</v>
      </c>
      <c r="U233" s="662">
        <f t="shared" si="23"/>
        <v>1039517857</v>
      </c>
      <c r="V233" s="662">
        <f t="shared" si="23"/>
        <v>93219731</v>
      </c>
      <c r="W233" s="662">
        <f t="shared" si="23"/>
        <v>-10202154651</v>
      </c>
      <c r="X233" s="662">
        <f t="shared" si="23"/>
        <v>-4684658050</v>
      </c>
      <c r="Y233" s="662">
        <f>Y153</f>
        <v>-6920497847</v>
      </c>
      <c r="Z233" s="662">
        <f>Z153</f>
        <v>2661513008</v>
      </c>
      <c r="AA233" s="662">
        <f t="shared" ref="AA233:AL233" si="24">AA153</f>
        <v>-1693460736</v>
      </c>
      <c r="AB233" s="662">
        <f t="shared" si="24"/>
        <v>-6419213738</v>
      </c>
      <c r="AC233" s="662">
        <f t="shared" si="24"/>
        <v>-6665406624</v>
      </c>
      <c r="AD233" s="662">
        <f t="shared" si="24"/>
        <v>3703754212</v>
      </c>
      <c r="AE233" s="662">
        <f t="shared" si="24"/>
        <v>8227425417</v>
      </c>
      <c r="AF233" s="662">
        <f t="shared" si="24"/>
        <v>0</v>
      </c>
      <c r="AG233" s="662">
        <f t="shared" si="24"/>
        <v>0</v>
      </c>
      <c r="AH233" s="662">
        <f t="shared" si="24"/>
        <v>0</v>
      </c>
      <c r="AI233" s="662">
        <f t="shared" si="24"/>
        <v>0</v>
      </c>
      <c r="AJ233" s="662">
        <f t="shared" si="24"/>
        <v>0</v>
      </c>
      <c r="AK233" s="662">
        <f t="shared" si="24"/>
        <v>0</v>
      </c>
      <c r="AL233" s="662">
        <f t="shared" si="24"/>
        <v>0</v>
      </c>
    </row>
    <row r="234" spans="1:38" ht="15" customHeight="1">
      <c r="A234" s="663" t="s">
        <v>552</v>
      </c>
      <c r="B234" s="664">
        <v>36</v>
      </c>
      <c r="C234" s="666">
        <f t="shared" ref="C234:AL234" si="25">IFERROR(C233/C207,"")</f>
        <v>2.0067811261432811E-2</v>
      </c>
      <c r="D234" s="666">
        <f t="shared" si="25"/>
        <v>-7.6452975629658346E-2</v>
      </c>
      <c r="E234" s="666">
        <f t="shared" si="25"/>
        <v>-3.2128166363964879E-2</v>
      </c>
      <c r="F234" s="666">
        <f t="shared" si="25"/>
        <v>2.5389986372027676E-2</v>
      </c>
      <c r="G234" s="666">
        <f t="shared" si="25"/>
        <v>-4.0574438599045283E-2</v>
      </c>
      <c r="H234" s="666">
        <f t="shared" si="25"/>
        <v>-0.15002162552643156</v>
      </c>
      <c r="I234" s="666">
        <f t="shared" si="25"/>
        <v>-0.2395815996131023</v>
      </c>
      <c r="J234" s="666">
        <f t="shared" si="25"/>
        <v>-5.3775645169292279E-2</v>
      </c>
      <c r="K234" s="666">
        <f t="shared" si="25"/>
        <v>6.1680000554753922E-2</v>
      </c>
      <c r="L234" s="666">
        <f t="shared" si="25"/>
        <v>-4.2616851987213128E-2</v>
      </c>
      <c r="M234" s="666">
        <f t="shared" si="25"/>
        <v>-4.2587475643314124E-2</v>
      </c>
      <c r="N234" s="666">
        <f t="shared" si="25"/>
        <v>0.86686435321974542</v>
      </c>
      <c r="O234" s="666">
        <f t="shared" si="25"/>
        <v>4.2783270564319492E-2</v>
      </c>
      <c r="P234" s="666">
        <f t="shared" si="25"/>
        <v>9.255769474540726E-2</v>
      </c>
      <c r="Q234" s="666">
        <f t="shared" si="25"/>
        <v>4.7241874322464447E-2</v>
      </c>
      <c r="R234" s="666">
        <f t="shared" si="25"/>
        <v>2.99050781799697E-2</v>
      </c>
      <c r="S234" s="666">
        <f t="shared" si="25"/>
        <v>6.2671028897250416E-2</v>
      </c>
      <c r="T234" s="666">
        <f t="shared" si="25"/>
        <v>9.0024233232880238E-3</v>
      </c>
      <c r="U234" s="666">
        <f t="shared" si="25"/>
        <v>7.5332071783889209E-3</v>
      </c>
      <c r="V234" s="666">
        <f t="shared" si="25"/>
        <v>5.5342117407780134E-4</v>
      </c>
      <c r="W234" s="666">
        <f t="shared" si="25"/>
        <v>-0.1204356304265326</v>
      </c>
      <c r="X234" s="666">
        <f t="shared" si="25"/>
        <v>-4.3006702683321865E-2</v>
      </c>
      <c r="Y234" s="666">
        <f t="shared" si="25"/>
        <v>-7.8332358220451342E-2</v>
      </c>
      <c r="Z234" s="666">
        <f t="shared" si="25"/>
        <v>2.6238584721165626E-2</v>
      </c>
      <c r="AA234" s="666">
        <f t="shared" si="25"/>
        <v>-1.3429608800534138E-2</v>
      </c>
      <c r="AB234" s="666">
        <f t="shared" si="25"/>
        <v>-6.6474330532828974E-2</v>
      </c>
      <c r="AC234" s="666">
        <f t="shared" si="25"/>
        <v>-3.8460373268097495E-2</v>
      </c>
      <c r="AD234" s="666">
        <f t="shared" si="25"/>
        <v>2.3285725195445736E-2</v>
      </c>
      <c r="AE234" s="666">
        <f t="shared" si="25"/>
        <v>5.1496945529611891E-2</v>
      </c>
      <c r="AF234" s="666" t="str">
        <f t="shared" si="25"/>
        <v/>
      </c>
      <c r="AG234" s="666" t="str">
        <f t="shared" si="25"/>
        <v/>
      </c>
      <c r="AH234" s="666" t="str">
        <f t="shared" si="25"/>
        <v/>
      </c>
      <c r="AI234" s="666" t="str">
        <f t="shared" si="25"/>
        <v/>
      </c>
      <c r="AJ234" s="666" t="str">
        <f t="shared" si="25"/>
        <v/>
      </c>
      <c r="AK234" s="666" t="str">
        <f t="shared" si="25"/>
        <v/>
      </c>
      <c r="AL234" s="666" t="str">
        <f t="shared" si="25"/>
        <v/>
      </c>
    </row>
    <row r="235" spans="1:38" ht="15" customHeight="1">
      <c r="A235" s="672" t="s">
        <v>553</v>
      </c>
      <c r="B235" s="673">
        <v>37</v>
      </c>
      <c r="C235" s="662">
        <f t="shared" ref="C235:AL235" si="26">C144</f>
        <v>2846219487</v>
      </c>
      <c r="D235" s="662">
        <f t="shared" si="26"/>
        <v>1219456854</v>
      </c>
      <c r="E235" s="662">
        <f t="shared" si="26"/>
        <v>3715738043</v>
      </c>
      <c r="F235" s="662">
        <f t="shared" si="26"/>
        <v>4585159549</v>
      </c>
      <c r="G235" s="662">
        <f t="shared" si="26"/>
        <v>1693810954</v>
      </c>
      <c r="H235" s="662">
        <f t="shared" si="26"/>
        <v>2407466874</v>
      </c>
      <c r="I235" s="662">
        <f t="shared" si="26"/>
        <v>2300964337</v>
      </c>
      <c r="J235" s="662">
        <f t="shared" si="26"/>
        <v>8205607205</v>
      </c>
      <c r="K235" s="662">
        <f t="shared" si="26"/>
        <v>7036529523</v>
      </c>
      <c r="L235" s="662">
        <f t="shared" si="26"/>
        <v>4608951194</v>
      </c>
      <c r="M235" s="662">
        <f t="shared" si="26"/>
        <v>1949627546</v>
      </c>
      <c r="N235" s="662">
        <f t="shared" si="26"/>
        <v>10266748080</v>
      </c>
      <c r="O235" s="662">
        <f t="shared" si="26"/>
        <v>4006424849</v>
      </c>
      <c r="P235" s="662">
        <f t="shared" si="26"/>
        <v>6313682258</v>
      </c>
      <c r="Q235" s="662">
        <f t="shared" si="26"/>
        <v>5091544776</v>
      </c>
      <c r="R235" s="662">
        <f t="shared" si="26"/>
        <v>4077126734</v>
      </c>
      <c r="S235" s="662">
        <f t="shared" si="26"/>
        <v>4686536575</v>
      </c>
      <c r="T235" s="662">
        <f t="shared" si="26"/>
        <v>4796729528</v>
      </c>
      <c r="U235" s="662">
        <f t="shared" si="26"/>
        <v>3449972349</v>
      </c>
      <c r="V235" s="662">
        <f t="shared" si="26"/>
        <v>4949095751</v>
      </c>
      <c r="W235" s="662">
        <f t="shared" si="26"/>
        <v>2811598286</v>
      </c>
      <c r="X235" s="662">
        <f t="shared" si="26"/>
        <v>6688603934</v>
      </c>
      <c r="Y235" s="662">
        <f t="shared" si="26"/>
        <v>3413749635</v>
      </c>
      <c r="Z235" s="662">
        <f t="shared" si="26"/>
        <v>4816680917</v>
      </c>
      <c r="AA235" s="662">
        <f t="shared" si="26"/>
        <v>3731798004</v>
      </c>
      <c r="AB235" s="662">
        <f t="shared" si="26"/>
        <v>3202645336</v>
      </c>
      <c r="AC235" s="662">
        <f t="shared" si="26"/>
        <v>6245695788</v>
      </c>
      <c r="AD235" s="662">
        <f t="shared" si="26"/>
        <v>5821309126</v>
      </c>
      <c r="AE235" s="662">
        <f t="shared" si="26"/>
        <v>5915805090</v>
      </c>
      <c r="AF235" s="662">
        <f t="shared" si="26"/>
        <v>0</v>
      </c>
      <c r="AG235" s="662">
        <f t="shared" si="26"/>
        <v>0</v>
      </c>
      <c r="AH235" s="662">
        <f t="shared" si="26"/>
        <v>0</v>
      </c>
      <c r="AI235" s="662">
        <f t="shared" si="26"/>
        <v>0</v>
      </c>
      <c r="AJ235" s="662">
        <f t="shared" si="26"/>
        <v>0</v>
      </c>
      <c r="AK235" s="662">
        <f t="shared" si="26"/>
        <v>0</v>
      </c>
      <c r="AL235" s="662">
        <f t="shared" si="26"/>
        <v>0</v>
      </c>
    </row>
    <row r="236" spans="1:38" ht="15" customHeight="1">
      <c r="A236" s="669" t="s">
        <v>554</v>
      </c>
      <c r="B236" s="670">
        <v>38</v>
      </c>
      <c r="C236" s="668">
        <v>230483280</v>
      </c>
      <c r="D236" s="668">
        <v>206217125</v>
      </c>
      <c r="E236" s="668">
        <v>225554807</v>
      </c>
      <c r="F236" s="668">
        <v>244583463</v>
      </c>
      <c r="G236" s="668">
        <v>227374036</v>
      </c>
      <c r="H236" s="668">
        <v>237888268</v>
      </c>
      <c r="I236" s="668">
        <v>234539808</v>
      </c>
      <c r="J236" s="668">
        <v>225973606</v>
      </c>
      <c r="K236" s="668">
        <v>246523606</v>
      </c>
      <c r="L236" s="668">
        <v>234340912</v>
      </c>
      <c r="M236" s="668">
        <v>225781298</v>
      </c>
      <c r="N236" s="668">
        <v>315128590</v>
      </c>
      <c r="O236" s="668">
        <v>288795517</v>
      </c>
      <c r="P236" s="668">
        <v>279028018</v>
      </c>
      <c r="Q236" s="668">
        <v>270260675</v>
      </c>
      <c r="R236" s="668">
        <v>309710404</v>
      </c>
      <c r="S236" s="668">
        <v>258112283</v>
      </c>
      <c r="T236" s="668">
        <v>282054651</v>
      </c>
      <c r="U236" s="668">
        <v>289537898</v>
      </c>
      <c r="V236" s="668">
        <v>498259089</v>
      </c>
      <c r="W236" s="668">
        <v>423087222</v>
      </c>
      <c r="X236" s="668">
        <v>293219183</v>
      </c>
      <c r="Y236" s="668">
        <v>422268800</v>
      </c>
      <c r="Z236" s="668">
        <v>595895367</v>
      </c>
      <c r="AA236" s="659">
        <v>341154818</v>
      </c>
      <c r="AB236" s="659">
        <v>335336818</v>
      </c>
      <c r="AC236" s="659">
        <v>750055065</v>
      </c>
      <c r="AD236" s="659">
        <v>440065248</v>
      </c>
      <c r="AE236" s="659">
        <v>437914065</v>
      </c>
      <c r="AF236" s="659">
        <v>417485738</v>
      </c>
      <c r="AG236" s="659">
        <v>398965180</v>
      </c>
      <c r="AH236" s="659">
        <v>405138700</v>
      </c>
      <c r="AI236" s="659">
        <v>417485738</v>
      </c>
      <c r="AJ236" s="659">
        <v>386618142</v>
      </c>
      <c r="AK236" s="659">
        <v>417485738</v>
      </c>
      <c r="AL236" s="659">
        <v>405138700</v>
      </c>
    </row>
    <row r="237" spans="1:38" ht="15" customHeight="1">
      <c r="A237" s="669" t="s">
        <v>555</v>
      </c>
      <c r="B237" s="670">
        <v>39</v>
      </c>
      <c r="C237" s="668">
        <v>141335340</v>
      </c>
      <c r="D237" s="668">
        <v>49086371</v>
      </c>
      <c r="E237" s="668">
        <v>90625000</v>
      </c>
      <c r="F237" s="668">
        <v>77677172</v>
      </c>
      <c r="G237" s="668">
        <v>162774302</v>
      </c>
      <c r="H237" s="668">
        <v>124935703</v>
      </c>
      <c r="I237" s="668">
        <v>217182696</v>
      </c>
      <c r="J237" s="668">
        <v>57295973</v>
      </c>
      <c r="K237" s="668">
        <v>220433045</v>
      </c>
      <c r="L237" s="668">
        <v>204911306</v>
      </c>
      <c r="M237" s="668">
        <v>94771659</v>
      </c>
      <c r="N237" s="668">
        <v>75394641</v>
      </c>
      <c r="O237" s="668">
        <v>95110894</v>
      </c>
      <c r="P237" s="668">
        <v>93043435</v>
      </c>
      <c r="Q237" s="668">
        <v>399176600</v>
      </c>
      <c r="R237" s="668">
        <v>427375717</v>
      </c>
      <c r="S237" s="668">
        <v>278010436</v>
      </c>
      <c r="T237" s="668">
        <v>206912230</v>
      </c>
      <c r="U237" s="668">
        <v>158533060</v>
      </c>
      <c r="V237" s="668">
        <v>271837714</v>
      </c>
      <c r="W237" s="668">
        <v>119384793</v>
      </c>
      <c r="X237" s="668">
        <v>229882183</v>
      </c>
      <c r="Y237" s="668">
        <v>221856192</v>
      </c>
      <c r="Z237" s="668">
        <v>174447947</v>
      </c>
      <c r="AA237" s="659">
        <v>203105799</v>
      </c>
      <c r="AB237" s="659">
        <v>175501259</v>
      </c>
      <c r="AC237" s="659">
        <v>323362648</v>
      </c>
      <c r="AD237" s="659">
        <v>347161700</v>
      </c>
      <c r="AE237" s="659">
        <v>288218290</v>
      </c>
      <c r="AF237" s="659">
        <v>217775083</v>
      </c>
      <c r="AG237" s="659">
        <v>217397083</v>
      </c>
      <c r="AH237" s="659">
        <v>220578083</v>
      </c>
      <c r="AI237" s="659">
        <v>219071083.00000003</v>
      </c>
      <c r="AJ237" s="659">
        <v>217145083</v>
      </c>
      <c r="AK237" s="659">
        <v>217775083</v>
      </c>
      <c r="AL237" s="659">
        <v>217523083</v>
      </c>
    </row>
    <row r="238" spans="1:38" ht="15" customHeight="1">
      <c r="A238" s="669" t="s">
        <v>556</v>
      </c>
      <c r="B238" s="670">
        <v>40</v>
      </c>
      <c r="C238" s="668">
        <v>339423744</v>
      </c>
      <c r="D238" s="668">
        <v>271418400</v>
      </c>
      <c r="E238" s="668">
        <v>484682880</v>
      </c>
      <c r="F238" s="668">
        <v>947585288</v>
      </c>
      <c r="G238" s="668">
        <v>732250680</v>
      </c>
      <c r="H238" s="668">
        <v>1259908312</v>
      </c>
      <c r="I238" s="668">
        <v>706508840</v>
      </c>
      <c r="J238" s="668">
        <v>1228570570</v>
      </c>
      <c r="K238" s="668">
        <v>805497700</v>
      </c>
      <c r="L238" s="668">
        <v>568126136</v>
      </c>
      <c r="M238" s="668">
        <v>338540380</v>
      </c>
      <c r="N238" s="668">
        <v>1203477272</v>
      </c>
      <c r="O238" s="668">
        <v>1156648724</v>
      </c>
      <c r="P238" s="668">
        <v>1395989840</v>
      </c>
      <c r="Q238" s="668">
        <v>718938840</v>
      </c>
      <c r="R238" s="668">
        <v>873725670</v>
      </c>
      <c r="S238" s="668">
        <v>801811330</v>
      </c>
      <c r="T238" s="668">
        <v>2343197427</v>
      </c>
      <c r="U238" s="668">
        <v>962161347</v>
      </c>
      <c r="V238" s="668">
        <v>1102469718</v>
      </c>
      <c r="W238" s="668">
        <v>793146505</v>
      </c>
      <c r="X238" s="668">
        <v>728694366</v>
      </c>
      <c r="Y238" s="668">
        <v>819335524</v>
      </c>
      <c r="Z238" s="668">
        <v>914940436</v>
      </c>
      <c r="AA238" s="659">
        <v>1284224102</v>
      </c>
      <c r="AB238" s="659">
        <v>828225273</v>
      </c>
      <c r="AC238" s="659">
        <v>2221270799</v>
      </c>
      <c r="AD238" s="659">
        <v>2175577325</v>
      </c>
      <c r="AE238" s="659">
        <v>2044593710</v>
      </c>
      <c r="AF238" s="659">
        <v>552369180</v>
      </c>
      <c r="AG238" s="659">
        <v>581519180</v>
      </c>
      <c r="AH238" s="659">
        <v>552369180</v>
      </c>
      <c r="AI238" s="659">
        <v>581519180</v>
      </c>
      <c r="AJ238" s="659">
        <v>552369180</v>
      </c>
      <c r="AK238" s="659">
        <v>582520880</v>
      </c>
      <c r="AL238" s="659">
        <v>556042080</v>
      </c>
    </row>
    <row r="239" spans="1:38" ht="15" customHeight="1">
      <c r="A239" s="669" t="s">
        <v>557</v>
      </c>
      <c r="B239" s="670">
        <v>41</v>
      </c>
      <c r="C239" s="668">
        <v>176869000</v>
      </c>
      <c r="D239" s="668">
        <v>98405100</v>
      </c>
      <c r="E239" s="668">
        <v>109040000</v>
      </c>
      <c r="F239" s="668">
        <v>105874074</v>
      </c>
      <c r="G239" s="668">
        <v>68080000</v>
      </c>
      <c r="H239" s="668">
        <v>196593648</v>
      </c>
      <c r="I239" s="668">
        <v>93037900</v>
      </c>
      <c r="J239" s="668">
        <v>632197036</v>
      </c>
      <c r="K239" s="668">
        <v>479521481</v>
      </c>
      <c r="L239" s="668">
        <v>399199672</v>
      </c>
      <c r="M239" s="668">
        <v>392115926</v>
      </c>
      <c r="N239" s="668">
        <v>478477333</v>
      </c>
      <c r="O239" s="668">
        <v>249728148</v>
      </c>
      <c r="P239" s="668">
        <v>500505186</v>
      </c>
      <c r="Q239" s="668">
        <v>292398814</v>
      </c>
      <c r="R239" s="668">
        <v>318375557</v>
      </c>
      <c r="S239" s="668">
        <v>269697036</v>
      </c>
      <c r="T239" s="668">
        <v>488977036</v>
      </c>
      <c r="U239" s="668">
        <v>351793707</v>
      </c>
      <c r="V239" s="668">
        <v>1015741347</v>
      </c>
      <c r="W239" s="668">
        <v>589171184</v>
      </c>
      <c r="X239" s="668">
        <v>654222223</v>
      </c>
      <c r="Y239" s="668">
        <v>526746706</v>
      </c>
      <c r="Z239" s="668">
        <v>543177912</v>
      </c>
      <c r="AA239" s="659">
        <v>345080148</v>
      </c>
      <c r="AB239" s="659">
        <v>240106741</v>
      </c>
      <c r="AC239" s="659">
        <v>556120832</v>
      </c>
      <c r="AD239" s="659">
        <v>814097700</v>
      </c>
      <c r="AE239" s="659">
        <v>580228250</v>
      </c>
      <c r="AF239" s="659">
        <v>230178155.75757575</v>
      </c>
      <c r="AG239" s="659">
        <v>181778155.75757575</v>
      </c>
      <c r="AH239" s="659">
        <v>230178155.75757575</v>
      </c>
      <c r="AI239" s="659">
        <v>181778155.75757575</v>
      </c>
      <c r="AJ239" s="659">
        <v>230178155.75757575</v>
      </c>
      <c r="AK239" s="659">
        <v>182738155.75757575</v>
      </c>
      <c r="AL239" s="659">
        <v>185078155.75757575</v>
      </c>
    </row>
    <row r="240" spans="1:38" ht="15" customHeight="1">
      <c r="A240" s="669" t="s">
        <v>558</v>
      </c>
      <c r="B240" s="670">
        <v>42</v>
      </c>
      <c r="C240" s="668">
        <v>1862640439</v>
      </c>
      <c r="D240" s="668">
        <v>439812589</v>
      </c>
      <c r="E240" s="668">
        <v>2669034839</v>
      </c>
      <c r="F240" s="668">
        <v>3032304136</v>
      </c>
      <c r="G240" s="668">
        <v>277880434</v>
      </c>
      <c r="H240" s="668">
        <v>318063920</v>
      </c>
      <c r="I240" s="668">
        <v>626032613</v>
      </c>
      <c r="J240" s="668">
        <v>5216793028</v>
      </c>
      <c r="K240" s="668">
        <v>5019652822</v>
      </c>
      <c r="L240" s="668">
        <v>2316276718</v>
      </c>
      <c r="M240" s="668">
        <v>404235983</v>
      </c>
      <c r="N240" s="668">
        <v>1317844326</v>
      </c>
      <c r="O240" s="668">
        <v>1442696903</v>
      </c>
      <c r="P240" s="668">
        <v>3574837862</v>
      </c>
      <c r="Q240" s="668">
        <v>1969857757</v>
      </c>
      <c r="R240" s="668">
        <v>1503984454</v>
      </c>
      <c r="S240" s="668">
        <v>2462711733</v>
      </c>
      <c r="T240" s="668">
        <v>1186353811</v>
      </c>
      <c r="U240" s="668">
        <v>1311037332</v>
      </c>
      <c r="V240" s="668">
        <v>1643007682</v>
      </c>
      <c r="W240" s="668">
        <v>437205501</v>
      </c>
      <c r="X240" s="668">
        <v>492312502</v>
      </c>
      <c r="Y240" s="668">
        <v>653246467</v>
      </c>
      <c r="Z240" s="668">
        <v>692122387</v>
      </c>
      <c r="AA240" s="659">
        <v>1092685189</v>
      </c>
      <c r="AB240" s="659">
        <v>1193026840</v>
      </c>
      <c r="AC240" s="659">
        <v>1805602205</v>
      </c>
      <c r="AD240" s="659">
        <v>1237377546</v>
      </c>
      <c r="AE240" s="659">
        <v>1647931878</v>
      </c>
      <c r="AF240" s="659">
        <v>2946559090.909091</v>
      </c>
      <c r="AG240" s="659">
        <v>2556811545.454546</v>
      </c>
      <c r="AH240" s="659">
        <v>2348044545.4545455</v>
      </c>
      <c r="AI240" s="659">
        <v>3226254545.4545455</v>
      </c>
      <c r="AJ240" s="659">
        <v>2414824545.4545455</v>
      </c>
      <c r="AK240" s="659">
        <v>2728054545.4545455</v>
      </c>
      <c r="AL240" s="659">
        <v>2869564545.454546</v>
      </c>
    </row>
    <row r="241" spans="1:38" ht="15" customHeight="1">
      <c r="A241" s="669" t="s">
        <v>559</v>
      </c>
      <c r="B241" s="670">
        <v>43</v>
      </c>
      <c r="C241" s="668">
        <v>30691333</v>
      </c>
      <c r="D241" s="668">
        <v>30691333</v>
      </c>
      <c r="E241" s="668">
        <v>30691333</v>
      </c>
      <c r="F241" s="668">
        <v>30691333</v>
      </c>
      <c r="G241" s="668">
        <v>30691333</v>
      </c>
      <c r="H241" s="668">
        <v>30691333</v>
      </c>
      <c r="I241" s="668">
        <v>30691333</v>
      </c>
      <c r="J241" s="668">
        <v>30691333</v>
      </c>
      <c r="K241" s="668">
        <v>30691333</v>
      </c>
      <c r="L241" s="668">
        <v>30691333</v>
      </c>
      <c r="M241" s="668">
        <v>30691333</v>
      </c>
      <c r="N241" s="668">
        <v>6948276</v>
      </c>
      <c r="O241" s="668">
        <v>31139609</v>
      </c>
      <c r="P241" s="668">
        <v>31139609</v>
      </c>
      <c r="Q241" s="668">
        <v>6948276</v>
      </c>
      <c r="R241" s="668">
        <v>6948275</v>
      </c>
      <c r="S241" s="668">
        <v>6948276</v>
      </c>
      <c r="T241" s="668">
        <v>6948276</v>
      </c>
      <c r="U241" s="668">
        <v>6948276</v>
      </c>
      <c r="V241" s="668">
        <v>6948276</v>
      </c>
      <c r="W241" s="668">
        <v>6948276</v>
      </c>
      <c r="X241" s="668">
        <v>47333567</v>
      </c>
      <c r="Y241" s="668">
        <v>47333566</v>
      </c>
      <c r="Z241" s="668">
        <v>47333566</v>
      </c>
      <c r="AA241" s="659">
        <v>19541270</v>
      </c>
      <c r="AB241" s="659">
        <v>19541269</v>
      </c>
      <c r="AC241" s="659">
        <v>19541270</v>
      </c>
      <c r="AD241" s="659">
        <v>19541270</v>
      </c>
      <c r="AE241" s="659">
        <v>19541270</v>
      </c>
      <c r="AF241" s="659">
        <v>20580264.265299968</v>
      </c>
      <c r="AG241" s="659">
        <v>20580264.265299968</v>
      </c>
      <c r="AH241" s="659">
        <v>20580264.265299968</v>
      </c>
      <c r="AI241" s="659">
        <v>20580264.265299968</v>
      </c>
      <c r="AJ241" s="659">
        <v>20580264.265299968</v>
      </c>
      <c r="AK241" s="659">
        <v>20580264.265299968</v>
      </c>
      <c r="AL241" s="659">
        <v>20580264.265299968</v>
      </c>
    </row>
    <row r="242" spans="1:38" ht="15" customHeight="1">
      <c r="A242" s="669" t="s">
        <v>560</v>
      </c>
      <c r="B242" s="670">
        <v>44</v>
      </c>
      <c r="C242" s="668">
        <v>64776351</v>
      </c>
      <c r="D242" s="668">
        <v>123825936</v>
      </c>
      <c r="E242" s="668">
        <v>106109184</v>
      </c>
      <c r="F242" s="668">
        <v>146444083</v>
      </c>
      <c r="G242" s="668">
        <v>194760169</v>
      </c>
      <c r="H242" s="668">
        <v>239385690</v>
      </c>
      <c r="I242" s="668">
        <v>392971147</v>
      </c>
      <c r="J242" s="668">
        <v>814085659</v>
      </c>
      <c r="K242" s="668">
        <v>234209536</v>
      </c>
      <c r="L242" s="668">
        <v>855405117</v>
      </c>
      <c r="M242" s="668">
        <v>463490967</v>
      </c>
      <c r="N242" s="668">
        <v>6869477642</v>
      </c>
      <c r="O242" s="668">
        <v>742305054</v>
      </c>
      <c r="P242" s="668">
        <v>439138308</v>
      </c>
      <c r="Q242" s="668">
        <v>1433963814</v>
      </c>
      <c r="R242" s="668">
        <v>637006657</v>
      </c>
      <c r="S242" s="668">
        <v>609245481</v>
      </c>
      <c r="T242" s="668">
        <v>282286097</v>
      </c>
      <c r="U242" s="668">
        <v>369960729</v>
      </c>
      <c r="V242" s="668">
        <v>410831925</v>
      </c>
      <c r="W242" s="668">
        <v>442654805</v>
      </c>
      <c r="X242" s="668">
        <v>4242939910</v>
      </c>
      <c r="Y242" s="668">
        <v>722962380</v>
      </c>
      <c r="Z242" s="668">
        <v>1848763302</v>
      </c>
      <c r="AA242" s="659">
        <v>446006678</v>
      </c>
      <c r="AB242" s="659">
        <v>410907136</v>
      </c>
      <c r="AC242" s="659">
        <v>569742969</v>
      </c>
      <c r="AD242" s="659">
        <v>787488337</v>
      </c>
      <c r="AE242" s="659">
        <v>897377627</v>
      </c>
      <c r="AF242" s="659">
        <v>641995700.39682543</v>
      </c>
      <c r="AG242" s="659">
        <v>314995700.39682537</v>
      </c>
      <c r="AH242" s="659">
        <v>463690700.39682537</v>
      </c>
      <c r="AI242" s="659">
        <v>1531995700.3968256</v>
      </c>
      <c r="AJ242" s="659">
        <v>523884589.28571427</v>
      </c>
      <c r="AK242" s="659">
        <v>513884589.28571427</v>
      </c>
      <c r="AL242" s="659">
        <v>550884589.28571427</v>
      </c>
    </row>
    <row r="243" spans="1:38" ht="15" customHeight="1">
      <c r="A243" s="674" t="s">
        <v>561</v>
      </c>
      <c r="B243" s="675">
        <v>45</v>
      </c>
      <c r="C243" s="666">
        <f t="shared" ref="C243:AL243" si="27">IFERROR(C235/C207,"")</f>
        <v>2.9659978476917852E-2</v>
      </c>
      <c r="D243" s="666">
        <f t="shared" si="27"/>
        <v>1.768873410676652E-2</v>
      </c>
      <c r="E243" s="666">
        <f t="shared" si="27"/>
        <v>4.0340439530246124E-2</v>
      </c>
      <c r="F243" s="666">
        <f t="shared" si="27"/>
        <v>4.7032538850119869E-2</v>
      </c>
      <c r="G243" s="666">
        <f t="shared" si="27"/>
        <v>1.6546778502432132E-2</v>
      </c>
      <c r="H243" s="666">
        <f t="shared" si="27"/>
        <v>3.5355482350818042E-2</v>
      </c>
      <c r="I243" s="666">
        <f t="shared" si="27"/>
        <v>4.0760187495412201E-2</v>
      </c>
      <c r="J243" s="666">
        <f t="shared" si="27"/>
        <v>5.3273523177227604E-2</v>
      </c>
      <c r="K243" s="666">
        <f t="shared" si="27"/>
        <v>4.4867271291637076E-2</v>
      </c>
      <c r="L243" s="666">
        <f t="shared" si="27"/>
        <v>3.9455942625005798E-2</v>
      </c>
      <c r="M243" s="666">
        <f t="shared" si="27"/>
        <v>2.5610487412751268E-2</v>
      </c>
      <c r="N243" s="666">
        <f t="shared" si="27"/>
        <v>9.6664527895581082E-2</v>
      </c>
      <c r="O243" s="666">
        <f t="shared" si="27"/>
        <v>3.5002070415275428E-2</v>
      </c>
      <c r="P243" s="666">
        <f t="shared" si="27"/>
        <v>3.3583512540062935E-2</v>
      </c>
      <c r="Q243" s="666">
        <f t="shared" si="27"/>
        <v>3.3886401620412961E-2</v>
      </c>
      <c r="R243" s="666">
        <f t="shared" si="27"/>
        <v>3.2505286738129829E-2</v>
      </c>
      <c r="S243" s="666">
        <f t="shared" si="27"/>
        <v>3.0818863872264582E-2</v>
      </c>
      <c r="T243" s="666">
        <f t="shared" si="27"/>
        <v>4.0263085593674364E-2</v>
      </c>
      <c r="U243" s="666">
        <f t="shared" si="27"/>
        <v>2.5001356436275327E-2</v>
      </c>
      <c r="V243" s="666">
        <f t="shared" si="27"/>
        <v>2.938148771467575E-2</v>
      </c>
      <c r="W243" s="666">
        <f t="shared" si="27"/>
        <v>3.3190695854368159E-2</v>
      </c>
      <c r="X243" s="666">
        <f t="shared" si="27"/>
        <v>6.1403585424134641E-2</v>
      </c>
      <c r="Y243" s="666">
        <f t="shared" si="27"/>
        <v>3.8639858749421413E-2</v>
      </c>
      <c r="Z243" s="666">
        <f t="shared" si="27"/>
        <v>4.7485355110286287E-2</v>
      </c>
      <c r="AA243" s="666">
        <f t="shared" si="27"/>
        <v>2.9594183231381476E-2</v>
      </c>
      <c r="AB243" s="666">
        <f t="shared" si="27"/>
        <v>3.3165074935021126E-2</v>
      </c>
      <c r="AC243" s="666">
        <f t="shared" si="27"/>
        <v>3.6038580221128352E-2</v>
      </c>
      <c r="AD243" s="666">
        <f t="shared" si="27"/>
        <v>3.6598920129902075E-2</v>
      </c>
      <c r="AE243" s="666">
        <f t="shared" si="27"/>
        <v>3.7028095308412418E-2</v>
      </c>
      <c r="AF243" s="666" t="str">
        <f t="shared" si="27"/>
        <v/>
      </c>
      <c r="AG243" s="666" t="str">
        <f t="shared" si="27"/>
        <v/>
      </c>
      <c r="AH243" s="666" t="str">
        <f t="shared" si="27"/>
        <v/>
      </c>
      <c r="AI243" s="666" t="str">
        <f t="shared" si="27"/>
        <v/>
      </c>
      <c r="AJ243" s="666" t="str">
        <f t="shared" si="27"/>
        <v/>
      </c>
      <c r="AK243" s="666" t="str">
        <f t="shared" si="27"/>
        <v/>
      </c>
      <c r="AL243" s="666" t="str">
        <f t="shared" si="27"/>
        <v/>
      </c>
    </row>
    <row r="244" spans="1:38" ht="15" customHeight="1">
      <c r="A244" s="672" t="s">
        <v>562</v>
      </c>
      <c r="B244" s="673">
        <v>46</v>
      </c>
      <c r="C244" s="662">
        <f t="shared" ref="C244:AL244" si="28">C145</f>
        <v>5241377343</v>
      </c>
      <c r="D244" s="662">
        <f t="shared" si="28"/>
        <v>4647980221</v>
      </c>
      <c r="E244" s="662">
        <f t="shared" si="28"/>
        <v>4838115306</v>
      </c>
      <c r="F244" s="662">
        <f t="shared" si="28"/>
        <v>5132788494</v>
      </c>
      <c r="G244" s="662">
        <f t="shared" si="28"/>
        <v>5665606587</v>
      </c>
      <c r="H244" s="662">
        <f t="shared" si="28"/>
        <v>5470797521</v>
      </c>
      <c r="I244" s="662">
        <f t="shared" si="28"/>
        <v>5239042307</v>
      </c>
      <c r="J244" s="662">
        <f t="shared" si="28"/>
        <v>6065017937</v>
      </c>
      <c r="K244" s="662">
        <f t="shared" si="28"/>
        <v>7524726581</v>
      </c>
      <c r="L244" s="662">
        <f t="shared" si="28"/>
        <v>7016385931</v>
      </c>
      <c r="M244" s="662">
        <f t="shared" si="28"/>
        <v>7426888275</v>
      </c>
      <c r="N244" s="662">
        <f t="shared" si="28"/>
        <v>5833487838</v>
      </c>
      <c r="O244" s="662">
        <f t="shared" si="28"/>
        <v>7638868570</v>
      </c>
      <c r="P244" s="662">
        <f t="shared" si="28"/>
        <v>7013534740</v>
      </c>
      <c r="Q244" s="662">
        <f t="shared" si="28"/>
        <v>7332584934</v>
      </c>
      <c r="R244" s="662">
        <f t="shared" si="28"/>
        <v>7155903324</v>
      </c>
      <c r="S244" s="662">
        <f t="shared" si="28"/>
        <v>7948694673</v>
      </c>
      <c r="T244" s="662">
        <f t="shared" si="28"/>
        <v>7721648228</v>
      </c>
      <c r="U244" s="662">
        <f t="shared" si="28"/>
        <v>7616453256</v>
      </c>
      <c r="V244" s="662">
        <f t="shared" si="28"/>
        <v>7931593154</v>
      </c>
      <c r="W244" s="662">
        <f t="shared" si="28"/>
        <v>9422194647</v>
      </c>
      <c r="X244" s="662">
        <f t="shared" si="28"/>
        <v>3775611792</v>
      </c>
      <c r="Y244" s="662">
        <f t="shared" si="28"/>
        <v>9875644458</v>
      </c>
      <c r="Z244" s="662">
        <f t="shared" si="28"/>
        <v>15282438636</v>
      </c>
      <c r="AA244" s="662">
        <f t="shared" si="28"/>
        <v>8394130638</v>
      </c>
      <c r="AB244" s="662">
        <f t="shared" si="28"/>
        <v>7959394332</v>
      </c>
      <c r="AC244" s="662">
        <f t="shared" si="28"/>
        <v>7329810589</v>
      </c>
      <c r="AD244" s="662">
        <f t="shared" si="28"/>
        <v>8148952142</v>
      </c>
      <c r="AE244" s="662">
        <f t="shared" si="28"/>
        <v>8010802475</v>
      </c>
      <c r="AF244" s="662">
        <f t="shared" si="28"/>
        <v>0</v>
      </c>
      <c r="AG244" s="662">
        <f t="shared" si="28"/>
        <v>0</v>
      </c>
      <c r="AH244" s="662">
        <f t="shared" si="28"/>
        <v>0</v>
      </c>
      <c r="AI244" s="662">
        <f t="shared" si="28"/>
        <v>0</v>
      </c>
      <c r="AJ244" s="662">
        <f t="shared" si="28"/>
        <v>0</v>
      </c>
      <c r="AK244" s="662">
        <f t="shared" si="28"/>
        <v>0</v>
      </c>
      <c r="AL244" s="662">
        <f t="shared" si="28"/>
        <v>0</v>
      </c>
    </row>
    <row r="245" spans="1:38" ht="15" customHeight="1">
      <c r="A245" s="669" t="s">
        <v>563</v>
      </c>
      <c r="B245" s="670">
        <v>47</v>
      </c>
      <c r="C245" s="668">
        <v>2821174279</v>
      </c>
      <c r="D245" s="668">
        <v>2596832141</v>
      </c>
      <c r="E245" s="668">
        <v>2970793275</v>
      </c>
      <c r="F245" s="668">
        <v>3080517577</v>
      </c>
      <c r="G245" s="668">
        <v>2961062011</v>
      </c>
      <c r="H245" s="668">
        <v>2934411840</v>
      </c>
      <c r="I245" s="668">
        <v>3050053224</v>
      </c>
      <c r="J245" s="668">
        <v>3048254395</v>
      </c>
      <c r="K245" s="668">
        <v>3160550935</v>
      </c>
      <c r="L245" s="668">
        <v>3058577738</v>
      </c>
      <c r="M245" s="668">
        <v>3300389680</v>
      </c>
      <c r="N245" s="668">
        <v>3712491965</v>
      </c>
      <c r="O245" s="668">
        <v>3758534126</v>
      </c>
      <c r="P245" s="668">
        <v>3805209575</v>
      </c>
      <c r="Q245" s="668">
        <v>3746802487</v>
      </c>
      <c r="R245" s="668">
        <v>4153701203</v>
      </c>
      <c r="S245" s="668">
        <v>4238274151</v>
      </c>
      <c r="T245" s="668">
        <v>4411323097</v>
      </c>
      <c r="U245" s="668">
        <v>4076826113</v>
      </c>
      <c r="V245" s="668">
        <v>4400699064</v>
      </c>
      <c r="W245" s="668">
        <v>4389534467</v>
      </c>
      <c r="X245" s="668">
        <v>4324123187</v>
      </c>
      <c r="Y245" s="668">
        <v>4439642491</v>
      </c>
      <c r="Z245" s="668">
        <v>6527625805</v>
      </c>
      <c r="AA245" s="659">
        <v>4629542853</v>
      </c>
      <c r="AB245" s="659">
        <v>4359513523</v>
      </c>
      <c r="AC245" s="659">
        <v>4309411566</v>
      </c>
      <c r="AD245" s="659">
        <v>5023365364</v>
      </c>
      <c r="AE245" s="712">
        <v>4531384261</v>
      </c>
      <c r="AF245" s="659">
        <v>4286059519.999999</v>
      </c>
      <c r="AG245" s="659">
        <v>4181938895</v>
      </c>
      <c r="AH245" s="659">
        <v>4206015502.9999995</v>
      </c>
      <c r="AI245" s="659">
        <v>4286059519.999999</v>
      </c>
      <c r="AJ245" s="659">
        <v>4101894872</v>
      </c>
      <c r="AK245" s="659">
        <v>4286059519.999999</v>
      </c>
      <c r="AL245" s="659">
        <v>4298515503</v>
      </c>
    </row>
    <row r="246" spans="1:38" ht="15" customHeight="1">
      <c r="A246" s="669" t="s">
        <v>564</v>
      </c>
      <c r="B246" s="670">
        <v>48</v>
      </c>
      <c r="C246" s="668">
        <v>564345585</v>
      </c>
      <c r="D246" s="668">
        <v>598172038</v>
      </c>
      <c r="E246" s="668">
        <v>611594275</v>
      </c>
      <c r="F246" s="668">
        <v>598880090</v>
      </c>
      <c r="G246" s="668">
        <v>618002219</v>
      </c>
      <c r="H246" s="668">
        <v>625043078</v>
      </c>
      <c r="I246" s="668">
        <v>713500436</v>
      </c>
      <c r="J246" s="668">
        <v>656200021</v>
      </c>
      <c r="K246" s="668">
        <v>737578505</v>
      </c>
      <c r="L246" s="668">
        <v>693022815</v>
      </c>
      <c r="M246" s="668">
        <v>648815972</v>
      </c>
      <c r="N246" s="668">
        <v>1198159381</v>
      </c>
      <c r="O246" s="668">
        <v>721116332</v>
      </c>
      <c r="P246" s="668">
        <v>859322350</v>
      </c>
      <c r="Q246" s="668">
        <v>769166629</v>
      </c>
      <c r="R246" s="668">
        <v>881377143</v>
      </c>
      <c r="S246" s="668">
        <v>856657195</v>
      </c>
      <c r="T246" s="668">
        <v>928361731</v>
      </c>
      <c r="U246" s="668">
        <v>963488065</v>
      </c>
      <c r="V246" s="668">
        <v>971420921</v>
      </c>
      <c r="W246" s="668">
        <v>822203377</v>
      </c>
      <c r="X246" s="668">
        <v>1019468158</v>
      </c>
      <c r="Y246" s="668">
        <v>999765220</v>
      </c>
      <c r="Z246" s="668">
        <v>4276039113</v>
      </c>
      <c r="AA246" s="659">
        <v>1057276589</v>
      </c>
      <c r="AB246" s="659">
        <v>1002086670</v>
      </c>
      <c r="AC246" s="659">
        <v>989003064</v>
      </c>
      <c r="AD246" s="659">
        <v>1232405175</v>
      </c>
      <c r="AE246" s="712">
        <v>1206603219</v>
      </c>
      <c r="AF246" s="659">
        <v>2087129556.0100734</v>
      </c>
      <c r="AG246" s="659">
        <v>2873685194.1062269</v>
      </c>
      <c r="AH246" s="659">
        <v>3013944073.1254582</v>
      </c>
      <c r="AI246" s="659">
        <v>2034624036.3241765</v>
      </c>
      <c r="AJ246" s="659">
        <v>2000595385.471612</v>
      </c>
      <c r="AK246" s="659">
        <v>2020693351.2600737</v>
      </c>
      <c r="AL246" s="659">
        <v>4957040868.3754568</v>
      </c>
    </row>
    <row r="247" spans="1:38" ht="15" customHeight="1">
      <c r="A247" s="669" t="s">
        <v>565</v>
      </c>
      <c r="B247" s="670">
        <v>49</v>
      </c>
      <c r="C247" s="668">
        <v>133435416</v>
      </c>
      <c r="D247" s="668">
        <v>133435416</v>
      </c>
      <c r="E247" s="668">
        <v>128983751</v>
      </c>
      <c r="F247" s="668">
        <v>188597480</v>
      </c>
      <c r="G247" s="668">
        <v>193063634</v>
      </c>
      <c r="H247" s="668">
        <v>191604855</v>
      </c>
      <c r="I247" s="668">
        <v>196735047</v>
      </c>
      <c r="J247" s="668">
        <v>345856873</v>
      </c>
      <c r="K247" s="668">
        <v>345856878</v>
      </c>
      <c r="L247" s="668">
        <v>345856871</v>
      </c>
      <c r="M247" s="668">
        <v>344940471</v>
      </c>
      <c r="N247" s="668">
        <v>405609841</v>
      </c>
      <c r="O247" s="668">
        <v>419357695</v>
      </c>
      <c r="P247" s="668">
        <v>419357696</v>
      </c>
      <c r="Q247" s="668">
        <v>423262420</v>
      </c>
      <c r="R247" s="668">
        <v>464717661</v>
      </c>
      <c r="S247" s="668">
        <v>464717663</v>
      </c>
      <c r="T247" s="668">
        <v>480817125</v>
      </c>
      <c r="U247" s="668">
        <v>328376590</v>
      </c>
      <c r="V247" s="668">
        <v>336153454</v>
      </c>
      <c r="W247" s="668">
        <v>474359660</v>
      </c>
      <c r="X247" s="668">
        <v>337019961</v>
      </c>
      <c r="Y247" s="668">
        <v>337019964</v>
      </c>
      <c r="Z247" s="668">
        <v>286388296</v>
      </c>
      <c r="AA247" s="659">
        <v>69488240</v>
      </c>
      <c r="AB247" s="659">
        <v>69486865</v>
      </c>
      <c r="AC247" s="659">
        <v>61828638</v>
      </c>
      <c r="AD247" s="659">
        <v>62110960</v>
      </c>
      <c r="AE247" s="712">
        <v>64038045</v>
      </c>
      <c r="AF247" s="659">
        <v>64402056.073379084</v>
      </c>
      <c r="AG247" s="659">
        <v>64402056.073379084</v>
      </c>
      <c r="AH247" s="659">
        <v>64402056.073379084</v>
      </c>
      <c r="AI247" s="659">
        <v>64402056.073379084</v>
      </c>
      <c r="AJ247" s="659">
        <v>77221489.073379084</v>
      </c>
      <c r="AK247" s="659">
        <v>77221489.073379084</v>
      </c>
      <c r="AL247" s="659">
        <v>77221489.073379084</v>
      </c>
    </row>
    <row r="248" spans="1:38" ht="15" customHeight="1">
      <c r="A248" s="669" t="s">
        <v>566</v>
      </c>
      <c r="B248" s="670">
        <v>50</v>
      </c>
      <c r="C248" s="668">
        <v>1722422063</v>
      </c>
      <c r="D248" s="668">
        <v>1319540626</v>
      </c>
      <c r="E248" s="668">
        <v>1126744005</v>
      </c>
      <c r="F248" s="668">
        <v>1264793347</v>
      </c>
      <c r="G248" s="668">
        <v>1893478723</v>
      </c>
      <c r="H248" s="668">
        <v>1719737748</v>
      </c>
      <c r="I248" s="668">
        <v>1278753600</v>
      </c>
      <c r="J248" s="668">
        <v>2014706648</v>
      </c>
      <c r="K248" s="668">
        <v>3280740263</v>
      </c>
      <c r="L248" s="668">
        <v>2918928507</v>
      </c>
      <c r="M248" s="668">
        <v>3132742152</v>
      </c>
      <c r="N248" s="668">
        <v>517226651</v>
      </c>
      <c r="O248" s="668">
        <v>2739860417</v>
      </c>
      <c r="P248" s="668">
        <v>1929645119</v>
      </c>
      <c r="Q248" s="668">
        <v>2393353398</v>
      </c>
      <c r="R248" s="668">
        <v>1656107317</v>
      </c>
      <c r="S248" s="668">
        <v>2389045664</v>
      </c>
      <c r="T248" s="668">
        <v>1901146275</v>
      </c>
      <c r="U248" s="668">
        <v>2247762488</v>
      </c>
      <c r="V248" s="668">
        <v>2223319715</v>
      </c>
      <c r="W248" s="668">
        <v>3736097143</v>
      </c>
      <c r="X248" s="668">
        <v>-1904999514</v>
      </c>
      <c r="Y248" s="668">
        <v>4099216783</v>
      </c>
      <c r="Z248" s="668">
        <v>4192385422</v>
      </c>
      <c r="AA248" s="659">
        <v>2637822956</v>
      </c>
      <c r="AB248" s="659">
        <v>2528307274</v>
      </c>
      <c r="AC248" s="659">
        <v>1969567321</v>
      </c>
      <c r="AD248" s="659">
        <v>1831070643</v>
      </c>
      <c r="AE248" s="712">
        <v>2208776950</v>
      </c>
      <c r="AF248" s="659">
        <v>1627646244.8687665</v>
      </c>
      <c r="AG248" s="659">
        <v>1600335644.7573097</v>
      </c>
      <c r="AH248" s="659">
        <v>1545279555.9134707</v>
      </c>
      <c r="AI248" s="659">
        <v>1832031914.7077272</v>
      </c>
      <c r="AJ248" s="659">
        <v>1558622627.9244072</v>
      </c>
      <c r="AK248" s="659">
        <v>1548967295.4909444</v>
      </c>
      <c r="AL248" s="659">
        <v>1557674295.036922</v>
      </c>
    </row>
    <row r="249" spans="1:38" ht="15" customHeight="1">
      <c r="A249" s="674" t="s">
        <v>567</v>
      </c>
      <c r="B249" s="675">
        <v>51</v>
      </c>
      <c r="C249" s="666">
        <f t="shared" ref="C249:AL249" si="29">IFERROR(C244/C207,"")</f>
        <v>5.461951894182393E-2</v>
      </c>
      <c r="D249" s="666">
        <f t="shared" si="29"/>
        <v>6.7420906277327705E-2</v>
      </c>
      <c r="E249" s="666">
        <f t="shared" si="29"/>
        <v>5.2525688216835155E-2</v>
      </c>
      <c r="F249" s="666">
        <f t="shared" si="29"/>
        <v>5.2649874377032994E-2</v>
      </c>
      <c r="G249" s="666">
        <f t="shared" si="29"/>
        <v>5.5347107689687008E-2</v>
      </c>
      <c r="H249" s="666">
        <f t="shared" si="29"/>
        <v>8.0342823109023007E-2</v>
      </c>
      <c r="I249" s="666">
        <f t="shared" si="29"/>
        <v>9.2806456534713727E-2</v>
      </c>
      <c r="J249" s="666">
        <f t="shared" si="29"/>
        <v>3.9376107771791721E-2</v>
      </c>
      <c r="K249" s="666">
        <f t="shared" si="29"/>
        <v>4.798017940542644E-2</v>
      </c>
      <c r="L249" s="666">
        <f t="shared" si="29"/>
        <v>6.0065318350262804E-2</v>
      </c>
      <c r="M249" s="666">
        <f t="shared" si="29"/>
        <v>9.7560289950272119E-2</v>
      </c>
      <c r="N249" s="666">
        <f t="shared" si="29"/>
        <v>5.4924046392388341E-2</v>
      </c>
      <c r="O249" s="666">
        <f t="shared" si="29"/>
        <v>6.6736860332451048E-2</v>
      </c>
      <c r="P249" s="666">
        <f t="shared" si="29"/>
        <v>3.7306142796861196E-2</v>
      </c>
      <c r="Q249" s="666">
        <f t="shared" si="29"/>
        <v>4.8801479496075294E-2</v>
      </c>
      <c r="R249" s="666">
        <f t="shared" si="29"/>
        <v>5.7051130512382149E-2</v>
      </c>
      <c r="S249" s="666">
        <f t="shared" si="29"/>
        <v>5.2270954289817234E-2</v>
      </c>
      <c r="T249" s="666">
        <f t="shared" si="29"/>
        <v>6.4814449452153478E-2</v>
      </c>
      <c r="U249" s="666">
        <f t="shared" si="29"/>
        <v>5.5195127198245778E-2</v>
      </c>
      <c r="V249" s="666">
        <f t="shared" si="29"/>
        <v>4.7087795132064174E-2</v>
      </c>
      <c r="W249" s="666">
        <f t="shared" si="29"/>
        <v>0.11122826413944996</v>
      </c>
      <c r="X249" s="666">
        <f t="shared" si="29"/>
        <v>3.4661358855463974E-2</v>
      </c>
      <c r="Y249" s="666">
        <f t="shared" si="29"/>
        <v>0.11178133949961636</v>
      </c>
      <c r="Z249" s="666">
        <f t="shared" si="29"/>
        <v>0.15066225853167081</v>
      </c>
      <c r="AA249" s="666">
        <f t="shared" si="29"/>
        <v>6.656776168025548E-2</v>
      </c>
      <c r="AB249" s="666">
        <f t="shared" si="29"/>
        <v>8.2423709703634329E-2</v>
      </c>
      <c r="AC249" s="666">
        <f t="shared" si="29"/>
        <v>4.2294081537701776E-2</v>
      </c>
      <c r="AD249" s="666">
        <f t="shared" si="29"/>
        <v>5.123295158049513E-2</v>
      </c>
      <c r="AE249" s="666">
        <f t="shared" si="29"/>
        <v>5.0141063308961398E-2</v>
      </c>
      <c r="AF249" s="666" t="str">
        <f t="shared" si="29"/>
        <v/>
      </c>
      <c r="AG249" s="666" t="str">
        <f t="shared" si="29"/>
        <v/>
      </c>
      <c r="AH249" s="666" t="str">
        <f t="shared" si="29"/>
        <v/>
      </c>
      <c r="AI249" s="666" t="str">
        <f t="shared" si="29"/>
        <v/>
      </c>
      <c r="AJ249" s="666" t="str">
        <f t="shared" si="29"/>
        <v/>
      </c>
      <c r="AK249" s="666" t="str">
        <f t="shared" si="29"/>
        <v/>
      </c>
      <c r="AL249" s="666" t="str">
        <f t="shared" si="29"/>
        <v/>
      </c>
    </row>
    <row r="250" spans="1:38" ht="15" customHeight="1">
      <c r="A250" s="672" t="s">
        <v>568</v>
      </c>
      <c r="B250" s="673">
        <v>52</v>
      </c>
      <c r="C250" s="665">
        <f t="shared" ref="C250:AL251" si="30">C142</f>
        <v>801399604</v>
      </c>
      <c r="D250" s="665">
        <f t="shared" si="30"/>
        <v>695500231</v>
      </c>
      <c r="E250" s="665">
        <f t="shared" si="30"/>
        <v>663502461</v>
      </c>
      <c r="F250" s="665">
        <f t="shared" si="30"/>
        <v>1555671370</v>
      </c>
      <c r="G250" s="665">
        <f t="shared" si="30"/>
        <v>936492932</v>
      </c>
      <c r="H250" s="665">
        <f t="shared" si="30"/>
        <v>1103852896</v>
      </c>
      <c r="I250" s="665">
        <f t="shared" si="30"/>
        <v>1608708972</v>
      </c>
      <c r="J250" s="665">
        <f t="shared" si="30"/>
        <v>1489581015</v>
      </c>
      <c r="K250" s="665">
        <f t="shared" si="30"/>
        <v>1372261307</v>
      </c>
      <c r="L250" s="665">
        <f t="shared" si="30"/>
        <v>636041020</v>
      </c>
      <c r="M250" s="665">
        <f t="shared" si="30"/>
        <v>1257673070</v>
      </c>
      <c r="N250" s="665">
        <f t="shared" si="30"/>
        <v>993026233</v>
      </c>
      <c r="O250" s="665">
        <f t="shared" si="30"/>
        <v>1529745602</v>
      </c>
      <c r="P250" s="665">
        <f t="shared" si="30"/>
        <v>1349010483</v>
      </c>
      <c r="Q250" s="665">
        <f t="shared" si="30"/>
        <v>902730488</v>
      </c>
      <c r="R250" s="665">
        <f t="shared" si="30"/>
        <v>1450570894</v>
      </c>
      <c r="S250" s="665">
        <f t="shared" si="30"/>
        <v>858169737</v>
      </c>
      <c r="T250" s="665">
        <f t="shared" si="30"/>
        <v>1483876982</v>
      </c>
      <c r="U250" s="665">
        <f t="shared" si="30"/>
        <v>1315247967</v>
      </c>
      <c r="V250" s="665">
        <f t="shared" si="30"/>
        <v>1366041150</v>
      </c>
      <c r="W250" s="665">
        <f t="shared" si="30"/>
        <v>1603769193</v>
      </c>
      <c r="X250" s="665">
        <f t="shared" si="30"/>
        <v>2900732378</v>
      </c>
      <c r="Y250" s="665">
        <f t="shared" si="30"/>
        <v>1301741764</v>
      </c>
      <c r="Z250" s="665">
        <f t="shared" si="30"/>
        <v>2479436989</v>
      </c>
      <c r="AA250" s="665">
        <f t="shared" si="30"/>
        <v>1532817392</v>
      </c>
      <c r="AB250" s="665">
        <f t="shared" si="30"/>
        <v>1569283837</v>
      </c>
      <c r="AC250" s="665">
        <f t="shared" si="30"/>
        <v>1510605035</v>
      </c>
      <c r="AD250" s="665">
        <f t="shared" si="30"/>
        <v>1998884061</v>
      </c>
      <c r="AE250" s="665">
        <f t="shared" si="30"/>
        <v>1208736058</v>
      </c>
      <c r="AF250" s="665">
        <f t="shared" si="30"/>
        <v>0</v>
      </c>
      <c r="AG250" s="665">
        <f t="shared" si="30"/>
        <v>0</v>
      </c>
      <c r="AH250" s="665">
        <f t="shared" si="30"/>
        <v>0</v>
      </c>
      <c r="AI250" s="665">
        <f t="shared" si="30"/>
        <v>0</v>
      </c>
      <c r="AJ250" s="665">
        <f t="shared" si="30"/>
        <v>0</v>
      </c>
      <c r="AK250" s="665">
        <f t="shared" si="30"/>
        <v>0</v>
      </c>
      <c r="AL250" s="665">
        <f t="shared" si="30"/>
        <v>0</v>
      </c>
    </row>
    <row r="251" spans="1:38" ht="15" customHeight="1">
      <c r="A251" s="657" t="s">
        <v>569</v>
      </c>
      <c r="B251" s="658">
        <v>53</v>
      </c>
      <c r="C251" s="668">
        <f t="shared" si="30"/>
        <v>460461775</v>
      </c>
      <c r="D251" s="668">
        <f t="shared" si="30"/>
        <v>563909516</v>
      </c>
      <c r="E251" s="668">
        <f t="shared" si="30"/>
        <v>587315920</v>
      </c>
      <c r="F251" s="668">
        <f t="shared" si="30"/>
        <v>905708142</v>
      </c>
      <c r="G251" s="668">
        <f t="shared" si="30"/>
        <v>974310029</v>
      </c>
      <c r="H251" s="668">
        <f t="shared" si="30"/>
        <v>1115056080</v>
      </c>
      <c r="I251" s="668">
        <f t="shared" si="30"/>
        <v>1160823006</v>
      </c>
      <c r="J251" s="668">
        <f t="shared" si="30"/>
        <v>939585045</v>
      </c>
      <c r="K251" s="668">
        <f t="shared" si="30"/>
        <v>859444105</v>
      </c>
      <c r="L251" s="668">
        <f t="shared" si="30"/>
        <v>840165515</v>
      </c>
      <c r="M251" s="668">
        <f t="shared" si="30"/>
        <v>889159081</v>
      </c>
      <c r="N251" s="668">
        <f t="shared" si="30"/>
        <v>1032562923</v>
      </c>
      <c r="O251" s="668">
        <f t="shared" si="30"/>
        <v>1114824276</v>
      </c>
      <c r="P251" s="668">
        <f t="shared" si="30"/>
        <v>928379281</v>
      </c>
      <c r="Q251" s="668">
        <f t="shared" si="30"/>
        <v>673966789</v>
      </c>
      <c r="R251" s="668">
        <f t="shared" si="30"/>
        <v>888393452</v>
      </c>
      <c r="S251" s="668">
        <f t="shared" si="30"/>
        <v>1186588729</v>
      </c>
      <c r="T251" s="668">
        <f t="shared" si="30"/>
        <v>1448899822</v>
      </c>
      <c r="U251" s="668">
        <f t="shared" si="30"/>
        <v>1242023326</v>
      </c>
      <c r="V251" s="668">
        <f t="shared" si="30"/>
        <v>1303560910</v>
      </c>
      <c r="W251" s="668">
        <f t="shared" si="30"/>
        <v>1595764355</v>
      </c>
      <c r="X251" s="668">
        <f t="shared" si="30"/>
        <v>1368802426</v>
      </c>
      <c r="Y251" s="668">
        <f t="shared" si="30"/>
        <v>1256132292</v>
      </c>
      <c r="Z251" s="668">
        <f t="shared" si="30"/>
        <v>1256103396</v>
      </c>
      <c r="AA251" s="668">
        <f t="shared" si="30"/>
        <v>1240115065</v>
      </c>
      <c r="AB251" s="668">
        <f t="shared" si="30"/>
        <v>1156279418</v>
      </c>
      <c r="AC251" s="668">
        <f t="shared" si="30"/>
        <v>959718564</v>
      </c>
      <c r="AD251" s="668">
        <f t="shared" si="30"/>
        <v>1062084475</v>
      </c>
      <c r="AE251" s="668">
        <f t="shared" si="30"/>
        <v>838836791</v>
      </c>
      <c r="AF251" s="668">
        <f t="shared" si="30"/>
        <v>0</v>
      </c>
      <c r="AG251" s="668">
        <f t="shared" si="30"/>
        <v>0</v>
      </c>
      <c r="AH251" s="668">
        <f t="shared" si="30"/>
        <v>0</v>
      </c>
      <c r="AI251" s="668">
        <f t="shared" si="30"/>
        <v>0</v>
      </c>
      <c r="AJ251" s="668">
        <f t="shared" si="30"/>
        <v>0</v>
      </c>
      <c r="AK251" s="668">
        <f t="shared" si="30"/>
        <v>0</v>
      </c>
      <c r="AL251" s="668">
        <f t="shared" si="30"/>
        <v>0</v>
      </c>
    </row>
    <row r="252" spans="1:38" ht="15" customHeight="1">
      <c r="A252" s="674" t="s">
        <v>570</v>
      </c>
      <c r="B252" s="676">
        <v>54</v>
      </c>
      <c r="C252" s="666">
        <f t="shared" ref="C252:AL252" si="31">IFERROR(C251/C207,"")</f>
        <v>4.7983953445342254E-3</v>
      </c>
      <c r="D252" s="666">
        <f t="shared" si="31"/>
        <v>8.1797444953303784E-3</v>
      </c>
      <c r="E252" s="666">
        <f t="shared" si="31"/>
        <v>6.3762789738487681E-3</v>
      </c>
      <c r="F252" s="666">
        <f t="shared" si="31"/>
        <v>9.2903535679091549E-3</v>
      </c>
      <c r="G252" s="666">
        <f t="shared" si="31"/>
        <v>9.5179997534490073E-3</v>
      </c>
      <c r="H252" s="666">
        <f t="shared" si="31"/>
        <v>1.6375446732984765E-2</v>
      </c>
      <c r="I252" s="666">
        <f t="shared" si="31"/>
        <v>2.0563275411403303E-2</v>
      </c>
      <c r="J252" s="666">
        <f t="shared" si="31"/>
        <v>6.1000977040777012E-3</v>
      </c>
      <c r="K252" s="666">
        <f t="shared" si="31"/>
        <v>5.4801037490130374E-3</v>
      </c>
      <c r="L252" s="666">
        <f t="shared" si="31"/>
        <v>7.1924220847690854E-3</v>
      </c>
      <c r="M252" s="666">
        <f t="shared" si="31"/>
        <v>1.1680075765550343E-2</v>
      </c>
      <c r="N252" s="666">
        <f t="shared" si="31"/>
        <v>9.721891167147079E-3</v>
      </c>
      <c r="O252" s="666">
        <f t="shared" si="31"/>
        <v>9.7396455143667782E-3</v>
      </c>
      <c r="P252" s="666">
        <f t="shared" si="31"/>
        <v>4.9382018212735523E-3</v>
      </c>
      <c r="Q252" s="666">
        <f t="shared" si="31"/>
        <v>4.4855363736614855E-3</v>
      </c>
      <c r="R252" s="666">
        <f t="shared" si="31"/>
        <v>7.0828026150675412E-3</v>
      </c>
      <c r="S252" s="666">
        <f t="shared" si="31"/>
        <v>7.8030579568056499E-3</v>
      </c>
      <c r="T252" s="666">
        <f t="shared" si="31"/>
        <v>1.2161865122749433E-2</v>
      </c>
      <c r="U252" s="666">
        <f t="shared" si="31"/>
        <v>9.0007294941059218E-3</v>
      </c>
      <c r="V252" s="666">
        <f t="shared" si="31"/>
        <v>7.7389003546269311E-3</v>
      </c>
      <c r="W252" s="666">
        <f t="shared" si="31"/>
        <v>1.8837872261402773E-2</v>
      </c>
      <c r="X252" s="666">
        <f t="shared" si="31"/>
        <v>1.2566056762070751E-2</v>
      </c>
      <c r="Y252" s="666">
        <f t="shared" si="31"/>
        <v>1.4218024027256169E-2</v>
      </c>
      <c r="Z252" s="666">
        <f t="shared" si="31"/>
        <v>1.2383323047989347E-2</v>
      </c>
      <c r="AA252" s="666">
        <f t="shared" si="31"/>
        <v>9.8344531033750307E-3</v>
      </c>
      <c r="AB252" s="666">
        <f t="shared" si="31"/>
        <v>1.1973880814317123E-2</v>
      </c>
      <c r="AC252" s="666">
        <f t="shared" si="31"/>
        <v>5.5377167944799209E-3</v>
      </c>
      <c r="AD252" s="666">
        <f t="shared" si="31"/>
        <v>6.6773888880289596E-3</v>
      </c>
      <c r="AE252" s="666">
        <f t="shared" si="31"/>
        <v>5.2504313737203991E-3</v>
      </c>
      <c r="AF252" s="666" t="str">
        <f t="shared" si="31"/>
        <v/>
      </c>
      <c r="AG252" s="666" t="str">
        <f t="shared" si="31"/>
        <v/>
      </c>
      <c r="AH252" s="666" t="str">
        <f t="shared" si="31"/>
        <v/>
      </c>
      <c r="AI252" s="666" t="str">
        <f t="shared" si="31"/>
        <v/>
      </c>
      <c r="AJ252" s="666" t="str">
        <f t="shared" si="31"/>
        <v/>
      </c>
      <c r="AK252" s="666" t="str">
        <f t="shared" si="31"/>
        <v/>
      </c>
      <c r="AL252" s="666" t="str">
        <f t="shared" si="31"/>
        <v/>
      </c>
    </row>
    <row r="253" spans="1:38" ht="15" customHeight="1">
      <c r="C253" s="677"/>
      <c r="N253" s="678"/>
      <c r="Q253" s="677"/>
      <c r="Z253" s="678"/>
    </row>
    <row r="254" spans="1:38" ht="15" customHeight="1">
      <c r="A254" s="679" t="s">
        <v>571</v>
      </c>
      <c r="B254" s="656" t="s">
        <v>572</v>
      </c>
      <c r="C254" s="479" t="s">
        <v>291</v>
      </c>
      <c r="D254" s="480" t="s">
        <v>292</v>
      </c>
      <c r="E254" s="479" t="s">
        <v>293</v>
      </c>
      <c r="F254" s="479" t="s">
        <v>294</v>
      </c>
      <c r="G254" s="479" t="s">
        <v>295</v>
      </c>
      <c r="H254" s="479" t="s">
        <v>296</v>
      </c>
      <c r="I254" s="479" t="s">
        <v>297</v>
      </c>
      <c r="J254" s="480" t="s">
        <v>298</v>
      </c>
      <c r="K254" s="479" t="s">
        <v>299</v>
      </c>
      <c r="L254" s="479" t="s">
        <v>300</v>
      </c>
      <c r="M254" s="479" t="s">
        <v>301</v>
      </c>
      <c r="N254" s="479" t="s">
        <v>302</v>
      </c>
      <c r="O254" s="479" t="s">
        <v>303</v>
      </c>
      <c r="P254" s="479" t="s">
        <v>304</v>
      </c>
      <c r="Q254" s="479" t="s">
        <v>305</v>
      </c>
      <c r="R254" s="479" t="s">
        <v>306</v>
      </c>
      <c r="S254" s="479" t="s">
        <v>307</v>
      </c>
      <c r="T254" s="479" t="s">
        <v>308</v>
      </c>
      <c r="U254" s="479" t="s">
        <v>309</v>
      </c>
      <c r="V254" s="479" t="s">
        <v>310</v>
      </c>
      <c r="W254" s="479" t="s">
        <v>311</v>
      </c>
      <c r="X254" s="479" t="s">
        <v>312</v>
      </c>
      <c r="Y254" s="479" t="s">
        <v>313</v>
      </c>
      <c r="Z254" s="479" t="s">
        <v>314</v>
      </c>
      <c r="AA254" s="479" t="s">
        <v>315</v>
      </c>
      <c r="AB254" s="479" t="s">
        <v>316</v>
      </c>
      <c r="AC254" s="479" t="s">
        <v>317</v>
      </c>
      <c r="AD254" s="479" t="s">
        <v>318</v>
      </c>
      <c r="AE254" s="479" t="s">
        <v>319</v>
      </c>
      <c r="AF254" s="479" t="s">
        <v>320</v>
      </c>
      <c r="AG254" s="479" t="s">
        <v>321</v>
      </c>
      <c r="AH254" s="479" t="s">
        <v>322</v>
      </c>
      <c r="AI254" s="479" t="s">
        <v>323</v>
      </c>
      <c r="AJ254" s="479" t="s">
        <v>324</v>
      </c>
      <c r="AK254" s="479" t="s">
        <v>325</v>
      </c>
      <c r="AL254" s="479" t="s">
        <v>326</v>
      </c>
    </row>
    <row r="255" spans="1:38" ht="15" customHeight="1">
      <c r="A255" s="680" t="s">
        <v>573</v>
      </c>
      <c r="B255" s="681">
        <v>1</v>
      </c>
      <c r="C255" s="682"/>
      <c r="D255" s="682"/>
      <c r="E255" s="682"/>
      <c r="F255" s="682"/>
      <c r="G255" s="682"/>
      <c r="H255" s="682"/>
      <c r="I255" s="682"/>
      <c r="J255" s="682"/>
      <c r="K255" s="682"/>
      <c r="L255" s="682"/>
      <c r="M255" s="682"/>
      <c r="N255" s="682"/>
      <c r="O255" s="682"/>
      <c r="P255" s="682"/>
      <c r="Q255" s="682"/>
      <c r="R255" s="682"/>
      <c r="S255" s="682"/>
      <c r="T255" s="682"/>
      <c r="U255" s="682"/>
      <c r="V255" s="682"/>
      <c r="W255" s="682"/>
      <c r="X255" s="682"/>
      <c r="Y255" s="682"/>
      <c r="Z255" s="682">
        <v>0</v>
      </c>
      <c r="AA255" s="682">
        <v>580900000000</v>
      </c>
      <c r="AB255" s="682">
        <v>580900000000</v>
      </c>
      <c r="AC255" s="682">
        <v>580900000000</v>
      </c>
      <c r="AD255" s="682">
        <v>580900000000</v>
      </c>
      <c r="AE255" s="713">
        <f>SUM(AE256:AE263)</f>
        <v>580900000000</v>
      </c>
      <c r="AF255" s="682">
        <v>0</v>
      </c>
      <c r="AG255" s="682">
        <v>0</v>
      </c>
      <c r="AH255" s="682">
        <v>0</v>
      </c>
      <c r="AI255" s="682">
        <v>0</v>
      </c>
      <c r="AJ255" s="682">
        <v>0</v>
      </c>
      <c r="AK255" s="682">
        <v>0</v>
      </c>
      <c r="AL255" s="682">
        <v>0</v>
      </c>
    </row>
    <row r="256" spans="1:38" ht="15" customHeight="1">
      <c r="A256" s="683" t="s">
        <v>574</v>
      </c>
      <c r="B256" s="684">
        <v>2</v>
      </c>
      <c r="C256" s="677"/>
      <c r="D256" s="677"/>
      <c r="E256" s="677"/>
      <c r="F256" s="677"/>
      <c r="G256" s="677"/>
      <c r="H256" s="677"/>
      <c r="I256" s="677"/>
      <c r="J256" s="677"/>
      <c r="K256" s="677"/>
      <c r="L256" s="677"/>
      <c r="M256" s="677"/>
      <c r="N256" s="677"/>
      <c r="O256" s="677"/>
      <c r="P256" s="677"/>
      <c r="Q256" s="677"/>
      <c r="R256" s="677"/>
      <c r="S256" s="677"/>
      <c r="T256" s="677"/>
      <c r="U256" s="677"/>
      <c r="V256" s="677"/>
      <c r="W256" s="677"/>
      <c r="X256" s="677"/>
      <c r="Y256" s="677"/>
      <c r="Z256" s="677">
        <v>0</v>
      </c>
      <c r="AA256" s="677">
        <v>150000000000</v>
      </c>
      <c r="AB256" s="677">
        <v>150000000000</v>
      </c>
      <c r="AC256" s="677">
        <v>150000000000</v>
      </c>
      <c r="AD256" s="677">
        <v>150000000000</v>
      </c>
      <c r="AE256" s="714">
        <v>150000000000</v>
      </c>
      <c r="AF256" s="677">
        <v>0</v>
      </c>
      <c r="AG256" s="677">
        <v>0</v>
      </c>
      <c r="AH256" s="677">
        <v>0</v>
      </c>
      <c r="AI256" s="677">
        <v>0</v>
      </c>
      <c r="AJ256" s="677">
        <v>0</v>
      </c>
      <c r="AK256" s="677">
        <v>0</v>
      </c>
      <c r="AL256" s="677">
        <v>0</v>
      </c>
    </row>
    <row r="257" spans="1:38" ht="15" customHeight="1">
      <c r="A257" s="683" t="s">
        <v>575</v>
      </c>
      <c r="B257" s="684">
        <v>3</v>
      </c>
      <c r="C257" s="677"/>
      <c r="D257" s="677"/>
      <c r="E257" s="677"/>
      <c r="F257" s="677"/>
      <c r="G257" s="677"/>
      <c r="H257" s="677"/>
      <c r="I257" s="677"/>
      <c r="J257" s="677"/>
      <c r="K257" s="677"/>
      <c r="L257" s="677"/>
      <c r="M257" s="677"/>
      <c r="N257" s="677"/>
      <c r="O257" s="677"/>
      <c r="P257" s="677"/>
      <c r="Q257" s="677"/>
      <c r="R257" s="677"/>
      <c r="S257" s="677"/>
      <c r="T257" s="677"/>
      <c r="U257" s="677"/>
      <c r="V257" s="677"/>
      <c r="W257" s="677"/>
      <c r="X257" s="677"/>
      <c r="Y257" s="677"/>
      <c r="Z257" s="677">
        <v>0</v>
      </c>
      <c r="AA257" s="677">
        <v>131000000000</v>
      </c>
      <c r="AB257" s="677">
        <v>131000000000</v>
      </c>
      <c r="AC257" s="677">
        <v>131000000000</v>
      </c>
      <c r="AD257" s="677">
        <v>131000000000</v>
      </c>
      <c r="AE257" s="714">
        <v>131000000000</v>
      </c>
      <c r="AF257" s="677">
        <v>0</v>
      </c>
      <c r="AG257" s="677">
        <v>0</v>
      </c>
      <c r="AH257" s="677">
        <v>0</v>
      </c>
      <c r="AI257" s="677">
        <v>0</v>
      </c>
      <c r="AJ257" s="677">
        <v>0</v>
      </c>
      <c r="AK257" s="677">
        <v>0</v>
      </c>
      <c r="AL257" s="677">
        <v>0</v>
      </c>
    </row>
    <row r="258" spans="1:38" ht="15" customHeight="1">
      <c r="A258" s="683" t="s">
        <v>576</v>
      </c>
      <c r="B258" s="684">
        <v>4</v>
      </c>
      <c r="C258" s="677"/>
      <c r="D258" s="677"/>
      <c r="E258" s="677"/>
      <c r="F258" s="677"/>
      <c r="G258" s="677"/>
      <c r="H258" s="677"/>
      <c r="I258" s="677"/>
      <c r="J258" s="677"/>
      <c r="K258" s="677"/>
      <c r="L258" s="677"/>
      <c r="M258" s="677"/>
      <c r="N258" s="677"/>
      <c r="O258" s="677"/>
      <c r="P258" s="677"/>
      <c r="Q258" s="677"/>
      <c r="R258" s="677"/>
      <c r="S258" s="677"/>
      <c r="T258" s="677"/>
      <c r="U258" s="677"/>
      <c r="V258" s="677"/>
      <c r="W258" s="677"/>
      <c r="X258" s="677"/>
      <c r="Y258" s="677"/>
      <c r="Z258" s="677">
        <v>0</v>
      </c>
      <c r="AA258" s="677">
        <v>100000000000</v>
      </c>
      <c r="AB258" s="677">
        <v>100000000000</v>
      </c>
      <c r="AC258" s="677">
        <v>100000000000</v>
      </c>
      <c r="AD258" s="677">
        <v>100000000000</v>
      </c>
      <c r="AE258" s="714">
        <v>100000000000</v>
      </c>
      <c r="AF258" s="677">
        <v>0</v>
      </c>
      <c r="AG258" s="677">
        <v>0</v>
      </c>
      <c r="AH258" s="677">
        <v>0</v>
      </c>
      <c r="AI258" s="677">
        <v>0</v>
      </c>
      <c r="AJ258" s="677">
        <v>0</v>
      </c>
      <c r="AK258" s="677">
        <v>0</v>
      </c>
      <c r="AL258" s="677">
        <v>0</v>
      </c>
    </row>
    <row r="259" spans="1:38" ht="15" customHeight="1">
      <c r="A259" s="683" t="s">
        <v>577</v>
      </c>
      <c r="B259" s="684">
        <v>5</v>
      </c>
      <c r="C259" s="677"/>
      <c r="D259" s="677"/>
      <c r="E259" s="677"/>
      <c r="F259" s="677"/>
      <c r="G259" s="677"/>
      <c r="H259" s="677"/>
      <c r="I259" s="677"/>
      <c r="J259" s="677"/>
      <c r="K259" s="677"/>
      <c r="L259" s="677"/>
      <c r="M259" s="677"/>
      <c r="N259" s="677"/>
      <c r="O259" s="677"/>
      <c r="P259" s="677"/>
      <c r="Q259" s="677"/>
      <c r="R259" s="677"/>
      <c r="S259" s="677"/>
      <c r="T259" s="677"/>
      <c r="U259" s="677"/>
      <c r="V259" s="677"/>
      <c r="W259" s="677"/>
      <c r="X259" s="677"/>
      <c r="Y259" s="677"/>
      <c r="Z259" s="677">
        <v>0</v>
      </c>
      <c r="AA259" s="677">
        <v>99900000000</v>
      </c>
      <c r="AB259" s="677">
        <v>99900000000</v>
      </c>
      <c r="AC259" s="677">
        <v>99900000000</v>
      </c>
      <c r="AD259" s="677">
        <v>99900000000</v>
      </c>
      <c r="AE259" s="714">
        <v>99900000000</v>
      </c>
      <c r="AF259" s="677">
        <v>0</v>
      </c>
      <c r="AG259" s="677">
        <v>0</v>
      </c>
      <c r="AH259" s="677">
        <v>0</v>
      </c>
      <c r="AI259" s="677">
        <v>0</v>
      </c>
      <c r="AJ259" s="677">
        <v>0</v>
      </c>
      <c r="AK259" s="677">
        <v>0</v>
      </c>
      <c r="AL259" s="677">
        <v>0</v>
      </c>
    </row>
    <row r="260" spans="1:38" ht="15" customHeight="1">
      <c r="A260" s="683" t="s">
        <v>578</v>
      </c>
      <c r="B260" s="684">
        <v>6</v>
      </c>
      <c r="C260" s="677"/>
      <c r="D260" s="677"/>
      <c r="E260" s="677"/>
      <c r="F260" s="677"/>
      <c r="G260" s="677"/>
      <c r="H260" s="677"/>
      <c r="I260" s="677"/>
      <c r="J260" s="677"/>
      <c r="K260" s="677"/>
      <c r="L260" s="677"/>
      <c r="M260" s="677"/>
      <c r="N260" s="677"/>
      <c r="O260" s="677"/>
      <c r="P260" s="677"/>
      <c r="Q260" s="677"/>
      <c r="R260" s="677"/>
      <c r="S260" s="677"/>
      <c r="T260" s="677"/>
      <c r="U260" s="677"/>
      <c r="V260" s="677"/>
      <c r="W260" s="677"/>
      <c r="X260" s="677"/>
      <c r="Y260" s="677"/>
      <c r="Z260" s="677">
        <v>0</v>
      </c>
      <c r="AA260" s="677">
        <v>100000000000</v>
      </c>
      <c r="AB260" s="677">
        <v>100000000000</v>
      </c>
      <c r="AC260" s="677">
        <v>100000000000</v>
      </c>
      <c r="AD260" s="677">
        <v>100000000000</v>
      </c>
      <c r="AE260" s="714">
        <v>100000000000</v>
      </c>
      <c r="AF260" s="677">
        <v>0</v>
      </c>
      <c r="AG260" s="677">
        <v>0</v>
      </c>
      <c r="AH260" s="677">
        <v>0</v>
      </c>
      <c r="AI260" s="677">
        <v>0</v>
      </c>
      <c r="AJ260" s="677">
        <v>0</v>
      </c>
      <c r="AK260" s="677">
        <v>0</v>
      </c>
      <c r="AL260" s="677">
        <v>0</v>
      </c>
    </row>
    <row r="261" spans="1:38" ht="15" customHeight="1">
      <c r="A261" s="683" t="s">
        <v>579</v>
      </c>
      <c r="B261" s="684">
        <v>7</v>
      </c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7"/>
      <c r="X261" s="677"/>
      <c r="Y261" s="677"/>
      <c r="Z261" s="677">
        <v>0</v>
      </c>
      <c r="AA261" s="677">
        <v>0</v>
      </c>
      <c r="AB261" s="677">
        <v>0</v>
      </c>
      <c r="AC261" s="677">
        <v>0</v>
      </c>
      <c r="AD261" s="677">
        <v>0</v>
      </c>
      <c r="AE261" s="714"/>
      <c r="AF261" s="677">
        <v>0</v>
      </c>
      <c r="AG261" s="677">
        <v>0</v>
      </c>
      <c r="AH261" s="677">
        <v>0</v>
      </c>
      <c r="AI261" s="677">
        <v>0</v>
      </c>
      <c r="AJ261" s="677">
        <v>0</v>
      </c>
      <c r="AK261" s="677">
        <v>0</v>
      </c>
      <c r="AL261" s="677">
        <v>0</v>
      </c>
    </row>
    <row r="262" spans="1:38" ht="15" customHeight="1">
      <c r="A262" s="683" t="s">
        <v>580</v>
      </c>
      <c r="B262" s="684">
        <v>8</v>
      </c>
      <c r="C262" s="677"/>
      <c r="D262" s="677"/>
      <c r="E262" s="677"/>
      <c r="F262" s="677"/>
      <c r="G262" s="677"/>
      <c r="H262" s="677"/>
      <c r="I262" s="677"/>
      <c r="J262" s="677"/>
      <c r="K262" s="677"/>
      <c r="L262" s="677"/>
      <c r="M262" s="677"/>
      <c r="N262" s="677"/>
      <c r="O262" s="677"/>
      <c r="P262" s="677"/>
      <c r="Q262" s="677"/>
      <c r="R262" s="677"/>
      <c r="S262" s="677"/>
      <c r="T262" s="677"/>
      <c r="U262" s="677"/>
      <c r="V262" s="677"/>
      <c r="W262" s="677"/>
      <c r="X262" s="677"/>
      <c r="Y262" s="677"/>
      <c r="Z262" s="677">
        <v>0</v>
      </c>
      <c r="AA262" s="677">
        <v>0</v>
      </c>
      <c r="AB262" s="677">
        <v>0</v>
      </c>
      <c r="AC262" s="677">
        <v>0</v>
      </c>
      <c r="AD262" s="677">
        <v>0</v>
      </c>
      <c r="AE262" s="714"/>
      <c r="AF262" s="677">
        <v>0</v>
      </c>
      <c r="AG262" s="677">
        <v>0</v>
      </c>
      <c r="AH262" s="677">
        <v>0</v>
      </c>
      <c r="AI262" s="677">
        <v>0</v>
      </c>
      <c r="AJ262" s="677">
        <v>0</v>
      </c>
      <c r="AK262" s="677">
        <v>0</v>
      </c>
      <c r="AL262" s="677">
        <v>0</v>
      </c>
    </row>
    <row r="263" spans="1:38" ht="15" customHeight="1">
      <c r="A263" s="683"/>
      <c r="B263" s="684">
        <v>9</v>
      </c>
      <c r="C263" s="677"/>
      <c r="D263" s="677"/>
      <c r="E263" s="677"/>
      <c r="F263" s="677"/>
      <c r="G263" s="677"/>
      <c r="H263" s="677"/>
      <c r="I263" s="677"/>
      <c r="J263" s="677"/>
      <c r="K263" s="677"/>
      <c r="L263" s="677"/>
      <c r="M263" s="677"/>
      <c r="N263" s="677"/>
      <c r="O263" s="677"/>
      <c r="P263" s="677"/>
      <c r="Q263" s="677"/>
      <c r="R263" s="677"/>
      <c r="S263" s="677"/>
      <c r="T263" s="677"/>
      <c r="U263" s="677"/>
      <c r="V263" s="677"/>
      <c r="W263" s="677"/>
      <c r="X263" s="677"/>
      <c r="Y263" s="677"/>
      <c r="Z263" s="677">
        <v>0</v>
      </c>
      <c r="AA263" s="677">
        <v>0</v>
      </c>
      <c r="AB263" s="677">
        <v>0</v>
      </c>
      <c r="AC263" s="677">
        <v>0</v>
      </c>
      <c r="AD263" s="677">
        <v>0</v>
      </c>
      <c r="AE263" s="714"/>
      <c r="AF263" s="677">
        <v>0</v>
      </c>
      <c r="AG263" s="677">
        <v>0</v>
      </c>
      <c r="AH263" s="677">
        <v>0</v>
      </c>
      <c r="AI263" s="677">
        <v>0</v>
      </c>
      <c r="AJ263" s="677">
        <v>0</v>
      </c>
      <c r="AK263" s="677">
        <v>0</v>
      </c>
      <c r="AL263" s="677">
        <v>0</v>
      </c>
    </row>
    <row r="264" spans="1:38" ht="15" customHeight="1">
      <c r="A264" s="680" t="s">
        <v>581</v>
      </c>
      <c r="B264" s="681">
        <v>10</v>
      </c>
      <c r="C264" s="682">
        <f t="shared" ref="C264:U264" si="32">SUM(C265:C272)</f>
        <v>0</v>
      </c>
      <c r="D264" s="682">
        <f t="shared" si="32"/>
        <v>0</v>
      </c>
      <c r="E264" s="682">
        <f t="shared" si="32"/>
        <v>0</v>
      </c>
      <c r="F264" s="682">
        <f t="shared" si="32"/>
        <v>0</v>
      </c>
      <c r="G264" s="682">
        <f t="shared" si="32"/>
        <v>0</v>
      </c>
      <c r="H264" s="682">
        <f t="shared" si="32"/>
        <v>0</v>
      </c>
      <c r="I264" s="682">
        <f t="shared" si="32"/>
        <v>0</v>
      </c>
      <c r="J264" s="682">
        <f t="shared" si="32"/>
        <v>0</v>
      </c>
      <c r="K264" s="682">
        <f t="shared" si="32"/>
        <v>0</v>
      </c>
      <c r="L264" s="682">
        <f t="shared" si="32"/>
        <v>0</v>
      </c>
      <c r="M264" s="682">
        <f t="shared" si="32"/>
        <v>0</v>
      </c>
      <c r="N264" s="682">
        <f t="shared" si="32"/>
        <v>168355474814</v>
      </c>
      <c r="O264" s="682">
        <f t="shared" si="32"/>
        <v>134925554251</v>
      </c>
      <c r="P264" s="682">
        <f t="shared" si="32"/>
        <v>43611829278</v>
      </c>
      <c r="Q264" s="682">
        <f t="shared" si="32"/>
        <v>98003020481</v>
      </c>
      <c r="R264" s="682">
        <f t="shared" si="32"/>
        <v>172928907420</v>
      </c>
      <c r="S264" s="682">
        <f t="shared" si="32"/>
        <v>200666324688</v>
      </c>
      <c r="T264" s="682">
        <f t="shared" si="32"/>
        <v>238388679271</v>
      </c>
      <c r="U264" s="682">
        <f t="shared" si="32"/>
        <v>250573370780</v>
      </c>
      <c r="V264" s="682">
        <f>SUM(V265:V272)</f>
        <v>294832243750</v>
      </c>
      <c r="W264" s="682">
        <f>SUM(W265:W272)</f>
        <v>309616499760</v>
      </c>
      <c r="X264" s="682">
        <f>SUM(X265:X272)</f>
        <v>259354189036</v>
      </c>
      <c r="Y264" s="682">
        <f>SUM(Y265:Y272)</f>
        <v>253300426901</v>
      </c>
      <c r="Z264" s="682">
        <v>262225979238</v>
      </c>
      <c r="AA264" s="682">
        <v>216818798145</v>
      </c>
      <c r="AB264" s="682">
        <v>231846507077</v>
      </c>
      <c r="AC264" s="682">
        <v>179737111410</v>
      </c>
      <c r="AD264" s="682">
        <v>147514569550</v>
      </c>
      <c r="AE264" s="713">
        <f>SUM(AE265:AE272)</f>
        <v>116595603825</v>
      </c>
      <c r="AF264" s="682">
        <v>0</v>
      </c>
      <c r="AG264" s="682">
        <v>0</v>
      </c>
      <c r="AH264" s="682">
        <v>0</v>
      </c>
      <c r="AI264" s="682">
        <v>0</v>
      </c>
      <c r="AJ264" s="682">
        <v>0</v>
      </c>
      <c r="AK264" s="682">
        <v>0</v>
      </c>
      <c r="AL264" s="682">
        <v>0</v>
      </c>
    </row>
    <row r="265" spans="1:38" ht="15" customHeight="1">
      <c r="A265" s="683" t="s">
        <v>574</v>
      </c>
      <c r="B265" s="684">
        <v>11</v>
      </c>
      <c r="C265" s="677"/>
      <c r="D265" s="677"/>
      <c r="E265" s="677"/>
      <c r="F265" s="677"/>
      <c r="G265" s="677"/>
      <c r="H265" s="677"/>
      <c r="I265" s="677"/>
      <c r="J265" s="677"/>
      <c r="K265" s="677"/>
      <c r="L265" s="677"/>
      <c r="M265" s="677"/>
      <c r="N265" s="677">
        <v>71255000000</v>
      </c>
      <c r="O265" s="677">
        <v>62031000000</v>
      </c>
      <c r="P265" s="677">
        <v>18977000000</v>
      </c>
      <c r="Q265" s="677">
        <v>48865000000</v>
      </c>
      <c r="R265" s="677">
        <v>90981000000</v>
      </c>
      <c r="S265" s="677">
        <v>88582000000</v>
      </c>
      <c r="T265" s="677">
        <v>82124851218</v>
      </c>
      <c r="U265" s="677">
        <v>72804000000</v>
      </c>
      <c r="V265" s="677">
        <v>92313391942</v>
      </c>
      <c r="W265" s="677">
        <v>80862028656</v>
      </c>
      <c r="X265" s="677">
        <v>66989028656</v>
      </c>
      <c r="Y265" s="677">
        <v>66989028656</v>
      </c>
      <c r="Z265" s="677">
        <v>77306590224</v>
      </c>
      <c r="AA265" s="677">
        <v>71235589210</v>
      </c>
      <c r="AB265" s="677">
        <v>93979203490</v>
      </c>
      <c r="AC265" s="677">
        <v>76798128278</v>
      </c>
      <c r="AD265" s="677">
        <v>76518747400</v>
      </c>
      <c r="AE265" s="714">
        <v>59864310020</v>
      </c>
      <c r="AF265" s="677">
        <v>0</v>
      </c>
      <c r="AG265" s="677">
        <v>0</v>
      </c>
      <c r="AH265" s="677">
        <v>0</v>
      </c>
      <c r="AI265" s="677">
        <v>0</v>
      </c>
      <c r="AJ265" s="677">
        <v>0</v>
      </c>
      <c r="AK265" s="677">
        <v>0</v>
      </c>
      <c r="AL265" s="677">
        <v>0</v>
      </c>
    </row>
    <row r="266" spans="1:38" ht="15" customHeight="1">
      <c r="A266" s="683" t="s">
        <v>575</v>
      </c>
      <c r="B266" s="684">
        <v>12</v>
      </c>
      <c r="C266" s="677"/>
      <c r="D266" s="677"/>
      <c r="E266" s="677"/>
      <c r="F266" s="677"/>
      <c r="G266" s="677"/>
      <c r="H266" s="677"/>
      <c r="I266" s="677"/>
      <c r="J266" s="677"/>
      <c r="K266" s="677"/>
      <c r="L266" s="677"/>
      <c r="M266" s="677"/>
      <c r="N266" s="677">
        <v>59227549743</v>
      </c>
      <c r="O266" s="677">
        <v>59227549743</v>
      </c>
      <c r="P266" s="677">
        <v>10967824770</v>
      </c>
      <c r="Q266" s="677">
        <v>35192821797</v>
      </c>
      <c r="R266" s="677">
        <v>59696932940</v>
      </c>
      <c r="S266" s="677">
        <v>74003145708</v>
      </c>
      <c r="T266" s="677">
        <v>102247404832</v>
      </c>
      <c r="U266" s="677">
        <v>105000758801</v>
      </c>
      <c r="V266" s="677">
        <v>98339501677</v>
      </c>
      <c r="W266" s="677">
        <v>80174525410</v>
      </c>
      <c r="X266" s="677">
        <v>55270634444</v>
      </c>
      <c r="Y266" s="677">
        <v>31305599367</v>
      </c>
      <c r="Z266" s="677">
        <v>25039164491</v>
      </c>
      <c r="AA266" s="677">
        <v>18753969760</v>
      </c>
      <c r="AB266" s="677">
        <v>18847664400</v>
      </c>
      <c r="AC266" s="677">
        <v>32128413884</v>
      </c>
      <c r="AD266" s="677">
        <v>13206538480</v>
      </c>
      <c r="AE266" s="714">
        <v>13201037710</v>
      </c>
      <c r="AF266" s="677">
        <v>0</v>
      </c>
      <c r="AG266" s="677">
        <v>0</v>
      </c>
      <c r="AH266" s="677">
        <v>0</v>
      </c>
      <c r="AI266" s="677">
        <v>0</v>
      </c>
      <c r="AJ266" s="677">
        <v>0</v>
      </c>
      <c r="AK266" s="677">
        <v>0</v>
      </c>
      <c r="AL266" s="677">
        <v>0</v>
      </c>
    </row>
    <row r="267" spans="1:38" ht="15" customHeight="1">
      <c r="A267" s="683" t="s">
        <v>576</v>
      </c>
      <c r="B267" s="684">
        <v>13</v>
      </c>
      <c r="C267" s="677"/>
      <c r="D267" s="677"/>
      <c r="E267" s="677"/>
      <c r="F267" s="677"/>
      <c r="G267" s="677"/>
      <c r="H267" s="677"/>
      <c r="I267" s="677"/>
      <c r="J267" s="677"/>
      <c r="K267" s="677"/>
      <c r="L267" s="677"/>
      <c r="M267" s="677"/>
      <c r="N267" s="677">
        <v>23767004508</v>
      </c>
      <c r="O267" s="677">
        <v>13667004508</v>
      </c>
      <c r="P267" s="677">
        <v>13667004508</v>
      </c>
      <c r="Q267" s="677">
        <v>13667004508</v>
      </c>
      <c r="R267" s="677">
        <v>21972780304</v>
      </c>
      <c r="S267" s="677">
        <v>32049798323</v>
      </c>
      <c r="T267" s="677">
        <v>39585571449</v>
      </c>
      <c r="U267" s="677">
        <v>54125127716</v>
      </c>
      <c r="V267" s="677">
        <v>80169222070</v>
      </c>
      <c r="W267" s="677">
        <v>87240583973</v>
      </c>
      <c r="X267" s="677">
        <v>64730980597</v>
      </c>
      <c r="Y267" s="677">
        <v>55405837410</v>
      </c>
      <c r="Z267" s="677">
        <v>51149160926</v>
      </c>
      <c r="AA267" s="677">
        <v>18836413663</v>
      </c>
      <c r="AB267" s="677">
        <v>11765051760</v>
      </c>
      <c r="AC267" s="677">
        <v>8000000000</v>
      </c>
      <c r="AD267" s="677">
        <v>8000000000</v>
      </c>
      <c r="AE267" s="714"/>
      <c r="AF267" s="677">
        <v>0</v>
      </c>
      <c r="AG267" s="677">
        <v>0</v>
      </c>
      <c r="AH267" s="677">
        <v>0</v>
      </c>
      <c r="AI267" s="677">
        <v>0</v>
      </c>
      <c r="AJ267" s="677">
        <v>0</v>
      </c>
      <c r="AK267" s="677">
        <v>0</v>
      </c>
      <c r="AL267" s="677">
        <v>0</v>
      </c>
    </row>
    <row r="268" spans="1:38" ht="15" customHeight="1">
      <c r="A268" s="683" t="s">
        <v>577</v>
      </c>
      <c r="B268" s="684">
        <v>14</v>
      </c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>
        <v>14105920563</v>
      </c>
      <c r="O268" s="677">
        <v>0</v>
      </c>
      <c r="P268" s="677">
        <v>0</v>
      </c>
      <c r="Q268" s="677">
        <v>278194176</v>
      </c>
      <c r="R268" s="677">
        <v>278194176</v>
      </c>
      <c r="S268" s="677">
        <v>6031380657</v>
      </c>
      <c r="T268" s="677">
        <v>14430851772</v>
      </c>
      <c r="U268" s="677">
        <v>18498731431</v>
      </c>
      <c r="V268" s="677">
        <v>23865375229</v>
      </c>
      <c r="W268" s="677">
        <v>56646971705</v>
      </c>
      <c r="X268" s="677">
        <v>67671155323</v>
      </c>
      <c r="Y268" s="677">
        <v>95052324284</v>
      </c>
      <c r="Z268" s="677">
        <v>99872206577</v>
      </c>
      <c r="AA268" s="677">
        <v>99872206577</v>
      </c>
      <c r="AB268" s="677">
        <v>99872206577</v>
      </c>
      <c r="AC268" s="677">
        <v>56166426483</v>
      </c>
      <c r="AD268" s="677">
        <v>43883378990</v>
      </c>
      <c r="AE268" s="714">
        <v>38362589500</v>
      </c>
      <c r="AF268" s="677">
        <v>0</v>
      </c>
      <c r="AG268" s="677">
        <v>0</v>
      </c>
      <c r="AH268" s="677">
        <v>0</v>
      </c>
      <c r="AI268" s="677">
        <v>0</v>
      </c>
      <c r="AJ268" s="677">
        <v>0</v>
      </c>
      <c r="AK268" s="677">
        <v>0</v>
      </c>
      <c r="AL268" s="677">
        <v>0</v>
      </c>
    </row>
    <row r="269" spans="1:38" ht="15" customHeight="1">
      <c r="A269" s="683" t="s">
        <v>578</v>
      </c>
      <c r="B269" s="684">
        <v>15</v>
      </c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77">
        <v>0</v>
      </c>
      <c r="P269" s="677">
        <v>0</v>
      </c>
      <c r="Q269" s="677">
        <v>0</v>
      </c>
      <c r="R269" s="677">
        <v>0</v>
      </c>
      <c r="S269" s="677">
        <v>0</v>
      </c>
      <c r="T269" s="677">
        <v>0</v>
      </c>
      <c r="U269" s="677">
        <v>144752832</v>
      </c>
      <c r="V269" s="677">
        <v>144752832</v>
      </c>
      <c r="W269" s="677">
        <v>4692390016</v>
      </c>
      <c r="X269" s="677">
        <v>4692390016</v>
      </c>
      <c r="Y269" s="677">
        <v>4547637184</v>
      </c>
      <c r="Z269" s="677">
        <v>0</v>
      </c>
      <c r="AA269" s="677">
        <v>0</v>
      </c>
      <c r="AB269" s="677">
        <v>0</v>
      </c>
      <c r="AC269" s="677">
        <v>0</v>
      </c>
      <c r="AD269" s="677">
        <v>0</v>
      </c>
      <c r="AE269" s="714"/>
      <c r="AF269" s="677">
        <v>0</v>
      </c>
      <c r="AG269" s="677">
        <v>0</v>
      </c>
      <c r="AH269" s="677">
        <v>0</v>
      </c>
      <c r="AI269" s="677">
        <v>0</v>
      </c>
      <c r="AJ269" s="677">
        <v>0</v>
      </c>
      <c r="AK269" s="677">
        <v>0</v>
      </c>
      <c r="AL269" s="677">
        <v>0</v>
      </c>
    </row>
    <row r="270" spans="1:38" ht="15" customHeight="1">
      <c r="A270" s="683" t="s">
        <v>579</v>
      </c>
      <c r="B270" s="684">
        <v>16</v>
      </c>
      <c r="C270" s="677"/>
      <c r="D270" s="677"/>
      <c r="E270" s="677"/>
      <c r="F270" s="677"/>
      <c r="G270" s="677"/>
      <c r="H270" s="677"/>
      <c r="I270" s="677"/>
      <c r="J270" s="677"/>
      <c r="K270" s="677"/>
      <c r="L270" s="677"/>
      <c r="M270" s="677"/>
      <c r="N270" s="677"/>
      <c r="O270" s="677">
        <v>0</v>
      </c>
      <c r="P270" s="677">
        <v>0</v>
      </c>
      <c r="Q270" s="677">
        <v>0</v>
      </c>
      <c r="R270" s="677">
        <v>0</v>
      </c>
      <c r="S270" s="677">
        <v>0</v>
      </c>
      <c r="T270" s="677">
        <v>0</v>
      </c>
      <c r="U270" s="677">
        <v>0</v>
      </c>
      <c r="V270" s="677">
        <v>0</v>
      </c>
      <c r="W270" s="677">
        <v>0</v>
      </c>
      <c r="X270" s="677">
        <v>0</v>
      </c>
      <c r="Y270" s="677">
        <v>0</v>
      </c>
      <c r="Z270" s="677">
        <v>0</v>
      </c>
      <c r="AA270" s="677">
        <v>8120618935</v>
      </c>
      <c r="AB270" s="677">
        <v>7382380850</v>
      </c>
      <c r="AC270" s="677">
        <v>6644142765</v>
      </c>
      <c r="AD270" s="677">
        <v>5905904680</v>
      </c>
      <c r="AE270" s="714">
        <v>5167666595</v>
      </c>
      <c r="AF270" s="677">
        <v>0</v>
      </c>
      <c r="AG270" s="677">
        <v>0</v>
      </c>
      <c r="AH270" s="677">
        <v>0</v>
      </c>
      <c r="AI270" s="677">
        <v>0</v>
      </c>
      <c r="AJ270" s="677">
        <v>0</v>
      </c>
      <c r="AK270" s="677">
        <v>0</v>
      </c>
      <c r="AL270" s="677">
        <v>0</v>
      </c>
    </row>
    <row r="271" spans="1:38" ht="15" customHeight="1">
      <c r="A271" s="683" t="s">
        <v>580</v>
      </c>
      <c r="B271" s="684">
        <v>17</v>
      </c>
      <c r="C271" s="677"/>
      <c r="D271" s="677"/>
      <c r="E271" s="677"/>
      <c r="F271" s="677"/>
      <c r="G271" s="677"/>
      <c r="H271" s="677"/>
      <c r="I271" s="677"/>
      <c r="J271" s="677"/>
      <c r="K271" s="677"/>
      <c r="L271" s="677"/>
      <c r="M271" s="677"/>
      <c r="N271" s="677"/>
      <c r="O271" s="677">
        <v>0</v>
      </c>
      <c r="P271" s="677">
        <v>0</v>
      </c>
      <c r="Q271" s="677">
        <v>0</v>
      </c>
      <c r="R271" s="677">
        <v>0</v>
      </c>
      <c r="S271" s="677">
        <v>0</v>
      </c>
      <c r="T271" s="677">
        <v>0</v>
      </c>
      <c r="U271" s="677">
        <v>0</v>
      </c>
      <c r="V271" s="677">
        <v>0</v>
      </c>
      <c r="W271" s="677">
        <v>0</v>
      </c>
      <c r="X271" s="677">
        <v>0</v>
      </c>
      <c r="Y271" s="677">
        <v>0</v>
      </c>
      <c r="Z271" s="677">
        <v>0</v>
      </c>
      <c r="AA271" s="677">
        <v>0</v>
      </c>
      <c r="AB271" s="677">
        <v>0</v>
      </c>
      <c r="AC271" s="677">
        <v>0</v>
      </c>
      <c r="AD271" s="677">
        <v>0</v>
      </c>
      <c r="AE271" s="714"/>
      <c r="AF271" s="677">
        <v>0</v>
      </c>
      <c r="AG271" s="677">
        <v>0</v>
      </c>
      <c r="AH271" s="677">
        <v>0</v>
      </c>
      <c r="AI271" s="677">
        <v>0</v>
      </c>
      <c r="AJ271" s="677">
        <v>0</v>
      </c>
      <c r="AK271" s="677">
        <v>0</v>
      </c>
      <c r="AL271" s="677">
        <v>0</v>
      </c>
    </row>
    <row r="272" spans="1:38" ht="15" customHeight="1">
      <c r="B272" s="684">
        <v>18</v>
      </c>
      <c r="C272" s="677"/>
      <c r="D272" s="677"/>
      <c r="E272" s="677"/>
      <c r="F272" s="677"/>
      <c r="G272" s="677"/>
      <c r="H272" s="677"/>
      <c r="I272" s="677"/>
      <c r="J272" s="677"/>
      <c r="K272" s="677"/>
      <c r="L272" s="677"/>
      <c r="M272" s="677"/>
      <c r="N272" s="677"/>
      <c r="O272" s="677"/>
      <c r="P272" s="677"/>
      <c r="Q272" s="677"/>
      <c r="R272" s="677"/>
      <c r="S272" s="677"/>
      <c r="T272" s="677"/>
      <c r="U272" s="677"/>
      <c r="V272" s="677"/>
      <c r="W272" s="677"/>
      <c r="X272" s="677"/>
      <c r="Y272" s="677"/>
      <c r="Z272" s="677">
        <v>0</v>
      </c>
      <c r="AA272" s="677">
        <v>0</v>
      </c>
      <c r="AB272" s="677">
        <v>0</v>
      </c>
      <c r="AC272" s="677">
        <v>0</v>
      </c>
      <c r="AD272" s="677">
        <v>0</v>
      </c>
      <c r="AE272" s="714"/>
      <c r="AF272" s="677">
        <v>0</v>
      </c>
      <c r="AG272" s="677">
        <v>0</v>
      </c>
      <c r="AH272" s="677">
        <v>0</v>
      </c>
      <c r="AI272" s="677">
        <v>0</v>
      </c>
      <c r="AJ272" s="677">
        <v>0</v>
      </c>
      <c r="AK272" s="677">
        <v>0</v>
      </c>
      <c r="AL272" s="677">
        <v>0</v>
      </c>
    </row>
    <row r="273" spans="1:38" ht="15" customHeight="1">
      <c r="A273" s="685" t="s">
        <v>582</v>
      </c>
      <c r="B273" s="686">
        <v>19</v>
      </c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687">
        <f t="shared" ref="O273:Y273" si="33">(O265*O274+O266*O275+O267*O276+O268*O277+O269*O278)/(O265+O266+O267+O268+O269)</f>
        <v>0</v>
      </c>
      <c r="P273" s="677">
        <f t="shared" si="33"/>
        <v>0</v>
      </c>
      <c r="Q273" s="677">
        <f t="shared" si="33"/>
        <v>0</v>
      </c>
      <c r="R273" s="677">
        <f t="shared" si="33"/>
        <v>0</v>
      </c>
      <c r="S273" s="677">
        <f t="shared" si="33"/>
        <v>0</v>
      </c>
      <c r="T273" s="677">
        <f t="shared" si="33"/>
        <v>0</v>
      </c>
      <c r="U273" s="677">
        <f t="shared" si="33"/>
        <v>0</v>
      </c>
      <c r="V273" s="677">
        <f t="shared" si="33"/>
        <v>4.2320799942719971E-2</v>
      </c>
      <c r="W273" s="677">
        <f t="shared" si="33"/>
        <v>4.2235600083236985E-2</v>
      </c>
      <c r="X273" s="677">
        <f t="shared" si="33"/>
        <v>4.1246663792271036E-2</v>
      </c>
      <c r="Y273" s="677">
        <f t="shared" si="33"/>
        <v>4.0953562415666216E-2</v>
      </c>
      <c r="Z273" s="677">
        <v>0</v>
      </c>
      <c r="AA273" s="678">
        <v>0</v>
      </c>
      <c r="AB273" s="677">
        <v>0</v>
      </c>
      <c r="AC273" s="677">
        <v>0</v>
      </c>
      <c r="AD273" s="677">
        <v>0</v>
      </c>
      <c r="AE273" s="714"/>
      <c r="AF273" s="677">
        <v>0</v>
      </c>
      <c r="AG273" s="677">
        <v>0</v>
      </c>
      <c r="AH273" s="677">
        <v>0</v>
      </c>
      <c r="AI273" s="677">
        <v>0</v>
      </c>
      <c r="AJ273" s="677">
        <v>0</v>
      </c>
      <c r="AK273" s="677">
        <v>0</v>
      </c>
      <c r="AL273" s="677">
        <v>0</v>
      </c>
    </row>
    <row r="274" spans="1:38" ht="15" customHeight="1">
      <c r="A274" s="683" t="str">
        <f>A265</f>
        <v>ACB</v>
      </c>
      <c r="B274" s="684">
        <v>20</v>
      </c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677"/>
      <c r="P274" s="677"/>
      <c r="Q274" s="677"/>
      <c r="R274" s="677"/>
      <c r="S274" s="677"/>
      <c r="T274" s="677"/>
      <c r="U274" s="677"/>
      <c r="V274" s="677">
        <v>4.2000000000000003E-2</v>
      </c>
      <c r="W274" s="677">
        <v>4.2000000000000003E-2</v>
      </c>
      <c r="X274" s="677">
        <v>4.2000000000000003E-2</v>
      </c>
      <c r="Y274" s="677">
        <v>4.2000000000000003E-2</v>
      </c>
      <c r="Z274" s="677">
        <v>0</v>
      </c>
      <c r="AA274" s="678">
        <v>4.2999999999999997E-2</v>
      </c>
      <c r="AB274" s="688">
        <v>4.2999999999999997E-2</v>
      </c>
      <c r="AC274" s="688">
        <v>4.2999999999999997E-2</v>
      </c>
      <c r="AD274" s="688">
        <v>4.2999999999999997E-2</v>
      </c>
      <c r="AE274" s="715">
        <v>4.2999999999999997E-2</v>
      </c>
      <c r="AF274" s="688">
        <v>0</v>
      </c>
      <c r="AG274" s="688">
        <v>0</v>
      </c>
      <c r="AH274" s="688">
        <v>0</v>
      </c>
      <c r="AI274" s="688">
        <v>0</v>
      </c>
      <c r="AJ274" s="688">
        <v>0</v>
      </c>
      <c r="AK274" s="688">
        <v>0</v>
      </c>
      <c r="AL274" s="688">
        <v>0</v>
      </c>
    </row>
    <row r="275" spans="1:38" ht="15" customHeight="1">
      <c r="A275" s="683" t="str">
        <f t="shared" ref="A275:A281" si="34">A266</f>
        <v>VietinBank</v>
      </c>
      <c r="B275" s="684">
        <v>21</v>
      </c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>
        <v>4.1000000000000002E-2</v>
      </c>
      <c r="W275" s="677">
        <v>4.1000000000000002E-2</v>
      </c>
      <c r="X275" s="677">
        <v>4.2000000000000003E-2</v>
      </c>
      <c r="Y275" s="677">
        <v>4.2999999999999997E-2</v>
      </c>
      <c r="Z275" s="677">
        <v>0</v>
      </c>
      <c r="AA275" s="678">
        <v>4.2999999999999997E-2</v>
      </c>
      <c r="AB275" s="688">
        <v>4.2999999999999997E-2</v>
      </c>
      <c r="AC275" s="688">
        <v>4.2999999999999997E-2</v>
      </c>
      <c r="AD275" s="688">
        <v>4.2999999999999997E-2</v>
      </c>
      <c r="AE275" s="715">
        <v>4.2999999999999997E-2</v>
      </c>
      <c r="AF275" s="688">
        <v>0</v>
      </c>
      <c r="AG275" s="688">
        <v>0</v>
      </c>
      <c r="AH275" s="688">
        <v>0</v>
      </c>
      <c r="AI275" s="688">
        <v>0</v>
      </c>
      <c r="AJ275" s="688">
        <v>0</v>
      </c>
      <c r="AK275" s="688">
        <v>0</v>
      </c>
      <c r="AL275" s="688">
        <v>0</v>
      </c>
    </row>
    <row r="276" spans="1:38" ht="15" customHeight="1">
      <c r="A276" s="683" t="str">
        <f t="shared" si="34"/>
        <v>Vietcombank</v>
      </c>
      <c r="B276" s="684">
        <v>22</v>
      </c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>
        <v>4.4999999999999998E-2</v>
      </c>
      <c r="W276" s="677">
        <v>4.4999999999999998E-2</v>
      </c>
      <c r="X276" s="677">
        <v>4.1000000000000002E-2</v>
      </c>
      <c r="Y276" s="677">
        <v>0.04</v>
      </c>
      <c r="Z276" s="677">
        <v>0</v>
      </c>
      <c r="AA276" s="678">
        <v>5.1174134571775887E-2</v>
      </c>
      <c r="AB276" s="688">
        <v>5.7890326826747419E-2</v>
      </c>
      <c r="AC276" s="688">
        <v>5.8000000000000003E-2</v>
      </c>
      <c r="AD276" s="688">
        <v>5.8000000000000003E-2</v>
      </c>
      <c r="AE276" s="715"/>
      <c r="AF276" s="688">
        <v>0</v>
      </c>
      <c r="AG276" s="688">
        <v>0</v>
      </c>
      <c r="AH276" s="688">
        <v>0</v>
      </c>
      <c r="AI276" s="688">
        <v>0</v>
      </c>
      <c r="AJ276" s="688">
        <v>0</v>
      </c>
      <c r="AK276" s="688">
        <v>0</v>
      </c>
      <c r="AL276" s="688">
        <v>0</v>
      </c>
    </row>
    <row r="277" spans="1:38" ht="15" customHeight="1">
      <c r="A277" s="683" t="str">
        <f t="shared" si="34"/>
        <v>BIDV</v>
      </c>
      <c r="B277" s="684">
        <v>23</v>
      </c>
      <c r="C277" s="677"/>
      <c r="D277" s="677"/>
      <c r="E277" s="677"/>
      <c r="F277" s="677"/>
      <c r="G277" s="677"/>
      <c r="H277" s="677"/>
      <c r="I277" s="677"/>
      <c r="J277" s="677"/>
      <c r="K277" s="677"/>
      <c r="L277" s="677"/>
      <c r="M277" s="677"/>
      <c r="N277" s="677"/>
      <c r="O277" s="677"/>
      <c r="P277" s="677"/>
      <c r="Q277" s="677"/>
      <c r="R277" s="677"/>
      <c r="S277" s="677"/>
      <c r="T277" s="677"/>
      <c r="U277" s="677"/>
      <c r="V277" s="677">
        <v>0.04</v>
      </c>
      <c r="W277" s="677">
        <v>0.04</v>
      </c>
      <c r="X277" s="677">
        <v>0.04</v>
      </c>
      <c r="Y277" s="677">
        <v>0.04</v>
      </c>
      <c r="Z277" s="677">
        <v>0</v>
      </c>
      <c r="AA277" s="678">
        <v>0.04</v>
      </c>
      <c r="AB277" s="688">
        <v>0.04</v>
      </c>
      <c r="AC277" s="688">
        <v>0.04</v>
      </c>
      <c r="AD277" s="688">
        <v>0.04</v>
      </c>
      <c r="AE277" s="715">
        <v>0.04</v>
      </c>
      <c r="AF277" s="688">
        <v>0</v>
      </c>
      <c r="AG277" s="688">
        <v>0</v>
      </c>
      <c r="AH277" s="688">
        <v>0</v>
      </c>
      <c r="AI277" s="688">
        <v>0</v>
      </c>
      <c r="AJ277" s="688">
        <v>0</v>
      </c>
      <c r="AK277" s="688">
        <v>0</v>
      </c>
      <c r="AL277" s="688">
        <v>0</v>
      </c>
    </row>
    <row r="278" spans="1:38" ht="15" customHeight="1">
      <c r="A278" s="683" t="str">
        <f t="shared" si="34"/>
        <v>Standard Chartered</v>
      </c>
      <c r="B278" s="684">
        <v>24</v>
      </c>
      <c r="C278" s="677"/>
      <c r="D278" s="677"/>
      <c r="E278" s="677"/>
      <c r="F278" s="677"/>
      <c r="G278" s="677"/>
      <c r="H278" s="677"/>
      <c r="I278" s="677"/>
      <c r="J278" s="677"/>
      <c r="K278" s="677"/>
      <c r="L278" s="677"/>
      <c r="M278" s="677"/>
      <c r="N278" s="677"/>
      <c r="O278" s="677"/>
      <c r="P278" s="677"/>
      <c r="Q278" s="677"/>
      <c r="R278" s="677"/>
      <c r="S278" s="677"/>
      <c r="T278" s="677"/>
      <c r="U278" s="677"/>
      <c r="V278" s="677">
        <v>4.2999999999999997E-2</v>
      </c>
      <c r="W278" s="677">
        <v>4.2999999999999997E-2</v>
      </c>
      <c r="X278" s="677">
        <v>4.2999999999999997E-2</v>
      </c>
      <c r="Y278" s="677">
        <v>4.2999999999999997E-2</v>
      </c>
      <c r="Z278" s="677">
        <v>0</v>
      </c>
      <c r="AA278" s="678">
        <v>0</v>
      </c>
      <c r="AB278" s="677">
        <v>0</v>
      </c>
      <c r="AC278" s="677">
        <v>0</v>
      </c>
      <c r="AD278" s="677">
        <v>0</v>
      </c>
      <c r="AE278" s="715"/>
      <c r="AF278" s="677">
        <v>0</v>
      </c>
      <c r="AG278" s="677">
        <v>0</v>
      </c>
      <c r="AH278" s="677">
        <v>0</v>
      </c>
      <c r="AI278" s="677">
        <v>0</v>
      </c>
      <c r="AJ278" s="677">
        <v>0</v>
      </c>
      <c r="AK278" s="677">
        <v>0</v>
      </c>
      <c r="AL278" s="677">
        <v>0</v>
      </c>
    </row>
    <row r="279" spans="1:38" ht="15" customHeight="1">
      <c r="A279" s="683" t="str">
        <f t="shared" si="34"/>
        <v>VILC</v>
      </c>
      <c r="B279" s="684">
        <v>25</v>
      </c>
      <c r="C279" s="677"/>
      <c r="D279" s="677"/>
      <c r="E279" s="677"/>
      <c r="F279" s="677"/>
      <c r="G279" s="677"/>
      <c r="H279" s="677"/>
      <c r="I279" s="677"/>
      <c r="J279" s="677"/>
      <c r="K279" s="677"/>
      <c r="L279" s="677"/>
      <c r="M279" s="677"/>
      <c r="N279" s="677"/>
      <c r="O279" s="677"/>
      <c r="P279" s="677"/>
      <c r="Q279" s="677"/>
      <c r="R279" s="677"/>
      <c r="S279" s="677"/>
      <c r="T279" s="677"/>
      <c r="U279" s="677"/>
      <c r="V279" s="677"/>
      <c r="W279" s="677"/>
      <c r="X279" s="677"/>
      <c r="Y279" s="677"/>
      <c r="Z279" s="677">
        <v>0</v>
      </c>
      <c r="AA279" s="678">
        <v>0</v>
      </c>
      <c r="AB279" s="677">
        <v>0</v>
      </c>
      <c r="AC279" s="677">
        <v>0</v>
      </c>
      <c r="AD279" s="677">
        <v>0</v>
      </c>
      <c r="AE279" s="714"/>
      <c r="AF279" s="677">
        <v>0</v>
      </c>
      <c r="AG279" s="677">
        <v>0</v>
      </c>
      <c r="AH279" s="677">
        <v>0</v>
      </c>
      <c r="AI279" s="677">
        <v>0</v>
      </c>
      <c r="AJ279" s="677">
        <v>0</v>
      </c>
      <c r="AK279" s="677">
        <v>0</v>
      </c>
      <c r="AL279" s="677">
        <v>0</v>
      </c>
    </row>
    <row r="280" spans="1:38" ht="15" customHeight="1">
      <c r="A280" s="683" t="str">
        <f t="shared" si="34"/>
        <v>IVB</v>
      </c>
      <c r="B280" s="684">
        <v>26</v>
      </c>
      <c r="C280" s="677"/>
      <c r="D280" s="677"/>
      <c r="E280" s="677"/>
      <c r="F280" s="677"/>
      <c r="G280" s="677"/>
      <c r="H280" s="677"/>
      <c r="I280" s="677"/>
      <c r="J280" s="677"/>
      <c r="K280" s="677"/>
      <c r="L280" s="677"/>
      <c r="M280" s="677"/>
      <c r="N280" s="677"/>
      <c r="O280" s="677"/>
      <c r="P280" s="677"/>
      <c r="Q280" s="677"/>
      <c r="R280" s="677"/>
      <c r="S280" s="677"/>
      <c r="T280" s="677"/>
      <c r="U280" s="677"/>
      <c r="V280" s="677"/>
      <c r="W280" s="677"/>
      <c r="X280" s="677"/>
      <c r="Y280" s="677"/>
      <c r="Z280" s="677">
        <v>0</v>
      </c>
      <c r="AA280" s="678">
        <v>0</v>
      </c>
      <c r="AB280" s="677">
        <v>0</v>
      </c>
      <c r="AC280" s="677">
        <v>0</v>
      </c>
      <c r="AD280" s="677">
        <v>0</v>
      </c>
      <c r="AE280" s="714"/>
      <c r="AF280" s="677">
        <v>0</v>
      </c>
      <c r="AG280" s="677">
        <v>0</v>
      </c>
      <c r="AH280" s="677">
        <v>0</v>
      </c>
      <c r="AI280" s="677">
        <v>0</v>
      </c>
      <c r="AJ280" s="677">
        <v>0</v>
      </c>
      <c r="AK280" s="677">
        <v>0</v>
      </c>
      <c r="AL280" s="677">
        <v>0</v>
      </c>
    </row>
    <row r="281" spans="1:38" ht="15" customHeight="1">
      <c r="A281" s="683">
        <f t="shared" si="34"/>
        <v>0</v>
      </c>
      <c r="B281" s="684">
        <v>27</v>
      </c>
      <c r="C281" s="677"/>
      <c r="D281" s="677"/>
      <c r="E281" s="677"/>
      <c r="F281" s="677"/>
      <c r="G281" s="677"/>
      <c r="H281" s="677"/>
      <c r="I281" s="677"/>
      <c r="J281" s="677"/>
      <c r="K281" s="677"/>
      <c r="L281" s="677"/>
      <c r="M281" s="677"/>
      <c r="N281" s="677"/>
      <c r="O281" s="677"/>
      <c r="P281" s="677"/>
      <c r="Q281" s="677"/>
      <c r="R281" s="677"/>
      <c r="S281" s="677"/>
      <c r="T281" s="677"/>
      <c r="U281" s="677"/>
      <c r="V281" s="677"/>
      <c r="W281" s="677"/>
      <c r="X281" s="677"/>
      <c r="Y281" s="677"/>
      <c r="Z281" s="677">
        <v>0</v>
      </c>
      <c r="AA281" s="678">
        <v>0</v>
      </c>
      <c r="AB281" s="677">
        <v>0</v>
      </c>
      <c r="AC281" s="677">
        <v>0</v>
      </c>
      <c r="AD281" s="677">
        <v>0</v>
      </c>
      <c r="AE281" s="714"/>
      <c r="AF281" s="677">
        <v>0</v>
      </c>
      <c r="AG281" s="677">
        <v>0</v>
      </c>
      <c r="AH281" s="677">
        <v>0</v>
      </c>
      <c r="AI281" s="677">
        <v>0</v>
      </c>
      <c r="AJ281" s="677">
        <v>0</v>
      </c>
      <c r="AK281" s="677">
        <v>0</v>
      </c>
      <c r="AL281" s="677">
        <v>0</v>
      </c>
    </row>
    <row r="282" spans="1:38" ht="15" customHeight="1">
      <c r="A282" s="680" t="s">
        <v>583</v>
      </c>
      <c r="B282" s="681">
        <v>28</v>
      </c>
      <c r="C282" s="682">
        <f t="shared" ref="C282:Y282" si="35">SUM(C283:C290)</f>
        <v>0</v>
      </c>
      <c r="D282" s="682">
        <f t="shared" si="35"/>
        <v>0</v>
      </c>
      <c r="E282" s="682">
        <f t="shared" si="35"/>
        <v>0</v>
      </c>
      <c r="F282" s="682">
        <f t="shared" si="35"/>
        <v>0</v>
      </c>
      <c r="G282" s="682">
        <f t="shared" si="35"/>
        <v>0</v>
      </c>
      <c r="H282" s="682">
        <f t="shared" si="35"/>
        <v>0</v>
      </c>
      <c r="I282" s="682">
        <f t="shared" si="35"/>
        <v>0</v>
      </c>
      <c r="J282" s="682">
        <f t="shared" si="35"/>
        <v>0</v>
      </c>
      <c r="K282" s="682">
        <f t="shared" si="35"/>
        <v>0</v>
      </c>
      <c r="L282" s="682">
        <f t="shared" si="35"/>
        <v>0</v>
      </c>
      <c r="M282" s="682">
        <f t="shared" si="35"/>
        <v>0</v>
      </c>
      <c r="N282" s="682">
        <f t="shared" si="35"/>
        <v>107172751116</v>
      </c>
      <c r="O282" s="682">
        <f t="shared" si="35"/>
        <v>108410341946</v>
      </c>
      <c r="P282" s="682">
        <f t="shared" si="35"/>
        <v>104162504168</v>
      </c>
      <c r="Q282" s="682">
        <f t="shared" si="35"/>
        <v>103325726390</v>
      </c>
      <c r="R282" s="682">
        <f t="shared" si="35"/>
        <v>102252755220</v>
      </c>
      <c r="S282" s="682">
        <f t="shared" si="35"/>
        <v>98004917442</v>
      </c>
      <c r="T282" s="682">
        <f t="shared" si="35"/>
        <v>77121791394</v>
      </c>
      <c r="U282" s="682">
        <f t="shared" si="35"/>
        <v>76048820224</v>
      </c>
      <c r="V282" s="682">
        <f t="shared" si="35"/>
        <v>74463510446</v>
      </c>
      <c r="W282" s="682">
        <f t="shared" si="35"/>
        <v>73626732668</v>
      </c>
      <c r="X282" s="682">
        <f t="shared" si="35"/>
        <v>72553761498</v>
      </c>
      <c r="Y282" s="682">
        <f t="shared" si="35"/>
        <v>71031650720</v>
      </c>
      <c r="Z282" s="682">
        <v>50382254354</v>
      </c>
      <c r="AA282" s="682">
        <v>49472841415</v>
      </c>
      <c r="AB282" s="682">
        <v>71400341415</v>
      </c>
      <c r="AC282" s="682">
        <v>80100341415</v>
      </c>
      <c r="AD282" s="682">
        <v>80100341415</v>
      </c>
      <c r="AE282" s="713">
        <f>SUM(AE283:AE290)</f>
        <v>154933236415</v>
      </c>
      <c r="AF282" s="682">
        <v>0</v>
      </c>
      <c r="AG282" s="682">
        <v>0</v>
      </c>
      <c r="AH282" s="682">
        <v>0</v>
      </c>
      <c r="AI282" s="682">
        <v>0</v>
      </c>
      <c r="AJ282" s="682">
        <v>0</v>
      </c>
      <c r="AK282" s="682">
        <v>0</v>
      </c>
      <c r="AL282" s="682">
        <v>0</v>
      </c>
    </row>
    <row r="283" spans="1:38" ht="15" customHeight="1">
      <c r="A283" s="683" t="str">
        <f>A265</f>
        <v>ACB</v>
      </c>
      <c r="B283" s="684">
        <v>29</v>
      </c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>
        <v>79950528894</v>
      </c>
      <c r="O283" s="677">
        <v>81965897502</v>
      </c>
      <c r="P283" s="677">
        <v>78495837502</v>
      </c>
      <c r="Q283" s="677">
        <v>78436837502</v>
      </c>
      <c r="R283" s="677">
        <v>78141644110</v>
      </c>
      <c r="S283" s="677">
        <v>74671584110</v>
      </c>
      <c r="T283" s="677">
        <v>54566235840</v>
      </c>
      <c r="U283" s="677">
        <v>54271042448</v>
      </c>
      <c r="V283" s="677">
        <v>51904970448</v>
      </c>
      <c r="W283" s="677">
        <v>51845970448</v>
      </c>
      <c r="X283" s="677">
        <v>51550777056</v>
      </c>
      <c r="Y283" s="677">
        <v>49748205056</v>
      </c>
      <c r="Z283" s="677">
        <v>38808143488</v>
      </c>
      <c r="AA283" s="677">
        <v>38808143488</v>
      </c>
      <c r="AB283" s="677">
        <v>38808143488</v>
      </c>
      <c r="AC283" s="677">
        <v>38808143488</v>
      </c>
      <c r="AD283" s="677">
        <v>38808143488</v>
      </c>
      <c r="AE283" s="714">
        <v>38808143488</v>
      </c>
      <c r="AF283" s="677">
        <v>0</v>
      </c>
      <c r="AG283" s="677">
        <v>0</v>
      </c>
      <c r="AH283" s="677">
        <v>0</v>
      </c>
      <c r="AI283" s="677">
        <v>0</v>
      </c>
      <c r="AJ283" s="677">
        <v>0</v>
      </c>
      <c r="AK283" s="677">
        <v>0</v>
      </c>
      <c r="AL283" s="677">
        <v>0</v>
      </c>
    </row>
    <row r="284" spans="1:38" ht="15" customHeight="1">
      <c r="A284" s="683" t="str">
        <f>A266</f>
        <v>VietinBank</v>
      </c>
      <c r="B284" s="684">
        <v>30</v>
      </c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>
        <v>0</v>
      </c>
      <c r="P284" s="677">
        <v>0</v>
      </c>
      <c r="Q284" s="677">
        <v>0</v>
      </c>
      <c r="R284" s="677">
        <v>0</v>
      </c>
      <c r="S284" s="677">
        <v>0</v>
      </c>
      <c r="T284" s="677">
        <v>0</v>
      </c>
      <c r="U284" s="677">
        <v>0</v>
      </c>
      <c r="V284" s="677">
        <v>1558540000</v>
      </c>
      <c r="W284" s="677">
        <v>1558540000</v>
      </c>
      <c r="X284" s="677">
        <v>1558540000</v>
      </c>
      <c r="Y284" s="677">
        <v>2616779000</v>
      </c>
      <c r="Z284" s="677">
        <v>2544079000</v>
      </c>
      <c r="AA284" s="677">
        <v>2544079000</v>
      </c>
      <c r="AB284" s="677">
        <v>2544079000</v>
      </c>
      <c r="AC284" s="677">
        <v>11244079000</v>
      </c>
      <c r="AD284" s="677">
        <v>11244079000</v>
      </c>
      <c r="AE284" s="714">
        <v>86860099000</v>
      </c>
      <c r="AF284" s="677">
        <v>0</v>
      </c>
      <c r="AG284" s="677">
        <v>0</v>
      </c>
      <c r="AH284" s="677">
        <v>0</v>
      </c>
      <c r="AI284" s="677">
        <v>0</v>
      </c>
      <c r="AJ284" s="677">
        <v>0</v>
      </c>
      <c r="AK284" s="677">
        <v>0</v>
      </c>
      <c r="AL284" s="677">
        <v>0</v>
      </c>
    </row>
    <row r="285" spans="1:38" ht="15" customHeight="1">
      <c r="A285" s="683" t="str">
        <f>A267</f>
        <v>Vietcombank</v>
      </c>
      <c r="B285" s="684">
        <v>31</v>
      </c>
      <c r="C285" s="677"/>
      <c r="D285" s="677"/>
      <c r="E285" s="677"/>
      <c r="F285" s="677"/>
      <c r="G285" s="677"/>
      <c r="H285" s="677"/>
      <c r="I285" s="677"/>
      <c r="J285" s="677"/>
      <c r="K285" s="677"/>
      <c r="L285" s="677"/>
      <c r="M285" s="677"/>
      <c r="N285" s="677"/>
      <c r="O285" s="677">
        <v>0</v>
      </c>
      <c r="P285" s="677">
        <v>0</v>
      </c>
      <c r="Q285" s="677">
        <v>0</v>
      </c>
      <c r="R285" s="677">
        <v>0</v>
      </c>
      <c r="S285" s="677">
        <v>0</v>
      </c>
      <c r="T285" s="677">
        <v>0</v>
      </c>
      <c r="U285" s="677">
        <v>0</v>
      </c>
      <c r="V285" s="677">
        <v>0</v>
      </c>
      <c r="W285" s="677">
        <v>0</v>
      </c>
      <c r="X285" s="677">
        <v>0</v>
      </c>
      <c r="Y285" s="677">
        <v>0</v>
      </c>
      <c r="Z285" s="677">
        <v>0</v>
      </c>
      <c r="AA285" s="677">
        <v>0</v>
      </c>
      <c r="AB285" s="677">
        <v>21927500000</v>
      </c>
      <c r="AC285" s="677">
        <v>21927500000</v>
      </c>
      <c r="AD285" s="677">
        <v>21927500000</v>
      </c>
      <c r="AE285" s="714">
        <v>21144375000</v>
      </c>
      <c r="AF285" s="677">
        <v>0</v>
      </c>
      <c r="AG285" s="677">
        <v>0</v>
      </c>
      <c r="AH285" s="677">
        <v>0</v>
      </c>
      <c r="AI285" s="677">
        <v>0</v>
      </c>
      <c r="AJ285" s="677">
        <v>0</v>
      </c>
      <c r="AK285" s="677">
        <v>0</v>
      </c>
      <c r="AL285" s="677">
        <v>0</v>
      </c>
    </row>
    <row r="286" spans="1:38" ht="15" customHeight="1">
      <c r="A286" s="683" t="s">
        <v>577</v>
      </c>
      <c r="B286" s="684">
        <v>32</v>
      </c>
      <c r="C286" s="677"/>
      <c r="D286" s="677"/>
      <c r="E286" s="677"/>
      <c r="F286" s="677"/>
      <c r="G286" s="677"/>
      <c r="H286" s="677"/>
      <c r="I286" s="677"/>
      <c r="J286" s="677"/>
      <c r="K286" s="677"/>
      <c r="L286" s="677"/>
      <c r="M286" s="677"/>
      <c r="N286" s="677"/>
      <c r="O286" s="677">
        <v>0</v>
      </c>
      <c r="P286" s="677">
        <v>0</v>
      </c>
      <c r="Q286" s="677">
        <v>0</v>
      </c>
      <c r="R286" s="677">
        <v>0</v>
      </c>
      <c r="S286" s="677">
        <v>0</v>
      </c>
      <c r="T286" s="677">
        <v>0</v>
      </c>
      <c r="U286" s="677">
        <v>0</v>
      </c>
      <c r="V286" s="677">
        <v>0</v>
      </c>
      <c r="W286" s="677">
        <v>0</v>
      </c>
      <c r="X286" s="677">
        <v>0</v>
      </c>
      <c r="Y286" s="677">
        <v>0</v>
      </c>
      <c r="Z286" s="677">
        <v>0</v>
      </c>
      <c r="AA286" s="677">
        <v>0</v>
      </c>
      <c r="AB286" s="677">
        <v>0</v>
      </c>
      <c r="AC286" s="677">
        <v>0</v>
      </c>
      <c r="AD286" s="677">
        <v>0</v>
      </c>
      <c r="AE286" s="714"/>
      <c r="AF286" s="677">
        <v>0</v>
      </c>
      <c r="AG286" s="677">
        <v>0</v>
      </c>
      <c r="AH286" s="677">
        <v>0</v>
      </c>
      <c r="AI286" s="677">
        <v>0</v>
      </c>
      <c r="AJ286" s="677">
        <v>0</v>
      </c>
      <c r="AK286" s="677">
        <v>0</v>
      </c>
      <c r="AL286" s="677">
        <v>0</v>
      </c>
    </row>
    <row r="287" spans="1:38" ht="15" customHeight="1">
      <c r="A287" s="683" t="str">
        <f>A269</f>
        <v>Standard Chartered</v>
      </c>
      <c r="B287" s="684">
        <v>33</v>
      </c>
      <c r="C287" s="677"/>
      <c r="D287" s="677"/>
      <c r="E287" s="677"/>
      <c r="F287" s="677"/>
      <c r="G287" s="677"/>
      <c r="H287" s="677"/>
      <c r="I287" s="677"/>
      <c r="J287" s="677"/>
      <c r="K287" s="677"/>
      <c r="L287" s="677"/>
      <c r="M287" s="677"/>
      <c r="N287" s="677"/>
      <c r="O287" s="677">
        <v>0</v>
      </c>
      <c r="P287" s="677">
        <v>0</v>
      </c>
      <c r="Q287" s="677">
        <v>0</v>
      </c>
      <c r="R287" s="677">
        <v>0</v>
      </c>
      <c r="S287" s="677">
        <v>0</v>
      </c>
      <c r="T287" s="677">
        <v>0</v>
      </c>
      <c r="U287" s="677">
        <v>0</v>
      </c>
      <c r="V287" s="677">
        <v>0</v>
      </c>
      <c r="W287" s="677">
        <v>0</v>
      </c>
      <c r="X287" s="677">
        <v>0</v>
      </c>
      <c r="Y287" s="677">
        <v>0</v>
      </c>
      <c r="Z287" s="677">
        <v>0</v>
      </c>
      <c r="AA287" s="677">
        <v>0</v>
      </c>
      <c r="AB287" s="677">
        <v>0</v>
      </c>
      <c r="AC287" s="677">
        <v>0</v>
      </c>
      <c r="AD287" s="677">
        <v>0</v>
      </c>
      <c r="AE287" s="714"/>
      <c r="AF287" s="677">
        <v>0</v>
      </c>
      <c r="AG287" s="677">
        <v>0</v>
      </c>
      <c r="AH287" s="677">
        <v>0</v>
      </c>
      <c r="AI287" s="677">
        <v>0</v>
      </c>
      <c r="AJ287" s="677">
        <v>0</v>
      </c>
      <c r="AK287" s="677">
        <v>0</v>
      </c>
      <c r="AL287" s="677">
        <v>0</v>
      </c>
    </row>
    <row r="288" spans="1:38" ht="15" customHeight="1">
      <c r="A288" s="683" t="s">
        <v>579</v>
      </c>
      <c r="B288" s="684">
        <v>34</v>
      </c>
      <c r="C288" s="677"/>
      <c r="D288" s="677"/>
      <c r="E288" s="677"/>
      <c r="F288" s="677"/>
      <c r="G288" s="677"/>
      <c r="H288" s="677"/>
      <c r="I288" s="677"/>
      <c r="J288" s="677"/>
      <c r="K288" s="677"/>
      <c r="L288" s="677"/>
      <c r="M288" s="677"/>
      <c r="N288" s="677">
        <v>27222222222</v>
      </c>
      <c r="O288" s="677">
        <v>26444444444</v>
      </c>
      <c r="P288" s="677">
        <v>25666666666</v>
      </c>
      <c r="Q288" s="677">
        <v>24888888888</v>
      </c>
      <c r="R288" s="677">
        <v>24111111110</v>
      </c>
      <c r="S288" s="677">
        <v>23333333332</v>
      </c>
      <c r="T288" s="677">
        <v>22555555554</v>
      </c>
      <c r="U288" s="677">
        <v>21777777776</v>
      </c>
      <c r="V288" s="677">
        <v>20999999998</v>
      </c>
      <c r="W288" s="677">
        <v>20222222220</v>
      </c>
      <c r="X288" s="677">
        <v>19444444442</v>
      </c>
      <c r="Y288" s="677">
        <v>18666666664</v>
      </c>
      <c r="Z288" s="677">
        <v>17888888886</v>
      </c>
      <c r="AA288" s="677">
        <v>8120618927</v>
      </c>
      <c r="AB288" s="677">
        <v>8120618927</v>
      </c>
      <c r="AC288" s="677">
        <v>8120618927</v>
      </c>
      <c r="AD288" s="677">
        <v>8120618927</v>
      </c>
      <c r="AE288" s="714">
        <v>8120618927</v>
      </c>
      <c r="AF288" s="677">
        <v>0</v>
      </c>
      <c r="AG288" s="677">
        <v>0</v>
      </c>
      <c r="AH288" s="677">
        <v>0</v>
      </c>
      <c r="AI288" s="677">
        <v>0</v>
      </c>
      <c r="AJ288" s="677">
        <v>0</v>
      </c>
      <c r="AK288" s="677">
        <v>0</v>
      </c>
      <c r="AL288" s="677">
        <v>0</v>
      </c>
    </row>
    <row r="289" spans="1:38" ht="15" customHeight="1">
      <c r="A289" s="683" t="s">
        <v>580</v>
      </c>
      <c r="B289" s="684">
        <v>35</v>
      </c>
      <c r="C289" s="677"/>
      <c r="D289" s="677"/>
      <c r="E289" s="677"/>
      <c r="F289" s="677"/>
      <c r="G289" s="677"/>
      <c r="H289" s="677"/>
      <c r="I289" s="677"/>
      <c r="J289" s="677"/>
      <c r="K289" s="677"/>
      <c r="L289" s="677"/>
      <c r="M289" s="677"/>
      <c r="N289" s="677"/>
      <c r="O289" s="677">
        <v>0</v>
      </c>
      <c r="P289" s="677">
        <v>0</v>
      </c>
      <c r="Q289" s="677">
        <v>0</v>
      </c>
      <c r="R289" s="677">
        <v>0</v>
      </c>
      <c r="S289" s="677">
        <v>0</v>
      </c>
      <c r="T289" s="677">
        <v>0</v>
      </c>
      <c r="U289" s="677">
        <v>0</v>
      </c>
      <c r="V289" s="677">
        <v>0</v>
      </c>
      <c r="W289" s="677">
        <v>0</v>
      </c>
      <c r="X289" s="677">
        <v>0</v>
      </c>
      <c r="Y289" s="677">
        <v>0</v>
      </c>
      <c r="Z289" s="677">
        <v>0</v>
      </c>
      <c r="AA289" s="677">
        <v>0</v>
      </c>
      <c r="AB289" s="677">
        <v>0</v>
      </c>
      <c r="AC289" s="677">
        <v>0</v>
      </c>
      <c r="AD289" s="677">
        <v>0</v>
      </c>
      <c r="AE289" s="714"/>
      <c r="AF289" s="677">
        <v>0</v>
      </c>
      <c r="AG289" s="677">
        <v>0</v>
      </c>
      <c r="AH289" s="677">
        <v>0</v>
      </c>
      <c r="AI289" s="677">
        <v>0</v>
      </c>
      <c r="AJ289" s="677">
        <v>0</v>
      </c>
      <c r="AK289" s="677">
        <v>0</v>
      </c>
      <c r="AL289" s="677">
        <v>0</v>
      </c>
    </row>
    <row r="290" spans="1:38" ht="15" customHeight="1">
      <c r="B290" s="684">
        <v>36</v>
      </c>
      <c r="C290" s="677"/>
      <c r="D290" s="677"/>
      <c r="E290" s="677"/>
      <c r="F290" s="677"/>
      <c r="G290" s="677"/>
      <c r="H290" s="677"/>
      <c r="I290" s="677"/>
      <c r="J290" s="677"/>
      <c r="K290" s="677"/>
      <c r="L290" s="677"/>
      <c r="M290" s="677"/>
      <c r="N290" s="677"/>
      <c r="O290" s="677"/>
      <c r="P290" s="677"/>
      <c r="Q290" s="677"/>
      <c r="R290" s="677"/>
      <c r="S290" s="677"/>
      <c r="T290" s="677"/>
      <c r="U290" s="677"/>
      <c r="V290" s="677"/>
      <c r="W290" s="677"/>
      <c r="X290" s="677"/>
      <c r="Y290" s="677"/>
      <c r="Z290" s="677">
        <v>0</v>
      </c>
      <c r="AA290" s="677">
        <v>0</v>
      </c>
      <c r="AB290" s="677">
        <v>0</v>
      </c>
      <c r="AC290" s="677">
        <v>0</v>
      </c>
      <c r="AD290" s="677">
        <v>0</v>
      </c>
      <c r="AE290" s="714"/>
      <c r="AF290" s="677">
        <v>0</v>
      </c>
      <c r="AG290" s="677">
        <v>0</v>
      </c>
      <c r="AH290" s="677">
        <v>0</v>
      </c>
      <c r="AI290" s="677">
        <v>0</v>
      </c>
      <c r="AJ290" s="677">
        <v>0</v>
      </c>
      <c r="AK290" s="677">
        <v>0</v>
      </c>
      <c r="AL290" s="677">
        <v>0</v>
      </c>
    </row>
    <row r="291" spans="1:38" ht="15" customHeight="1">
      <c r="A291" s="685" t="s">
        <v>584</v>
      </c>
      <c r="B291" s="686">
        <v>37</v>
      </c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677"/>
      <c r="P291" s="677"/>
      <c r="Q291" s="677"/>
      <c r="R291" s="677"/>
      <c r="S291" s="677"/>
      <c r="T291" s="677"/>
      <c r="U291" s="677"/>
      <c r="V291" s="677">
        <f>(V283*V292+V284*V293)/(V283+V284)</f>
        <v>7.1912545585562551E-2</v>
      </c>
      <c r="W291" s="677">
        <f>(W283*W292+W284*W293)/(W283+W284)</f>
        <v>7.1708163226864963E-2</v>
      </c>
      <c r="X291" s="677">
        <f>(X283*X292+X284*X293)/(X283+X284)</f>
        <v>6.9765232906556632E-2</v>
      </c>
      <c r="Y291" s="677">
        <f>(Y283*Y292+Y284*Y293)/(Y283+Y284)</f>
        <v>6.96501965324689E-2</v>
      </c>
      <c r="Z291" s="677">
        <v>0</v>
      </c>
      <c r="AA291" s="678">
        <v>0</v>
      </c>
      <c r="AB291" s="677">
        <v>0</v>
      </c>
      <c r="AC291" s="677">
        <v>0</v>
      </c>
      <c r="AD291" s="677">
        <v>0</v>
      </c>
      <c r="AE291" s="714"/>
      <c r="AF291" s="677">
        <v>0</v>
      </c>
      <c r="AG291" s="677">
        <v>0</v>
      </c>
      <c r="AH291" s="677">
        <v>0</v>
      </c>
      <c r="AI291" s="677">
        <v>0</v>
      </c>
      <c r="AJ291" s="677">
        <v>0</v>
      </c>
      <c r="AK291" s="677">
        <v>0</v>
      </c>
      <c r="AL291" s="677">
        <v>0</v>
      </c>
    </row>
    <row r="292" spans="1:38" ht="15" customHeight="1">
      <c r="A292" s="683" t="str">
        <f>A283</f>
        <v>ACB</v>
      </c>
      <c r="B292" s="684">
        <v>38</v>
      </c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677"/>
      <c r="P292" s="677"/>
      <c r="Q292" s="677"/>
      <c r="R292" s="677"/>
      <c r="S292" s="677"/>
      <c r="T292" s="677"/>
      <c r="U292" s="677"/>
      <c r="V292" s="677">
        <v>7.1999999999999995E-2</v>
      </c>
      <c r="W292" s="677">
        <v>7.1999999999999995E-2</v>
      </c>
      <c r="X292" s="677">
        <v>7.0000000000000007E-2</v>
      </c>
      <c r="Y292" s="677">
        <v>7.0000000000000007E-2</v>
      </c>
      <c r="Z292" s="677">
        <v>0</v>
      </c>
      <c r="AA292" s="678">
        <v>7.46E-2</v>
      </c>
      <c r="AB292" s="688">
        <v>7.6100000000000001E-2</v>
      </c>
      <c r="AC292" s="688">
        <v>7.7600000000000002E-2</v>
      </c>
      <c r="AD292" s="688">
        <v>7.7600000000000002E-2</v>
      </c>
      <c r="AE292" s="715">
        <v>7.8E-2</v>
      </c>
      <c r="AF292" s="688">
        <v>0</v>
      </c>
      <c r="AG292" s="688">
        <v>0</v>
      </c>
      <c r="AH292" s="688">
        <v>0</v>
      </c>
      <c r="AI292" s="688">
        <v>0</v>
      </c>
      <c r="AJ292" s="688">
        <v>0</v>
      </c>
      <c r="AK292" s="688">
        <v>0</v>
      </c>
      <c r="AL292" s="688">
        <v>0</v>
      </c>
    </row>
    <row r="293" spans="1:38" ht="15" customHeight="1">
      <c r="A293" s="683" t="str">
        <f t="shared" ref="A293:A299" si="36">A284</f>
        <v>VietinBank</v>
      </c>
      <c r="B293" s="684">
        <v>39</v>
      </c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>
        <v>6.9000000000000006E-2</v>
      </c>
      <c r="W293" s="677">
        <v>6.2E-2</v>
      </c>
      <c r="X293" s="677">
        <v>6.2E-2</v>
      </c>
      <c r="Y293" s="677">
        <v>6.3E-2</v>
      </c>
      <c r="Z293" s="677">
        <v>0</v>
      </c>
      <c r="AA293" s="678">
        <v>6.3213215863186636E-2</v>
      </c>
      <c r="AB293" s="688">
        <v>6.3213215863186636E-2</v>
      </c>
      <c r="AC293" s="688">
        <v>7.996408386167124E-2</v>
      </c>
      <c r="AD293" s="688">
        <v>8.2511146177468159E-2</v>
      </c>
      <c r="AE293" s="715">
        <v>8.6418915847655209E-2</v>
      </c>
      <c r="AF293" s="688">
        <v>0</v>
      </c>
      <c r="AG293" s="688">
        <v>0</v>
      </c>
      <c r="AH293" s="688">
        <v>0</v>
      </c>
      <c r="AI293" s="688">
        <v>0</v>
      </c>
      <c r="AJ293" s="688">
        <v>0</v>
      </c>
      <c r="AK293" s="688">
        <v>0</v>
      </c>
      <c r="AL293" s="688">
        <v>0</v>
      </c>
    </row>
    <row r="294" spans="1:38" ht="15" customHeight="1">
      <c r="A294" s="683" t="str">
        <f t="shared" si="36"/>
        <v>Vietcombank</v>
      </c>
      <c r="B294" s="684">
        <v>40</v>
      </c>
      <c r="C294" s="677"/>
      <c r="D294" s="677"/>
      <c r="E294" s="677"/>
      <c r="F294" s="677"/>
      <c r="G294" s="677"/>
      <c r="H294" s="677"/>
      <c r="I294" s="677"/>
      <c r="J294" s="677"/>
      <c r="K294" s="677"/>
      <c r="L294" s="677"/>
      <c r="M294" s="677"/>
      <c r="N294" s="677"/>
      <c r="O294" s="677"/>
      <c r="P294" s="677"/>
      <c r="Q294" s="677"/>
      <c r="R294" s="677"/>
      <c r="S294" s="677"/>
      <c r="T294" s="677"/>
      <c r="U294" s="677"/>
      <c r="V294" s="677"/>
      <c r="W294" s="677"/>
      <c r="X294" s="677"/>
      <c r="Y294" s="677"/>
      <c r="Z294" s="677">
        <v>0</v>
      </c>
      <c r="AA294" s="678">
        <v>0</v>
      </c>
      <c r="AB294" s="688">
        <v>8.5000000000000006E-2</v>
      </c>
      <c r="AC294" s="688">
        <v>8.5000000000000006E-2</v>
      </c>
      <c r="AD294" s="688">
        <v>8.5000000000000006E-2</v>
      </c>
      <c r="AE294" s="714">
        <v>8.5000000000000006E-2</v>
      </c>
      <c r="AF294" s="688">
        <v>0</v>
      </c>
      <c r="AG294" s="688">
        <v>0</v>
      </c>
      <c r="AH294" s="688">
        <v>0</v>
      </c>
      <c r="AI294" s="688">
        <v>0</v>
      </c>
      <c r="AJ294" s="688">
        <v>0</v>
      </c>
      <c r="AK294" s="688">
        <v>0</v>
      </c>
      <c r="AL294" s="688">
        <v>0</v>
      </c>
    </row>
    <row r="295" spans="1:38" ht="15" customHeight="1">
      <c r="A295" s="683" t="str">
        <f t="shared" si="36"/>
        <v>BIDV</v>
      </c>
      <c r="B295" s="684">
        <v>41</v>
      </c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677"/>
      <c r="P295" s="677"/>
      <c r="Q295" s="677"/>
      <c r="R295" s="677"/>
      <c r="S295" s="677"/>
      <c r="T295" s="677"/>
      <c r="U295" s="677"/>
      <c r="V295" s="677"/>
      <c r="W295" s="677"/>
      <c r="X295" s="677"/>
      <c r="Y295" s="677"/>
      <c r="Z295" s="677">
        <v>0</v>
      </c>
      <c r="AA295" s="678">
        <v>0</v>
      </c>
      <c r="AB295" s="688">
        <v>0</v>
      </c>
      <c r="AC295" s="688">
        <v>0</v>
      </c>
      <c r="AD295" s="688">
        <v>0</v>
      </c>
      <c r="AE295" s="714"/>
      <c r="AF295" s="688">
        <v>0</v>
      </c>
      <c r="AG295" s="688">
        <v>0</v>
      </c>
      <c r="AH295" s="688">
        <v>0</v>
      </c>
      <c r="AI295" s="688">
        <v>0</v>
      </c>
      <c r="AJ295" s="688">
        <v>0</v>
      </c>
      <c r="AK295" s="688">
        <v>0</v>
      </c>
      <c r="AL295" s="688">
        <v>0</v>
      </c>
    </row>
    <row r="296" spans="1:38" ht="15" customHeight="1">
      <c r="A296" s="683" t="str">
        <f t="shared" si="36"/>
        <v>Standard Chartered</v>
      </c>
      <c r="B296" s="684">
        <v>42</v>
      </c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677"/>
      <c r="P296" s="677"/>
      <c r="Q296" s="677"/>
      <c r="R296" s="677"/>
      <c r="S296" s="677"/>
      <c r="T296" s="677"/>
      <c r="U296" s="677"/>
      <c r="V296" s="677"/>
      <c r="W296" s="677"/>
      <c r="X296" s="677"/>
      <c r="Y296" s="677"/>
      <c r="Z296" s="677">
        <v>0</v>
      </c>
      <c r="AA296" s="678">
        <v>0</v>
      </c>
      <c r="AB296" s="688">
        <v>0</v>
      </c>
      <c r="AC296" s="688">
        <v>0</v>
      </c>
      <c r="AD296" s="688">
        <v>0</v>
      </c>
      <c r="AE296" s="714"/>
      <c r="AF296" s="688">
        <v>0</v>
      </c>
      <c r="AG296" s="688">
        <v>0</v>
      </c>
      <c r="AH296" s="688">
        <v>0</v>
      </c>
      <c r="AI296" s="688">
        <v>0</v>
      </c>
      <c r="AJ296" s="688">
        <v>0</v>
      </c>
      <c r="AK296" s="688">
        <v>0</v>
      </c>
      <c r="AL296" s="688">
        <v>0</v>
      </c>
    </row>
    <row r="297" spans="1:38" ht="15" customHeight="1">
      <c r="A297" s="683" t="str">
        <f t="shared" si="36"/>
        <v>VILC</v>
      </c>
      <c r="B297" s="684">
        <v>43</v>
      </c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>
        <v>0</v>
      </c>
      <c r="AA297" s="678">
        <v>6.3E-2</v>
      </c>
      <c r="AB297" s="688">
        <v>6.3700000000000007E-2</v>
      </c>
      <c r="AC297" s="688">
        <v>6.4000000000000001E-2</v>
      </c>
      <c r="AD297" s="688">
        <v>7.0000000000000007E-2</v>
      </c>
      <c r="AE297" s="714">
        <v>7.0000000000000007E-2</v>
      </c>
      <c r="AF297" s="688">
        <v>0</v>
      </c>
      <c r="AG297" s="688">
        <v>0</v>
      </c>
      <c r="AH297" s="688">
        <v>0</v>
      </c>
      <c r="AI297" s="688">
        <v>0</v>
      </c>
      <c r="AJ297" s="688">
        <v>0</v>
      </c>
      <c r="AK297" s="688">
        <v>0</v>
      </c>
      <c r="AL297" s="688">
        <v>0</v>
      </c>
    </row>
    <row r="298" spans="1:38" ht="15" customHeight="1">
      <c r="A298" s="683" t="str">
        <f t="shared" si="36"/>
        <v>IVB</v>
      </c>
      <c r="B298" s="684">
        <v>44</v>
      </c>
      <c r="C298" s="677"/>
      <c r="D298" s="677"/>
      <c r="E298" s="677"/>
      <c r="F298" s="677"/>
      <c r="G298" s="677"/>
      <c r="H298" s="677"/>
      <c r="I298" s="677"/>
      <c r="J298" s="677"/>
      <c r="K298" s="677"/>
      <c r="L298" s="677"/>
      <c r="M298" s="677"/>
      <c r="N298" s="677"/>
      <c r="O298" s="677"/>
      <c r="P298" s="677"/>
      <c r="Q298" s="677"/>
      <c r="R298" s="677"/>
      <c r="S298" s="677"/>
      <c r="T298" s="677"/>
      <c r="U298" s="677"/>
      <c r="V298" s="677"/>
      <c r="W298" s="677"/>
      <c r="X298" s="677"/>
      <c r="Y298" s="677"/>
      <c r="Z298" s="677">
        <v>0</v>
      </c>
      <c r="AA298" s="678">
        <v>0</v>
      </c>
      <c r="AB298" s="688">
        <v>0</v>
      </c>
      <c r="AC298" s="688">
        <v>0</v>
      </c>
      <c r="AD298" s="688">
        <v>0</v>
      </c>
      <c r="AE298" s="714"/>
      <c r="AF298" s="688">
        <v>0</v>
      </c>
      <c r="AG298" s="688">
        <v>0</v>
      </c>
      <c r="AH298" s="688">
        <v>0</v>
      </c>
      <c r="AI298" s="688">
        <v>0</v>
      </c>
      <c r="AJ298" s="688">
        <v>0</v>
      </c>
      <c r="AK298" s="688">
        <v>0</v>
      </c>
      <c r="AL298" s="688">
        <v>0</v>
      </c>
    </row>
    <row r="299" spans="1:38" ht="15" customHeight="1">
      <c r="A299" s="683">
        <f t="shared" si="36"/>
        <v>0</v>
      </c>
      <c r="B299" s="684">
        <v>45</v>
      </c>
      <c r="C299" s="677"/>
      <c r="D299" s="677"/>
      <c r="E299" s="677"/>
      <c r="F299" s="677"/>
      <c r="G299" s="677"/>
      <c r="H299" s="677"/>
      <c r="I299" s="677"/>
      <c r="J299" s="677"/>
      <c r="K299" s="677"/>
      <c r="L299" s="677"/>
      <c r="M299" s="677"/>
      <c r="N299" s="677"/>
      <c r="O299" s="677"/>
      <c r="P299" s="677"/>
      <c r="Q299" s="677"/>
      <c r="R299" s="677"/>
      <c r="S299" s="677"/>
      <c r="T299" s="677"/>
      <c r="U299" s="677"/>
      <c r="V299" s="677"/>
      <c r="W299" s="677"/>
      <c r="X299" s="677"/>
      <c r="Y299" s="677"/>
      <c r="Z299" s="677">
        <v>0</v>
      </c>
      <c r="AA299" s="678">
        <v>0</v>
      </c>
      <c r="AB299" s="677">
        <v>0</v>
      </c>
      <c r="AC299" s="677">
        <v>0</v>
      </c>
      <c r="AD299" s="677">
        <v>0</v>
      </c>
      <c r="AE299" s="714"/>
      <c r="AF299" s="677">
        <v>0</v>
      </c>
      <c r="AG299" s="677">
        <v>0</v>
      </c>
      <c r="AH299" s="677">
        <v>0</v>
      </c>
      <c r="AI299" s="677">
        <v>0</v>
      </c>
      <c r="AJ299" s="677">
        <v>0</v>
      </c>
      <c r="AK299" s="677">
        <v>0</v>
      </c>
      <c r="AL299" s="677">
        <v>0</v>
      </c>
    </row>
    <row r="300" spans="1:38" ht="15" customHeight="1" thickBot="1">
      <c r="A300" s="689" t="s">
        <v>585</v>
      </c>
      <c r="B300" s="690">
        <v>46</v>
      </c>
      <c r="C300" s="691">
        <f>C282+C264</f>
        <v>0</v>
      </c>
      <c r="D300" s="691">
        <f t="shared" ref="D300:Z300" si="37">D282+D264</f>
        <v>0</v>
      </c>
      <c r="E300" s="691">
        <f t="shared" si="37"/>
        <v>0</v>
      </c>
      <c r="F300" s="691">
        <f t="shared" si="37"/>
        <v>0</v>
      </c>
      <c r="G300" s="691">
        <f t="shared" si="37"/>
        <v>0</v>
      </c>
      <c r="H300" s="691">
        <f t="shared" si="37"/>
        <v>0</v>
      </c>
      <c r="I300" s="691">
        <f t="shared" si="37"/>
        <v>0</v>
      </c>
      <c r="J300" s="691">
        <f t="shared" si="37"/>
        <v>0</v>
      </c>
      <c r="K300" s="691">
        <f t="shared" si="37"/>
        <v>0</v>
      </c>
      <c r="L300" s="691">
        <f t="shared" si="37"/>
        <v>0</v>
      </c>
      <c r="M300" s="691">
        <f t="shared" si="37"/>
        <v>0</v>
      </c>
      <c r="N300" s="691">
        <f t="shared" si="37"/>
        <v>275528225930</v>
      </c>
      <c r="O300" s="691">
        <f t="shared" si="37"/>
        <v>243335896197</v>
      </c>
      <c r="P300" s="691">
        <f t="shared" si="37"/>
        <v>147774333446</v>
      </c>
      <c r="Q300" s="691">
        <f t="shared" si="37"/>
        <v>201328746871</v>
      </c>
      <c r="R300" s="691">
        <f t="shared" si="37"/>
        <v>275181662640</v>
      </c>
      <c r="S300" s="691">
        <f t="shared" si="37"/>
        <v>298671242130</v>
      </c>
      <c r="T300" s="691">
        <f t="shared" si="37"/>
        <v>315510470665</v>
      </c>
      <c r="U300" s="691">
        <f t="shared" si="37"/>
        <v>326622191004</v>
      </c>
      <c r="V300" s="691">
        <f t="shared" si="37"/>
        <v>369295754196</v>
      </c>
      <c r="W300" s="691">
        <f t="shared" si="37"/>
        <v>383243232428</v>
      </c>
      <c r="X300" s="691">
        <f t="shared" si="37"/>
        <v>331907950534</v>
      </c>
      <c r="Y300" s="691">
        <f t="shared" si="37"/>
        <v>324332077621</v>
      </c>
      <c r="Z300" s="691">
        <f t="shared" si="37"/>
        <v>312608233592</v>
      </c>
      <c r="AA300" s="691">
        <v>266291639560</v>
      </c>
      <c r="AB300" s="691">
        <v>303246848492</v>
      </c>
      <c r="AC300" s="691">
        <v>259837452825</v>
      </c>
      <c r="AD300" s="691">
        <v>227614910965</v>
      </c>
      <c r="AE300" s="716">
        <f>AE282+AE264</f>
        <v>271528840240</v>
      </c>
      <c r="AF300" s="691">
        <v>0</v>
      </c>
      <c r="AG300" s="691">
        <v>0</v>
      </c>
      <c r="AH300" s="691">
        <v>0</v>
      </c>
      <c r="AI300" s="691">
        <v>0</v>
      </c>
      <c r="AJ300" s="691">
        <v>0</v>
      </c>
      <c r="AK300" s="691">
        <v>0</v>
      </c>
      <c r="AL300" s="691">
        <v>0</v>
      </c>
    </row>
    <row r="301" spans="1:38" s="693" customFormat="1" ht="15" customHeight="1" thickTop="1">
      <c r="A301" s="683" t="str">
        <f t="shared" ref="A301:A306" si="38">A283</f>
        <v>ACB</v>
      </c>
      <c r="B301" s="684">
        <v>47</v>
      </c>
      <c r="C301" s="692"/>
      <c r="D301" s="692"/>
      <c r="E301" s="692"/>
      <c r="F301" s="692"/>
      <c r="G301" s="692"/>
      <c r="H301" s="692"/>
      <c r="I301" s="692"/>
      <c r="J301" s="692"/>
      <c r="K301" s="692"/>
      <c r="L301" s="692"/>
      <c r="M301" s="692"/>
      <c r="N301" s="677">
        <f t="shared" ref="N301:Y306" si="39">N265+N283</f>
        <v>151205528894</v>
      </c>
      <c r="O301" s="677">
        <f t="shared" si="39"/>
        <v>143996897502</v>
      </c>
      <c r="P301" s="677">
        <f t="shared" si="39"/>
        <v>97472837502</v>
      </c>
      <c r="Q301" s="677">
        <f t="shared" si="39"/>
        <v>127301837502</v>
      </c>
      <c r="R301" s="677">
        <f t="shared" si="39"/>
        <v>169122644110</v>
      </c>
      <c r="S301" s="677">
        <f t="shared" si="39"/>
        <v>163253584110</v>
      </c>
      <c r="T301" s="677">
        <f t="shared" si="39"/>
        <v>136691087058</v>
      </c>
      <c r="U301" s="677">
        <f t="shared" si="39"/>
        <v>127075042448</v>
      </c>
      <c r="V301" s="677">
        <f t="shared" si="39"/>
        <v>144218362390</v>
      </c>
      <c r="W301" s="677">
        <f t="shared" si="39"/>
        <v>132707999104</v>
      </c>
      <c r="X301" s="677">
        <f t="shared" si="39"/>
        <v>118539805712</v>
      </c>
      <c r="Y301" s="677">
        <f t="shared" si="39"/>
        <v>116737233712</v>
      </c>
      <c r="Z301" s="677">
        <v>116114733712</v>
      </c>
      <c r="AA301" s="677">
        <v>110043732698</v>
      </c>
      <c r="AB301" s="677">
        <v>132787346978</v>
      </c>
      <c r="AC301" s="677">
        <v>115606271766</v>
      </c>
      <c r="AD301" s="677">
        <v>115326890888</v>
      </c>
      <c r="AE301" s="717">
        <f>AE265+AE283</f>
        <v>98672453508</v>
      </c>
      <c r="AF301" s="677">
        <v>0</v>
      </c>
      <c r="AG301" s="677">
        <v>0</v>
      </c>
      <c r="AH301" s="677">
        <v>0</v>
      </c>
      <c r="AI301" s="677">
        <v>0</v>
      </c>
      <c r="AJ301" s="677">
        <v>0</v>
      </c>
      <c r="AK301" s="677">
        <v>0</v>
      </c>
      <c r="AL301" s="677">
        <v>0</v>
      </c>
    </row>
    <row r="302" spans="1:38" ht="15" customHeight="1">
      <c r="A302" s="683" t="str">
        <f t="shared" si="38"/>
        <v>VietinBank</v>
      </c>
      <c r="B302" s="684">
        <v>48</v>
      </c>
      <c r="N302" s="677">
        <f t="shared" si="39"/>
        <v>59227549743</v>
      </c>
      <c r="O302" s="677">
        <f t="shared" si="39"/>
        <v>59227549743</v>
      </c>
      <c r="P302" s="677">
        <f t="shared" si="39"/>
        <v>10967824770</v>
      </c>
      <c r="Q302" s="677">
        <f t="shared" si="39"/>
        <v>35192821797</v>
      </c>
      <c r="R302" s="677">
        <f t="shared" si="39"/>
        <v>59696932940</v>
      </c>
      <c r="S302" s="677">
        <f t="shared" si="39"/>
        <v>74003145708</v>
      </c>
      <c r="T302" s="677">
        <f t="shared" si="39"/>
        <v>102247404832</v>
      </c>
      <c r="U302" s="677">
        <f t="shared" si="39"/>
        <v>105000758801</v>
      </c>
      <c r="V302" s="677">
        <f t="shared" si="39"/>
        <v>99898041677</v>
      </c>
      <c r="W302" s="677">
        <f t="shared" si="39"/>
        <v>81733065410</v>
      </c>
      <c r="X302" s="677">
        <f t="shared" si="39"/>
        <v>56829174444</v>
      </c>
      <c r="Y302" s="677">
        <f t="shared" si="39"/>
        <v>33922378367</v>
      </c>
      <c r="Z302" s="677">
        <v>27583243491</v>
      </c>
      <c r="AA302" s="677">
        <v>21298048760</v>
      </c>
      <c r="AB302" s="677">
        <v>21391743400</v>
      </c>
      <c r="AC302" s="677">
        <v>43372492884</v>
      </c>
      <c r="AD302" s="677">
        <v>24450617480</v>
      </c>
      <c r="AE302" s="718">
        <f t="shared" ref="AE302:AE306" si="40">AE266+AE284</f>
        <v>100061136710</v>
      </c>
      <c r="AF302" s="677">
        <v>0</v>
      </c>
      <c r="AG302" s="677">
        <v>0</v>
      </c>
      <c r="AH302" s="677">
        <v>0</v>
      </c>
      <c r="AI302" s="677">
        <v>0</v>
      </c>
      <c r="AJ302" s="677">
        <v>0</v>
      </c>
      <c r="AK302" s="677">
        <v>0</v>
      </c>
      <c r="AL302" s="677">
        <v>0</v>
      </c>
    </row>
    <row r="303" spans="1:38" ht="15" customHeight="1">
      <c r="A303" s="683" t="str">
        <f t="shared" si="38"/>
        <v>Vietcombank</v>
      </c>
      <c r="B303" s="684">
        <v>49</v>
      </c>
      <c r="N303" s="677">
        <f t="shared" si="39"/>
        <v>23767004508</v>
      </c>
      <c r="O303" s="677">
        <f t="shared" si="39"/>
        <v>13667004508</v>
      </c>
      <c r="P303" s="677">
        <f t="shared" si="39"/>
        <v>13667004508</v>
      </c>
      <c r="Q303" s="677">
        <f t="shared" si="39"/>
        <v>13667004508</v>
      </c>
      <c r="R303" s="677">
        <f t="shared" si="39"/>
        <v>21972780304</v>
      </c>
      <c r="S303" s="677">
        <f t="shared" si="39"/>
        <v>32049798323</v>
      </c>
      <c r="T303" s="677">
        <f t="shared" si="39"/>
        <v>39585571449</v>
      </c>
      <c r="U303" s="677">
        <f t="shared" si="39"/>
        <v>54125127716</v>
      </c>
      <c r="V303" s="677">
        <f t="shared" si="39"/>
        <v>80169222070</v>
      </c>
      <c r="W303" s="677">
        <f t="shared" si="39"/>
        <v>87240583973</v>
      </c>
      <c r="X303" s="677">
        <f t="shared" si="39"/>
        <v>64730980597</v>
      </c>
      <c r="Y303" s="677">
        <f t="shared" si="39"/>
        <v>55405837410</v>
      </c>
      <c r="Z303" s="677">
        <v>51149160926</v>
      </c>
      <c r="AA303" s="677">
        <v>18836413663</v>
      </c>
      <c r="AB303" s="677">
        <v>33692551760</v>
      </c>
      <c r="AC303" s="677">
        <v>29927500000</v>
      </c>
      <c r="AD303" s="677">
        <v>29927500000</v>
      </c>
      <c r="AE303" s="718">
        <f t="shared" si="40"/>
        <v>21144375000</v>
      </c>
      <c r="AF303" s="677">
        <v>0</v>
      </c>
      <c r="AG303" s="677">
        <v>0</v>
      </c>
      <c r="AH303" s="677">
        <v>0</v>
      </c>
      <c r="AI303" s="677">
        <v>0</v>
      </c>
      <c r="AJ303" s="677">
        <v>0</v>
      </c>
      <c r="AK303" s="677">
        <v>0</v>
      </c>
      <c r="AL303" s="677">
        <v>0</v>
      </c>
    </row>
    <row r="304" spans="1:38" ht="15" customHeight="1">
      <c r="A304" s="683" t="str">
        <f t="shared" si="38"/>
        <v>BIDV</v>
      </c>
      <c r="B304" s="684">
        <v>50</v>
      </c>
      <c r="N304" s="677">
        <f t="shared" si="39"/>
        <v>14105920563</v>
      </c>
      <c r="O304" s="677">
        <f t="shared" si="39"/>
        <v>0</v>
      </c>
      <c r="P304" s="677">
        <f t="shared" si="39"/>
        <v>0</v>
      </c>
      <c r="Q304" s="677">
        <f t="shared" si="39"/>
        <v>278194176</v>
      </c>
      <c r="R304" s="677">
        <f t="shared" si="39"/>
        <v>278194176</v>
      </c>
      <c r="S304" s="677">
        <f t="shared" si="39"/>
        <v>6031380657</v>
      </c>
      <c r="T304" s="677">
        <f t="shared" si="39"/>
        <v>14430851772</v>
      </c>
      <c r="U304" s="677">
        <f t="shared" si="39"/>
        <v>18498731431</v>
      </c>
      <c r="V304" s="677">
        <f t="shared" si="39"/>
        <v>23865375229</v>
      </c>
      <c r="W304" s="677">
        <f t="shared" si="39"/>
        <v>56646971705</v>
      </c>
      <c r="X304" s="677">
        <f t="shared" si="39"/>
        <v>67671155323</v>
      </c>
      <c r="Y304" s="677">
        <f t="shared" si="39"/>
        <v>95052324284</v>
      </c>
      <c r="Z304" s="677">
        <v>99872206577</v>
      </c>
      <c r="AA304" s="677">
        <v>99872206577</v>
      </c>
      <c r="AB304" s="677">
        <v>99872206577</v>
      </c>
      <c r="AC304" s="677">
        <v>56166426483</v>
      </c>
      <c r="AD304" s="677">
        <v>43883378990</v>
      </c>
      <c r="AE304" s="718">
        <f t="shared" si="40"/>
        <v>38362589500</v>
      </c>
      <c r="AF304" s="677">
        <v>0</v>
      </c>
      <c r="AG304" s="677">
        <v>0</v>
      </c>
      <c r="AH304" s="677">
        <v>0</v>
      </c>
      <c r="AI304" s="677">
        <v>0</v>
      </c>
      <c r="AJ304" s="677">
        <v>0</v>
      </c>
      <c r="AK304" s="677">
        <v>0</v>
      </c>
      <c r="AL304" s="677">
        <v>0</v>
      </c>
    </row>
    <row r="305" spans="1:38" ht="15" customHeight="1">
      <c r="A305" s="683" t="str">
        <f t="shared" si="38"/>
        <v>Standard Chartered</v>
      </c>
      <c r="B305" s="684">
        <v>51</v>
      </c>
      <c r="N305" s="677">
        <f t="shared" si="39"/>
        <v>0</v>
      </c>
      <c r="O305" s="677">
        <f t="shared" si="39"/>
        <v>0</v>
      </c>
      <c r="P305" s="677">
        <f t="shared" si="39"/>
        <v>0</v>
      </c>
      <c r="Q305" s="677">
        <f t="shared" si="39"/>
        <v>0</v>
      </c>
      <c r="R305" s="677">
        <f t="shared" si="39"/>
        <v>0</v>
      </c>
      <c r="S305" s="677">
        <f t="shared" si="39"/>
        <v>0</v>
      </c>
      <c r="T305" s="677">
        <f t="shared" si="39"/>
        <v>0</v>
      </c>
      <c r="U305" s="677">
        <f t="shared" si="39"/>
        <v>144752832</v>
      </c>
      <c r="V305" s="677">
        <f t="shared" si="39"/>
        <v>144752832</v>
      </c>
      <c r="W305" s="677">
        <f t="shared" si="39"/>
        <v>4692390016</v>
      </c>
      <c r="X305" s="677">
        <f t="shared" si="39"/>
        <v>4692390016</v>
      </c>
      <c r="Y305" s="677">
        <f t="shared" si="39"/>
        <v>4547637184</v>
      </c>
      <c r="Z305" s="677">
        <v>0</v>
      </c>
      <c r="AA305" s="677">
        <v>0</v>
      </c>
      <c r="AB305" s="677">
        <v>0</v>
      </c>
      <c r="AC305" s="677">
        <v>0</v>
      </c>
      <c r="AD305" s="677">
        <v>0</v>
      </c>
      <c r="AE305" s="718">
        <f t="shared" si="40"/>
        <v>0</v>
      </c>
      <c r="AF305" s="677">
        <v>0</v>
      </c>
      <c r="AG305" s="677">
        <v>0</v>
      </c>
      <c r="AH305" s="677">
        <v>0</v>
      </c>
      <c r="AI305" s="677">
        <v>0</v>
      </c>
      <c r="AJ305" s="677">
        <v>0</v>
      </c>
      <c r="AK305" s="677">
        <v>0</v>
      </c>
      <c r="AL305" s="677">
        <v>0</v>
      </c>
    </row>
    <row r="306" spans="1:38" ht="15" customHeight="1">
      <c r="A306" s="683" t="str">
        <f t="shared" si="38"/>
        <v>VILC</v>
      </c>
      <c r="B306" s="684">
        <v>52</v>
      </c>
      <c r="N306" s="677">
        <f t="shared" si="39"/>
        <v>27222222222</v>
      </c>
      <c r="O306" s="677">
        <f t="shared" si="39"/>
        <v>26444444444</v>
      </c>
      <c r="P306" s="677">
        <f t="shared" si="39"/>
        <v>25666666666</v>
      </c>
      <c r="Q306" s="677">
        <f t="shared" si="39"/>
        <v>24888888888</v>
      </c>
      <c r="R306" s="677">
        <f t="shared" si="39"/>
        <v>24111111110</v>
      </c>
      <c r="S306" s="677">
        <f t="shared" si="39"/>
        <v>23333333332</v>
      </c>
      <c r="T306" s="677">
        <f t="shared" si="39"/>
        <v>22555555554</v>
      </c>
      <c r="U306" s="677">
        <f t="shared" si="39"/>
        <v>21777777776</v>
      </c>
      <c r="V306" s="677">
        <f t="shared" si="39"/>
        <v>20999999998</v>
      </c>
      <c r="W306" s="677">
        <f t="shared" si="39"/>
        <v>20222222220</v>
      </c>
      <c r="X306" s="677">
        <f t="shared" si="39"/>
        <v>19444444442</v>
      </c>
      <c r="Y306" s="677">
        <f t="shared" si="39"/>
        <v>18666666664</v>
      </c>
      <c r="Z306" s="677">
        <v>17888888886</v>
      </c>
      <c r="AA306" s="677">
        <v>16241237862</v>
      </c>
      <c r="AB306" s="677">
        <v>15502999777</v>
      </c>
      <c r="AC306" s="677">
        <v>14764761692</v>
      </c>
      <c r="AD306" s="677">
        <v>14026523607</v>
      </c>
      <c r="AE306" s="718">
        <f t="shared" si="40"/>
        <v>13288285522</v>
      </c>
      <c r="AF306" s="677">
        <v>0</v>
      </c>
      <c r="AG306" s="677">
        <v>0</v>
      </c>
      <c r="AH306" s="677">
        <v>0</v>
      </c>
      <c r="AI306" s="677">
        <v>0</v>
      </c>
      <c r="AJ306" s="677">
        <v>0</v>
      </c>
      <c r="AK306" s="677">
        <v>0</v>
      </c>
      <c r="AL306" s="677">
        <v>0</v>
      </c>
    </row>
    <row r="307" spans="1:38" ht="15" customHeight="1">
      <c r="A307" s="683" t="s">
        <v>580</v>
      </c>
      <c r="B307" s="684">
        <v>53</v>
      </c>
      <c r="N307" s="677"/>
      <c r="O307" s="677"/>
      <c r="P307" s="677"/>
      <c r="Q307" s="677"/>
      <c r="R307" s="677"/>
      <c r="S307" s="677"/>
      <c r="T307" s="677"/>
      <c r="U307" s="677"/>
      <c r="V307" s="677"/>
      <c r="W307" s="677"/>
      <c r="X307" s="677"/>
      <c r="Y307" s="677"/>
      <c r="Z307" s="677">
        <v>0</v>
      </c>
      <c r="AA307" s="677">
        <v>0</v>
      </c>
      <c r="AB307" s="677">
        <v>0</v>
      </c>
      <c r="AC307" s="677">
        <v>0</v>
      </c>
      <c r="AD307" s="677">
        <v>0</v>
      </c>
      <c r="AE307" s="718"/>
      <c r="AF307" s="677">
        <v>0</v>
      </c>
      <c r="AG307" s="677">
        <v>0</v>
      </c>
      <c r="AH307" s="677">
        <v>0</v>
      </c>
      <c r="AI307" s="677">
        <v>0</v>
      </c>
      <c r="AJ307" s="677">
        <v>0</v>
      </c>
      <c r="AK307" s="677">
        <v>0</v>
      </c>
      <c r="AL307" s="677">
        <v>0</v>
      </c>
    </row>
    <row r="308" spans="1:38" ht="15" customHeight="1">
      <c r="B308" s="694">
        <v>54</v>
      </c>
      <c r="N308" s="677"/>
      <c r="O308" s="677"/>
      <c r="P308" s="677"/>
      <c r="Q308" s="677"/>
      <c r="R308" s="677"/>
      <c r="S308" s="677"/>
      <c r="T308" s="677"/>
      <c r="U308" s="677"/>
      <c r="V308" s="677"/>
      <c r="W308" s="677"/>
      <c r="X308" s="677"/>
      <c r="Y308" s="677"/>
      <c r="Z308" s="677">
        <v>0</v>
      </c>
      <c r="AA308" s="677">
        <v>0</v>
      </c>
      <c r="AB308" s="677">
        <v>0</v>
      </c>
      <c r="AC308" s="677">
        <v>0</v>
      </c>
      <c r="AD308" s="677">
        <v>0</v>
      </c>
      <c r="AE308" s="719"/>
      <c r="AF308" s="677">
        <v>0</v>
      </c>
      <c r="AG308" s="677">
        <v>0</v>
      </c>
      <c r="AH308" s="677">
        <v>0</v>
      </c>
      <c r="AI308" s="677">
        <v>0</v>
      </c>
      <c r="AJ308" s="677">
        <v>0</v>
      </c>
      <c r="AK308" s="677">
        <v>0</v>
      </c>
      <c r="AL308" s="677">
        <v>0</v>
      </c>
    </row>
    <row r="309" spans="1:38" ht="15" customHeight="1" thickBot="1">
      <c r="A309" s="689" t="s">
        <v>586</v>
      </c>
      <c r="B309" s="690">
        <v>55</v>
      </c>
      <c r="C309" s="691"/>
      <c r="D309" s="691"/>
      <c r="E309" s="691"/>
      <c r="F309" s="691"/>
      <c r="G309" s="691"/>
      <c r="H309" s="691"/>
      <c r="I309" s="691"/>
      <c r="J309" s="691"/>
      <c r="K309" s="691"/>
      <c r="L309" s="691"/>
      <c r="M309" s="691"/>
      <c r="N309" s="691"/>
      <c r="O309" s="691"/>
      <c r="P309" s="691"/>
      <c r="Q309" s="691"/>
      <c r="R309" s="691"/>
      <c r="S309" s="691"/>
      <c r="T309" s="691"/>
      <c r="U309" s="691"/>
      <c r="V309" s="691"/>
      <c r="W309" s="691"/>
      <c r="X309" s="691"/>
      <c r="Y309" s="691">
        <f>SUM(Y310:Y317)</f>
        <v>0</v>
      </c>
      <c r="Z309" s="691">
        <v>0</v>
      </c>
      <c r="AA309" s="691">
        <v>42014198362</v>
      </c>
      <c r="AB309" s="691">
        <v>45813465266</v>
      </c>
      <c r="AC309" s="691">
        <v>27265147323</v>
      </c>
      <c r="AD309" s="691">
        <v>28523975907</v>
      </c>
      <c r="AE309" s="716">
        <f t="shared" ref="AE309" si="41">SUM(AE310:AE316)</f>
        <v>30566056956</v>
      </c>
      <c r="AF309" s="691">
        <v>0</v>
      </c>
      <c r="AG309" s="691">
        <v>0</v>
      </c>
      <c r="AH309" s="691">
        <v>0</v>
      </c>
      <c r="AI309" s="691">
        <v>0</v>
      </c>
      <c r="AJ309" s="691">
        <v>0</v>
      </c>
      <c r="AK309" s="691">
        <v>0</v>
      </c>
      <c r="AL309" s="691">
        <v>0</v>
      </c>
    </row>
    <row r="310" spans="1:38" ht="15" customHeight="1" thickTop="1">
      <c r="A310" s="683" t="str">
        <f t="shared" ref="A310:A315" si="42">A292</f>
        <v>ACB</v>
      </c>
      <c r="B310" s="694">
        <v>56</v>
      </c>
      <c r="Z310" s="475">
        <v>0</v>
      </c>
      <c r="AA310" s="677">
        <v>37923349135</v>
      </c>
      <c r="AB310" s="677">
        <v>18902268641</v>
      </c>
      <c r="AC310" s="677">
        <v>23645505388</v>
      </c>
      <c r="AD310" s="677">
        <v>19567436924</v>
      </c>
      <c r="AE310" s="714">
        <v>9671006782</v>
      </c>
      <c r="AF310" s="677">
        <v>0</v>
      </c>
      <c r="AG310" s="677">
        <v>0</v>
      </c>
      <c r="AH310" s="677">
        <v>0</v>
      </c>
      <c r="AI310" s="677">
        <v>0</v>
      </c>
      <c r="AJ310" s="677">
        <v>0</v>
      </c>
      <c r="AK310" s="677">
        <v>0</v>
      </c>
      <c r="AL310" s="677">
        <v>0</v>
      </c>
    </row>
    <row r="311" spans="1:38" ht="15" customHeight="1">
      <c r="A311" s="683" t="str">
        <f t="shared" si="42"/>
        <v>VietinBank</v>
      </c>
      <c r="B311" s="694">
        <v>57</v>
      </c>
      <c r="Z311" s="475">
        <v>0</v>
      </c>
      <c r="AA311" s="677">
        <v>1442215095</v>
      </c>
      <c r="AB311" s="677">
        <v>12488317893</v>
      </c>
      <c r="AC311" s="677">
        <v>1160009935</v>
      </c>
      <c r="AD311" s="677">
        <v>1814829542</v>
      </c>
      <c r="AE311" s="714">
        <v>19780013288</v>
      </c>
      <c r="AF311" s="677">
        <v>0</v>
      </c>
      <c r="AG311" s="677">
        <v>0</v>
      </c>
      <c r="AH311" s="677">
        <v>0</v>
      </c>
      <c r="AI311" s="677">
        <v>0</v>
      </c>
      <c r="AJ311" s="677">
        <v>0</v>
      </c>
      <c r="AK311" s="677">
        <v>0</v>
      </c>
      <c r="AL311" s="677">
        <v>0</v>
      </c>
    </row>
    <row r="312" spans="1:38" ht="15" customHeight="1">
      <c r="A312" s="683" t="str">
        <f t="shared" si="42"/>
        <v>Vietcombank</v>
      </c>
      <c r="B312" s="694">
        <v>58</v>
      </c>
      <c r="Z312" s="475">
        <v>0</v>
      </c>
      <c r="AA312" s="677">
        <v>1885504640</v>
      </c>
      <c r="AB312" s="677">
        <v>451548992</v>
      </c>
      <c r="AC312" s="677">
        <v>358832456</v>
      </c>
      <c r="AD312" s="677">
        <v>218216391</v>
      </c>
      <c r="AE312" s="714">
        <v>371174482</v>
      </c>
      <c r="AF312" s="677">
        <v>0</v>
      </c>
      <c r="AG312" s="677">
        <v>0</v>
      </c>
      <c r="AH312" s="677">
        <v>0</v>
      </c>
      <c r="AI312" s="677">
        <v>0</v>
      </c>
      <c r="AJ312" s="677">
        <v>0</v>
      </c>
      <c r="AK312" s="677">
        <v>0</v>
      </c>
      <c r="AL312" s="677">
        <v>0</v>
      </c>
    </row>
    <row r="313" spans="1:38" ht="15" customHeight="1">
      <c r="A313" s="683" t="str">
        <f t="shared" si="42"/>
        <v>BIDV</v>
      </c>
      <c r="B313" s="694">
        <v>59</v>
      </c>
      <c r="Z313" s="475">
        <v>0</v>
      </c>
      <c r="AA313" s="677">
        <v>692286808</v>
      </c>
      <c r="AB313" s="677">
        <v>13900927056</v>
      </c>
      <c r="AC313" s="677">
        <v>2030836860</v>
      </c>
      <c r="AD313" s="677">
        <v>6853530366</v>
      </c>
      <c r="AE313" s="714">
        <v>673899720</v>
      </c>
      <c r="AF313" s="677">
        <v>0</v>
      </c>
      <c r="AG313" s="677">
        <v>0</v>
      </c>
      <c r="AH313" s="677">
        <v>0</v>
      </c>
      <c r="AI313" s="677">
        <v>0</v>
      </c>
      <c r="AJ313" s="677">
        <v>0</v>
      </c>
      <c r="AK313" s="677">
        <v>0</v>
      </c>
      <c r="AL313" s="677">
        <v>0</v>
      </c>
    </row>
    <row r="314" spans="1:38" ht="15" customHeight="1">
      <c r="A314" s="683" t="str">
        <f t="shared" si="42"/>
        <v>Standard Chartered</v>
      </c>
      <c r="B314" s="694">
        <v>60</v>
      </c>
      <c r="Z314" s="475">
        <v>0</v>
      </c>
      <c r="AA314" s="677">
        <v>70842684</v>
      </c>
      <c r="AB314" s="677">
        <v>70402684</v>
      </c>
      <c r="AC314" s="677">
        <v>69962684</v>
      </c>
      <c r="AD314" s="677">
        <v>69962684</v>
      </c>
      <c r="AE314" s="714">
        <v>69962684</v>
      </c>
      <c r="AF314" s="677">
        <v>0</v>
      </c>
      <c r="AG314" s="677">
        <v>0</v>
      </c>
      <c r="AH314" s="677">
        <v>0</v>
      </c>
      <c r="AI314" s="677">
        <v>0</v>
      </c>
      <c r="AJ314" s="677">
        <v>0</v>
      </c>
      <c r="AK314" s="677">
        <v>0</v>
      </c>
      <c r="AL314" s="677">
        <v>0</v>
      </c>
    </row>
    <row r="315" spans="1:38" ht="15" customHeight="1">
      <c r="A315" s="683" t="str">
        <f t="shared" si="42"/>
        <v>VILC</v>
      </c>
      <c r="B315" s="694">
        <v>61</v>
      </c>
      <c r="Z315" s="475">
        <v>0</v>
      </c>
      <c r="AA315" s="677">
        <v>0</v>
      </c>
      <c r="AB315" s="677">
        <v>0</v>
      </c>
      <c r="AC315" s="677">
        <v>0</v>
      </c>
      <c r="AD315" s="677">
        <v>0</v>
      </c>
      <c r="AE315" s="714"/>
      <c r="AF315" s="677">
        <v>0</v>
      </c>
      <c r="AG315" s="677">
        <v>0</v>
      </c>
      <c r="AH315" s="677">
        <v>0</v>
      </c>
      <c r="AI315" s="677">
        <v>0</v>
      </c>
      <c r="AJ315" s="677">
        <v>0</v>
      </c>
      <c r="AK315" s="677">
        <v>0</v>
      </c>
      <c r="AL315" s="677">
        <v>0</v>
      </c>
    </row>
    <row r="316" spans="1:38" ht="15" customHeight="1">
      <c r="A316" s="683" t="s">
        <v>580</v>
      </c>
      <c r="B316" s="694">
        <v>62</v>
      </c>
      <c r="Z316" s="475">
        <v>0</v>
      </c>
      <c r="AA316" s="677">
        <v>0</v>
      </c>
      <c r="AB316" s="677">
        <v>0</v>
      </c>
      <c r="AC316" s="677">
        <v>0</v>
      </c>
      <c r="AD316" s="677">
        <v>0</v>
      </c>
      <c r="AE316" s="714"/>
      <c r="AF316" s="677">
        <v>0</v>
      </c>
      <c r="AG316" s="677">
        <v>0</v>
      </c>
      <c r="AH316" s="677">
        <v>0</v>
      </c>
      <c r="AI316" s="677">
        <v>0</v>
      </c>
      <c r="AJ316" s="677">
        <v>0</v>
      </c>
      <c r="AK316" s="677">
        <v>0</v>
      </c>
      <c r="AL316" s="677">
        <v>0</v>
      </c>
    </row>
    <row r="317" spans="1:38" ht="15" customHeight="1">
      <c r="B317" s="694">
        <v>63</v>
      </c>
      <c r="Z317" s="475">
        <v>0</v>
      </c>
      <c r="AA317" s="677">
        <v>0</v>
      </c>
      <c r="AB317" s="677">
        <v>0</v>
      </c>
      <c r="AC317" s="677">
        <v>0</v>
      </c>
      <c r="AD317" s="677">
        <v>0</v>
      </c>
      <c r="AE317" s="714"/>
      <c r="AF317" s="677">
        <v>0</v>
      </c>
      <c r="AG317" s="677">
        <v>0</v>
      </c>
      <c r="AH317" s="677">
        <v>0</v>
      </c>
      <c r="AI317" s="677">
        <v>0</v>
      </c>
      <c r="AJ317" s="677">
        <v>0</v>
      </c>
      <c r="AK317" s="677">
        <v>0</v>
      </c>
      <c r="AL317" s="677">
        <v>0</v>
      </c>
    </row>
    <row r="318" spans="1:38" ht="15" customHeight="1" thickBot="1">
      <c r="A318" s="689" t="s">
        <v>587</v>
      </c>
      <c r="B318" s="690">
        <v>64</v>
      </c>
      <c r="C318" s="691"/>
      <c r="D318" s="691"/>
      <c r="E318" s="691"/>
      <c r="F318" s="691"/>
      <c r="G318" s="691"/>
      <c r="H318" s="691"/>
      <c r="I318" s="691"/>
      <c r="J318" s="691"/>
      <c r="K318" s="691"/>
      <c r="L318" s="691"/>
      <c r="M318" s="691"/>
      <c r="N318" s="691"/>
      <c r="O318" s="691">
        <f t="shared" ref="O318:Z318" si="43">SUM(O319:O325)</f>
        <v>2840000000</v>
      </c>
      <c r="P318" s="691">
        <f t="shared" si="43"/>
        <v>2840000000</v>
      </c>
      <c r="Q318" s="691">
        <f t="shared" si="43"/>
        <v>22840000000</v>
      </c>
      <c r="R318" s="691">
        <f t="shared" si="43"/>
        <v>22840000000</v>
      </c>
      <c r="S318" s="691">
        <f t="shared" si="43"/>
        <v>22840000000</v>
      </c>
      <c r="T318" s="691">
        <f t="shared" si="43"/>
        <v>22840000000</v>
      </c>
      <c r="U318" s="691">
        <f t="shared" si="43"/>
        <v>22840000000</v>
      </c>
      <c r="V318" s="691">
        <f t="shared" si="43"/>
        <v>22840000000</v>
      </c>
      <c r="W318" s="691">
        <f t="shared" si="43"/>
        <v>22840000000</v>
      </c>
      <c r="X318" s="691">
        <f t="shared" si="43"/>
        <v>52840000000</v>
      </c>
      <c r="Y318" s="691">
        <f t="shared" si="43"/>
        <v>52840000000</v>
      </c>
      <c r="Z318" s="691">
        <f t="shared" si="43"/>
        <v>32840000000</v>
      </c>
      <c r="AA318" s="691">
        <f>SUM(AA319:AA325)</f>
        <v>32840000000</v>
      </c>
      <c r="AB318" s="691">
        <f t="shared" ref="AB318:AL318" si="44">SUM(AB319:AB325)</f>
        <v>32840000000</v>
      </c>
      <c r="AC318" s="691">
        <f t="shared" si="44"/>
        <v>39040000000</v>
      </c>
      <c r="AD318" s="691">
        <f t="shared" si="44"/>
        <v>52640000000</v>
      </c>
      <c r="AE318" s="720">
        <f t="shared" si="44"/>
        <v>44640000000</v>
      </c>
      <c r="AF318" s="691">
        <f t="shared" si="44"/>
        <v>0</v>
      </c>
      <c r="AG318" s="691">
        <f t="shared" si="44"/>
        <v>0</v>
      </c>
      <c r="AH318" s="691">
        <f t="shared" si="44"/>
        <v>0</v>
      </c>
      <c r="AI318" s="691">
        <f t="shared" si="44"/>
        <v>0</v>
      </c>
      <c r="AJ318" s="691">
        <f t="shared" si="44"/>
        <v>0</v>
      </c>
      <c r="AK318" s="691">
        <f t="shared" si="44"/>
        <v>0</v>
      </c>
      <c r="AL318" s="691">
        <f t="shared" si="44"/>
        <v>0</v>
      </c>
    </row>
    <row r="319" spans="1:38" ht="15" customHeight="1" thickTop="1">
      <c r="A319" s="683" t="str">
        <f t="shared" ref="A319:A324" si="45">A301</f>
        <v>ACB</v>
      </c>
      <c r="B319" s="694">
        <v>65</v>
      </c>
      <c r="O319" s="677">
        <v>2840000000</v>
      </c>
      <c r="P319" s="677">
        <v>2840000000</v>
      </c>
      <c r="Q319" s="677">
        <v>2840000000</v>
      </c>
      <c r="R319" s="677">
        <v>2840000000</v>
      </c>
      <c r="S319" s="677">
        <v>2840000000</v>
      </c>
      <c r="T319" s="677">
        <v>2840000000</v>
      </c>
      <c r="U319" s="677">
        <v>2840000000</v>
      </c>
      <c r="V319" s="677">
        <v>2840000000</v>
      </c>
      <c r="W319" s="677">
        <v>2840000000</v>
      </c>
      <c r="X319" s="677">
        <v>2840000000</v>
      </c>
      <c r="Y319" s="677">
        <v>2840000000</v>
      </c>
      <c r="Z319" s="677">
        <v>2840000000</v>
      </c>
      <c r="AA319" s="677">
        <v>2840000000</v>
      </c>
      <c r="AB319" s="677">
        <v>2840000000</v>
      </c>
      <c r="AC319" s="677">
        <v>2840000000</v>
      </c>
      <c r="AD319" s="677">
        <v>4640000000</v>
      </c>
      <c r="AE319" s="714">
        <v>14640000000</v>
      </c>
      <c r="AF319" s="677">
        <v>0</v>
      </c>
      <c r="AG319" s="677">
        <v>0</v>
      </c>
      <c r="AH319" s="677">
        <v>0</v>
      </c>
      <c r="AI319" s="677">
        <v>0</v>
      </c>
      <c r="AJ319" s="677">
        <v>0</v>
      </c>
      <c r="AK319" s="677">
        <v>0</v>
      </c>
      <c r="AL319" s="677">
        <v>0</v>
      </c>
    </row>
    <row r="320" spans="1:38" ht="15" customHeight="1">
      <c r="A320" s="683" t="str">
        <f t="shared" si="45"/>
        <v>VietinBank</v>
      </c>
      <c r="B320" s="694">
        <v>66</v>
      </c>
      <c r="O320" s="677">
        <v>0</v>
      </c>
      <c r="P320" s="677">
        <v>0</v>
      </c>
      <c r="Q320" s="677">
        <v>0</v>
      </c>
      <c r="R320" s="677">
        <v>0</v>
      </c>
      <c r="S320" s="677">
        <v>0</v>
      </c>
      <c r="T320" s="677">
        <v>0</v>
      </c>
      <c r="U320" s="677">
        <v>0</v>
      </c>
      <c r="V320" s="677">
        <v>0</v>
      </c>
      <c r="W320" s="677">
        <v>0</v>
      </c>
      <c r="X320" s="677">
        <v>0</v>
      </c>
      <c r="Y320" s="677">
        <v>0</v>
      </c>
      <c r="Z320" s="677">
        <v>0</v>
      </c>
      <c r="AA320" s="677">
        <v>0</v>
      </c>
      <c r="AB320" s="677">
        <v>0</v>
      </c>
      <c r="AC320" s="677">
        <v>0</v>
      </c>
      <c r="AD320" s="677">
        <v>0</v>
      </c>
      <c r="AE320" s="714"/>
      <c r="AF320" s="677">
        <v>0</v>
      </c>
      <c r="AG320" s="677">
        <v>0</v>
      </c>
      <c r="AH320" s="677">
        <v>0</v>
      </c>
      <c r="AI320" s="677">
        <v>0</v>
      </c>
      <c r="AJ320" s="677">
        <v>0</v>
      </c>
      <c r="AK320" s="677">
        <v>0</v>
      </c>
      <c r="AL320" s="677">
        <v>0</v>
      </c>
    </row>
    <row r="321" spans="1:38" ht="15" customHeight="1">
      <c r="A321" s="683" t="str">
        <f t="shared" si="45"/>
        <v>Vietcombank</v>
      </c>
      <c r="B321" s="694">
        <v>67</v>
      </c>
      <c r="O321" s="677">
        <v>0</v>
      </c>
      <c r="P321" s="677">
        <v>0</v>
      </c>
      <c r="Q321" s="677">
        <v>0</v>
      </c>
      <c r="R321" s="677">
        <v>0</v>
      </c>
      <c r="S321" s="677">
        <v>0</v>
      </c>
      <c r="T321" s="677">
        <v>0</v>
      </c>
      <c r="U321" s="677">
        <v>0</v>
      </c>
      <c r="V321" s="677">
        <v>0</v>
      </c>
      <c r="W321" s="677">
        <v>0</v>
      </c>
      <c r="X321" s="677">
        <v>0</v>
      </c>
      <c r="Y321" s="677">
        <v>0</v>
      </c>
      <c r="Z321" s="677">
        <v>0</v>
      </c>
      <c r="AA321" s="677">
        <v>0</v>
      </c>
      <c r="AB321" s="677">
        <v>0</v>
      </c>
      <c r="AC321" s="677">
        <v>0</v>
      </c>
      <c r="AD321" s="677">
        <v>0</v>
      </c>
      <c r="AE321" s="714"/>
      <c r="AF321" s="677">
        <v>0</v>
      </c>
      <c r="AG321" s="677">
        <v>0</v>
      </c>
      <c r="AH321" s="677">
        <v>0</v>
      </c>
      <c r="AI321" s="677">
        <v>0</v>
      </c>
      <c r="AJ321" s="677">
        <v>0</v>
      </c>
      <c r="AK321" s="677">
        <v>0</v>
      </c>
      <c r="AL321" s="677">
        <v>0</v>
      </c>
    </row>
    <row r="322" spans="1:38" ht="15" customHeight="1">
      <c r="A322" s="683" t="str">
        <f t="shared" si="45"/>
        <v>BIDV</v>
      </c>
      <c r="B322" s="694">
        <v>68</v>
      </c>
      <c r="O322" s="677">
        <v>0</v>
      </c>
      <c r="P322" s="677">
        <v>0</v>
      </c>
      <c r="Q322" s="677">
        <v>20000000000</v>
      </c>
      <c r="R322" s="677">
        <v>20000000000</v>
      </c>
      <c r="S322" s="677">
        <v>20000000000</v>
      </c>
      <c r="T322" s="677">
        <v>20000000000</v>
      </c>
      <c r="U322" s="677">
        <v>20000000000</v>
      </c>
      <c r="V322" s="677">
        <v>20000000000</v>
      </c>
      <c r="W322" s="677">
        <v>20000000000</v>
      </c>
      <c r="X322" s="677">
        <v>50000000000</v>
      </c>
      <c r="Y322" s="677">
        <v>50000000000</v>
      </c>
      <c r="Z322" s="677">
        <v>30000000000</v>
      </c>
      <c r="AA322" s="677">
        <v>30000000000</v>
      </c>
      <c r="AB322" s="677">
        <v>30000000000</v>
      </c>
      <c r="AC322" s="677">
        <v>36200000000</v>
      </c>
      <c r="AD322" s="677">
        <v>48000000000</v>
      </c>
      <c r="AE322" s="714">
        <v>30000000000</v>
      </c>
      <c r="AF322" s="677">
        <v>0</v>
      </c>
      <c r="AG322" s="677">
        <v>0</v>
      </c>
      <c r="AH322" s="677">
        <v>0</v>
      </c>
      <c r="AI322" s="677">
        <v>0</v>
      </c>
      <c r="AJ322" s="677">
        <v>0</v>
      </c>
      <c r="AK322" s="677">
        <v>0</v>
      </c>
      <c r="AL322" s="677">
        <v>0</v>
      </c>
    </row>
    <row r="323" spans="1:38" ht="15" customHeight="1">
      <c r="A323" s="683" t="str">
        <f t="shared" si="45"/>
        <v>Standard Chartered</v>
      </c>
      <c r="B323" s="694">
        <v>69</v>
      </c>
      <c r="O323" s="677">
        <v>0</v>
      </c>
      <c r="P323" s="677">
        <v>0</v>
      </c>
      <c r="Q323" s="677">
        <v>0</v>
      </c>
      <c r="R323" s="677">
        <v>0</v>
      </c>
      <c r="S323" s="677">
        <v>0</v>
      </c>
      <c r="T323" s="677">
        <v>0</v>
      </c>
      <c r="U323" s="677">
        <v>0</v>
      </c>
      <c r="V323" s="677">
        <v>0</v>
      </c>
      <c r="W323" s="677">
        <v>0</v>
      </c>
      <c r="X323" s="677">
        <v>0</v>
      </c>
      <c r="Y323" s="677">
        <v>0</v>
      </c>
      <c r="Z323" s="677">
        <v>0</v>
      </c>
      <c r="AA323" s="677">
        <v>0</v>
      </c>
      <c r="AB323" s="677">
        <v>0</v>
      </c>
      <c r="AC323" s="677">
        <v>0</v>
      </c>
      <c r="AD323" s="677">
        <v>0</v>
      </c>
      <c r="AE323" s="714"/>
      <c r="AF323" s="677">
        <v>0</v>
      </c>
      <c r="AG323" s="677">
        <v>0</v>
      </c>
      <c r="AH323" s="677">
        <v>0</v>
      </c>
      <c r="AI323" s="677">
        <v>0</v>
      </c>
      <c r="AJ323" s="677">
        <v>0</v>
      </c>
      <c r="AK323" s="677">
        <v>0</v>
      </c>
      <c r="AL323" s="677">
        <v>0</v>
      </c>
    </row>
    <row r="324" spans="1:38" ht="15" customHeight="1">
      <c r="A324" s="683" t="str">
        <f t="shared" si="45"/>
        <v>VILC</v>
      </c>
      <c r="B324" s="694">
        <v>70</v>
      </c>
      <c r="O324" s="677">
        <v>0</v>
      </c>
      <c r="P324" s="677">
        <v>0</v>
      </c>
      <c r="Q324" s="677">
        <v>0</v>
      </c>
      <c r="R324" s="677">
        <v>0</v>
      </c>
      <c r="S324" s="677">
        <v>0</v>
      </c>
      <c r="T324" s="677">
        <v>0</v>
      </c>
      <c r="U324" s="677">
        <v>0</v>
      </c>
      <c r="V324" s="677">
        <v>0</v>
      </c>
      <c r="W324" s="677">
        <v>0</v>
      </c>
      <c r="X324" s="677">
        <v>0</v>
      </c>
      <c r="Y324" s="677">
        <v>0</v>
      </c>
      <c r="Z324" s="677">
        <v>0</v>
      </c>
      <c r="AA324" s="677">
        <v>0</v>
      </c>
      <c r="AB324" s="677">
        <v>0</v>
      </c>
      <c r="AC324" s="677">
        <v>0</v>
      </c>
      <c r="AD324" s="677">
        <v>0</v>
      </c>
      <c r="AE324" s="714"/>
      <c r="AF324" s="677">
        <v>0</v>
      </c>
      <c r="AG324" s="677">
        <v>0</v>
      </c>
      <c r="AH324" s="677">
        <v>0</v>
      </c>
      <c r="AI324" s="677">
        <v>0</v>
      </c>
      <c r="AJ324" s="677">
        <v>0</v>
      </c>
      <c r="AK324" s="677">
        <v>0</v>
      </c>
      <c r="AL324" s="677">
        <v>0</v>
      </c>
    </row>
    <row r="325" spans="1:38" ht="15" customHeight="1">
      <c r="A325" s="683" t="s">
        <v>580</v>
      </c>
      <c r="B325" s="694">
        <v>71</v>
      </c>
      <c r="O325" s="677">
        <v>0</v>
      </c>
      <c r="P325" s="677">
        <v>0</v>
      </c>
      <c r="Q325" s="677">
        <v>0</v>
      </c>
      <c r="R325" s="677">
        <v>0</v>
      </c>
      <c r="S325" s="677">
        <v>0</v>
      </c>
      <c r="T325" s="677">
        <v>0</v>
      </c>
      <c r="U325" s="677">
        <v>0</v>
      </c>
      <c r="V325" s="677">
        <v>0</v>
      </c>
      <c r="W325" s="677">
        <v>0</v>
      </c>
      <c r="X325" s="677">
        <v>0</v>
      </c>
      <c r="Y325" s="677">
        <v>0</v>
      </c>
      <c r="Z325" s="677">
        <v>0</v>
      </c>
      <c r="AA325" s="677">
        <v>0</v>
      </c>
      <c r="AB325" s="677">
        <v>0</v>
      </c>
      <c r="AC325" s="677">
        <v>0</v>
      </c>
      <c r="AD325" s="677">
        <v>0</v>
      </c>
      <c r="AE325" s="714"/>
      <c r="AF325" s="677">
        <v>0</v>
      </c>
      <c r="AG325" s="677">
        <v>0</v>
      </c>
      <c r="AH325" s="677">
        <v>0</v>
      </c>
      <c r="AI325" s="677">
        <v>0</v>
      </c>
      <c r="AJ325" s="677">
        <v>0</v>
      </c>
      <c r="AK325" s="677">
        <v>0</v>
      </c>
      <c r="AL325" s="677">
        <v>0</v>
      </c>
    </row>
    <row r="327" spans="1:38" ht="15" customHeight="1">
      <c r="A327" s="475" t="s">
        <v>588</v>
      </c>
      <c r="C327" s="677"/>
      <c r="D327" s="677"/>
      <c r="E327" s="677"/>
      <c r="F327" s="677"/>
      <c r="G327" s="677"/>
      <c r="H327" s="677"/>
      <c r="I327" s="677"/>
      <c r="J327" s="677"/>
      <c r="K327" s="677"/>
      <c r="L327" s="677"/>
      <c r="M327" s="677"/>
      <c r="N327" s="677"/>
      <c r="O327" s="677"/>
      <c r="P327" s="677"/>
      <c r="Q327" s="677"/>
      <c r="R327" s="677"/>
      <c r="S327" s="677"/>
      <c r="T327" s="677"/>
      <c r="U327" s="677"/>
      <c r="V327" s="677"/>
      <c r="W327" s="677"/>
      <c r="X327" s="677"/>
      <c r="Y327" s="677"/>
      <c r="Z327" s="677">
        <f>AVERAGE(O26:Z26)/SUM(O138:Z138)*365</f>
        <v>145.73445556457813</v>
      </c>
      <c r="AA327" s="677">
        <f>AVERAGE(P26:AA26)/SUM(P138:AA138)*365</f>
        <v>142.99512468370312</v>
      </c>
      <c r="AB327" s="677">
        <f>AVERAGE(Q26:AB26)/SUM(Q138:AB138)*365</f>
        <v>150.50137206651786</v>
      </c>
      <c r="AC327" s="677">
        <f>AVERAGE(R26:AC26)/SUM(R138:AC138)*365</f>
        <v>145.42547399978821</v>
      </c>
      <c r="AD327" s="677">
        <f>AVERAGE(S26:AD26)/SUM(S138:AD138)*365</f>
        <v>138.68720219463455</v>
      </c>
      <c r="AE327" s="677">
        <f>AVERAGE(T26:AE26)/SUM(T138:AE138)*365</f>
        <v>134.26703127593709</v>
      </c>
      <c r="AF327" s="677"/>
      <c r="AG327" s="677"/>
      <c r="AH327" s="677"/>
      <c r="AI327" s="677"/>
      <c r="AJ327" s="677"/>
      <c r="AK327" s="677"/>
      <c r="AL327" s="677"/>
    </row>
    <row r="328" spans="1:38" ht="15" customHeight="1">
      <c r="A328" s="685" t="s">
        <v>589</v>
      </c>
      <c r="Z328" s="695"/>
    </row>
    <row r="329" spans="1:38" ht="15" customHeight="1">
      <c r="A329" s="475" t="s">
        <v>590</v>
      </c>
      <c r="O329" s="678">
        <f>(SUM($O$235:O235,$O$244:O244)-SUM($O$240:O240))/SUM($O$207:O207)</f>
        <v>8.9134830960528461E-2</v>
      </c>
      <c r="P329" s="678">
        <f>(SUM($O$235:P235,$O$244:P244)-SUM($O$240:P240))/SUM($O$207:P207)</f>
        <v>6.597515567200167E-2</v>
      </c>
      <c r="Q329" s="678">
        <f>(SUM($O$235:Q235,$O$244:Q244)-SUM($O$240:Q240))/SUM($O$207:Q207)</f>
        <v>6.7170796584179349E-2</v>
      </c>
      <c r="R329" s="678">
        <f>(SUM($O$235:R235,$O$244:R244)-SUM($O$240:R240))/SUM($O$207:R207)</f>
        <v>6.9426002824332714E-2</v>
      </c>
      <c r="S329" s="678">
        <f>(SUM($O$235:S235,$O$244:S244)-SUM($O$240:S240))/SUM($O$207:S207)</f>
        <v>6.8898903402407799E-2</v>
      </c>
      <c r="T329" s="678">
        <f>(SUM($O$235:T235,$O$244:T244)-SUM($O$240:T240))/SUM($O$207:T207)</f>
        <v>7.2576760013774763E-2</v>
      </c>
      <c r="U329" s="678">
        <f>(SUM($O$235:U235,$O$244:U244)-SUM($O$240:U240))/SUM($O$207:U207)</f>
        <v>7.2313850146045175E-2</v>
      </c>
      <c r="V329" s="678">
        <f>(SUM($O$235:V235,$O$244:V244)-SUM($O$240:V240))/SUM($O$207:V207)</f>
        <v>7.1497903430610493E-2</v>
      </c>
      <c r="W329" s="678">
        <f>(SUM($O$235:W235,$O$244:W244)-SUM($O$240:W240))/SUM($O$207:W207)</f>
        <v>7.612507742852416E-2</v>
      </c>
      <c r="X329" s="678">
        <f>(SUM($O$235:X235,$O$244:X244)-SUM($O$240:X240))/SUM($O$207:X207)</f>
        <v>7.7369840835083969E-2</v>
      </c>
      <c r="Y329" s="678">
        <f>(SUM($O$235:Y235,$O$244:Y244)-SUM($O$240:Y240))/SUM($O$207:Y207)</f>
        <v>8.1404349428042047E-2</v>
      </c>
      <c r="Z329" s="678">
        <f>(SUM($O$235:Z235,$O$244:Z244)-SUM($O$240:Z240))/SUM($O$207:Z207)</f>
        <v>8.864819043957789E-2</v>
      </c>
      <c r="AA329" s="678">
        <f>(SUM($AA$235:AA235,$AA$244:AA244)-SUM($AA$240:AA240))/SUM($AA$207:AA207)</f>
        <v>8.7496651221351057E-2</v>
      </c>
      <c r="AB329" s="678">
        <f>(SUM($AA$235:AB235,$AA$244:AB244)-SUM($AA$240:AB240))/SUM($AA$207:AB207)</f>
        <v>9.4321859453893764E-2</v>
      </c>
      <c r="AC329" s="678">
        <f>(SUM($AA$235:AC235,$AA$244:AC244)-SUM($AA$240:AC240))/SUM($AA$207:AC207)</f>
        <v>8.2763902989269736E-2</v>
      </c>
      <c r="AD329" s="678">
        <f>(SUM($AA$235:AD235,$AA$244:AD244)-SUM($AA$240:AD240))/SUM($AA$207:AD207)</f>
        <v>8.1986857548209016E-2</v>
      </c>
      <c r="AE329" s="678">
        <f>(SUM($AA$235:AE235,$AA$244:AE244)-SUM($AA$240:AE240))/SUM($AA$207:AE207)</f>
        <v>8.0839701664562613E-2</v>
      </c>
    </row>
    <row r="330" spans="1:38" ht="15" customHeight="1">
      <c r="A330" s="475" t="s">
        <v>591</v>
      </c>
      <c r="O330" s="678">
        <f>SUM($O$225:O225)/SUM($O$207:O207)</f>
        <v>0.15868132196480847</v>
      </c>
      <c r="P330" s="678">
        <f>SUM($O$225:P225)/SUM($O$207:P207)</f>
        <v>0.17057315262078279</v>
      </c>
      <c r="Q330" s="678">
        <f>SUM($O$225:Q225)/SUM($O$207:Q207)</f>
        <v>0.15978233608482273</v>
      </c>
      <c r="R330" s="678">
        <f>SUM($O$225:R225)/SUM($O$207:R207)</f>
        <v>0.15242501032294697</v>
      </c>
      <c r="S330" s="678">
        <f>SUM($O$225:S225)/SUM($O$207:S207)</f>
        <v>0.15103120833118264</v>
      </c>
      <c r="T330" s="678">
        <f>SUM($O$225:T225)/SUM($O$207:T207)</f>
        <v>0.1459425560113799</v>
      </c>
      <c r="U330" s="678">
        <f>SUM($O$225:U225)/SUM($O$207:U207)</f>
        <v>0.13498252832341054</v>
      </c>
      <c r="V330" s="678">
        <f>SUM($O$225:V225)/SUM($O$207:V207)</f>
        <v>0.12685295544258779</v>
      </c>
      <c r="W330" s="678">
        <f>SUM($O$225:W225)/SUM($O$207:W207)</f>
        <v>0.11947793496380352</v>
      </c>
      <c r="X330" s="678">
        <f>SUM($O$225:X225)/SUM($O$207:X207)</f>
        <v>0.11647446673301991</v>
      </c>
      <c r="Y330" s="678">
        <f>SUM($O$225:Y225)/SUM($O$207:Y207)</f>
        <v>0.11446928026201862</v>
      </c>
      <c r="Z330" s="678">
        <f>SUM($O$225:Z225)/SUM($O$207:Z207)</f>
        <v>0.12605878113419727</v>
      </c>
      <c r="AA330" s="678">
        <f>SUM($AA$225:AA225)/SUM($AA$207:AA207)</f>
        <v>8.738309443813197E-2</v>
      </c>
      <c r="AB330" s="678">
        <f>SUM($AA$225:AB225)/SUM($AA$207:AB207)</f>
        <v>7.7130191029354908E-2</v>
      </c>
      <c r="AC330" s="678">
        <f>SUM($AA$225:AC225)/SUM($AA$207:AC207)</f>
        <v>6.2214910318637073E-2</v>
      </c>
      <c r="AD330" s="678">
        <f>SUM($AA$225:AD225)/SUM($AA$207:AD207)</f>
        <v>7.676397107045646E-2</v>
      </c>
      <c r="AE330" s="678">
        <f>SUM($AA$225:AE225)/SUM($AA$207:AE207)</f>
        <v>9.0643578056389784E-2</v>
      </c>
    </row>
    <row r="331" spans="1:38" ht="15" customHeight="1">
      <c r="A331" s="475" t="s">
        <v>592</v>
      </c>
      <c r="O331" s="678">
        <f>SUM($O$229:O229)/SUM($O$207:O207)</f>
        <v>9.3299104173879821E-2</v>
      </c>
      <c r="P331" s="678">
        <f>SUM($O$229:P229)/SUM($O$207:P207)</f>
        <v>0.11844736683077346</v>
      </c>
      <c r="Q331" s="678">
        <f>SUM($O$229:Q229)/SUM($O$207:Q207)</f>
        <v>0.10791176187139555</v>
      </c>
      <c r="R331" s="678">
        <f>SUM($O$229:R229)/SUM($O$207:R207)</f>
        <v>0.10045088527989091</v>
      </c>
      <c r="S331" s="678">
        <f>SUM($O$229:S229)/SUM($O$207:S207)</f>
        <v>0.1021150177446615</v>
      </c>
      <c r="T331" s="678">
        <f>SUM($O$229:T229)/SUM($O$207:T207)</f>
        <v>9.579568427275878E-2</v>
      </c>
      <c r="U331" s="678">
        <f>SUM($O$229:U229)/SUM($O$207:U207)</f>
        <v>8.5988539078132656E-2</v>
      </c>
      <c r="V331" s="678">
        <f>SUM($O$229:V229)/SUM($O$207:V207)</f>
        <v>7.838315053711381E-2</v>
      </c>
      <c r="W331" s="678">
        <f>SUM($O$229:W229)/SUM($O$207:W207)</f>
        <v>6.855806573251437E-2</v>
      </c>
      <c r="X331" s="678">
        <f>SUM($O$229:X229)/SUM($O$207:X207)</f>
        <v>6.3341291390915572E-2</v>
      </c>
      <c r="Y331" s="678">
        <f>SUM($O$229:Y229)/SUM($O$207:Y207)</f>
        <v>5.7990971642103359E-2</v>
      </c>
      <c r="Z331" s="678">
        <f>SUM($O$229:Z229)/SUM($O$207:Z207)</f>
        <v>6.1764206883095321E-2</v>
      </c>
      <c r="AA331" s="678">
        <f>SUM($AA$229:AA229)/SUM($AA$207:AA207)</f>
        <v>1.332780340762032E-2</v>
      </c>
      <c r="AB331" s="678">
        <f>SUM($AA$229:AB229)/SUM($AA$207:AB207)</f>
        <v>-6.6435994081205383E-3</v>
      </c>
      <c r="AC331" s="678">
        <f>SUM($AA$229:AC229)/SUM($AA$207:AC207)</f>
        <v>-1.3182609996799469E-2</v>
      </c>
      <c r="AD331" s="678">
        <f>SUM($AA$229:AD229)/SUM($AA$207:AD207)</f>
        <v>3.2860657938437068E-3</v>
      </c>
      <c r="AE331" s="678">
        <f>SUM($AA$229:AE229)/SUM($AA$207:AE207)</f>
        <v>1.843224993053932E-2</v>
      </c>
    </row>
    <row r="332" spans="1:38" ht="15" customHeight="1">
      <c r="A332" s="475" t="s">
        <v>593</v>
      </c>
      <c r="O332" s="678">
        <f>SUM($O$233:O233)/SUM($O$207:O207)</f>
        <v>4.2783270564319492E-2</v>
      </c>
      <c r="P332" s="678">
        <f>SUM($O$233:P233)/SUM($O$207:P207)</f>
        <v>7.372125881906158E-2</v>
      </c>
      <c r="Q332" s="678">
        <f>SUM($O$233:Q233)/SUM($O$207:Q207)</f>
        <v>6.4932919367012301E-2</v>
      </c>
      <c r="R332" s="678">
        <f>SUM($O$233:R233)/SUM($O$207:R207)</f>
        <v>5.7333562449858093E-2</v>
      </c>
      <c r="S332" s="678">
        <f>SUM($O$233:S233)/SUM($O$207:S207)</f>
        <v>5.844509329990414E-2</v>
      </c>
      <c r="T332" s="678">
        <f>SUM($O$233:T233)/SUM($O$207:T207)</f>
        <v>5.1509956179954665E-2</v>
      </c>
      <c r="U332" s="678">
        <f>SUM($O$233:U233)/SUM($O$207:U207)</f>
        <v>4.5363720159006089E-2</v>
      </c>
      <c r="V332" s="678">
        <f>SUM($O$233:V233)/SUM($O$207:V207)</f>
        <v>3.8833099937185887E-2</v>
      </c>
      <c r="W332" s="678">
        <f>SUM($O$233:W233)/SUM($O$207:W207)</f>
        <v>2.7956986721059819E-2</v>
      </c>
      <c r="X332" s="678">
        <f>SUM($O$233:X233)/SUM($O$207:X207)</f>
        <v>2.2228619508683437E-2</v>
      </c>
      <c r="Y332" s="678">
        <f>SUM($O$233:Y233)/SUM($O$207:Y207)</f>
        <v>1.6049353373704833E-2</v>
      </c>
      <c r="Z332" s="678">
        <f>SUM($O$233:Z233)/SUM($O$207:Z207)</f>
        <v>1.6720834437288293E-2</v>
      </c>
      <c r="AA332" s="678">
        <f>SUM($AA$233:AA233)/SUM($AA$207:AA207)</f>
        <v>-1.3429608800534138E-2</v>
      </c>
      <c r="AB332" s="678">
        <f>SUM($AA$233:AB233)/SUM($AA$207:AB207)</f>
        <v>-3.643430169091267E-2</v>
      </c>
      <c r="AC332" s="678">
        <f>SUM($AA$233:AC233)/SUM($AA$207:AC207)</f>
        <v>-3.73210570635562E-2</v>
      </c>
      <c r="AD332" s="678">
        <f>SUM($AA$233:AD233)/SUM($AA$207:AD207)</f>
        <v>-1.9952716831854019E-2</v>
      </c>
      <c r="AE332" s="678">
        <f>SUM($AA$233:AE233)/SUM($AA$207:AE207)</f>
        <v>-3.9828288308886208E-3</v>
      </c>
    </row>
    <row r="333" spans="1:38" ht="15" customHeight="1">
      <c r="A333" s="475" t="s">
        <v>594</v>
      </c>
      <c r="O333" s="678">
        <f>(SUM($O$207:O207)-SUM($O$212:O212,$O$213:O213,$O$214:O214,$O$221:O221,$O$223:O223,$O$238:O238,$O$239:O239,$O$240:O240))/SUM($O$207:O207)</f>
        <v>0.33093370701195723</v>
      </c>
      <c r="P333" s="678">
        <f>(SUM($O$207:P207)-SUM($O$212:P212,$O$213:P213,$O$214:P214,$O$221:P221,$O$223:P223,$O$238:P238,$O$239:P239,$O$240:P240))/SUM($O$207:P207)</f>
        <v>0.30121468173057897</v>
      </c>
      <c r="Q333" s="678">
        <f>(SUM($O$207:Q207)-SUM($O$212:Q212,$O$213:Q213,$O$214:Q214,$O$221:Q221,$O$223:Q223,$O$238:Q238,$O$239:Q239,$O$240:Q240))/SUM($O$207:Q207)</f>
        <v>0.29357038309187622</v>
      </c>
      <c r="R333" s="678">
        <f>(SUM($O$207:R207)-SUM($O$212:R212,$O$213:R213,$O$214:R214,$O$221:R221,$O$223:R223,$O$238:R238,$O$239:R239,$O$240:R240))/SUM($O$207:R207)</f>
        <v>0.2959641067703801</v>
      </c>
      <c r="S333" s="678">
        <f>(SUM($O$207:S207)-SUM($O$212:S212,$O$213:S213,$O$214:S214,$O$221:S221,$O$223:S223,$O$238:S238,$O$239:S239,$O$240:S240))/SUM($O$207:S207)</f>
        <v>0.29301472609096874</v>
      </c>
      <c r="T333" s="678">
        <f>(SUM($O$207:T207)-SUM($O$212:T212,$O$213:T213,$O$214:T214,$O$221:T221,$O$223:T223,$O$238:T238,$O$239:T239,$O$240:T240))/SUM($O$207:T207)</f>
        <v>0.28994618125075056</v>
      </c>
      <c r="U333" s="678">
        <f>(SUM($O$207:U207)-SUM($O$212:U212,$O$213:U213,$O$214:U214,$O$221:U221,$O$223:U223,$O$238:U238,$O$239:U239,$O$240:U240))/SUM($O$207:U207)</f>
        <v>0.28109181417552703</v>
      </c>
      <c r="V333" s="678">
        <f>(SUM($O$207:V207)-SUM($O$212:V212,$O$213:V213,$O$214:V214,$O$221:V221,$O$223:V223,$O$238:V238,$O$239:V239,$O$240:V240))/SUM($O$207:V207)</f>
        <v>0.27227210319743483</v>
      </c>
      <c r="W333" s="678">
        <f>(SUM($O$207:W207)-SUM($O$212:W212,$O$213:W213,$O$214:W214,$O$221:W221,$O$223:W223,$O$238:W238,$O$239:W239,$O$240:W240))/SUM($O$207:W207)</f>
        <v>0.27393416395168746</v>
      </c>
      <c r="X333" s="678">
        <f>(SUM($O$207:X207)-SUM($O$212:X212,$O$213:X213,$O$214:X214,$O$221:X221,$O$223:X223,$O$238:X238,$O$239:X239,$O$240:X240))/SUM($O$207:X207)</f>
        <v>0.27882084876175739</v>
      </c>
      <c r="Y333" s="678">
        <f>(SUM($O$207:Y207)-SUM($O$212:Y212,$O$213:Y213,$O$214:Y214,$O$221:Y221,$O$223:Y223,$O$238:Y238,$O$239:Y239,$O$240:Y240))/SUM($O$207:Y207)</f>
        <v>0.28272468275239432</v>
      </c>
      <c r="Z333" s="678">
        <f>(SUM($O$207:Z207)-SUM($O$212:Z212,$O$213:Z213,$O$214:Z214,$O$221:Z221,$O$223:Z223,$O$238:Z238,$O$239:Z239,$O$240:Z240))/SUM($O$207:Z207)</f>
        <v>0.28925328641940612</v>
      </c>
      <c r="AA333" s="678">
        <f>(SUM($AA$207:AA207)-SUM($AA$212:AA212,$AA$213:AA213,$AA$214:AA214,$AA$221:AA221,$AA$223:AA223,$AA$238:AA238,$AA$239:AA239,$AA$240:AA240))/SUM($AA$207:AA207)</f>
        <v>0.25992791417890021</v>
      </c>
      <c r="AB333" s="678">
        <f>(SUM($AA$207:AB207)-SUM($AA$212:AB212,$AA$213:AB213,$AA$214:AB214,$AA$221:AB221,$AA$223:AB223,$AA$238:AB238,$AA$239:AB239,$AA$240:AB240))/SUM($AA$207:AB207)</f>
        <v>0.26168245239567278</v>
      </c>
      <c r="AC333" s="678">
        <f>(SUM($AA$207:AC207)-SUM($AA$212:AC212,$AA$213:AC213,$AA$214:AC214,$AA$221:AC221,$AA$223:AC223,$AA$238:AC238,$AA$239:AC239,$AA$240:AC240))/SUM($AA$207:AC207)</f>
        <v>0.21596639780769467</v>
      </c>
      <c r="AD333" s="678">
        <f>(SUM($AA$207:AD207)-SUM($AA$212:AD212,$AA$213:AD213,$AA$214:AD214,$AA$221:AD221,$AA$223:AD223,$AA$238:AD238,$AA$239:AD239,$AA$240:AD240))/SUM($AA$207:AD207)</f>
        <v>0.22101103523492324</v>
      </c>
      <c r="AE333" s="678">
        <f>(SUM($AA$207:AE207)-SUM($AA$212:AE212,$AA$213:AE213,$AA$214:AE214,$AA$221:AE221,$AA$223:AE223,$AA$238:AE238,$AA$239:AE239,$AA$240:AE240))/SUM($AA$207:AE207)</f>
        <v>0.23303561389420122</v>
      </c>
    </row>
    <row r="334" spans="1:38" ht="15" customHeight="1">
      <c r="A334" s="475" t="s">
        <v>595</v>
      </c>
      <c r="O334" s="696">
        <f>SUM(O96,O110)/SUM(O116)</f>
        <v>0.28306169880159837</v>
      </c>
      <c r="P334" s="696">
        <f t="shared" ref="P334:AD334" si="46">SUM(P96,P110)/SUM(P116)</f>
        <v>0.16848875684996101</v>
      </c>
      <c r="Q334" s="696">
        <f t="shared" si="46"/>
        <v>0.22770732366693339</v>
      </c>
      <c r="R334" s="696">
        <f t="shared" si="46"/>
        <v>0.3099217995321098</v>
      </c>
      <c r="S334" s="696">
        <f t="shared" si="46"/>
        <v>0.33280470062575113</v>
      </c>
      <c r="T334" s="696">
        <f t="shared" si="46"/>
        <v>0.35114874237283777</v>
      </c>
      <c r="U334" s="696">
        <f t="shared" si="46"/>
        <v>0.36309550134529389</v>
      </c>
      <c r="V334" s="696">
        <f t="shared" si="46"/>
        <v>0.41049180526668028</v>
      </c>
      <c r="W334" s="696">
        <f t="shared" si="46"/>
        <v>0.4308814639480732</v>
      </c>
      <c r="X334" s="696">
        <f t="shared" si="46"/>
        <v>0.37514091710501501</v>
      </c>
      <c r="Y334" s="696">
        <f t="shared" si="46"/>
        <v>0.36946819776294643</v>
      </c>
      <c r="Z334" s="696">
        <f t="shared" si="46"/>
        <v>0.35503635194562111</v>
      </c>
      <c r="AA334" s="696">
        <f t="shared" si="46"/>
        <v>0.30301632412624918</v>
      </c>
      <c r="AB334" s="696">
        <f t="shared" si="46"/>
        <v>0.34760717774125544</v>
      </c>
      <c r="AC334" s="696">
        <f t="shared" si="46"/>
        <v>0.30014087019982799</v>
      </c>
      <c r="AD334" s="696">
        <f t="shared" si="46"/>
        <v>0.26180024084510489</v>
      </c>
      <c r="AE334" s="696">
        <f t="shared" ref="AE334" si="47">SUM(AE96,AE110)/SUM(AE116)</f>
        <v>0.30938186297929693</v>
      </c>
    </row>
    <row r="335" spans="1:38" ht="15" customHeight="1">
      <c r="A335" s="475" t="s">
        <v>596</v>
      </c>
      <c r="O335" s="696">
        <f>AVERAGE(D300:O300)/SUM(D229:O229)</f>
        <v>0.35503667558068625</v>
      </c>
      <c r="P335" s="696">
        <f t="shared" ref="P335:AC335" si="48">AVERAGE(E300:P300)/SUM(E229:P229)</f>
        <v>0.37375219801504256</v>
      </c>
      <c r="Q335" s="696">
        <f t="shared" si="48"/>
        <v>0.44915527750269407</v>
      </c>
      <c r="R335" s="696">
        <f t="shared" si="48"/>
        <v>0.58194404752330475</v>
      </c>
      <c r="S335" s="696">
        <f t="shared" si="48"/>
        <v>0.66703621968593529</v>
      </c>
      <c r="T335" s="696">
        <f t="shared" si="48"/>
        <v>0.75962157759713222</v>
      </c>
      <c r="U335" s="696">
        <f t="shared" si="48"/>
        <v>0.84543974275114098</v>
      </c>
      <c r="V335" s="696">
        <f t="shared" si="48"/>
        <v>0.95019517612385695</v>
      </c>
      <c r="W335" s="696">
        <f t="shared" si="48"/>
        <v>1.2082256790247472</v>
      </c>
      <c r="X335" s="696">
        <f t="shared" si="48"/>
        <v>1.3418434153210965</v>
      </c>
      <c r="Y335" s="696">
        <f t="shared" si="48"/>
        <v>1.5035965422007966</v>
      </c>
      <c r="Z335" s="696">
        <f t="shared" si="48"/>
        <v>3.094123141490897</v>
      </c>
      <c r="AA335" s="696">
        <f t="shared" si="48"/>
        <v>3.4398438159317153</v>
      </c>
      <c r="AB335" s="696">
        <f t="shared" si="48"/>
        <v>5.3498366109389313</v>
      </c>
      <c r="AC335" s="696">
        <f t="shared" si="48"/>
        <v>7.6570405291313657</v>
      </c>
      <c r="AD335" s="696">
        <f>AVERAGE(S300:AD300)/SUM(S229:AD229)</f>
        <v>7.9845739499306871</v>
      </c>
      <c r="AE335" s="696">
        <f>AVERAGE(T300:AE300)/SUM(T229:AE229)</f>
        <v>9.1358327815644973</v>
      </c>
    </row>
    <row r="336" spans="1:38" ht="15" customHeight="1">
      <c r="A336" s="475" t="s">
        <v>597</v>
      </c>
      <c r="O336" s="697">
        <f>SUM(O6)/SUM(O85)</f>
        <v>4.1406173838957274</v>
      </c>
      <c r="P336" s="697">
        <f t="shared" ref="P336:AD336" si="49">SUM(P6)/SUM(P85)</f>
        <v>6.8732356553422633</v>
      </c>
      <c r="Q336" s="697">
        <f t="shared" si="49"/>
        <v>5.2114941561032158</v>
      </c>
      <c r="R336" s="697">
        <f t="shared" si="49"/>
        <v>3.9689635824747258</v>
      </c>
      <c r="S336" s="697">
        <f t="shared" si="49"/>
        <v>3.4377215915369064</v>
      </c>
      <c r="T336" s="697">
        <f t="shared" si="49"/>
        <v>3.0143245953939806</v>
      </c>
      <c r="U336" s="697">
        <f t="shared" si="49"/>
        <v>3.1149891401134702</v>
      </c>
      <c r="V336" s="697">
        <f t="shared" si="49"/>
        <v>2.7726901450335553</v>
      </c>
      <c r="W336" s="697">
        <f t="shared" si="49"/>
        <v>2.725127716192465</v>
      </c>
      <c r="X336" s="697">
        <f t="shared" si="49"/>
        <v>2.8405785912116563</v>
      </c>
      <c r="Y336" s="697">
        <f t="shared" si="49"/>
        <v>2.9275632417804931</v>
      </c>
      <c r="Z336" s="697">
        <f t="shared" si="49"/>
        <v>2.8203730740720676</v>
      </c>
      <c r="AA336" s="697">
        <f t="shared" si="49"/>
        <v>3.1563019423200913</v>
      </c>
      <c r="AB336" s="697">
        <f t="shared" si="49"/>
        <v>3.0962864829150334</v>
      </c>
      <c r="AC336" s="697">
        <f t="shared" si="49"/>
        <v>3.4456314325369295</v>
      </c>
      <c r="AD336" s="697">
        <f t="shared" si="49"/>
        <v>3.6153435829729266</v>
      </c>
      <c r="AE336" s="697">
        <f t="shared" ref="AE336" si="50">SUM(AE6)/SUM(AE85)</f>
        <v>4.0424486769815484</v>
      </c>
    </row>
    <row r="337" spans="1:38" ht="15" customHeight="1">
      <c r="A337" s="475" t="s">
        <v>598</v>
      </c>
      <c r="O337" s="698">
        <f>(SUM(O6)-SUM(O25))/SUM(O85)</f>
        <v>1.5177155532000641</v>
      </c>
      <c r="P337" s="698">
        <f t="shared" ref="P337:AD337" si="51">(SUM(P6)-SUM(P25))/SUM(P85)</f>
        <v>2.7887489996113857</v>
      </c>
      <c r="Q337" s="698">
        <f t="shared" si="51"/>
        <v>2.3939681152175503</v>
      </c>
      <c r="R337" s="698">
        <f t="shared" si="51"/>
        <v>1.7374221460714261</v>
      </c>
      <c r="S337" s="698">
        <f t="shared" si="51"/>
        <v>1.5938358597617002</v>
      </c>
      <c r="T337" s="698">
        <f t="shared" si="51"/>
        <v>1.3932612128937099</v>
      </c>
      <c r="U337" s="698">
        <f t="shared" si="51"/>
        <v>1.4057861802419078</v>
      </c>
      <c r="V337" s="698">
        <f t="shared" si="51"/>
        <v>1.3389968482530874</v>
      </c>
      <c r="W337" s="698">
        <f t="shared" si="51"/>
        <v>1.247560045036358</v>
      </c>
      <c r="X337" s="698">
        <f t="shared" si="51"/>
        <v>1.2474500198635119</v>
      </c>
      <c r="Y337" s="698">
        <f t="shared" si="51"/>
        <v>1.2474759715128272</v>
      </c>
      <c r="Z337" s="698">
        <f t="shared" si="51"/>
        <v>1.1421591427962965</v>
      </c>
      <c r="AA337" s="698">
        <f t="shared" si="51"/>
        <v>1.2709382433499072</v>
      </c>
      <c r="AB337" s="698">
        <f t="shared" si="51"/>
        <v>1.3586853467145723</v>
      </c>
      <c r="AC337" s="698">
        <f t="shared" si="51"/>
        <v>1.7178745573743528</v>
      </c>
      <c r="AD337" s="698">
        <f t="shared" si="51"/>
        <v>1.9578544833105982</v>
      </c>
      <c r="AE337" s="698">
        <f t="shared" ref="AE337" si="52">(SUM(AE6)-SUM(AE25))/SUM(AE85)</f>
        <v>2.3924333225781576</v>
      </c>
    </row>
    <row r="338" spans="1:38" ht="15" customHeight="1">
      <c r="A338" s="475" t="s">
        <v>599</v>
      </c>
      <c r="O338" s="699">
        <f>(AVERAGE(D17:O17)+AVERAGE(D25:O25)-AVERAGE(D86:O86))/SUM(D137:O137)*365</f>
        <v>218.80138374393491</v>
      </c>
      <c r="P338" s="699">
        <f t="shared" ref="P338:AE338" si="53">(AVERAGE(E17:P17)+AVERAGE(E25:P25)-AVERAGE(E86:P86))/SUM(E137:P137)*365</f>
        <v>201.45794325432212</v>
      </c>
      <c r="Q338" s="699">
        <f t="shared" si="53"/>
        <v>194.42258569758718</v>
      </c>
      <c r="R338" s="699">
        <f t="shared" si="53"/>
        <v>191.85574270770846</v>
      </c>
      <c r="S338" s="699">
        <f t="shared" si="53"/>
        <v>187.05419308263046</v>
      </c>
      <c r="T338" s="699">
        <f t="shared" si="53"/>
        <v>181.71819669789616</v>
      </c>
      <c r="U338" s="699">
        <f t="shared" si="53"/>
        <v>175.11980666879859</v>
      </c>
      <c r="V338" s="699">
        <f t="shared" si="53"/>
        <v>178.70304458986681</v>
      </c>
      <c r="W338" s="699">
        <f t="shared" si="53"/>
        <v>191.61022043051966</v>
      </c>
      <c r="X338" s="699">
        <f t="shared" si="53"/>
        <v>195.91392584843302</v>
      </c>
      <c r="Y338" s="699">
        <f t="shared" si="53"/>
        <v>195.27611470964953</v>
      </c>
      <c r="Z338" s="699">
        <f t="shared" si="53"/>
        <v>195.72421068068115</v>
      </c>
      <c r="AA338" s="699">
        <f t="shared" si="53"/>
        <v>194.54911137588073</v>
      </c>
      <c r="AB338" s="699">
        <f t="shared" si="53"/>
        <v>207.65859803978753</v>
      </c>
      <c r="AC338" s="699">
        <f t="shared" si="53"/>
        <v>204.06065637922285</v>
      </c>
      <c r="AD338" s="699">
        <f t="shared" si="53"/>
        <v>197.22605866989346</v>
      </c>
      <c r="AE338" s="699">
        <f t="shared" si="53"/>
        <v>193.87600704277406</v>
      </c>
    </row>
    <row r="339" spans="1:38" ht="15" customHeight="1">
      <c r="A339" s="475" t="s">
        <v>600</v>
      </c>
      <c r="O339" s="678">
        <f>SUM(D233:O233)/AVERAGE(D116:O116)</f>
        <v>7.1269671368474077E-2</v>
      </c>
      <c r="P339" s="678">
        <f t="shared" ref="P339:AE339" si="54">SUM(E233:P233)/AVERAGE(E116:P116)</f>
        <v>9.9049025558353418E-2</v>
      </c>
      <c r="Q339" s="678">
        <f t="shared" si="54"/>
        <v>0.11060460237900913</v>
      </c>
      <c r="R339" s="678">
        <f t="shared" si="54"/>
        <v>0.1111470569336937</v>
      </c>
      <c r="S339" s="678">
        <f t="shared" si="54"/>
        <v>0.12660376854868227</v>
      </c>
      <c r="T339" s="678">
        <f t="shared" si="54"/>
        <v>0.13869984935171864</v>
      </c>
      <c r="U339" s="678">
        <f t="shared" si="54"/>
        <v>0.15418784320575879</v>
      </c>
      <c r="V339" s="678">
        <f t="shared" si="54"/>
        <v>0.16190591679031424</v>
      </c>
      <c r="W339" s="678">
        <f t="shared" si="54"/>
        <v>0.13707192562478776</v>
      </c>
      <c r="X339" s="678">
        <f t="shared" si="54"/>
        <v>0.1358556937262905</v>
      </c>
      <c r="Y339" s="678">
        <f t="shared" si="54"/>
        <v>0.13022130495755305</v>
      </c>
      <c r="Z339" s="678">
        <f t="shared" si="54"/>
        <v>2.9036127123789966E-2</v>
      </c>
      <c r="AA339" s="678">
        <f t="shared" si="54"/>
        <v>2.1561886224641301E-2</v>
      </c>
      <c r="AB339" s="678">
        <f t="shared" si="54"/>
        <v>-5.2657982029329061E-3</v>
      </c>
      <c r="AC339" s="678">
        <f t="shared" si="54"/>
        <v>-2.0808833836660812E-2</v>
      </c>
      <c r="AD339" s="678">
        <f t="shared" si="54"/>
        <v>-2.0898469856061475E-2</v>
      </c>
      <c r="AE339" s="678">
        <f t="shared" si="54"/>
        <v>-2.2413154134488255E-2</v>
      </c>
    </row>
    <row r="340" spans="1:38" ht="15" customHeight="1">
      <c r="A340" s="475" t="s">
        <v>601</v>
      </c>
      <c r="O340" s="678">
        <f>SUM(D233:O233)/AVERAGE(D83:O83)</f>
        <v>4.8243341147055745E-2</v>
      </c>
      <c r="P340" s="678">
        <f t="shared" ref="P340:AE340" si="55">SUM(E233:P233)/AVERAGE(E83:P83)</f>
        <v>6.7323948971602349E-2</v>
      </c>
      <c r="Q340" s="678">
        <f t="shared" si="55"/>
        <v>7.5518856248012592E-2</v>
      </c>
      <c r="R340" s="678">
        <f t="shared" si="55"/>
        <v>7.6189954141249128E-2</v>
      </c>
      <c r="S340" s="678">
        <f t="shared" si="55"/>
        <v>8.7203406163268313E-2</v>
      </c>
      <c r="T340" s="678">
        <f t="shared" si="55"/>
        <v>9.6091492660519112E-2</v>
      </c>
      <c r="U340" s="678">
        <f t="shared" si="55"/>
        <v>0.10730669626343907</v>
      </c>
      <c r="V340" s="678">
        <f t="shared" si="55"/>
        <v>0.11241799853314265</v>
      </c>
      <c r="W340" s="678">
        <f t="shared" si="55"/>
        <v>9.5111727705461779E-2</v>
      </c>
      <c r="X340" s="678">
        <f t="shared" si="55"/>
        <v>9.4620444398644477E-2</v>
      </c>
      <c r="Y340" s="678">
        <f t="shared" si="55"/>
        <v>9.1615755517995612E-2</v>
      </c>
      <c r="Z340" s="678">
        <f t="shared" si="55"/>
        <v>2.0463359563592333E-2</v>
      </c>
      <c r="AA340" s="678">
        <f t="shared" si="55"/>
        <v>1.5195616790225481E-2</v>
      </c>
      <c r="AB340" s="678">
        <f t="shared" si="55"/>
        <v>-3.6769893003888924E-3</v>
      </c>
      <c r="AC340" s="678">
        <f t="shared" si="55"/>
        <v>-1.4468810576879659E-2</v>
      </c>
      <c r="AD340" s="678">
        <f t="shared" si="55"/>
        <v>-1.4554774307595187E-2</v>
      </c>
      <c r="AE340" s="678">
        <f t="shared" si="55"/>
        <v>-1.561036160859346E-2</v>
      </c>
    </row>
    <row r="341" spans="1:38" ht="15" customHeight="1">
      <c r="A341" s="685" t="s">
        <v>602</v>
      </c>
    </row>
    <row r="342" spans="1:38" ht="15" customHeight="1">
      <c r="A342" s="475" t="s">
        <v>603</v>
      </c>
      <c r="O342" s="677">
        <f>O175/10^6</f>
        <v>77939.030715999994</v>
      </c>
      <c r="P342" s="677">
        <f t="shared" ref="P342:AD342" si="56">P175/10^6</f>
        <v>52466.748566000002</v>
      </c>
      <c r="Q342" s="677">
        <f t="shared" si="56"/>
        <v>-20916.557444999999</v>
      </c>
      <c r="R342" s="677">
        <f t="shared" si="56"/>
        <v>-32579.374221999999</v>
      </c>
      <c r="S342" s="677">
        <f t="shared" si="56"/>
        <v>-21808.072831000001</v>
      </c>
      <c r="T342" s="677">
        <f t="shared" si="56"/>
        <v>-2281.9336170000001</v>
      </c>
      <c r="U342" s="677">
        <f t="shared" si="56"/>
        <v>-27735.233436999999</v>
      </c>
      <c r="V342" s="677">
        <f t="shared" si="56"/>
        <v>-40414.033126000002</v>
      </c>
      <c r="W342" s="677">
        <f t="shared" si="56"/>
        <v>20032.593261000002</v>
      </c>
      <c r="X342" s="677">
        <f t="shared" si="56"/>
        <v>64968.693462000003</v>
      </c>
      <c r="Y342" s="677">
        <f t="shared" si="56"/>
        <v>2742.7155299999999</v>
      </c>
      <c r="Z342" s="677">
        <f t="shared" si="56"/>
        <v>-22475.023560000001</v>
      </c>
      <c r="AA342" s="677">
        <f t="shared" si="56"/>
        <v>52850.277689000002</v>
      </c>
      <c r="AB342" s="677">
        <f t="shared" si="56"/>
        <v>1381.288086</v>
      </c>
      <c r="AC342" s="677">
        <f t="shared" si="56"/>
        <v>52119.683826</v>
      </c>
      <c r="AD342" s="677">
        <f t="shared" si="56"/>
        <v>82694.562007999994</v>
      </c>
      <c r="AE342" s="677">
        <f t="shared" ref="AE342" si="57">AE175/10^6</f>
        <v>-53142.624294000001</v>
      </c>
      <c r="AF342" s="677"/>
      <c r="AG342" s="677"/>
      <c r="AH342" s="677"/>
      <c r="AI342" s="677"/>
      <c r="AJ342" s="677"/>
      <c r="AK342" s="677"/>
      <c r="AL342" s="677"/>
    </row>
    <row r="343" spans="1:38" ht="15" customHeight="1">
      <c r="A343" s="475" t="s">
        <v>604</v>
      </c>
      <c r="O343" s="677">
        <f>O184/10^6</f>
        <v>-9422.6032539999997</v>
      </c>
      <c r="P343" s="677">
        <f t="shared" ref="P343:AD343" si="58">P184/10^6</f>
        <v>-1409.7445540000001</v>
      </c>
      <c r="Q343" s="677">
        <f t="shared" si="58"/>
        <v>-42949.753758999999</v>
      </c>
      <c r="R343" s="677">
        <f t="shared" si="58"/>
        <v>-27896.985789999999</v>
      </c>
      <c r="S343" s="677">
        <f t="shared" si="58"/>
        <v>-19046.783884</v>
      </c>
      <c r="T343" s="677">
        <f t="shared" si="58"/>
        <v>-4600.1654779999999</v>
      </c>
      <c r="U343" s="677">
        <f t="shared" si="58"/>
        <v>14056.363160000001</v>
      </c>
      <c r="V343" s="677">
        <f t="shared" si="58"/>
        <v>-3771.7794050000002</v>
      </c>
      <c r="W343" s="677">
        <f t="shared" si="58"/>
        <v>-298.25284399999998</v>
      </c>
      <c r="X343" s="677">
        <f t="shared" si="58"/>
        <v>-25294.615506999999</v>
      </c>
      <c r="Y343" s="677">
        <f t="shared" si="58"/>
        <v>6231.6567219999997</v>
      </c>
      <c r="Z343" s="677">
        <f t="shared" si="58"/>
        <v>15615.882426</v>
      </c>
      <c r="AA343" s="677">
        <f t="shared" si="58"/>
        <v>-1524.3831640000001</v>
      </c>
      <c r="AB343" s="677">
        <f t="shared" si="58"/>
        <v>-34677.649361999996</v>
      </c>
      <c r="AC343" s="677">
        <f t="shared" si="58"/>
        <v>-21851.806644</v>
      </c>
      <c r="AD343" s="677">
        <f t="shared" si="58"/>
        <v>-36965.946129999997</v>
      </c>
      <c r="AE343" s="677">
        <f t="shared" ref="AE343" si="59">AE184/10^6</f>
        <v>2488.6191349999999</v>
      </c>
      <c r="AF343" s="677"/>
      <c r="AG343" s="677"/>
      <c r="AH343" s="677"/>
      <c r="AI343" s="677"/>
      <c r="AJ343" s="677"/>
      <c r="AK343" s="677"/>
      <c r="AL343" s="677"/>
    </row>
    <row r="344" spans="1:38" ht="15" customHeight="1">
      <c r="A344" s="475" t="s">
        <v>605</v>
      </c>
      <c r="O344" s="677">
        <f>O192/10^6</f>
        <v>-32192.329732999999</v>
      </c>
      <c r="P344" s="677">
        <f t="shared" ref="P344:AD344" si="60">P192/10^6</f>
        <v>-95561.562751000005</v>
      </c>
      <c r="Q344" s="677">
        <f t="shared" si="60"/>
        <v>53554.413424999999</v>
      </c>
      <c r="R344" s="677">
        <f t="shared" si="60"/>
        <v>73852.915768999999</v>
      </c>
      <c r="S344" s="677">
        <f t="shared" si="60"/>
        <v>23489.57949</v>
      </c>
      <c r="T344" s="677">
        <f t="shared" si="60"/>
        <v>16839.228534999998</v>
      </c>
      <c r="U344" s="677">
        <f t="shared" si="60"/>
        <v>11111.720339</v>
      </c>
      <c r="V344" s="677">
        <f t="shared" si="60"/>
        <v>42673.563192000001</v>
      </c>
      <c r="W344" s="677">
        <f t="shared" si="60"/>
        <v>13947.478231999999</v>
      </c>
      <c r="X344" s="677">
        <f t="shared" si="60"/>
        <v>-51335.281894</v>
      </c>
      <c r="Y344" s="677">
        <f t="shared" si="60"/>
        <v>-7575.8729130000002</v>
      </c>
      <c r="Z344" s="677">
        <f t="shared" si="60"/>
        <v>-11723.844029</v>
      </c>
      <c r="AA344" s="677">
        <f t="shared" si="60"/>
        <v>-46316.594032000001</v>
      </c>
      <c r="AB344" s="677">
        <f t="shared" si="60"/>
        <v>36955.208932000001</v>
      </c>
      <c r="AC344" s="677">
        <f t="shared" si="60"/>
        <v>-43409.395666999997</v>
      </c>
      <c r="AD344" s="677">
        <f t="shared" si="60"/>
        <v>-32222.541860000001</v>
      </c>
      <c r="AE344" s="677">
        <f t="shared" ref="AE344" si="61">AE192/10^6</f>
        <v>43913.929275000002</v>
      </c>
      <c r="AF344" s="677"/>
      <c r="AG344" s="677"/>
      <c r="AH344" s="677"/>
      <c r="AI344" s="677"/>
      <c r="AJ344" s="677"/>
      <c r="AK344" s="677"/>
      <c r="AL344" s="677"/>
    </row>
    <row r="345" spans="1:38" ht="15" customHeight="1">
      <c r="A345" s="685" t="s">
        <v>606</v>
      </c>
    </row>
    <row r="346" spans="1:38" ht="15" customHeight="1">
      <c r="A346" s="475" t="s">
        <v>607</v>
      </c>
      <c r="O346" s="677">
        <f>SUM($O$207:O207)/AVERAGE($O$199:O199)/10^6</f>
        <v>192.79399755795384</v>
      </c>
      <c r="P346" s="677">
        <f>SUM($O$207:P207)/AVERAGE($O$199:P199)/10^6</f>
        <v>508.91026460913935</v>
      </c>
      <c r="Q346" s="677">
        <f>SUM($O$207:Q207)/AVERAGE($O$199:Q199)/10^6</f>
        <v>752.89656965146423</v>
      </c>
      <c r="R346" s="677">
        <f>SUM($O$207:R207)/AVERAGE($O$199:R199)/10^6</f>
        <v>952.27911429045753</v>
      </c>
      <c r="S346" s="677">
        <f>SUM($O$207:S207)/AVERAGE($O$199:S199)/10^6</f>
        <v>1198.5589642758162</v>
      </c>
      <c r="T346" s="677">
        <f>SUM($O$207:T207)/AVERAGE($O$199:T199)/10^6</f>
        <v>1383.3147118690144</v>
      </c>
      <c r="U346" s="677">
        <f>SUM($O$207:U207)/AVERAGE($O$199:U199)/10^6</f>
        <v>1579.6987874321571</v>
      </c>
      <c r="V346" s="677">
        <f>SUM($O$207:V207)/AVERAGE($O$199:V199)/10^6</f>
        <v>1822.6934476988747</v>
      </c>
      <c r="W346" s="677">
        <f>SUM($O$207:W207)/AVERAGE($O$199:W199)/10^6</f>
        <v>1932.2121260080849</v>
      </c>
      <c r="X346" s="677">
        <f>SUM($O$207:X207)/AVERAGE($O$199:X199)/10^6</f>
        <v>2091.0019842816828</v>
      </c>
      <c r="Y346" s="677">
        <f>SUM($O$207:Y207)/AVERAGE($O$199:Y199)/10^6</f>
        <v>2226.3218013025175</v>
      </c>
      <c r="Z346" s="677">
        <f>SUM($O$207:Z207)/AVERAGE($O$199:Z199)/10^6</f>
        <v>2386.8935594355644</v>
      </c>
      <c r="AA346" s="677">
        <f>SUM($AA$207:AA207)/AVERAGE($AA$199:AA199)/10^6</f>
        <v>204.59994308638366</v>
      </c>
      <c r="AB346" s="677">
        <f>SUM($AA$207:AB207)/AVERAGE($AA$199:AB199)/10^6</f>
        <v>357.77398296423758</v>
      </c>
      <c r="AC346" s="677">
        <f>SUM($AA$207:AC207)/AVERAGE($AA$199:AC199)/10^6</f>
        <v>638.38067002981995</v>
      </c>
      <c r="AD346" s="677">
        <f>SUM($AA$207:AD207)/AVERAGE($AA$199:AD199)/10^6</f>
        <v>895.1432953257937</v>
      </c>
      <c r="AE346" s="677">
        <f>SUM($AA$207:AE207)/AVERAGE($AA$199:AE199)/10^6</f>
        <v>1146.2533970275147</v>
      </c>
    </row>
    <row r="347" spans="1:38" ht="15" customHeight="1">
      <c r="A347" s="475" t="s">
        <v>608</v>
      </c>
      <c r="O347" s="678">
        <f>SUM($O$214:O214,$O$215:O215,$O$216:O216,$O$217:O217,$O$236:O236,$O$237:O237,$O$245:O245,$O$246:O246)/SUM($O$207:O207)</f>
        <v>0.10982487021165623</v>
      </c>
      <c r="P347" s="678">
        <f>SUM($O$214:P214,$O$215:P215,$O$216:P216,$O$217:P217,$O$236:P236,$O$237:P237,$O$245:P245,$O$246:P246)/SUM($O$207:P207)</f>
        <v>8.279329625486137E-2</v>
      </c>
      <c r="Q347" s="678">
        <f>SUM($O$214:Q214,$O$215:Q215,$O$216:Q216,$O$217:Q217,$O$236:Q236,$O$237:Q237,$O$245:Q245,$O$246:Q246)/SUM($O$207:Q207)</f>
        <v>8.2902379269490664E-2</v>
      </c>
      <c r="R347" s="678">
        <f>SUM($O$214:R214,$O$215:R215,$O$216:R216,$O$217:R217,$O$236:R236,$O$237:R237,$O$245:R245,$O$246:R246)/SUM($O$207:R207)</f>
        <v>8.872301912256228E-2</v>
      </c>
      <c r="S347" s="678">
        <f>SUM($O$214:S214,$O$215:S215,$O$216:S216,$O$217:S217,$O$236:S236,$O$237:S237,$O$245:S245,$O$246:S246)/SUM($O$207:S207)</f>
        <v>8.9225434094064679E-2</v>
      </c>
      <c r="T347" s="678">
        <f>SUM($O$214:T214,$O$215:T215,$O$216:T216,$O$217:T217,$O$236:T236,$O$237:T237,$O$245:T245,$O$246:T246)/SUM($O$207:T207)</f>
        <v>9.3434344364633534E-2</v>
      </c>
      <c r="U347" s="678">
        <f>SUM($O$214:U214,$O$215:U215,$O$216:U216,$O$217:U217,$O$236:U236,$O$237:U237,$O$245:U245,$O$246:U246)/SUM($O$207:U207)</f>
        <v>9.5323109298307479E-2</v>
      </c>
      <c r="V347" s="678">
        <f>SUM($O$214:V214,$O$215:V215,$O$216:V216,$O$217:V217,$O$236:V236,$O$237:V237,$O$245:V245,$O$246:V246)/SUM($O$207:V207)</f>
        <v>9.4394799434409385E-2</v>
      </c>
      <c r="W347" s="678">
        <f>SUM($O$214:W214,$O$215:W215,$O$216:W216,$O$217:W217,$O$236:W236,$O$237:W237,$O$245:W245,$O$246:W246)/SUM($O$207:W207)</f>
        <v>0.10034576748809466</v>
      </c>
      <c r="X347" s="678">
        <f>SUM($O$214:X214,$O$215:X215,$O$216:X216,$O$217:X217,$O$236:X236,$O$237:X237,$O$245:X245,$O$246:X246)/SUM($O$207:X207)</f>
        <v>0.10301017188907466</v>
      </c>
      <c r="Y347" s="678">
        <f>SUM($O$214:Y214,$O$215:Y215,$O$216:Y216,$O$217:Y217,$O$236:Y236,$O$237:Y237,$O$245:Y245,$O$246:Y246)/SUM($O$207:Y207)</f>
        <v>0.10648429731978333</v>
      </c>
      <c r="Z347" s="678">
        <f>SUM($O$214:Z214,$O$215:Z215,$O$216:Z216,$O$217:Z217,$O$236:Z236,$O$237:Z237,$O$245:Z245,$O$246:Z246)/SUM($O$207:Z207)</f>
        <v>0.11213837360875294</v>
      </c>
      <c r="AA347" s="678">
        <f>SUM($AA$214:AA214,$AA$215:AA215,$AA$216:AA216,$AA$217:AA217,$AA$236:AA236,$AA$237:AA237,$AA$245:AA245,$AA$246:AA246)/SUM($AA$207:AA207)</f>
        <v>0.11436468426643163</v>
      </c>
      <c r="AB347" s="678">
        <f>SUM($AA$214:AB214,$AA$215:AB215,$AA$216:AB216,$AA$217:AB217,$AA$236:AB236,$AA$237:AB237,$AA$245:AB245,$AA$246:AB246)/SUM($AA$207:AB207)</f>
        <v>0.12267718139400276</v>
      </c>
      <c r="AC347" s="678">
        <f>SUM($AA$214:AC214,$AA$215:AC215,$AA$216:AC216,$AA$217:AC217,$AA$236:AC236,$AA$237:AC237,$AA$245:AC245,$AA$246:AC246)/SUM($AA$207:AC207)</f>
        <v>0.10412893514887293</v>
      </c>
      <c r="AD347" s="678">
        <f>SUM($AA$214:AD214,$AA$215:AD215,$AA$216:AD216,$AA$217:AD217,$AA$236:AD236,$AA$237:AD237,$AA$245:AD245,$AA$246:AD246)/SUM($AA$207:AD207)</f>
        <v>0.10238167838069839</v>
      </c>
      <c r="AE347" s="678">
        <f>SUM($AA$214:AE214,$AA$215:AE215,$AA$216:AE216,$AA$217:AE217,$AA$236:AE236,$AA$237:AE237,$AA$245:AE245,$AA$246:AE246)/SUM($AA$207:AE207)</f>
        <v>0.1000171758005</v>
      </c>
    </row>
  </sheetData>
  <protectedRanges>
    <protectedRange sqref="AE138" name="PL_1"/>
    <protectedRange sqref="AE141:AE145" name="PL_2"/>
    <protectedRange sqref="AE147:AE148" name="PL_3"/>
    <protectedRange sqref="AE151" name="PL_4"/>
    <protectedRange sqref="AE6:AE131" name="BS"/>
    <protectedRange sqref="AE157:AE196" name="CF"/>
    <protectedRange sqref="AE208:AE210" name="Element_1"/>
    <protectedRange sqref="AE245:AE248" name="Element_2"/>
    <protectedRange sqref="AE255:AE325" name="Loan"/>
  </protectedRanges>
  <autoFilter ref="A5:N232" xr:uid="{00000000-0009-0000-0000-00000C000000}"/>
  <pageMargins left="0.18" right="0.2" top="0.18" bottom="0.16" header="0.17" footer="0.16"/>
  <pageSetup paperSize="9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Performance</vt:lpstr>
      <vt:lpstr>Data</vt:lpstr>
      <vt:lpstr>FS matrix</vt:lpstr>
      <vt:lpstr>DTR</vt:lpstr>
      <vt:lpstr>DTR!month</vt:lpstr>
      <vt:lpstr>DTR!year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Thọ, Trần Hữu</dc:creator>
  <cp:lastModifiedBy>Cư, Lê Hoành</cp:lastModifiedBy>
  <dcterms:created xsi:type="dcterms:W3CDTF">2026-06-04T02:27:02Z</dcterms:created>
  <dcterms:modified xsi:type="dcterms:W3CDTF">2026-06-08T14:11:28Z</dcterms:modified>
</cp:coreProperties>
</file>