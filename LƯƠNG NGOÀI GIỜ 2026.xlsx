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tg-my.sharepoint.com/personal/nguyenthithanhdiem_duytanrecycling_com/Documents/KTQT/04. LƯƠNG + NHÂN CÔNG/NĂM 2026/"/>
    </mc:Choice>
  </mc:AlternateContent>
  <xr:revisionPtr revIDLastSave="133" documentId="13_ncr:1_{70528CB3-0373-4880-809E-BB17002EDB1C}" xr6:coauthVersionLast="47" xr6:coauthVersionMax="47" xr10:uidLastSave="{84B128FA-3041-43AC-A9EB-7F53A009954A}"/>
  <bookViews>
    <workbookView xWindow="-110" yWindow="-110" windowWidth="19420" windowHeight="10300" xr2:uid="{51A2C2B3-7410-4A07-8CF6-315E03F4F83C}"/>
  </bookViews>
  <sheets>
    <sheet name="TH công ngoài giờ" sheetId="24" r:id="rId1"/>
    <sheet name="Lương CN + LỄ" sheetId="19" r:id="rId2"/>
    <sheet name="Chi tiết công ngoài giờ" sheetId="17" r:id="rId3"/>
    <sheet name="CP thưởng khác" sheetId="25" state="hidden" r:id="rId4"/>
  </sheets>
  <definedNames>
    <definedName name="__accountcodevg__X">#REF!</definedName>
    <definedName name="__disaccountcode1__X">#REF!</definedName>
    <definedName name="__disaccountcode2__X">#REF!</definedName>
    <definedName name="__disaccountcode3__X">#REF!</definedName>
    <definedName name="__lookup1__X">#REF!</definedName>
    <definedName name="__lookup2__X">#REF!</definedName>
    <definedName name="__params__">#REF!</definedName>
    <definedName name="_xlnm._FilterDatabase" localSheetId="3" hidden="1">'CP thưởng khác'!$A$3:$C$3</definedName>
    <definedName name="_xlnm._FilterDatabase" localSheetId="2" hidden="1">'Chi tiết công ngoài giờ'!$A$1:$B$20</definedName>
    <definedName name="_xlnm._FilterDatabase" localSheetId="1" hidden="1">'Lương CN + LỄ'!$A$2:$V$11</definedName>
    <definedName name="thang10">#REF!</definedName>
    <definedName name="thang12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24" l="1"/>
  <c r="S3" i="19"/>
  <c r="T3" i="19"/>
  <c r="U3" i="19" l="1"/>
  <c r="G7" i="25"/>
  <c r="G5" i="25"/>
  <c r="G6" i="25"/>
  <c r="G4" i="25"/>
  <c r="B2" i="25"/>
  <c r="D70" i="17" l="1"/>
  <c r="C70" i="17"/>
  <c r="D56" i="17" l="1"/>
  <c r="C56" i="17"/>
  <c r="T6" i="19"/>
  <c r="C8" i="19"/>
  <c r="D8" i="19"/>
  <c r="E8" i="19"/>
  <c r="F8" i="19"/>
  <c r="G8" i="19"/>
  <c r="H8" i="19"/>
  <c r="I8" i="19"/>
  <c r="J8" i="19"/>
  <c r="K8" i="19"/>
  <c r="L8" i="19"/>
  <c r="M8" i="19"/>
  <c r="N8" i="19"/>
  <c r="O8" i="19"/>
  <c r="P8" i="19"/>
  <c r="Q8" i="19"/>
  <c r="R8" i="19"/>
  <c r="B8" i="19"/>
  <c r="D42" i="17"/>
  <c r="I5" i="17" l="1"/>
  <c r="T5" i="19"/>
  <c r="T7" i="19"/>
  <c r="T4" i="19"/>
  <c r="S5" i="19"/>
  <c r="S6" i="19"/>
  <c r="U5" i="19" l="1"/>
  <c r="U6" i="19"/>
  <c r="T8" i="19"/>
  <c r="I6" i="17" l="1"/>
  <c r="H6" i="17"/>
  <c r="E69" i="17"/>
  <c r="E68" i="17"/>
  <c r="E67" i="17"/>
  <c r="E66" i="17"/>
  <c r="J6" i="24" s="1"/>
  <c r="E65" i="17"/>
  <c r="E64" i="17"/>
  <c r="H6" i="24" s="1"/>
  <c r="E63" i="17"/>
  <c r="E62" i="17"/>
  <c r="F6" i="24" s="1"/>
  <c r="N6" i="24" s="1"/>
  <c r="E61" i="17"/>
  <c r="E60" i="17"/>
  <c r="E59" i="17"/>
  <c r="E58" i="17"/>
  <c r="E45" i="17"/>
  <c r="E46" i="17"/>
  <c r="E47" i="17"/>
  <c r="E48" i="17"/>
  <c r="F7" i="24" s="1"/>
  <c r="E49" i="17"/>
  <c r="E50" i="17"/>
  <c r="E51" i="17"/>
  <c r="I7" i="24" s="1"/>
  <c r="E52" i="17"/>
  <c r="J7" i="24" s="1"/>
  <c r="E53" i="17"/>
  <c r="E54" i="17"/>
  <c r="E55" i="17"/>
  <c r="E44" i="17"/>
  <c r="E31" i="17"/>
  <c r="C5" i="24" s="1"/>
  <c r="E32" i="17"/>
  <c r="E33" i="17"/>
  <c r="E5" i="24" s="1"/>
  <c r="E34" i="17"/>
  <c r="F5" i="24" s="1"/>
  <c r="E35" i="17"/>
  <c r="E36" i="17"/>
  <c r="E37" i="17"/>
  <c r="I5" i="24" s="1"/>
  <c r="E38" i="17"/>
  <c r="J5" i="24" s="1"/>
  <c r="E39" i="17"/>
  <c r="E40" i="17"/>
  <c r="E41" i="17"/>
  <c r="E30" i="17"/>
  <c r="B5" i="24" s="1"/>
  <c r="E21" i="17"/>
  <c r="E22" i="17"/>
  <c r="E23" i="17"/>
  <c r="E24" i="17"/>
  <c r="J4" i="24" s="1"/>
  <c r="E25" i="17"/>
  <c r="E26" i="17"/>
  <c r="E27" i="17"/>
  <c r="E3" i="17"/>
  <c r="C3" i="24" s="1"/>
  <c r="E4" i="17"/>
  <c r="D3" i="24" s="1"/>
  <c r="D8" i="24" s="1"/>
  <c r="E5" i="17"/>
  <c r="E3" i="24" s="1"/>
  <c r="E6" i="17"/>
  <c r="F3" i="24" s="1"/>
  <c r="E7" i="17"/>
  <c r="G3" i="24" s="1"/>
  <c r="G8" i="24" s="1"/>
  <c r="E8" i="17"/>
  <c r="H3" i="24" s="1"/>
  <c r="E9" i="17"/>
  <c r="I3" i="24" s="1"/>
  <c r="E10" i="17"/>
  <c r="J3" i="24" s="1"/>
  <c r="E11" i="17"/>
  <c r="K3" i="24" s="1"/>
  <c r="K8" i="24" s="1"/>
  <c r="E12" i="17"/>
  <c r="L3" i="24" s="1"/>
  <c r="L8" i="24" s="1"/>
  <c r="E13" i="17"/>
  <c r="M3" i="24" s="1"/>
  <c r="M8" i="24" s="1"/>
  <c r="E16" i="17"/>
  <c r="E17" i="17"/>
  <c r="E18" i="17"/>
  <c r="E19" i="17"/>
  <c r="E20" i="17"/>
  <c r="F4" i="24" s="1"/>
  <c r="N4" i="24" s="1"/>
  <c r="E2" i="17"/>
  <c r="B3" i="24" s="1"/>
  <c r="N7" i="24"/>
  <c r="C28" i="17"/>
  <c r="D28" i="17"/>
  <c r="C14" i="17"/>
  <c r="D14" i="17"/>
  <c r="I2" i="17" s="1"/>
  <c r="C8" i="24" l="1"/>
  <c r="H8" i="24"/>
  <c r="F8" i="24"/>
  <c r="E8" i="24"/>
  <c r="J8" i="24"/>
  <c r="I8" i="24"/>
  <c r="N5" i="24"/>
  <c r="I3" i="17"/>
  <c r="D73" i="17"/>
  <c r="E56" i="17"/>
  <c r="E70" i="17"/>
  <c r="H2" i="17"/>
  <c r="B8" i="24"/>
  <c r="E42" i="17"/>
  <c r="E28" i="17"/>
  <c r="N3" i="24"/>
  <c r="E14" i="17"/>
  <c r="S7" i="19"/>
  <c r="S4" i="19"/>
  <c r="R10" i="19"/>
  <c r="R11" i="19" s="1"/>
  <c r="Q10" i="19"/>
  <c r="Q11" i="19" s="1"/>
  <c r="H5" i="17"/>
  <c r="N8" i="24" l="1"/>
  <c r="S8" i="19"/>
  <c r="E73" i="17"/>
  <c r="P10" i="19"/>
  <c r="P11" i="19" s="1"/>
  <c r="S10" i="19" l="1"/>
  <c r="S11" i="19" s="1"/>
  <c r="C42" i="17"/>
  <c r="C73" i="17" s="1"/>
  <c r="I4" i="17" l="1"/>
  <c r="I7" i="17" s="1"/>
  <c r="H4" i="17"/>
  <c r="N10" i="19"/>
  <c r="N11" i="19" s="1"/>
  <c r="O10" i="19"/>
  <c r="O11" i="19" s="1"/>
  <c r="J4" i="17"/>
  <c r="U7" i="19"/>
  <c r="J5" i="17"/>
  <c r="M10" i="19"/>
  <c r="M11" i="19" s="1"/>
  <c r="J6" i="17" l="1"/>
  <c r="U4" i="19"/>
  <c r="J3" i="17" s="1"/>
  <c r="J2" i="17"/>
  <c r="U8" i="19" l="1"/>
  <c r="V4" i="19" s="1"/>
  <c r="J7" i="17"/>
  <c r="L10" i="19"/>
  <c r="L11" i="19" s="1"/>
  <c r="K2" i="17" l="1"/>
  <c r="L2" i="17" s="1"/>
  <c r="K10" i="19"/>
  <c r="K11" i="19" s="1"/>
  <c r="J10" i="19"/>
  <c r="J11" i="19" s="1"/>
  <c r="I10" i="19"/>
  <c r="I11" i="19" s="1"/>
  <c r="G10" i="19"/>
  <c r="G11" i="19" s="1"/>
  <c r="F10" i="19"/>
  <c r="F11" i="19" s="1"/>
  <c r="D10" i="19"/>
  <c r="D11" i="19" s="1"/>
  <c r="C10" i="19"/>
  <c r="C11" i="19" s="1"/>
  <c r="B10" i="19"/>
  <c r="B11" i="19" s="1"/>
  <c r="K4" i="17" l="1"/>
  <c r="T10" i="19" l="1"/>
  <c r="T11" i="19" s="1"/>
  <c r="K3" i="17"/>
  <c r="L4" i="17"/>
  <c r="K5" i="17"/>
  <c r="L5" i="17" s="1"/>
  <c r="H3" i="17" l="1"/>
  <c r="H7" i="17" s="1"/>
  <c r="V6" i="19"/>
  <c r="V7" i="19"/>
  <c r="V5" i="19"/>
  <c r="V3" i="19"/>
  <c r="K6" i="17"/>
  <c r="L3" i="17" l="1"/>
  <c r="L6" i="17" s="1"/>
</calcChain>
</file>

<file path=xl/sharedStrings.xml><?xml version="1.0" encoding="utf-8"?>
<sst xmlns="http://schemas.openxmlformats.org/spreadsheetml/2006/main" count="164" uniqueCount="67">
  <si>
    <t>Bộ phận</t>
  </si>
  <si>
    <t>Giờ công ngoài giờ (CN + Lễ)</t>
  </si>
  <si>
    <t>Tổng</t>
  </si>
  <si>
    <t>Cung Ứng</t>
  </si>
  <si>
    <t>Hành Chánh Nhân Sự</t>
  </si>
  <si>
    <t>Kế Toán</t>
  </si>
  <si>
    <t>Kiểm Soát Chất Lượng</t>
  </si>
  <si>
    <t>Kỹ Thuật</t>
  </si>
  <si>
    <t>Xưởng Sản Xuất</t>
  </si>
  <si>
    <t>Tháng</t>
  </si>
  <si>
    <t>Phòng ban</t>
  </si>
  <si>
    <t>Giờ công CN</t>
  </si>
  <si>
    <t>Giờ công lễ</t>
  </si>
  <si>
    <t>Tổng kết</t>
  </si>
  <si>
    <t>Số giờ công CN</t>
  </si>
  <si>
    <t>Số giờ công Lễ</t>
  </si>
  <si>
    <t>Số tiền vượt</t>
  </si>
  <si>
    <t>Số ngày lễ</t>
  </si>
  <si>
    <t>Cộng ngày CN + Lễ</t>
  </si>
  <si>
    <t>Kế toán</t>
  </si>
  <si>
    <t>Cộng Phòng kỹ thuật</t>
  </si>
  <si>
    <t>Cộng Xưởng Sản xuất</t>
  </si>
  <si>
    <t>Cộng HCNS</t>
  </si>
  <si>
    <t>Cộng KSCL</t>
  </si>
  <si>
    <t>Tổng cộng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</si>
  <si>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</si>
  <si>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</si>
  <si>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</si>
  <si>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</si>
  <si>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</si>
  <si>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</si>
  <si>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</si>
  <si>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</si>
  <si>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</si>
  <si>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</si>
  <si>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</si>
  <si>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</si>
  <si>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Lũy kế</t>
  </si>
  <si>
    <t>CN</t>
  </si>
  <si>
    <t>Lễ</t>
  </si>
  <si>
    <t>TỔNG</t>
  </si>
  <si>
    <t>sản lượng TP ( Tấn)</t>
  </si>
  <si>
    <t>Số tiền/ Tấn</t>
  </si>
  <si>
    <t>$/tấn</t>
  </si>
  <si>
    <t>Đơn vị</t>
  </si>
  <si>
    <t>Công ty Cổ phần Nhựa Tái Chế Duy Tân</t>
  </si>
  <si>
    <t>Tổ Cung ứng</t>
  </si>
  <si>
    <t>Bảo vệ</t>
  </si>
  <si>
    <t>Tổ Tạp Vụ</t>
  </si>
  <si>
    <t>Tổ chất lượng HDPE</t>
  </si>
  <si>
    <t>Tổ chất lượng PET</t>
  </si>
  <si>
    <t>Tổ Chất Lượng PP</t>
  </si>
  <si>
    <t>Bảo trì</t>
  </si>
  <si>
    <t>Tổ Điện</t>
  </si>
  <si>
    <t>Tổ Nước</t>
  </si>
  <si>
    <t>Tổ Vận Hành</t>
  </si>
  <si>
    <t>Hành Chánh Xưởng HDPE</t>
  </si>
  <si>
    <t>Hành Chánh Xưởng PET</t>
  </si>
  <si>
    <t>Lái Xe Nâng HDPE</t>
  </si>
  <si>
    <t>Lái Xe Nâng PET</t>
  </si>
  <si>
    <t>Tổ Kho</t>
  </si>
  <si>
    <t>Vận Hành Máy HDPE</t>
  </si>
  <si>
    <t>Vận Hành Máy PET</t>
  </si>
  <si>
    <t>Vận Hành Máy PP</t>
  </si>
  <si>
    <t>Thưởng khác</t>
  </si>
  <si>
    <t>CP thưởng cho NV không tham gia tiệc tất niên</t>
  </si>
  <si>
    <t>KMP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</si>
</sst>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13" x14ac:knownFonts="1"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Times New Roman"/>
      <family val="1"/>
    </font>
    <font>
      <sz val="11"/>
      <color theme="1"/>
      <name val="Calibri"/>
      <family val="2"/>
      <charset val="163"/>
      <scheme val="minor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rgb="FFFF0000"/>
      <name val="Times New Roman"/>
      <family val="1"/>
    </font>
    <font>
      <b/>
      <sz val="11"/>
      <color rgb="FFFF0000"/>
      <name val="Calibri"/>
      <family val="2"/>
      <scheme val="minor"/>
    </font>
    <font>
      <b/>
      <sz val="11"/>
      <color rgb="FFFF0000"/>
      <name val="Times New Roman"/>
      <family val="1"/>
    </font>
    <font>
      <b/>
      <sz val="8"/>
      <color indexed="8"/>
      <name val="Arial"/>
      <family val="2"/>
    </font>
    <font>
      <b/>
      <sz val="8"/>
      <color rgb="FF0000FF"/>
      <name val="Calibri"/>
      <family val="2"/>
    </font>
    <font>
      <b/>
      <sz val="8"/>
      <color indexed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8">
    <xf numFmtId="0" fontId="0" fillId="0" borderId="0"/>
    <xf numFmtId="164" fontId="2" fillId="0" borderId="0" applyFont="0" applyFill="0" applyBorder="0" applyAlignment="0" applyProtection="0"/>
    <xf numFmtId="0" fontId="2" fillId="0" borderId="0"/>
    <xf numFmtId="0" fontId="1" fillId="0" borderId="0"/>
    <xf numFmtId="164" fontId="1" fillId="0" borderId="0" applyFont="0" applyFill="0" applyBorder="0" applyAlignment="0" applyProtection="0"/>
    <xf numFmtId="0" fontId="4" fillId="0" borderId="0"/>
    <xf numFmtId="164" fontId="4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61">
    <xf numFmtId="0" fontId="0" fillId="0" borderId="0" xfId="0"/>
    <xf numFmtId="165" fontId="3" fillId="0" borderId="0" xfId="0" applyNumberFormat="1" applyFont="1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6" fillId="0" borderId="0" xfId="0" applyFont="1"/>
    <xf numFmtId="0" fontId="5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5" fillId="0" borderId="0" xfId="0" applyFont="1"/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5" fillId="0" borderId="1" xfId="0" applyFont="1" applyBorder="1" applyAlignment="1">
      <alignment horizontal="center"/>
    </xf>
    <xf numFmtId="0" fontId="6" fillId="0" borderId="1" xfId="0" applyFont="1" applyBorder="1"/>
    <xf numFmtId="0" fontId="0" fillId="0" borderId="1" xfId="0" applyBorder="1"/>
    <xf numFmtId="0" fontId="7" fillId="2" borderId="1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left"/>
    </xf>
    <xf numFmtId="0" fontId="3" fillId="0" borderId="1" xfId="0" applyFont="1" applyBorder="1"/>
    <xf numFmtId="165" fontId="3" fillId="0" borderId="1" xfId="6" applyNumberFormat="1" applyFont="1" applyBorder="1"/>
    <xf numFmtId="165" fontId="3" fillId="0" borderId="1" xfId="0" applyNumberFormat="1" applyFont="1" applyBorder="1"/>
    <xf numFmtId="165" fontId="5" fillId="3" borderId="1" xfId="6" applyNumberFormat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vertical="center" wrapText="1"/>
    </xf>
    <xf numFmtId="0" fontId="5" fillId="0" borderId="1" xfId="0" applyFont="1" applyBorder="1"/>
    <xf numFmtId="165" fontId="5" fillId="0" borderId="1" xfId="6" applyNumberFormat="1" applyFont="1" applyBorder="1"/>
    <xf numFmtId="0" fontId="5" fillId="3" borderId="1" xfId="0" applyFont="1" applyFill="1" applyBorder="1" applyAlignment="1">
      <alignment horizontal="center" vertical="center"/>
    </xf>
    <xf numFmtId="9" fontId="3" fillId="0" borderId="0" xfId="7" applyFont="1"/>
    <xf numFmtId="165" fontId="3" fillId="0" borderId="0" xfId="6" applyNumberFormat="1" applyFont="1"/>
    <xf numFmtId="2" fontId="3" fillId="0" borderId="1" xfId="6" applyNumberFormat="1" applyFont="1" applyBorder="1"/>
    <xf numFmtId="165" fontId="9" fillId="2" borderId="1" xfId="6" applyNumberFormat="1" applyFont="1" applyFill="1" applyBorder="1" applyAlignment="1">
      <alignment horizontal="center"/>
    </xf>
    <xf numFmtId="165" fontId="5" fillId="0" borderId="1" xfId="6" applyNumberFormat="1" applyFont="1" applyBorder="1" applyAlignment="1"/>
    <xf numFmtId="165" fontId="3" fillId="0" borderId="1" xfId="6" applyNumberFormat="1" applyFont="1" applyBorder="1" applyAlignment="1">
      <alignment horizontal="center"/>
    </xf>
    <xf numFmtId="165" fontId="5" fillId="0" borderId="1" xfId="6" applyNumberFormat="1" applyFont="1" applyBorder="1" applyAlignment="1">
      <alignment horizontal="center"/>
    </xf>
    <xf numFmtId="165" fontId="5" fillId="0" borderId="0" xfId="6" applyNumberFormat="1" applyFont="1" applyAlignment="1">
      <alignment horizontal="center"/>
    </xf>
    <xf numFmtId="165" fontId="5" fillId="0" borderId="1" xfId="6" applyNumberFormat="1" applyFont="1" applyBorder="1" applyAlignment="1">
      <alignment horizontal="center" vertical="center"/>
    </xf>
    <xf numFmtId="165" fontId="3" fillId="0" borderId="0" xfId="6" applyNumberFormat="1" applyFont="1" applyAlignment="1">
      <alignment horizontal="center"/>
    </xf>
    <xf numFmtId="165" fontId="3" fillId="0" borderId="5" xfId="0" applyNumberFormat="1" applyFont="1" applyBorder="1"/>
    <xf numFmtId="1" fontId="3" fillId="0" borderId="1" xfId="0" applyNumberFormat="1" applyFont="1" applyBorder="1" applyAlignment="1">
      <alignment horizontal="center"/>
    </xf>
    <xf numFmtId="165" fontId="5" fillId="0" borderId="1" xfId="0" applyNumberFormat="1" applyFont="1" applyBorder="1" applyAlignment="1">
      <alignment horizontal="center"/>
    </xf>
    <xf numFmtId="165" fontId="5" fillId="5" borderId="1" xfId="6" applyNumberFormat="1" applyFont="1" applyFill="1" applyBorder="1" applyAlignment="1">
      <alignment horizontal="center"/>
    </xf>
    <xf numFmtId="165" fontId="10" fillId="6" borderId="1" xfId="0" applyNumberFormat="1" applyFont="1" applyFill="1" applyBorder="1" applyAlignment="1">
      <alignment horizontal="center" vertical="center" wrapText="1"/>
    </xf>
    <xf numFmtId="3" fontId="11" fillId="0" borderId="0" xfId="0" applyNumberFormat="1" applyFont="1"/>
    <xf numFmtId="3" fontId="12" fillId="7" borderId="1" xfId="0" applyNumberFormat="1" applyFont="1" applyFill="1" applyBorder="1"/>
    <xf numFmtId="3" fontId="12" fillId="6" borderId="1" xfId="0" applyNumberFormat="1" applyFont="1" applyFill="1" applyBorder="1"/>
    <xf numFmtId="3" fontId="0" fillId="0" borderId="0" xfId="0" applyNumberFormat="1"/>
    <xf numFmtId="165" fontId="0" fillId="0" borderId="0" xfId="6" applyNumberFormat="1" applyFont="1"/>
    <xf numFmtId="165" fontId="0" fillId="0" borderId="0" xfId="0" applyNumberFormat="1"/>
    <xf numFmtId="165" fontId="5" fillId="0" borderId="0" xfId="0" applyNumberFormat="1" applyFont="1" applyAlignment="1">
      <alignment horizontal="center"/>
    </xf>
    <xf numFmtId="2" fontId="3" fillId="0" borderId="0" xfId="0" applyNumberFormat="1" applyFont="1" applyAlignment="1">
      <alignment horizontal="center"/>
    </xf>
    <xf numFmtId="0" fontId="5" fillId="0" borderId="1" xfId="0" applyFont="1" applyBorder="1" applyAlignment="1">
      <alignment horizontal="center" vertical="center"/>
    </xf>
    <xf numFmtId="165" fontId="5" fillId="4" borderId="1" xfId="6" applyNumberFormat="1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165" fontId="5" fillId="3" borderId="1" xfId="6" applyNumberFormat="1" applyFont="1" applyFill="1" applyBorder="1" applyAlignment="1">
      <alignment horizontal="center"/>
    </xf>
    <xf numFmtId="0" fontId="5" fillId="3" borderId="4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165" fontId="5" fillId="3" borderId="2" xfId="6" applyNumberFormat="1" applyFont="1" applyFill="1" applyBorder="1" applyAlignment="1">
      <alignment horizontal="center"/>
    </xf>
    <xf numFmtId="165" fontId="5" fillId="3" borderId="3" xfId="6" applyNumberFormat="1" applyFont="1" applyFill="1" applyBorder="1" applyAlignment="1">
      <alignment horizontal="center"/>
    </xf>
  </cellXfs>
  <cellStyles count="8">
    <cellStyle name="Comma" xfId="6" builtinId="3"/>
    <cellStyle name="Comma 2" xfId="4" xr:uid="{B64C2FD5-A101-485A-BA03-20032A7369BF}"/>
    <cellStyle name="Comma 3" xfId="1" xr:uid="{13E52502-9281-4E25-87B0-88E44BE6E926}"/>
    <cellStyle name="Normal" xfId="0" builtinId="0"/>
    <cellStyle name="Normal 2" xfId="2" xr:uid="{B3CA2F1A-DB24-4E06-A18E-A33A13912127}"/>
    <cellStyle name="Normal 3" xfId="3" xr:uid="{EFFDBEF0-3493-4CEE-A3DE-6966436E993C}"/>
    <cellStyle name="Normal 3 2" xfId="5" xr:uid="{BA5DF096-13A8-4F3B-BC99-FBE611B4A870}"/>
    <cellStyle name="Percent" xfId="7" builtinId="5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38D6A-A195-420F-A3C8-01AF435FAA34}">
  <dimension ref="A1:P8"/>
  <sheetViews>
    <sheetView showGridLines="0"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J16" sqref="J16"/>
    </sheetView>
  </sheetViews>
  <sheetFormatPr defaultColWidth="8.7265625" defaultRowHeight="14" x14ac:dyDescent="0.3"/>
  <cols>
    <col min="1" max="1" width="19.1796875" style="4" bestFit="1" customWidth="1"/>
    <col min="2" max="2" width="9.1796875" style="31" bestFit="1" customWidth="1"/>
    <col min="3" max="13" width="8.81640625" style="31" bestFit="1" customWidth="1"/>
    <col min="14" max="14" width="9.1796875" style="37" bestFit="1" customWidth="1"/>
    <col min="15" max="16384" width="8.7265625" style="4"/>
  </cols>
  <sheetData>
    <row r="1" spans="1:16" s="11" customFormat="1" ht="14.5" customHeight="1" x14ac:dyDescent="0.3">
      <c r="A1" s="53" t="s">
        <v>0</v>
      </c>
      <c r="B1" s="54" t="s">
        <v>1</v>
      </c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</row>
    <row r="2" spans="1:16" s="11" customFormat="1" x14ac:dyDescent="0.3">
      <c r="A2" s="53"/>
      <c r="B2" s="36">
        <v>1</v>
      </c>
      <c r="C2" s="36">
        <v>2</v>
      </c>
      <c r="D2" s="36">
        <v>3</v>
      </c>
      <c r="E2" s="36">
        <v>4</v>
      </c>
      <c r="F2" s="36">
        <v>5</v>
      </c>
      <c r="G2" s="36">
        <v>6</v>
      </c>
      <c r="H2" s="36">
        <v>7</v>
      </c>
      <c r="I2" s="36">
        <v>8</v>
      </c>
      <c r="J2" s="36">
        <v>9</v>
      </c>
      <c r="K2" s="36">
        <v>10</v>
      </c>
      <c r="L2" s="36">
        <v>11</v>
      </c>
      <c r="M2" s="36">
        <v>12</v>
      </c>
      <c r="N2" s="36" t="s">
        <v>2</v>
      </c>
    </row>
    <row r="3" spans="1:16" x14ac:dyDescent="0.3">
      <c r="A3" s="22" t="s">
        <v>7</v>
      </c>
      <c r="B3" s="23">
        <f>'Chi tiết công ngoài giờ'!E2</f>
        <v>72</v>
      </c>
      <c r="C3" s="23">
        <f>'Chi tiết công ngoài giờ'!E3</f>
        <v>312</v>
      </c>
      <c r="D3" s="23">
        <f>'Chi tiết công ngoài giờ'!E4</f>
        <v>36</v>
      </c>
      <c r="E3" s="23">
        <f>'Chi tiết công ngoài giờ'!E5</f>
        <v>280</v>
      </c>
      <c r="F3" s="23">
        <f>'Chi tiết công ngoài giờ'!E6</f>
        <v>419</v>
      </c>
      <c r="G3" s="23">
        <f>'Chi tiết công ngoài giờ'!E7</f>
        <v>0</v>
      </c>
      <c r="H3" s="23">
        <f>'Chi tiết công ngoài giờ'!E8</f>
        <v>0</v>
      </c>
      <c r="I3" s="23">
        <f>'Chi tiết công ngoài giờ'!E9</f>
        <v>0</v>
      </c>
      <c r="J3" s="23">
        <f>'Chi tiết công ngoài giờ'!E10</f>
        <v>0</v>
      </c>
      <c r="K3" s="23">
        <f>'Chi tiết công ngoài giờ'!E11</f>
        <v>0</v>
      </c>
      <c r="L3" s="23">
        <f>'Chi tiết công ngoài giờ'!E12</f>
        <v>0</v>
      </c>
      <c r="M3" s="23">
        <f>'Chi tiết công ngoài giờ'!E13</f>
        <v>0</v>
      </c>
      <c r="N3" s="36">
        <f>SUM(B3:M3)</f>
        <v>1119</v>
      </c>
      <c r="P3" s="1"/>
    </row>
    <row r="4" spans="1:16" x14ac:dyDescent="0.3">
      <c r="A4" s="22" t="s">
        <v>8</v>
      </c>
      <c r="B4" s="23"/>
      <c r="C4" s="23"/>
      <c r="D4" s="23">
        <f>'Chi tiết công ngoài giờ'!E18</f>
        <v>99</v>
      </c>
      <c r="E4" s="23"/>
      <c r="F4" s="23">
        <f>'Chi tiết công ngoài giờ'!E20</f>
        <v>452</v>
      </c>
      <c r="G4" s="23"/>
      <c r="H4" s="23"/>
      <c r="I4" s="23"/>
      <c r="J4" s="23">
        <f>'Chi tiết công ngoài giờ'!E24</f>
        <v>0</v>
      </c>
      <c r="K4" s="23"/>
      <c r="L4" s="23"/>
      <c r="M4" s="23"/>
      <c r="N4" s="36">
        <f>SUM(B4:M4)</f>
        <v>551</v>
      </c>
      <c r="P4" s="1"/>
    </row>
    <row r="5" spans="1:16" x14ac:dyDescent="0.3">
      <c r="A5" s="22" t="s">
        <v>4</v>
      </c>
      <c r="B5" s="23">
        <f>'Chi tiết công ngoài giờ'!E30</f>
        <v>96</v>
      </c>
      <c r="C5" s="23">
        <f>'Chi tiết công ngoài giờ'!E31</f>
        <v>480</v>
      </c>
      <c r="D5" s="23"/>
      <c r="E5" s="23">
        <f>'Chi tiết công ngoài giờ'!E33</f>
        <v>0</v>
      </c>
      <c r="F5" s="23">
        <f>'Chi tiết công ngoài giờ'!E34</f>
        <v>296</v>
      </c>
      <c r="G5" s="23"/>
      <c r="H5" s="23"/>
      <c r="I5" s="23">
        <f>'Chi tiết công ngoài giờ'!E37</f>
        <v>0</v>
      </c>
      <c r="J5" s="23">
        <f>'Chi tiết công ngoài giờ'!E38</f>
        <v>0</v>
      </c>
      <c r="K5" s="23"/>
      <c r="L5" s="23"/>
      <c r="M5" s="23"/>
      <c r="N5" s="36">
        <f t="shared" ref="N5" si="0">SUM(B5:M5)</f>
        <v>872</v>
      </c>
      <c r="P5" s="1"/>
    </row>
    <row r="6" spans="1:16" x14ac:dyDescent="0.3">
      <c r="A6" s="22" t="s">
        <v>5</v>
      </c>
      <c r="B6" s="23"/>
      <c r="C6" s="23"/>
      <c r="D6" s="23"/>
      <c r="E6" s="23"/>
      <c r="F6" s="23">
        <f>'Chi tiết công ngoài giờ'!E62</f>
        <v>52</v>
      </c>
      <c r="G6" s="23"/>
      <c r="H6" s="23">
        <f>'Chi tiết công ngoài giờ'!E64</f>
        <v>0</v>
      </c>
      <c r="I6" s="23"/>
      <c r="J6" s="23">
        <f>'Chi tiết công ngoài giờ'!E66</f>
        <v>0</v>
      </c>
      <c r="K6" s="23"/>
      <c r="L6" s="23"/>
      <c r="M6" s="23"/>
      <c r="N6" s="36">
        <f>SUM(B6:M6)</f>
        <v>52</v>
      </c>
      <c r="P6" s="1"/>
    </row>
    <row r="7" spans="1:16" x14ac:dyDescent="0.3">
      <c r="A7" s="22" t="s">
        <v>6</v>
      </c>
      <c r="B7" s="23"/>
      <c r="C7" s="23"/>
      <c r="D7" s="23"/>
      <c r="E7" s="23"/>
      <c r="F7" s="23">
        <f>'Chi tiết công ngoài giờ'!E48</f>
        <v>144</v>
      </c>
      <c r="G7" s="23"/>
      <c r="H7" s="23"/>
      <c r="I7" s="23">
        <f>'Chi tiết công ngoài giờ'!E51</f>
        <v>0</v>
      </c>
      <c r="J7" s="23">
        <f>'Chi tiết công ngoài giờ'!E52</f>
        <v>0</v>
      </c>
      <c r="K7" s="23"/>
      <c r="L7" s="23"/>
      <c r="M7" s="23"/>
      <c r="N7" s="36">
        <f>SUM(B7:M7)</f>
        <v>144</v>
      </c>
      <c r="P7" s="1"/>
    </row>
    <row r="8" spans="1:16" s="11" customFormat="1" x14ac:dyDescent="0.3">
      <c r="A8" s="27" t="s">
        <v>2</v>
      </c>
      <c r="B8" s="28">
        <f t="shared" ref="B8:M8" si="1">SUM(B3:B7)</f>
        <v>168</v>
      </c>
      <c r="C8" s="28">
        <f t="shared" si="1"/>
        <v>792</v>
      </c>
      <c r="D8" s="28">
        <f t="shared" si="1"/>
        <v>135</v>
      </c>
      <c r="E8" s="28">
        <f t="shared" si="1"/>
        <v>280</v>
      </c>
      <c r="F8" s="28">
        <f t="shared" si="1"/>
        <v>1363</v>
      </c>
      <c r="G8" s="28">
        <f t="shared" si="1"/>
        <v>0</v>
      </c>
      <c r="H8" s="28">
        <f t="shared" si="1"/>
        <v>0</v>
      </c>
      <c r="I8" s="28">
        <f t="shared" si="1"/>
        <v>0</v>
      </c>
      <c r="J8" s="28">
        <f t="shared" si="1"/>
        <v>0</v>
      </c>
      <c r="K8" s="28">
        <f t="shared" si="1"/>
        <v>0</v>
      </c>
      <c r="L8" s="28">
        <f t="shared" si="1"/>
        <v>0</v>
      </c>
      <c r="M8" s="28">
        <f t="shared" si="1"/>
        <v>0</v>
      </c>
      <c r="N8" s="36">
        <f>SUM(B8:M8)</f>
        <v>2738</v>
      </c>
    </row>
  </sheetData>
  <mergeCells count="2">
    <mergeCell ref="A1:A2"/>
    <mergeCell ref="B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70D05-557F-4546-85D9-321EB1FA913F}">
  <dimension ref="A1:V14"/>
  <sheetViews>
    <sheetView zoomScale="110" zoomScaleNormal="110" workbookViewId="0">
      <pane xSplit="1" ySplit="2" topLeftCell="L3" activePane="bottomRight" state="frozen"/>
      <selection pane="topRight" activeCell="B1" sqref="B1"/>
      <selection pane="bottomLeft" activeCell="A3" sqref="A3"/>
      <selection pane="bottomRight" activeCell="U8" sqref="U8"/>
    </sheetView>
  </sheetViews>
  <sheetFormatPr defaultColWidth="8.7265625" defaultRowHeight="14" x14ac:dyDescent="0.3"/>
  <cols>
    <col min="1" max="1" width="19.453125" style="4" customWidth="1"/>
    <col min="2" max="2" width="11.54296875" style="31" bestFit="1" customWidth="1"/>
    <col min="3" max="7" width="12.7265625" style="31" bestFit="1" customWidth="1"/>
    <col min="8" max="8" width="11.1796875" style="31" customWidth="1"/>
    <col min="9" max="9" width="11.81640625" style="31" customWidth="1"/>
    <col min="10" max="10" width="13.54296875" style="31" customWidth="1"/>
    <col min="11" max="13" width="12.7265625" style="4" bestFit="1" customWidth="1"/>
    <col min="14" max="14" width="11.1796875" style="4" bestFit="1" customWidth="1"/>
    <col min="15" max="18" width="11.81640625" style="4" customWidth="1"/>
    <col min="19" max="20" width="14" style="4" bestFit="1" customWidth="1"/>
    <col min="21" max="21" width="15.7265625" style="4" bestFit="1" customWidth="1"/>
    <col min="22" max="16384" width="8.7265625" style="4"/>
  </cols>
  <sheetData>
    <row r="1" spans="1:22" s="11" customFormat="1" x14ac:dyDescent="0.3">
      <c r="A1" s="57" t="s">
        <v>0</v>
      </c>
      <c r="B1" s="56" t="s">
        <v>25</v>
      </c>
      <c r="C1" s="56"/>
      <c r="D1" s="59" t="s">
        <v>26</v>
      </c>
      <c r="E1" s="60"/>
      <c r="F1" s="25" t="s">
        <v>27</v>
      </c>
      <c r="G1" s="59" t="s">
        <v>28</v>
      </c>
      <c r="H1" s="60"/>
      <c r="I1" s="56" t="s">
        <v>29</v>
      </c>
      <c r="J1" s="56"/>
      <c r="K1" s="25" t="s">
        <v>30</v>
      </c>
      <c r="L1" s="25" t="s">
        <v>31</v>
      </c>
      <c r="M1" s="25" t="s">
        <v>32</v>
      </c>
      <c r="N1" s="59" t="s">
        <v>33</v>
      </c>
      <c r="O1" s="60"/>
      <c r="P1" s="25" t="s">
        <v>34</v>
      </c>
      <c r="Q1" s="25" t="s">
        <v>35</v>
      </c>
      <c r="R1" s="25" t="s">
        <v>36</v>
      </c>
      <c r="S1" s="55" t="s">
        <v>37</v>
      </c>
      <c r="T1" s="55"/>
      <c r="U1" s="55"/>
    </row>
    <row r="2" spans="1:22" s="11" customFormat="1" x14ac:dyDescent="0.3">
      <c r="A2" s="58"/>
      <c r="B2" s="25" t="s">
        <v>38</v>
      </c>
      <c r="C2" s="25" t="s">
        <v>39</v>
      </c>
      <c r="D2" s="25" t="s">
        <v>38</v>
      </c>
      <c r="E2" s="25" t="s">
        <v>39</v>
      </c>
      <c r="F2" s="25" t="s">
        <v>38</v>
      </c>
      <c r="G2" s="25" t="s">
        <v>38</v>
      </c>
      <c r="H2" s="25" t="s">
        <v>39</v>
      </c>
      <c r="I2" s="25" t="s">
        <v>38</v>
      </c>
      <c r="J2" s="25" t="s">
        <v>39</v>
      </c>
      <c r="K2" s="25" t="s">
        <v>38</v>
      </c>
      <c r="L2" s="25" t="s">
        <v>38</v>
      </c>
      <c r="M2" s="25" t="s">
        <v>38</v>
      </c>
      <c r="N2" s="25" t="s">
        <v>38</v>
      </c>
      <c r="O2" s="25" t="s">
        <v>39</v>
      </c>
      <c r="P2" s="25" t="s">
        <v>38</v>
      </c>
      <c r="Q2" s="25" t="s">
        <v>38</v>
      </c>
      <c r="R2" s="25" t="s">
        <v>38</v>
      </c>
      <c r="S2" s="43" t="s">
        <v>38</v>
      </c>
      <c r="T2" s="43" t="s">
        <v>39</v>
      </c>
      <c r="U2" s="43" t="s">
        <v>40</v>
      </c>
    </row>
    <row r="3" spans="1:22" x14ac:dyDescent="0.3">
      <c r="A3" s="22" t="s">
        <v>7</v>
      </c>
      <c r="B3" s="23"/>
      <c r="C3" s="23">
        <v>14525795</v>
      </c>
      <c r="D3" s="23">
        <v>8243523</v>
      </c>
      <c r="E3" s="23">
        <v>51364720</v>
      </c>
      <c r="F3" s="23">
        <v>4233072</v>
      </c>
      <c r="G3" s="23">
        <v>30354669</v>
      </c>
      <c r="H3" s="23"/>
      <c r="I3" s="23">
        <v>14218595</v>
      </c>
      <c r="J3" s="23">
        <v>64993683.200000003</v>
      </c>
      <c r="K3" s="23"/>
      <c r="L3" s="23"/>
      <c r="M3" s="23"/>
      <c r="N3" s="23"/>
      <c r="O3" s="23"/>
      <c r="P3" s="23"/>
      <c r="Q3" s="23"/>
      <c r="R3" s="23"/>
      <c r="S3" s="24">
        <f>B3+D3+F3+G3+I3+K3+L3+M3+N3+P3+Q3+R3</f>
        <v>57049859</v>
      </c>
      <c r="T3" s="24">
        <f>C3+J3+O3+E3+H3</f>
        <v>130884198.2</v>
      </c>
      <c r="U3" s="24">
        <f>S3+T3</f>
        <v>187934057.19999999</v>
      </c>
      <c r="V3" s="30">
        <f>U3/$U$8</f>
        <v>0.47935290537208819</v>
      </c>
    </row>
    <row r="4" spans="1:22" x14ac:dyDescent="0.3">
      <c r="A4" s="22" t="s">
        <v>8</v>
      </c>
      <c r="B4" s="23"/>
      <c r="C4" s="23"/>
      <c r="D4" s="23"/>
      <c r="E4" s="23"/>
      <c r="F4" s="23">
        <v>5505626</v>
      </c>
      <c r="G4" s="23"/>
      <c r="H4" s="23"/>
      <c r="I4" s="23"/>
      <c r="J4" s="23">
        <v>53986870.399999999</v>
      </c>
      <c r="K4" s="23"/>
      <c r="L4" s="23"/>
      <c r="M4" s="23"/>
      <c r="N4" s="23"/>
      <c r="O4" s="23"/>
      <c r="P4" s="23"/>
      <c r="Q4" s="23"/>
      <c r="R4" s="23"/>
      <c r="S4" s="24">
        <f>B4+D4+F4+G4+I4+K4+L4+M4+N4+P4+Q4+R4</f>
        <v>5505626</v>
      </c>
      <c r="T4" s="24">
        <f>C4+J4+O4+E4+H4</f>
        <v>53986870.399999999</v>
      </c>
      <c r="U4" s="24">
        <f>S4+T4</f>
        <v>59492496.399999999</v>
      </c>
      <c r="V4" s="30">
        <f>U4/$U$8</f>
        <v>0.15174418847792798</v>
      </c>
    </row>
    <row r="5" spans="1:22" x14ac:dyDescent="0.3">
      <c r="A5" s="22" t="s">
        <v>4</v>
      </c>
      <c r="B5" s="23"/>
      <c r="C5" s="23">
        <v>12771562</v>
      </c>
      <c r="D5" s="23"/>
      <c r="E5" s="23">
        <v>63857808</v>
      </c>
      <c r="F5" s="23"/>
      <c r="G5" s="23"/>
      <c r="H5" s="23"/>
      <c r="I5" s="23">
        <v>426080</v>
      </c>
      <c r="J5" s="23">
        <v>38688163.200000003</v>
      </c>
      <c r="K5" s="23"/>
      <c r="L5" s="23"/>
      <c r="M5" s="23"/>
      <c r="N5" s="23"/>
      <c r="O5" s="23"/>
      <c r="P5" s="23"/>
      <c r="Q5" s="23"/>
      <c r="R5" s="23"/>
      <c r="S5" s="24">
        <f>B5+D5+F5+G5+I5+K5+L5+M5+N5+P5+Q5+R5</f>
        <v>426080</v>
      </c>
      <c r="T5" s="24">
        <f>C5+J5+O5+E5+H5</f>
        <v>115317533.2</v>
      </c>
      <c r="U5" s="24">
        <f>S5+T5</f>
        <v>115743613.2</v>
      </c>
      <c r="V5" s="30">
        <f>U5/$U$8</f>
        <v>0.29522077101032851</v>
      </c>
    </row>
    <row r="6" spans="1:22" x14ac:dyDescent="0.3">
      <c r="A6" s="22" t="s">
        <v>6</v>
      </c>
      <c r="B6" s="23"/>
      <c r="C6" s="23"/>
      <c r="D6" s="23"/>
      <c r="E6" s="23"/>
      <c r="F6" s="23"/>
      <c r="G6" s="23"/>
      <c r="H6" s="23"/>
      <c r="I6" s="23"/>
      <c r="J6" s="23">
        <v>20597545.600000001</v>
      </c>
      <c r="K6" s="23"/>
      <c r="L6" s="23"/>
      <c r="M6" s="23"/>
      <c r="N6" s="23"/>
      <c r="O6" s="23"/>
      <c r="P6" s="23"/>
      <c r="Q6" s="23"/>
      <c r="R6" s="23"/>
      <c r="S6" s="24">
        <f>B6+D6+F6+G6+I6+K6+L6+M6+N6+P6+Q6+R6</f>
        <v>0</v>
      </c>
      <c r="T6" s="24">
        <f>C6+J6+O6+E6+H6</f>
        <v>20597545.600000001</v>
      </c>
      <c r="U6" s="24">
        <f>S6+T6</f>
        <v>20597545.600000001</v>
      </c>
      <c r="V6" s="30">
        <f>U6/$U$8</f>
        <v>5.253700938508804E-2</v>
      </c>
    </row>
    <row r="7" spans="1:22" x14ac:dyDescent="0.3">
      <c r="A7" s="22" t="s">
        <v>5</v>
      </c>
      <c r="B7" s="23"/>
      <c r="C7" s="23"/>
      <c r="D7" s="23"/>
      <c r="E7" s="23"/>
      <c r="F7" s="23"/>
      <c r="G7" s="23"/>
      <c r="H7" s="23"/>
      <c r="I7" s="23"/>
      <c r="J7" s="23">
        <v>8290112</v>
      </c>
      <c r="K7" s="23"/>
      <c r="L7" s="23"/>
      <c r="M7" s="23"/>
      <c r="N7" s="23"/>
      <c r="O7" s="23"/>
      <c r="P7" s="23"/>
      <c r="Q7" s="23"/>
      <c r="R7" s="23"/>
      <c r="S7" s="24">
        <f t="shared" ref="S7" si="0">B7+D7+F7+G7+I7+K7+L7+M7+N7+P7+Q7+R7</f>
        <v>0</v>
      </c>
      <c r="T7" s="24">
        <f t="shared" ref="T7" si="1">C7+J7+O7+E7+H7</f>
        <v>8290112</v>
      </c>
      <c r="U7" s="24">
        <f t="shared" ref="U7" si="2">S7+T7</f>
        <v>8290112</v>
      </c>
      <c r="V7" s="30">
        <f>U7/$U$8</f>
        <v>2.1145125754567135E-2</v>
      </c>
    </row>
    <row r="8" spans="1:22" x14ac:dyDescent="0.3">
      <c r="A8" s="16" t="s">
        <v>2</v>
      </c>
      <c r="B8" s="28">
        <f t="shared" ref="B8:U8" si="3">SUM(B3:B7)</f>
        <v>0</v>
      </c>
      <c r="C8" s="28">
        <f t="shared" si="3"/>
        <v>27297357</v>
      </c>
      <c r="D8" s="28">
        <f t="shared" si="3"/>
        <v>8243523</v>
      </c>
      <c r="E8" s="28">
        <f t="shared" si="3"/>
        <v>115222528</v>
      </c>
      <c r="F8" s="28">
        <f t="shared" si="3"/>
        <v>9738698</v>
      </c>
      <c r="G8" s="28">
        <f t="shared" si="3"/>
        <v>30354669</v>
      </c>
      <c r="H8" s="28">
        <f t="shared" si="3"/>
        <v>0</v>
      </c>
      <c r="I8" s="28">
        <f t="shared" si="3"/>
        <v>14644675</v>
      </c>
      <c r="J8" s="28">
        <f t="shared" si="3"/>
        <v>186556374.40000001</v>
      </c>
      <c r="K8" s="28">
        <f t="shared" si="3"/>
        <v>0</v>
      </c>
      <c r="L8" s="28">
        <f t="shared" si="3"/>
        <v>0</v>
      </c>
      <c r="M8" s="28">
        <f t="shared" si="3"/>
        <v>0</v>
      </c>
      <c r="N8" s="28">
        <f t="shared" si="3"/>
        <v>0</v>
      </c>
      <c r="O8" s="28">
        <f t="shared" si="3"/>
        <v>0</v>
      </c>
      <c r="P8" s="28">
        <f t="shared" si="3"/>
        <v>0</v>
      </c>
      <c r="Q8" s="28">
        <f t="shared" si="3"/>
        <v>0</v>
      </c>
      <c r="R8" s="28">
        <f t="shared" si="3"/>
        <v>0</v>
      </c>
      <c r="S8" s="28">
        <f t="shared" si="3"/>
        <v>62981565</v>
      </c>
      <c r="T8" s="28">
        <f t="shared" si="3"/>
        <v>329076259.40000004</v>
      </c>
      <c r="U8" s="28">
        <f t="shared" si="3"/>
        <v>392057824.40000004</v>
      </c>
    </row>
    <row r="9" spans="1:22" hidden="1" x14ac:dyDescent="0.3">
      <c r="A9" s="22" t="s">
        <v>41</v>
      </c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4"/>
      <c r="O9" s="24"/>
      <c r="P9" s="24"/>
      <c r="Q9" s="24"/>
      <c r="R9" s="24"/>
      <c r="S9" s="40"/>
      <c r="T9" s="40"/>
      <c r="U9" s="1"/>
    </row>
    <row r="10" spans="1:22" hidden="1" x14ac:dyDescent="0.3">
      <c r="A10" s="22" t="s">
        <v>42</v>
      </c>
      <c r="B10" s="23" t="e">
        <f>B8/B9</f>
        <v>#DIV/0!</v>
      </c>
      <c r="C10" s="23" t="e">
        <f t="shared" ref="C10:O10" si="4">C8/C9</f>
        <v>#DIV/0!</v>
      </c>
      <c r="D10" s="23" t="e">
        <f t="shared" si="4"/>
        <v>#DIV/0!</v>
      </c>
      <c r="E10" s="23"/>
      <c r="F10" s="23" t="e">
        <f t="shared" si="4"/>
        <v>#DIV/0!</v>
      </c>
      <c r="G10" s="23" t="e">
        <f t="shared" si="4"/>
        <v>#DIV/0!</v>
      </c>
      <c r="H10" s="23"/>
      <c r="I10" s="23" t="e">
        <f t="shared" si="4"/>
        <v>#DIV/0!</v>
      </c>
      <c r="J10" s="23" t="e">
        <f t="shared" si="4"/>
        <v>#DIV/0!</v>
      </c>
      <c r="K10" s="23" t="e">
        <f t="shared" si="4"/>
        <v>#DIV/0!</v>
      </c>
      <c r="L10" s="23" t="e">
        <f t="shared" si="4"/>
        <v>#DIV/0!</v>
      </c>
      <c r="M10" s="23" t="e">
        <f t="shared" si="4"/>
        <v>#DIV/0!</v>
      </c>
      <c r="N10" s="23" t="e">
        <f t="shared" si="4"/>
        <v>#DIV/0!</v>
      </c>
      <c r="O10" s="23" t="e">
        <f t="shared" si="4"/>
        <v>#DIV/0!</v>
      </c>
      <c r="P10" s="23" t="e">
        <f t="shared" ref="P10" si="5">P8/P9</f>
        <v>#DIV/0!</v>
      </c>
      <c r="Q10" s="23" t="e">
        <f>Q8/Q9</f>
        <v>#DIV/0!</v>
      </c>
      <c r="R10" s="23" t="e">
        <f>R8/R9</f>
        <v>#DIV/0!</v>
      </c>
      <c r="S10" s="23" t="e">
        <f>S8/S9</f>
        <v>#DIV/0!</v>
      </c>
      <c r="T10" s="23" t="e">
        <f>T8/T9</f>
        <v>#DIV/0!</v>
      </c>
      <c r="U10" s="1"/>
    </row>
    <row r="11" spans="1:22" hidden="1" x14ac:dyDescent="0.3">
      <c r="A11" s="22" t="s">
        <v>43</v>
      </c>
      <c r="B11" s="32" t="e">
        <f>B10/24000</f>
        <v>#DIV/0!</v>
      </c>
      <c r="C11" s="32" t="e">
        <f t="shared" ref="C11:O11" si="6">C10/24000</f>
        <v>#DIV/0!</v>
      </c>
      <c r="D11" s="32" t="e">
        <f t="shared" si="6"/>
        <v>#DIV/0!</v>
      </c>
      <c r="E11" s="32"/>
      <c r="F11" s="32" t="e">
        <f t="shared" si="6"/>
        <v>#DIV/0!</v>
      </c>
      <c r="G11" s="32" t="e">
        <f t="shared" si="6"/>
        <v>#DIV/0!</v>
      </c>
      <c r="H11" s="32"/>
      <c r="I11" s="32" t="e">
        <f t="shared" si="6"/>
        <v>#DIV/0!</v>
      </c>
      <c r="J11" s="32" t="e">
        <f t="shared" si="6"/>
        <v>#DIV/0!</v>
      </c>
      <c r="K11" s="32" t="e">
        <f t="shared" si="6"/>
        <v>#DIV/0!</v>
      </c>
      <c r="L11" s="32" t="e">
        <f t="shared" si="6"/>
        <v>#DIV/0!</v>
      </c>
      <c r="M11" s="32" t="e">
        <f t="shared" si="6"/>
        <v>#DIV/0!</v>
      </c>
      <c r="N11" s="32" t="e">
        <f t="shared" si="6"/>
        <v>#DIV/0!</v>
      </c>
      <c r="O11" s="32" t="e">
        <f t="shared" si="6"/>
        <v>#DIV/0!</v>
      </c>
      <c r="P11" s="32" t="e">
        <f t="shared" ref="P11:Q11" si="7">P10/24000</f>
        <v>#DIV/0!</v>
      </c>
      <c r="Q11" s="32" t="e">
        <f t="shared" si="7"/>
        <v>#DIV/0!</v>
      </c>
      <c r="R11" s="32" t="e">
        <f t="shared" ref="R11:S11" si="8">R10/24000</f>
        <v>#DIV/0!</v>
      </c>
      <c r="S11" s="32" t="e">
        <f t="shared" si="8"/>
        <v>#DIV/0!</v>
      </c>
      <c r="T11" s="32" t="e">
        <f t="shared" ref="T11" si="9">T10/24000</f>
        <v>#DIV/0!</v>
      </c>
    </row>
    <row r="13" spans="1:22" x14ac:dyDescent="0.3">
      <c r="K13" s="31"/>
      <c r="L13" s="31"/>
      <c r="M13" s="31"/>
      <c r="N13" s="31"/>
      <c r="O13" s="31"/>
      <c r="P13" s="31"/>
      <c r="Q13" s="31"/>
      <c r="R13" s="31"/>
    </row>
    <row r="14" spans="1:22" x14ac:dyDescent="0.3">
      <c r="N14" s="1"/>
      <c r="O14" s="1"/>
      <c r="P14" s="1"/>
      <c r="Q14" s="1"/>
      <c r="R14" s="1"/>
    </row>
  </sheetData>
  <autoFilter ref="A2:V11" xr:uid="{1E970D05-557F-4546-85D9-321EB1FA913F}"/>
  <mergeCells count="7">
    <mergeCell ref="S1:U1"/>
    <mergeCell ref="B1:C1"/>
    <mergeCell ref="I1:J1"/>
    <mergeCell ref="A1:A2"/>
    <mergeCell ref="N1:O1"/>
    <mergeCell ref="D1:E1"/>
    <mergeCell ref="G1:H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17751-C6DF-4AB5-84BC-0C104F492472}">
  <dimension ref="A1:L116"/>
  <sheetViews>
    <sheetView showGridLines="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I12" sqref="I12"/>
    </sheetView>
  </sheetViews>
  <sheetFormatPr defaultColWidth="8.81640625" defaultRowHeight="14" x14ac:dyDescent="0.3"/>
  <cols>
    <col min="1" max="1" width="8.81640625" style="3"/>
    <col min="2" max="2" width="20.81640625" style="3" customWidth="1"/>
    <col min="3" max="3" width="12.453125" style="3" customWidth="1"/>
    <col min="4" max="5" width="12.453125" style="39" customWidth="1"/>
    <col min="6" max="6" width="8" style="3" customWidth="1"/>
    <col min="7" max="7" width="21.453125" style="4" bestFit="1" customWidth="1"/>
    <col min="8" max="9" width="14" style="4" customWidth="1"/>
    <col min="10" max="10" width="14.453125" style="4" customWidth="1"/>
    <col min="11" max="11" width="9.81640625" style="4" hidden="1" customWidth="1"/>
    <col min="12" max="12" width="11.54296875" style="4" hidden="1" customWidth="1"/>
    <col min="13" max="16384" width="8.81640625" style="4"/>
  </cols>
  <sheetData>
    <row r="1" spans="1:12" s="7" customFormat="1" ht="28" x14ac:dyDescent="0.35">
      <c r="A1" s="12" t="s">
        <v>9</v>
      </c>
      <c r="B1" s="12" t="s">
        <v>10</v>
      </c>
      <c r="C1" s="12" t="s">
        <v>11</v>
      </c>
      <c r="D1" s="38" t="s">
        <v>12</v>
      </c>
      <c r="E1" s="38" t="s">
        <v>2</v>
      </c>
      <c r="F1" s="6"/>
      <c r="G1" s="29" t="s">
        <v>13</v>
      </c>
      <c r="H1" s="26" t="s">
        <v>14</v>
      </c>
      <c r="I1" s="26" t="s">
        <v>15</v>
      </c>
      <c r="J1" s="26" t="s">
        <v>16</v>
      </c>
      <c r="K1" s="12" t="s">
        <v>17</v>
      </c>
      <c r="L1" s="13" t="s">
        <v>18</v>
      </c>
    </row>
    <row r="2" spans="1:12" ht="14.5" x14ac:dyDescent="0.35">
      <c r="A2" s="14">
        <v>1</v>
      </c>
      <c r="B2" s="15" t="s">
        <v>7</v>
      </c>
      <c r="C2" s="14"/>
      <c r="D2" s="35">
        <v>72</v>
      </c>
      <c r="E2" s="35">
        <f>C2+D2</f>
        <v>72</v>
      </c>
      <c r="G2" s="22" t="s">
        <v>7</v>
      </c>
      <c r="H2" s="23">
        <f>C14</f>
        <v>531</v>
      </c>
      <c r="I2" s="23">
        <f>D14</f>
        <v>588</v>
      </c>
      <c r="J2" s="23">
        <f>'Lương CN + LỄ'!U3</f>
        <v>187934057.19999999</v>
      </c>
      <c r="K2" s="19" t="e">
        <f>#REF!</f>
        <v>#REF!</v>
      </c>
      <c r="L2" s="22" t="e">
        <f>H2+K2</f>
        <v>#REF!</v>
      </c>
    </row>
    <row r="3" spans="1:12" ht="14.5" x14ac:dyDescent="0.35">
      <c r="A3" s="14">
        <v>2</v>
      </c>
      <c r="B3" s="15" t="s">
        <v>7</v>
      </c>
      <c r="C3" s="14">
        <v>72</v>
      </c>
      <c r="D3" s="35">
        <v>240</v>
      </c>
      <c r="E3" s="35">
        <f t="shared" ref="E3:E27" si="0">C3+D3</f>
        <v>312</v>
      </c>
      <c r="G3" s="22" t="s">
        <v>8</v>
      </c>
      <c r="H3" s="23">
        <f>C28</f>
        <v>99</v>
      </c>
      <c r="I3" s="23">
        <f>D28</f>
        <v>452</v>
      </c>
      <c r="J3" s="23">
        <f>'Lương CN + LỄ'!U4</f>
        <v>59492496.399999999</v>
      </c>
      <c r="K3" s="19" t="e">
        <f>#REF!</f>
        <v>#REF!</v>
      </c>
      <c r="L3" s="22" t="e">
        <f t="shared" ref="L3:L5" si="1">H3+K3</f>
        <v>#REF!</v>
      </c>
    </row>
    <row r="4" spans="1:12" ht="14.5" x14ac:dyDescent="0.35">
      <c r="A4" s="14">
        <v>3</v>
      </c>
      <c r="B4" s="15" t="s">
        <v>7</v>
      </c>
      <c r="C4" s="14">
        <v>36</v>
      </c>
      <c r="D4" s="35"/>
      <c r="E4" s="35">
        <f t="shared" si="0"/>
        <v>36</v>
      </c>
      <c r="G4" s="22" t="s">
        <v>4</v>
      </c>
      <c r="H4" s="23">
        <f>C42</f>
        <v>8</v>
      </c>
      <c r="I4" s="23">
        <f>D42</f>
        <v>864</v>
      </c>
      <c r="J4" s="23">
        <f>'Lương CN + LỄ'!U5</f>
        <v>115743613.2</v>
      </c>
      <c r="K4" s="19" t="e">
        <f>#REF!</f>
        <v>#REF!</v>
      </c>
      <c r="L4" s="22" t="e">
        <f t="shared" si="1"/>
        <v>#REF!</v>
      </c>
    </row>
    <row r="5" spans="1:12" x14ac:dyDescent="0.3">
      <c r="A5" s="14">
        <v>4</v>
      </c>
      <c r="B5" s="15" t="s">
        <v>7</v>
      </c>
      <c r="C5" s="14">
        <v>280</v>
      </c>
      <c r="D5" s="35"/>
      <c r="E5" s="35">
        <f t="shared" si="0"/>
        <v>280</v>
      </c>
      <c r="G5" s="22" t="s">
        <v>6</v>
      </c>
      <c r="H5" s="23">
        <f>C56</f>
        <v>0</v>
      </c>
      <c r="I5" s="23">
        <f>D56</f>
        <v>144</v>
      </c>
      <c r="J5" s="23">
        <f>'Lương CN + LỄ'!U6</f>
        <v>20597545.600000001</v>
      </c>
      <c r="K5" s="22" t="e">
        <f>#REF!</f>
        <v>#REF!</v>
      </c>
      <c r="L5" s="22" t="e">
        <f t="shared" si="1"/>
        <v>#REF!</v>
      </c>
    </row>
    <row r="6" spans="1:12" ht="14.5" x14ac:dyDescent="0.35">
      <c r="A6" s="14">
        <v>5</v>
      </c>
      <c r="B6" s="15" t="s">
        <v>7</v>
      </c>
      <c r="C6" s="41">
        <v>143</v>
      </c>
      <c r="D6" s="35">
        <v>276</v>
      </c>
      <c r="E6" s="35">
        <f t="shared" si="0"/>
        <v>419</v>
      </c>
      <c r="G6" s="22" t="s">
        <v>19</v>
      </c>
      <c r="H6" s="23">
        <f>C70</f>
        <v>0</v>
      </c>
      <c r="I6" s="23">
        <f>D70</f>
        <v>52</v>
      </c>
      <c r="J6" s="23">
        <f>'Lương CN + LỄ'!U7</f>
        <v>8290112</v>
      </c>
      <c r="K6" s="18" t="e">
        <f>SUM(K2:K5)</f>
        <v>#REF!</v>
      </c>
      <c r="L6" s="18" t="e">
        <f>SUM(L2:L5)</f>
        <v>#REF!</v>
      </c>
    </row>
    <row r="7" spans="1:12" x14ac:dyDescent="0.3">
      <c r="A7" s="14">
        <v>6</v>
      </c>
      <c r="B7" s="15" t="s">
        <v>7</v>
      </c>
      <c r="C7" s="41"/>
      <c r="D7" s="35"/>
      <c r="E7" s="35">
        <f t="shared" si="0"/>
        <v>0</v>
      </c>
      <c r="G7" s="27" t="s">
        <v>2</v>
      </c>
      <c r="H7" s="28">
        <f>SUM(H2:H6)</f>
        <v>638</v>
      </c>
      <c r="I7" s="28">
        <f>SUM(I2:I6)</f>
        <v>2100</v>
      </c>
      <c r="J7" s="28">
        <f>SUM(J2:J6)</f>
        <v>392057824.40000004</v>
      </c>
      <c r="K7" s="22"/>
      <c r="L7" s="22"/>
    </row>
    <row r="8" spans="1:12" x14ac:dyDescent="0.3">
      <c r="A8" s="14">
        <v>7</v>
      </c>
      <c r="B8" s="15" t="s">
        <v>7</v>
      </c>
      <c r="C8" s="14"/>
      <c r="D8" s="35"/>
      <c r="E8" s="35">
        <f t="shared" si="0"/>
        <v>0</v>
      </c>
      <c r="G8" s="22"/>
      <c r="H8" s="22"/>
      <c r="I8" s="22"/>
      <c r="J8" s="22"/>
      <c r="K8" s="22"/>
      <c r="L8" s="22"/>
    </row>
    <row r="9" spans="1:12" x14ac:dyDescent="0.3">
      <c r="A9" s="14">
        <v>8</v>
      </c>
      <c r="B9" s="15" t="s">
        <v>7</v>
      </c>
      <c r="C9" s="41"/>
      <c r="D9" s="35"/>
      <c r="E9" s="35">
        <f t="shared" si="0"/>
        <v>0</v>
      </c>
    </row>
    <row r="10" spans="1:12" x14ac:dyDescent="0.3">
      <c r="A10" s="14">
        <v>9</v>
      </c>
      <c r="B10" s="15" t="s">
        <v>7</v>
      </c>
      <c r="C10" s="41"/>
      <c r="D10" s="35"/>
      <c r="E10" s="35">
        <f t="shared" si="0"/>
        <v>0</v>
      </c>
      <c r="F10" s="52"/>
    </row>
    <row r="11" spans="1:12" x14ac:dyDescent="0.3">
      <c r="A11" s="14">
        <v>10</v>
      </c>
      <c r="B11" s="15" t="s">
        <v>7</v>
      </c>
      <c r="C11" s="14"/>
      <c r="D11" s="35"/>
      <c r="E11" s="35">
        <f t="shared" si="0"/>
        <v>0</v>
      </c>
      <c r="J11" s="1"/>
    </row>
    <row r="12" spans="1:12" x14ac:dyDescent="0.3">
      <c r="A12" s="14">
        <v>11</v>
      </c>
      <c r="B12" s="15" t="s">
        <v>7</v>
      </c>
      <c r="C12" s="14"/>
      <c r="D12" s="35"/>
      <c r="E12" s="35">
        <f t="shared" si="0"/>
        <v>0</v>
      </c>
    </row>
    <row r="13" spans="1:12" x14ac:dyDescent="0.3">
      <c r="A13" s="14">
        <v>12</v>
      </c>
      <c r="B13" s="15" t="s">
        <v>7</v>
      </c>
      <c r="C13" s="14"/>
      <c r="D13" s="35"/>
      <c r="E13" s="35">
        <f t="shared" si="0"/>
        <v>0</v>
      </c>
    </row>
    <row r="14" spans="1:12" x14ac:dyDescent="0.3">
      <c r="A14" s="14"/>
      <c r="B14" s="16" t="s">
        <v>20</v>
      </c>
      <c r="C14" s="34">
        <f t="shared" ref="C14:E14" si="2">SUM(C2:C13)</f>
        <v>531</v>
      </c>
      <c r="D14" s="36">
        <f t="shared" si="2"/>
        <v>588</v>
      </c>
      <c r="E14" s="34">
        <f t="shared" si="2"/>
        <v>1119</v>
      </c>
    </row>
    <row r="15" spans="1:12" ht="14.5" x14ac:dyDescent="0.35">
      <c r="B15" s="9"/>
      <c r="C15" s="10"/>
      <c r="D15" s="37"/>
      <c r="E15" s="35"/>
      <c r="G15"/>
      <c r="H15"/>
      <c r="I15"/>
      <c r="J15"/>
    </row>
    <row r="16" spans="1:12" ht="14.5" x14ac:dyDescent="0.35">
      <c r="A16" s="14">
        <v>1</v>
      </c>
      <c r="B16" s="15" t="s">
        <v>8</v>
      </c>
      <c r="C16" s="14"/>
      <c r="D16" s="35"/>
      <c r="E16" s="35">
        <f t="shared" si="0"/>
        <v>0</v>
      </c>
      <c r="G16" s="8"/>
      <c r="H16" s="8"/>
      <c r="I16" s="8"/>
      <c r="J16" s="8"/>
    </row>
    <row r="17" spans="1:5" x14ac:dyDescent="0.3">
      <c r="A17" s="14">
        <v>2</v>
      </c>
      <c r="B17" s="15" t="s">
        <v>8</v>
      </c>
      <c r="C17" s="14"/>
      <c r="D17" s="35"/>
      <c r="E17" s="35">
        <f t="shared" si="0"/>
        <v>0</v>
      </c>
    </row>
    <row r="18" spans="1:5" x14ac:dyDescent="0.3">
      <c r="A18" s="14">
        <v>3</v>
      </c>
      <c r="B18" s="15" t="s">
        <v>8</v>
      </c>
      <c r="C18" s="14">
        <v>99</v>
      </c>
      <c r="D18" s="35"/>
      <c r="E18" s="35">
        <f t="shared" si="0"/>
        <v>99</v>
      </c>
    </row>
    <row r="19" spans="1:5" x14ac:dyDescent="0.3">
      <c r="A19" s="14">
        <v>4</v>
      </c>
      <c r="B19" s="15" t="s">
        <v>8</v>
      </c>
      <c r="C19" s="14"/>
      <c r="D19" s="35"/>
      <c r="E19" s="35">
        <f t="shared" si="0"/>
        <v>0</v>
      </c>
    </row>
    <row r="20" spans="1:5" x14ac:dyDescent="0.3">
      <c r="A20" s="14">
        <v>5</v>
      </c>
      <c r="B20" s="15" t="s">
        <v>8</v>
      </c>
      <c r="C20" s="14"/>
      <c r="D20" s="35">
        <v>452</v>
      </c>
      <c r="E20" s="35">
        <f t="shared" si="0"/>
        <v>452</v>
      </c>
    </row>
    <row r="21" spans="1:5" x14ac:dyDescent="0.3">
      <c r="A21" s="14">
        <v>6</v>
      </c>
      <c r="B21" s="15" t="s">
        <v>8</v>
      </c>
      <c r="C21" s="14"/>
      <c r="D21" s="35"/>
      <c r="E21" s="35">
        <f t="shared" si="0"/>
        <v>0</v>
      </c>
    </row>
    <row r="22" spans="1:5" x14ac:dyDescent="0.3">
      <c r="A22" s="14">
        <v>7</v>
      </c>
      <c r="B22" s="15" t="s">
        <v>8</v>
      </c>
      <c r="C22" s="14"/>
      <c r="D22" s="35"/>
      <c r="E22" s="35">
        <f t="shared" si="0"/>
        <v>0</v>
      </c>
    </row>
    <row r="23" spans="1:5" x14ac:dyDescent="0.3">
      <c r="A23" s="14">
        <v>8</v>
      </c>
      <c r="B23" s="15" t="s">
        <v>8</v>
      </c>
      <c r="C23" s="14"/>
      <c r="D23" s="35"/>
      <c r="E23" s="35">
        <f t="shared" si="0"/>
        <v>0</v>
      </c>
    </row>
    <row r="24" spans="1:5" x14ac:dyDescent="0.3">
      <c r="A24" s="14">
        <v>9</v>
      </c>
      <c r="B24" s="15" t="s">
        <v>8</v>
      </c>
      <c r="C24" s="14"/>
      <c r="D24" s="35"/>
      <c r="E24" s="35">
        <f t="shared" si="0"/>
        <v>0</v>
      </c>
    </row>
    <row r="25" spans="1:5" x14ac:dyDescent="0.3">
      <c r="A25" s="14">
        <v>10</v>
      </c>
      <c r="B25" s="15" t="s">
        <v>8</v>
      </c>
      <c r="C25" s="14"/>
      <c r="D25" s="35"/>
      <c r="E25" s="35">
        <f t="shared" si="0"/>
        <v>0</v>
      </c>
    </row>
    <row r="26" spans="1:5" x14ac:dyDescent="0.3">
      <c r="A26" s="14">
        <v>11</v>
      </c>
      <c r="B26" s="15" t="s">
        <v>8</v>
      </c>
      <c r="C26" s="14"/>
      <c r="D26" s="35"/>
      <c r="E26" s="35">
        <f t="shared" si="0"/>
        <v>0</v>
      </c>
    </row>
    <row r="27" spans="1:5" x14ac:dyDescent="0.3">
      <c r="A27" s="14">
        <v>12</v>
      </c>
      <c r="B27" s="15" t="s">
        <v>8</v>
      </c>
      <c r="C27" s="14"/>
      <c r="D27" s="35"/>
      <c r="E27" s="35">
        <f t="shared" si="0"/>
        <v>0</v>
      </c>
    </row>
    <row r="28" spans="1:5" x14ac:dyDescent="0.3">
      <c r="A28" s="14"/>
      <c r="B28" s="16" t="s">
        <v>21</v>
      </c>
      <c r="C28" s="17">
        <f>SUM(C16:C27)</f>
        <v>99</v>
      </c>
      <c r="D28" s="36">
        <f>SUM(D16:D27)</f>
        <v>452</v>
      </c>
      <c r="E28" s="36">
        <f>SUM(E16:E27)</f>
        <v>551</v>
      </c>
    </row>
    <row r="29" spans="1:5" x14ac:dyDescent="0.3">
      <c r="B29" s="9"/>
      <c r="C29" s="10"/>
      <c r="D29" s="37"/>
      <c r="E29" s="37"/>
    </row>
    <row r="30" spans="1:5" x14ac:dyDescent="0.3">
      <c r="A30" s="14">
        <v>1</v>
      </c>
      <c r="B30" s="15" t="s">
        <v>4</v>
      </c>
      <c r="C30" s="14"/>
      <c r="D30" s="35">
        <v>96</v>
      </c>
      <c r="E30" s="35">
        <f t="shared" ref="E30:E41" si="3">C30+D30</f>
        <v>96</v>
      </c>
    </row>
    <row r="31" spans="1:5" x14ac:dyDescent="0.3">
      <c r="A31" s="14">
        <v>2</v>
      </c>
      <c r="B31" s="15" t="s">
        <v>4</v>
      </c>
      <c r="C31" s="14"/>
      <c r="D31" s="35">
        <v>480</v>
      </c>
      <c r="E31" s="35">
        <f t="shared" si="3"/>
        <v>480</v>
      </c>
    </row>
    <row r="32" spans="1:5" x14ac:dyDescent="0.3">
      <c r="A32" s="14">
        <v>3</v>
      </c>
      <c r="B32" s="15" t="s">
        <v>4</v>
      </c>
      <c r="C32" s="14"/>
      <c r="D32" s="35"/>
      <c r="E32" s="35">
        <f t="shared" si="3"/>
        <v>0</v>
      </c>
    </row>
    <row r="33" spans="1:6" x14ac:dyDescent="0.3">
      <c r="A33" s="14">
        <v>4</v>
      </c>
      <c r="B33" s="15" t="s">
        <v>4</v>
      </c>
      <c r="C33" s="14"/>
      <c r="D33" s="35"/>
      <c r="E33" s="35">
        <f t="shared" si="3"/>
        <v>0</v>
      </c>
    </row>
    <row r="34" spans="1:6" x14ac:dyDescent="0.3">
      <c r="A34" s="14">
        <v>5</v>
      </c>
      <c r="B34" s="15" t="s">
        <v>4</v>
      </c>
      <c r="C34" s="14">
        <v>8</v>
      </c>
      <c r="D34" s="35">
        <v>288</v>
      </c>
      <c r="E34" s="35">
        <f t="shared" si="3"/>
        <v>296</v>
      </c>
    </row>
    <row r="35" spans="1:6" x14ac:dyDescent="0.3">
      <c r="A35" s="14">
        <v>6</v>
      </c>
      <c r="B35" s="15" t="s">
        <v>4</v>
      </c>
      <c r="C35" s="14"/>
      <c r="D35" s="35"/>
      <c r="E35" s="35">
        <f t="shared" si="3"/>
        <v>0</v>
      </c>
    </row>
    <row r="36" spans="1:6" x14ac:dyDescent="0.3">
      <c r="A36" s="14">
        <v>7</v>
      </c>
      <c r="B36" s="15" t="s">
        <v>4</v>
      </c>
      <c r="C36" s="14"/>
      <c r="D36" s="35"/>
      <c r="E36" s="35">
        <f t="shared" si="3"/>
        <v>0</v>
      </c>
    </row>
    <row r="37" spans="1:6" x14ac:dyDescent="0.3">
      <c r="A37" s="14">
        <v>8</v>
      </c>
      <c r="B37" s="15" t="s">
        <v>4</v>
      </c>
      <c r="C37" s="14"/>
      <c r="D37" s="35"/>
      <c r="E37" s="35">
        <f t="shared" si="3"/>
        <v>0</v>
      </c>
    </row>
    <row r="38" spans="1:6" x14ac:dyDescent="0.3">
      <c r="A38" s="14">
        <v>9</v>
      </c>
      <c r="B38" s="15" t="s">
        <v>4</v>
      </c>
      <c r="C38" s="14"/>
      <c r="D38" s="35"/>
      <c r="E38" s="35">
        <f t="shared" si="3"/>
        <v>0</v>
      </c>
    </row>
    <row r="39" spans="1:6" x14ac:dyDescent="0.3">
      <c r="A39" s="14">
        <v>10</v>
      </c>
      <c r="B39" s="15" t="s">
        <v>4</v>
      </c>
      <c r="C39" s="14"/>
      <c r="D39" s="35"/>
      <c r="E39" s="35">
        <f t="shared" si="3"/>
        <v>0</v>
      </c>
    </row>
    <row r="40" spans="1:6" x14ac:dyDescent="0.3">
      <c r="A40" s="14">
        <v>11</v>
      </c>
      <c r="B40" s="15" t="s">
        <v>4</v>
      </c>
      <c r="C40" s="14"/>
      <c r="D40" s="35"/>
      <c r="E40" s="35">
        <f t="shared" si="3"/>
        <v>0</v>
      </c>
    </row>
    <row r="41" spans="1:6" x14ac:dyDescent="0.3">
      <c r="A41" s="14">
        <v>12</v>
      </c>
      <c r="B41" s="15" t="s">
        <v>4</v>
      </c>
      <c r="C41" s="14"/>
      <c r="D41" s="35"/>
      <c r="E41" s="35">
        <f t="shared" si="3"/>
        <v>0</v>
      </c>
    </row>
    <row r="42" spans="1:6" s="11" customFormat="1" x14ac:dyDescent="0.3">
      <c r="A42" s="17"/>
      <c r="B42" s="16" t="s">
        <v>22</v>
      </c>
      <c r="C42" s="17">
        <f>SUM(C30:C41)</f>
        <v>8</v>
      </c>
      <c r="D42" s="36">
        <f>SUM(D30:D41)</f>
        <v>864</v>
      </c>
      <c r="E42" s="36">
        <f>SUM(E30:E41)</f>
        <v>872</v>
      </c>
      <c r="F42" s="10"/>
    </row>
    <row r="43" spans="1:6" x14ac:dyDescent="0.3">
      <c r="B43" s="5"/>
    </row>
    <row r="44" spans="1:6" x14ac:dyDescent="0.3">
      <c r="A44" s="14">
        <v>1</v>
      </c>
      <c r="B44" s="15" t="s">
        <v>6</v>
      </c>
      <c r="C44" s="14"/>
      <c r="D44" s="35"/>
      <c r="E44" s="35">
        <f t="shared" ref="E44:E55" si="4">C44+D44</f>
        <v>0</v>
      </c>
    </row>
    <row r="45" spans="1:6" x14ac:dyDescent="0.3">
      <c r="A45" s="14">
        <v>2</v>
      </c>
      <c r="B45" s="15" t="s">
        <v>6</v>
      </c>
      <c r="C45" s="14"/>
      <c r="D45" s="35"/>
      <c r="E45" s="35">
        <f t="shared" si="4"/>
        <v>0</v>
      </c>
    </row>
    <row r="46" spans="1:6" x14ac:dyDescent="0.3">
      <c r="A46" s="14">
        <v>3</v>
      </c>
      <c r="B46" s="15" t="s">
        <v>6</v>
      </c>
      <c r="C46" s="14"/>
      <c r="D46" s="35"/>
      <c r="E46" s="35">
        <f t="shared" si="4"/>
        <v>0</v>
      </c>
    </row>
    <row r="47" spans="1:6" x14ac:dyDescent="0.3">
      <c r="A47" s="14">
        <v>4</v>
      </c>
      <c r="B47" s="15" t="s">
        <v>6</v>
      </c>
      <c r="C47" s="14"/>
      <c r="D47" s="35"/>
      <c r="E47" s="35">
        <f t="shared" si="4"/>
        <v>0</v>
      </c>
    </row>
    <row r="48" spans="1:6" x14ac:dyDescent="0.3">
      <c r="A48" s="14">
        <v>5</v>
      </c>
      <c r="B48" s="15" t="s">
        <v>6</v>
      </c>
      <c r="C48" s="14"/>
      <c r="D48" s="35">
        <v>144</v>
      </c>
      <c r="E48" s="35">
        <f t="shared" si="4"/>
        <v>144</v>
      </c>
    </row>
    <row r="49" spans="1:6" x14ac:dyDescent="0.3">
      <c r="A49" s="14">
        <v>6</v>
      </c>
      <c r="B49" s="15" t="s">
        <v>6</v>
      </c>
      <c r="C49" s="14"/>
      <c r="D49" s="35"/>
      <c r="E49" s="35">
        <f t="shared" si="4"/>
        <v>0</v>
      </c>
    </row>
    <row r="50" spans="1:6" x14ac:dyDescent="0.3">
      <c r="A50" s="14">
        <v>7</v>
      </c>
      <c r="B50" s="15" t="s">
        <v>6</v>
      </c>
      <c r="C50" s="14"/>
      <c r="D50" s="35"/>
      <c r="E50" s="35">
        <f t="shared" si="4"/>
        <v>0</v>
      </c>
    </row>
    <row r="51" spans="1:6" x14ac:dyDescent="0.3">
      <c r="A51" s="14">
        <v>8</v>
      </c>
      <c r="B51" s="15" t="s">
        <v>6</v>
      </c>
      <c r="C51" s="14"/>
      <c r="D51" s="35"/>
      <c r="E51" s="35">
        <f t="shared" si="4"/>
        <v>0</v>
      </c>
    </row>
    <row r="52" spans="1:6" x14ac:dyDescent="0.3">
      <c r="A52" s="14">
        <v>9</v>
      </c>
      <c r="B52" s="15" t="s">
        <v>6</v>
      </c>
      <c r="C52" s="14"/>
      <c r="D52" s="35"/>
      <c r="E52" s="35">
        <f t="shared" si="4"/>
        <v>0</v>
      </c>
    </row>
    <row r="53" spans="1:6" x14ac:dyDescent="0.3">
      <c r="A53" s="14">
        <v>10</v>
      </c>
      <c r="B53" s="15" t="s">
        <v>6</v>
      </c>
      <c r="C53" s="14"/>
      <c r="D53" s="35"/>
      <c r="E53" s="35">
        <f t="shared" si="4"/>
        <v>0</v>
      </c>
    </row>
    <row r="54" spans="1:6" x14ac:dyDescent="0.3">
      <c r="A54" s="14">
        <v>11</v>
      </c>
      <c r="B54" s="15" t="s">
        <v>6</v>
      </c>
      <c r="C54" s="14"/>
      <c r="D54" s="35"/>
      <c r="E54" s="35">
        <f t="shared" si="4"/>
        <v>0</v>
      </c>
    </row>
    <row r="55" spans="1:6" x14ac:dyDescent="0.3">
      <c r="A55" s="14">
        <v>12</v>
      </c>
      <c r="B55" s="15" t="s">
        <v>6</v>
      </c>
      <c r="C55" s="14"/>
      <c r="D55" s="35"/>
      <c r="E55" s="35">
        <f t="shared" si="4"/>
        <v>0</v>
      </c>
    </row>
    <row r="56" spans="1:6" s="11" customFormat="1" x14ac:dyDescent="0.3">
      <c r="A56" s="17"/>
      <c r="B56" s="16" t="s">
        <v>23</v>
      </c>
      <c r="C56" s="17">
        <f>SUM(C44:C55)</f>
        <v>0</v>
      </c>
      <c r="D56" s="17">
        <f t="shared" ref="D56:E56" si="5">SUM(D44:D55)</f>
        <v>144</v>
      </c>
      <c r="E56" s="17">
        <f t="shared" si="5"/>
        <v>144</v>
      </c>
      <c r="F56" s="10"/>
    </row>
    <row r="57" spans="1:6" s="11" customFormat="1" x14ac:dyDescent="0.3">
      <c r="A57" s="10"/>
      <c r="B57" s="9"/>
      <c r="C57" s="10"/>
      <c r="D57" s="37"/>
      <c r="E57" s="37"/>
      <c r="F57" s="10"/>
    </row>
    <row r="58" spans="1:6" s="11" customFormat="1" x14ac:dyDescent="0.3">
      <c r="A58" s="14">
        <v>1</v>
      </c>
      <c r="B58" s="15" t="s">
        <v>5</v>
      </c>
      <c r="C58" s="14"/>
      <c r="D58" s="35"/>
      <c r="E58" s="35">
        <f t="shared" ref="E58:E69" si="6">C58+D58</f>
        <v>0</v>
      </c>
      <c r="F58" s="10"/>
    </row>
    <row r="59" spans="1:6" s="11" customFormat="1" x14ac:dyDescent="0.3">
      <c r="A59" s="14">
        <v>2</v>
      </c>
      <c r="B59" s="15" t="s">
        <v>5</v>
      </c>
      <c r="C59" s="14"/>
      <c r="D59" s="35"/>
      <c r="E59" s="35">
        <f t="shared" si="6"/>
        <v>0</v>
      </c>
      <c r="F59" s="10"/>
    </row>
    <row r="60" spans="1:6" s="11" customFormat="1" x14ac:dyDescent="0.3">
      <c r="A60" s="14">
        <v>3</v>
      </c>
      <c r="B60" s="15" t="s">
        <v>5</v>
      </c>
      <c r="C60" s="14"/>
      <c r="D60" s="35"/>
      <c r="E60" s="35">
        <f t="shared" si="6"/>
        <v>0</v>
      </c>
      <c r="F60" s="10"/>
    </row>
    <row r="61" spans="1:6" s="11" customFormat="1" x14ac:dyDescent="0.3">
      <c r="A61" s="14">
        <v>4</v>
      </c>
      <c r="B61" s="15" t="s">
        <v>5</v>
      </c>
      <c r="C61" s="14"/>
      <c r="D61" s="35"/>
      <c r="E61" s="35">
        <f t="shared" si="6"/>
        <v>0</v>
      </c>
      <c r="F61" s="10"/>
    </row>
    <row r="62" spans="1:6" s="11" customFormat="1" x14ac:dyDescent="0.3">
      <c r="A62" s="14">
        <v>5</v>
      </c>
      <c r="B62" s="15" t="s">
        <v>5</v>
      </c>
      <c r="C62" s="14"/>
      <c r="D62" s="35">
        <v>52</v>
      </c>
      <c r="E62" s="35">
        <f t="shared" si="6"/>
        <v>52</v>
      </c>
      <c r="F62" s="51"/>
    </row>
    <row r="63" spans="1:6" s="11" customFormat="1" x14ac:dyDescent="0.3">
      <c r="A63" s="14">
        <v>6</v>
      </c>
      <c r="B63" s="15" t="s">
        <v>5</v>
      </c>
      <c r="C63" s="41"/>
      <c r="D63" s="35"/>
      <c r="E63" s="35">
        <f t="shared" si="6"/>
        <v>0</v>
      </c>
      <c r="F63" s="10"/>
    </row>
    <row r="64" spans="1:6" s="11" customFormat="1" x14ac:dyDescent="0.3">
      <c r="A64" s="14">
        <v>7</v>
      </c>
      <c r="B64" s="15" t="s">
        <v>5</v>
      </c>
      <c r="C64" s="14"/>
      <c r="D64" s="35"/>
      <c r="E64" s="35">
        <f t="shared" si="6"/>
        <v>0</v>
      </c>
      <c r="F64" s="10"/>
    </row>
    <row r="65" spans="1:6" s="11" customFormat="1" x14ac:dyDescent="0.3">
      <c r="A65" s="14">
        <v>8</v>
      </c>
      <c r="B65" s="15" t="s">
        <v>5</v>
      </c>
      <c r="C65" s="14"/>
      <c r="D65" s="35"/>
      <c r="E65" s="35">
        <f t="shared" si="6"/>
        <v>0</v>
      </c>
      <c r="F65" s="10"/>
    </row>
    <row r="66" spans="1:6" s="11" customFormat="1" x14ac:dyDescent="0.3">
      <c r="A66" s="14">
        <v>9</v>
      </c>
      <c r="B66" s="15" t="s">
        <v>5</v>
      </c>
      <c r="C66" s="14"/>
      <c r="D66" s="35"/>
      <c r="E66" s="35">
        <f t="shared" si="6"/>
        <v>0</v>
      </c>
      <c r="F66" s="10"/>
    </row>
    <row r="67" spans="1:6" s="11" customFormat="1" x14ac:dyDescent="0.3">
      <c r="A67" s="14">
        <v>10</v>
      </c>
      <c r="B67" s="15" t="s">
        <v>5</v>
      </c>
      <c r="C67" s="14"/>
      <c r="D67" s="35"/>
      <c r="E67" s="35">
        <f t="shared" si="6"/>
        <v>0</v>
      </c>
      <c r="F67" s="10"/>
    </row>
    <row r="68" spans="1:6" s="11" customFormat="1" x14ac:dyDescent="0.3">
      <c r="A68" s="14">
        <v>11</v>
      </c>
      <c r="B68" s="15" t="s">
        <v>5</v>
      </c>
      <c r="C68" s="14"/>
      <c r="D68" s="35"/>
      <c r="E68" s="35">
        <f t="shared" si="6"/>
        <v>0</v>
      </c>
      <c r="F68" s="10"/>
    </row>
    <row r="69" spans="1:6" s="11" customFormat="1" x14ac:dyDescent="0.3">
      <c r="A69" s="14">
        <v>12</v>
      </c>
      <c r="B69" s="15" t="s">
        <v>5</v>
      </c>
      <c r="C69" s="14"/>
      <c r="D69" s="35"/>
      <c r="E69" s="35">
        <f t="shared" si="6"/>
        <v>0</v>
      </c>
      <c r="F69" s="10"/>
    </row>
    <row r="70" spans="1:6" s="11" customFormat="1" x14ac:dyDescent="0.3">
      <c r="A70" s="17"/>
      <c r="B70" s="16" t="s">
        <v>23</v>
      </c>
      <c r="C70" s="17">
        <f>SUM(C58:C69)</f>
        <v>0</v>
      </c>
      <c r="D70" s="42">
        <f>SUM(D58:D69)</f>
        <v>52</v>
      </c>
      <c r="E70" s="17">
        <f t="shared" ref="E70" si="7">SUM(E58:E69)</f>
        <v>52</v>
      </c>
      <c r="F70" s="10"/>
    </row>
    <row r="71" spans="1:6" s="11" customFormat="1" x14ac:dyDescent="0.3">
      <c r="A71" s="10"/>
      <c r="B71" s="9"/>
      <c r="C71" s="10"/>
      <c r="D71" s="37"/>
      <c r="E71" s="37"/>
      <c r="F71" s="10"/>
    </row>
    <row r="72" spans="1:6" s="11" customFormat="1" x14ac:dyDescent="0.3">
      <c r="A72" s="10"/>
      <c r="B72" s="9"/>
      <c r="C72" s="10"/>
      <c r="D72" s="37"/>
      <c r="E72" s="37"/>
      <c r="F72" s="10"/>
    </row>
    <row r="73" spans="1:6" ht="14.5" x14ac:dyDescent="0.35">
      <c r="A73" s="20"/>
      <c r="B73" s="21" t="s">
        <v>24</v>
      </c>
      <c r="C73" s="33">
        <f>C14+C28+C42+C56+C70</f>
        <v>638</v>
      </c>
      <c r="D73" s="33">
        <f>D14+D28+D42+D56+D70</f>
        <v>2100</v>
      </c>
      <c r="E73" s="33">
        <f>E14+E28+E42+E56+E70</f>
        <v>2738</v>
      </c>
    </row>
    <row r="74" spans="1:6" ht="14.5" x14ac:dyDescent="0.35">
      <c r="B74" s="2"/>
    </row>
    <row r="75" spans="1:6" ht="14.5" x14ac:dyDescent="0.35">
      <c r="B75" s="2"/>
    </row>
    <row r="76" spans="1:6" ht="14.5" x14ac:dyDescent="0.35">
      <c r="B76" s="2"/>
    </row>
    <row r="77" spans="1:6" ht="14.5" x14ac:dyDescent="0.35">
      <c r="B77" s="2"/>
    </row>
    <row r="78" spans="1:6" ht="14.5" x14ac:dyDescent="0.35">
      <c r="B78" s="2"/>
    </row>
    <row r="79" spans="1:6" ht="14.5" x14ac:dyDescent="0.35">
      <c r="B79" s="2"/>
    </row>
    <row r="80" spans="1:6" ht="14.5" x14ac:dyDescent="0.35">
      <c r="B80" s="2"/>
    </row>
    <row r="81" spans="2:10" ht="14.5" x14ac:dyDescent="0.35">
      <c r="B81" s="2"/>
    </row>
    <row r="82" spans="2:10" ht="14.5" x14ac:dyDescent="0.35">
      <c r="B82" s="2"/>
    </row>
    <row r="83" spans="2:10" ht="14.5" x14ac:dyDescent="0.35">
      <c r="B83" s="2"/>
    </row>
    <row r="84" spans="2:10" ht="14.5" x14ac:dyDescent="0.35">
      <c r="B84" s="2"/>
    </row>
    <row r="85" spans="2:10" s="3" customFormat="1" ht="14.5" x14ac:dyDescent="0.35">
      <c r="B85" s="2"/>
      <c r="D85" s="39"/>
      <c r="E85" s="39"/>
      <c r="G85" s="4"/>
      <c r="H85" s="4"/>
      <c r="I85" s="4"/>
      <c r="J85" s="4"/>
    </row>
    <row r="86" spans="2:10" s="3" customFormat="1" ht="14.5" x14ac:dyDescent="0.35">
      <c r="B86" s="2"/>
      <c r="D86" s="39"/>
      <c r="E86" s="39"/>
      <c r="G86" s="4"/>
      <c r="H86" s="4"/>
      <c r="I86" s="4"/>
      <c r="J86" s="4"/>
    </row>
    <row r="87" spans="2:10" s="3" customFormat="1" ht="14.5" x14ac:dyDescent="0.35">
      <c r="B87" s="2"/>
      <c r="D87" s="39"/>
      <c r="E87" s="39"/>
      <c r="G87" s="4"/>
      <c r="H87" s="4"/>
      <c r="I87" s="4"/>
      <c r="J87" s="4"/>
    </row>
    <row r="88" spans="2:10" s="3" customFormat="1" ht="14.5" x14ac:dyDescent="0.35">
      <c r="B88" s="2"/>
      <c r="D88" s="39"/>
      <c r="E88" s="39"/>
      <c r="G88" s="4"/>
      <c r="H88" s="4"/>
      <c r="I88" s="4"/>
      <c r="J88" s="4"/>
    </row>
    <row r="89" spans="2:10" s="3" customFormat="1" ht="14.5" x14ac:dyDescent="0.35">
      <c r="B89" s="2"/>
      <c r="D89" s="39"/>
      <c r="E89" s="39"/>
      <c r="G89" s="4"/>
      <c r="H89" s="4"/>
      <c r="I89" s="4"/>
      <c r="J89" s="4"/>
    </row>
    <row r="90" spans="2:10" s="3" customFormat="1" ht="14.5" x14ac:dyDescent="0.35">
      <c r="B90" s="2"/>
      <c r="D90" s="39"/>
      <c r="E90" s="39"/>
      <c r="G90" s="4"/>
      <c r="H90" s="4"/>
      <c r="I90" s="4"/>
      <c r="J90" s="4"/>
    </row>
    <row r="91" spans="2:10" s="3" customFormat="1" ht="14.5" x14ac:dyDescent="0.35">
      <c r="B91" s="2"/>
      <c r="D91" s="39"/>
      <c r="E91" s="39"/>
      <c r="G91" s="4"/>
      <c r="H91" s="4"/>
      <c r="I91" s="4"/>
      <c r="J91" s="4"/>
    </row>
    <row r="92" spans="2:10" s="3" customFormat="1" ht="14.5" x14ac:dyDescent="0.35">
      <c r="B92" s="2"/>
      <c r="D92" s="39"/>
      <c r="E92" s="39"/>
      <c r="G92" s="4"/>
      <c r="H92" s="4"/>
      <c r="I92" s="4"/>
      <c r="J92" s="4"/>
    </row>
    <row r="93" spans="2:10" s="3" customFormat="1" ht="14.5" x14ac:dyDescent="0.35">
      <c r="B93" s="2"/>
      <c r="D93" s="39"/>
      <c r="E93" s="39"/>
      <c r="G93" s="4"/>
      <c r="H93" s="4"/>
      <c r="I93" s="4"/>
      <c r="J93" s="4"/>
    </row>
    <row r="94" spans="2:10" s="3" customFormat="1" ht="14.5" x14ac:dyDescent="0.35">
      <c r="B94" s="2"/>
      <c r="D94" s="39"/>
      <c r="E94" s="39"/>
      <c r="G94" s="4"/>
      <c r="H94" s="4"/>
      <c r="I94" s="4"/>
      <c r="J94" s="4"/>
    </row>
    <row r="95" spans="2:10" s="3" customFormat="1" ht="14.5" x14ac:dyDescent="0.35">
      <c r="B95" s="2"/>
      <c r="D95" s="39"/>
      <c r="E95" s="39"/>
      <c r="G95" s="4"/>
      <c r="H95" s="4"/>
      <c r="I95" s="4"/>
      <c r="J95" s="4"/>
    </row>
    <row r="96" spans="2:10" s="3" customFormat="1" ht="14.5" x14ac:dyDescent="0.35">
      <c r="B96" s="2"/>
      <c r="D96" s="39"/>
      <c r="E96" s="39"/>
      <c r="G96" s="4"/>
      <c r="H96" s="4"/>
      <c r="I96" s="4"/>
      <c r="J96" s="4"/>
    </row>
    <row r="97" spans="2:10" s="3" customFormat="1" ht="14.5" x14ac:dyDescent="0.35">
      <c r="B97" s="2"/>
      <c r="D97" s="39"/>
      <c r="E97" s="39"/>
      <c r="G97" s="4"/>
      <c r="H97" s="4"/>
      <c r="I97" s="4"/>
      <c r="J97" s="4"/>
    </row>
    <row r="98" spans="2:10" s="3" customFormat="1" ht="14.5" x14ac:dyDescent="0.35">
      <c r="B98" s="2"/>
      <c r="D98" s="39"/>
      <c r="E98" s="39"/>
      <c r="G98" s="4"/>
      <c r="H98" s="4"/>
      <c r="I98" s="4"/>
      <c r="J98" s="4"/>
    </row>
    <row r="99" spans="2:10" s="3" customFormat="1" ht="14.5" x14ac:dyDescent="0.35">
      <c r="B99" s="2"/>
      <c r="D99" s="39"/>
      <c r="E99" s="39"/>
      <c r="G99" s="4"/>
      <c r="H99" s="4"/>
      <c r="I99" s="4"/>
      <c r="J99" s="4"/>
    </row>
    <row r="100" spans="2:10" s="3" customFormat="1" ht="14.5" x14ac:dyDescent="0.35">
      <c r="B100" s="2"/>
      <c r="D100" s="39"/>
      <c r="E100" s="39"/>
      <c r="G100" s="4"/>
      <c r="H100" s="4"/>
      <c r="I100" s="4"/>
      <c r="J100" s="4"/>
    </row>
    <row r="101" spans="2:10" s="3" customFormat="1" ht="14.5" x14ac:dyDescent="0.35">
      <c r="B101" s="2"/>
      <c r="D101" s="39"/>
      <c r="E101" s="39"/>
      <c r="G101" s="4"/>
      <c r="H101" s="4"/>
      <c r="I101" s="4"/>
      <c r="J101" s="4"/>
    </row>
    <row r="102" spans="2:10" s="3" customFormat="1" ht="14.5" x14ac:dyDescent="0.35">
      <c r="B102" s="2"/>
      <c r="D102" s="39"/>
      <c r="E102" s="39"/>
      <c r="G102" s="4"/>
      <c r="H102" s="4"/>
      <c r="I102" s="4"/>
      <c r="J102" s="4"/>
    </row>
    <row r="103" spans="2:10" s="3" customFormat="1" ht="14.5" x14ac:dyDescent="0.35">
      <c r="B103" s="2"/>
      <c r="D103" s="39"/>
      <c r="E103" s="39"/>
      <c r="G103" s="4"/>
      <c r="H103" s="4"/>
      <c r="I103" s="4"/>
      <c r="J103" s="4"/>
    </row>
    <row r="104" spans="2:10" s="3" customFormat="1" ht="14.5" x14ac:dyDescent="0.35">
      <c r="B104" s="2"/>
      <c r="D104" s="39"/>
      <c r="E104" s="39"/>
      <c r="G104" s="4"/>
      <c r="H104" s="4"/>
      <c r="I104" s="4"/>
      <c r="J104" s="4"/>
    </row>
    <row r="105" spans="2:10" s="3" customFormat="1" ht="14.5" x14ac:dyDescent="0.35">
      <c r="B105" s="2"/>
      <c r="D105" s="39"/>
      <c r="E105" s="39"/>
      <c r="G105" s="4"/>
      <c r="H105" s="4"/>
      <c r="I105" s="4"/>
      <c r="J105" s="4"/>
    </row>
    <row r="106" spans="2:10" s="3" customFormat="1" ht="14.5" x14ac:dyDescent="0.35">
      <c r="B106" s="2"/>
      <c r="D106" s="39"/>
      <c r="E106" s="39"/>
      <c r="G106" s="4"/>
      <c r="H106" s="4"/>
      <c r="I106" s="4"/>
      <c r="J106" s="4"/>
    </row>
    <row r="107" spans="2:10" s="3" customFormat="1" ht="14.5" x14ac:dyDescent="0.35">
      <c r="B107" s="2"/>
      <c r="D107" s="39"/>
      <c r="E107" s="39"/>
      <c r="G107" s="4"/>
      <c r="H107" s="4"/>
      <c r="I107" s="4"/>
      <c r="J107" s="4"/>
    </row>
    <row r="108" spans="2:10" s="3" customFormat="1" ht="14.5" x14ac:dyDescent="0.35">
      <c r="B108" s="2"/>
      <c r="D108" s="39"/>
      <c r="E108" s="39"/>
      <c r="G108" s="4"/>
      <c r="H108" s="4"/>
      <c r="I108" s="4"/>
      <c r="J108" s="4"/>
    </row>
    <row r="109" spans="2:10" s="3" customFormat="1" ht="14.5" x14ac:dyDescent="0.35">
      <c r="B109" s="2"/>
      <c r="D109" s="39"/>
      <c r="E109" s="39"/>
      <c r="G109" s="4"/>
      <c r="H109" s="4"/>
      <c r="I109" s="4"/>
      <c r="J109" s="4"/>
    </row>
    <row r="110" spans="2:10" s="3" customFormat="1" ht="14.5" x14ac:dyDescent="0.35">
      <c r="B110" s="2"/>
      <c r="D110" s="39"/>
      <c r="E110" s="39"/>
      <c r="G110" s="4"/>
      <c r="H110" s="4"/>
      <c r="I110" s="4"/>
      <c r="J110" s="4"/>
    </row>
    <row r="111" spans="2:10" s="3" customFormat="1" ht="14.5" x14ac:dyDescent="0.35">
      <c r="B111" s="2"/>
      <c r="D111" s="39"/>
      <c r="E111" s="39"/>
      <c r="G111" s="4"/>
      <c r="H111" s="4"/>
      <c r="I111" s="4"/>
      <c r="J111" s="4"/>
    </row>
    <row r="112" spans="2:10" s="3" customFormat="1" ht="14.5" x14ac:dyDescent="0.35">
      <c r="B112" s="2"/>
      <c r="D112" s="39"/>
      <c r="E112" s="39"/>
      <c r="G112" s="4"/>
      <c r="H112" s="4"/>
      <c r="I112" s="4"/>
      <c r="J112" s="4"/>
    </row>
    <row r="113" spans="2:10" s="3" customFormat="1" ht="14.5" x14ac:dyDescent="0.35">
      <c r="B113" s="2"/>
      <c r="D113" s="39"/>
      <c r="E113" s="39"/>
      <c r="G113" s="4"/>
      <c r="H113" s="4"/>
      <c r="I113" s="4"/>
      <c r="J113" s="4"/>
    </row>
    <row r="114" spans="2:10" s="3" customFormat="1" ht="14.5" x14ac:dyDescent="0.35">
      <c r="B114" s="2"/>
      <c r="D114" s="39"/>
      <c r="E114" s="39"/>
      <c r="G114" s="4"/>
      <c r="H114" s="4"/>
      <c r="I114" s="4"/>
      <c r="J114" s="4"/>
    </row>
    <row r="115" spans="2:10" s="3" customFormat="1" ht="14.5" x14ac:dyDescent="0.35">
      <c r="B115" s="2"/>
      <c r="D115" s="39"/>
      <c r="E115" s="39"/>
      <c r="G115" s="4"/>
      <c r="H115" s="4"/>
      <c r="I115" s="4"/>
      <c r="J115" s="4"/>
    </row>
    <row r="116" spans="2:10" s="3" customFormat="1" ht="14.5" x14ac:dyDescent="0.35">
      <c r="B116" s="2"/>
      <c r="D116" s="39"/>
      <c r="E116" s="39"/>
      <c r="G116" s="4"/>
      <c r="H116" s="4"/>
      <c r="I116" s="4"/>
      <c r="J116" s="4"/>
    </row>
  </sheetData>
  <sortState xmlns:xlrd2="http://schemas.microsoft.com/office/spreadsheetml/2017/richdata2" ref="G2:H14">
    <sortCondition descending="1" ref="H2:H14"/>
  </sortState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C614A-8C14-4CA8-9081-F36153597A2F}">
  <dimension ref="A1:G27"/>
  <sheetViews>
    <sheetView workbookViewId="0">
      <selection activeCell="G4" sqref="G4"/>
    </sheetView>
  </sheetViews>
  <sheetFormatPr defaultRowHeight="14.5" x14ac:dyDescent="0.35"/>
  <cols>
    <col min="1" max="1" width="26.453125" customWidth="1"/>
    <col min="2" max="2" width="13.453125" customWidth="1"/>
    <col min="7" max="7" width="13.7265625" bestFit="1" customWidth="1"/>
  </cols>
  <sheetData>
    <row r="1" spans="1:7" x14ac:dyDescent="0.35">
      <c r="A1" t="s">
        <v>65</v>
      </c>
    </row>
    <row r="2" spans="1:7" x14ac:dyDescent="0.35">
      <c r="B2" s="48">
        <f>B5+B7+B10+B14+B19</f>
        <v>103200000</v>
      </c>
    </row>
    <row r="3" spans="1:7" x14ac:dyDescent="0.35">
      <c r="A3" s="44" t="s">
        <v>44</v>
      </c>
      <c r="B3" s="44" t="s">
        <v>64</v>
      </c>
      <c r="C3" t="s">
        <v>66</v>
      </c>
      <c r="F3" s="2" t="s">
        <v>66</v>
      </c>
    </row>
    <row r="4" spans="1:7" x14ac:dyDescent="0.35">
      <c r="A4" s="45" t="s">
        <v>45</v>
      </c>
      <c r="B4" s="45">
        <v>103200000</v>
      </c>
      <c r="F4">
        <v>642</v>
      </c>
      <c r="G4" s="49">
        <f>SUMIFS(B:B,C:C,F4)</f>
        <v>8100000</v>
      </c>
    </row>
    <row r="5" spans="1:7" x14ac:dyDescent="0.35">
      <c r="A5" s="46" t="s">
        <v>3</v>
      </c>
      <c r="B5" s="46">
        <v>2100000</v>
      </c>
      <c r="C5">
        <v>642</v>
      </c>
      <c r="F5">
        <v>627</v>
      </c>
      <c r="G5" s="49">
        <f t="shared" ref="G5:G6" si="0">SUMIFS(B:B,C:C,F5)</f>
        <v>36300000</v>
      </c>
    </row>
    <row r="6" spans="1:7" x14ac:dyDescent="0.35">
      <c r="A6" s="47" t="s">
        <v>46</v>
      </c>
      <c r="B6" s="47">
        <v>2100000</v>
      </c>
      <c r="F6">
        <v>622</v>
      </c>
      <c r="G6" s="49">
        <f t="shared" si="0"/>
        <v>58800000</v>
      </c>
    </row>
    <row r="7" spans="1:7" x14ac:dyDescent="0.35">
      <c r="A7" s="46" t="s">
        <v>4</v>
      </c>
      <c r="B7" s="46">
        <v>6000000</v>
      </c>
      <c r="C7">
        <v>642</v>
      </c>
      <c r="G7" s="50">
        <f>SUM(G4:G6)</f>
        <v>103200000</v>
      </c>
    </row>
    <row r="8" spans="1:7" x14ac:dyDescent="0.35">
      <c r="A8" s="47" t="s">
        <v>47</v>
      </c>
      <c r="B8" s="47">
        <v>3000000</v>
      </c>
    </row>
    <row r="9" spans="1:7" x14ac:dyDescent="0.35">
      <c r="A9" s="47" t="s">
        <v>48</v>
      </c>
      <c r="B9" s="47">
        <v>3000000</v>
      </c>
    </row>
    <row r="10" spans="1:7" x14ac:dyDescent="0.35">
      <c r="A10" s="46" t="s">
        <v>6</v>
      </c>
      <c r="B10" s="46">
        <v>7800000</v>
      </c>
      <c r="C10">
        <v>627</v>
      </c>
    </row>
    <row r="11" spans="1:7" x14ac:dyDescent="0.35">
      <c r="A11" s="47" t="s">
        <v>49</v>
      </c>
      <c r="B11" s="47">
        <v>1500000</v>
      </c>
    </row>
    <row r="12" spans="1:7" x14ac:dyDescent="0.35">
      <c r="A12" s="47" t="s">
        <v>50</v>
      </c>
      <c r="B12" s="47">
        <v>5700000</v>
      </c>
    </row>
    <row r="13" spans="1:7" x14ac:dyDescent="0.35">
      <c r="A13" s="47" t="s">
        <v>51</v>
      </c>
      <c r="B13" s="47">
        <v>600000</v>
      </c>
    </row>
    <row r="14" spans="1:7" x14ac:dyDescent="0.35">
      <c r="A14" s="46" t="s">
        <v>7</v>
      </c>
      <c r="B14" s="46">
        <v>14700000</v>
      </c>
      <c r="C14">
        <v>627</v>
      </c>
    </row>
    <row r="15" spans="1:7" x14ac:dyDescent="0.35">
      <c r="A15" s="47" t="s">
        <v>52</v>
      </c>
      <c r="B15" s="47">
        <v>2400000</v>
      </c>
    </row>
    <row r="16" spans="1:7" x14ac:dyDescent="0.35">
      <c r="A16" s="47" t="s">
        <v>53</v>
      </c>
      <c r="B16" s="47">
        <v>1800000</v>
      </c>
    </row>
    <row r="17" spans="1:3" x14ac:dyDescent="0.35">
      <c r="A17" s="47" t="s">
        <v>54</v>
      </c>
      <c r="B17" s="47">
        <v>2100000</v>
      </c>
    </row>
    <row r="18" spans="1:3" x14ac:dyDescent="0.35">
      <c r="A18" s="47" t="s">
        <v>55</v>
      </c>
      <c r="B18" s="47">
        <v>8400000</v>
      </c>
    </row>
    <row r="19" spans="1:3" x14ac:dyDescent="0.35">
      <c r="A19" s="46" t="s">
        <v>8</v>
      </c>
      <c r="B19" s="46">
        <v>72600000</v>
      </c>
    </row>
    <row r="20" spans="1:3" x14ac:dyDescent="0.35">
      <c r="A20" s="47" t="s">
        <v>56</v>
      </c>
      <c r="B20" s="47">
        <v>600000</v>
      </c>
      <c r="C20">
        <v>627</v>
      </c>
    </row>
    <row r="21" spans="1:3" x14ac:dyDescent="0.35">
      <c r="A21" s="47" t="s">
        <v>57</v>
      </c>
      <c r="B21" s="47">
        <v>2700000</v>
      </c>
      <c r="C21">
        <v>627</v>
      </c>
    </row>
    <row r="22" spans="1:3" x14ac:dyDescent="0.35">
      <c r="A22" s="47" t="s">
        <v>58</v>
      </c>
      <c r="B22" s="47">
        <v>1800000</v>
      </c>
      <c r="C22">
        <v>622</v>
      </c>
    </row>
    <row r="23" spans="1:3" x14ac:dyDescent="0.35">
      <c r="A23" s="47" t="s">
        <v>59</v>
      </c>
      <c r="B23" s="47">
        <v>8100000</v>
      </c>
      <c r="C23">
        <v>622</v>
      </c>
    </row>
    <row r="24" spans="1:3" x14ac:dyDescent="0.35">
      <c r="A24" s="47" t="s">
        <v>60</v>
      </c>
      <c r="B24" s="47">
        <v>10500000</v>
      </c>
      <c r="C24">
        <v>627</v>
      </c>
    </row>
    <row r="25" spans="1:3" x14ac:dyDescent="0.35">
      <c r="A25" s="47" t="s">
        <v>61</v>
      </c>
      <c r="B25" s="47">
        <v>6900000</v>
      </c>
      <c r="C25">
        <v>622</v>
      </c>
    </row>
    <row r="26" spans="1:3" x14ac:dyDescent="0.35">
      <c r="A26" s="47" t="s">
        <v>62</v>
      </c>
      <c r="B26" s="47">
        <v>41100000</v>
      </c>
      <c r="C26">
        <v>622</v>
      </c>
    </row>
    <row r="27" spans="1:3" x14ac:dyDescent="0.35">
      <c r="A27" s="47" t="s">
        <v>63</v>
      </c>
      <c r="B27" s="47">
        <v>900000</v>
      </c>
      <c r="C27">
        <v>622</v>
      </c>
    </row>
  </sheetData>
  <autoFilter ref="A3:C27" xr:uid="{DFCC614A-8C14-4CA8-9081-F36153597A2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TH công ngoài giờ</vt:lpstr>
      <vt:lpstr>Lương CN + LỄ</vt:lpstr>
      <vt:lpstr>Chi tiết công ngoài giờ</vt:lpstr>
      <vt:lpstr>CP thưởng khác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Quyền, Phan Thị</dc:creator>
  <cp:keywords/>
  <dc:description/>
  <cp:lastModifiedBy>Diễm, Nguyễn Thị Thanh</cp:lastModifiedBy>
  <cp:revision/>
  <dcterms:created xsi:type="dcterms:W3CDTF">2023-06-21T01:36:58Z</dcterms:created>
  <dcterms:modified xsi:type="dcterms:W3CDTF">2026-06-01T06:14:56Z</dcterms:modified>
  <cp:category/>
  <cp:contentStatus/>
</cp:coreProperties>
</file>